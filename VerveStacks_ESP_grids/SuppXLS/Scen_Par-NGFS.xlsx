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\SuppXLS\"/>
    </mc:Choice>
  </mc:AlternateContent>
  <xr:revisionPtr revIDLastSave="0" documentId="8_{85E64096-5023-4332-B19D-15A4DDC9623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<sst xmlns="http://schemas.openxmlformats.org/spreadsheetml/2006/main" count="58781" uniqueCount="95">
  <si>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</si>
  <si>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</si>
  <si>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</si>
  <si>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</si>
  <si>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</si>
  <si>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</si>
  <si>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</si>
  <si>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</si>
  <si>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</si>
  <si>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</si>
  <si>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</si>
  <si>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</si>
  <si>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</si>
  <si>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</si>
  <si>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</si>
  <si>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</si>
  <si>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</si>
  <si>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</si>
  <si>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</si>
  <si>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</si>
  <si>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</si>
  <si>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</si>
  <si>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</si>
  <si>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</si>
  <si>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</si>
  <si>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</si>
  <si>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</si>
  <si>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</si>
  <si>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</si>
  <si>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</si>
  <si>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</si>
  <si>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</si>
  <si>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</si>
  <si>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</si>
  <si>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</si>
  <si>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</si>
  <si>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</si>
  <si>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</si>
  <si>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</si>
  <si>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</si>
  <si>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</si>
  <si>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</si>
  <si>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</si>
  <si>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</si>
  <si>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</si>
  <si>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</si>
  <si>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</si>
  <si>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</si>
  <si>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</si>
  <si>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</si>
  <si>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</si>
  <si>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</si>
  <si>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</si>
  <si>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</si>
  <si>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</si>
  <si>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</si>
  <si>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</si>
  <si>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</si>
  <si>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</si>
  <si>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</si>
  <si>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</si>
  <si>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</si>
  <si>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</si>
  <si>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</si>
  <si>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</si>
  <si>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</si>
  <si>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</si>
  <si>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</si>
  <si>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</si>
  <si>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</si>
  <si>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</si>
  <si>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</si>
  <si>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</si>
  <si>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</si>
  <si>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</si>
  <si>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</si>
  <si>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</si>
  <si>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</si>
  <si>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</si>
  <si>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</si>
  <si>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</si>
  <si>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</si>
  <si>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</si>
  <si>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</si>
  <si>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ESP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</si>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</sst>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341.87</c:v>
                </c:pt>
                <c:pt idx="1">
                  <c:v>377.40653369440685</c:v>
                </c:pt>
                <c:pt idx="2">
                  <c:v>401.74443026768051</c:v>
                </c:pt>
                <c:pt idx="3">
                  <c:v>414.70565097385696</c:v>
                </c:pt>
                <c:pt idx="4">
                  <c:v>414.77686647224249</c:v>
                </c:pt>
                <c:pt idx="5">
                  <c:v>412.58698989688571</c:v>
                </c:pt>
                <c:pt idx="6">
                  <c:v>420.49191021768576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51.66</c:v>
                </c:pt>
                <c:pt idx="1">
                  <c:v>51.607255748201112</c:v>
                </c:pt>
                <c:pt idx="2">
                  <c:v>33.191976977276461</c:v>
                </c:pt>
                <c:pt idx="3">
                  <c:v>40.598970110850146</c:v>
                </c:pt>
                <c:pt idx="4">
                  <c:v>49.544627058805929</c:v>
                </c:pt>
                <c:pt idx="5">
                  <c:v>66.360962870435472</c:v>
                </c:pt>
                <c:pt idx="6">
                  <c:v>62.568206800604358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341.87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341.87</v>
      </c>
      <c r="S12" s="8">
        <f t="shared" ref="S12:X12" si="0">SUM(S17:S20)</f>
        <v>377.40653369440685</v>
      </c>
      <c r="T12" s="8">
        <f t="shared" si="0"/>
        <v>401.74443026768051</v>
      </c>
      <c r="U12" s="8">
        <f t="shared" si="0"/>
        <v>414.70565097385696</v>
      </c>
      <c r="V12" s="8">
        <f t="shared" si="0"/>
        <v>414.77686647224249</v>
      </c>
      <c r="W12" s="8">
        <f t="shared" si="0"/>
        <v>412.58698989688571</v>
      </c>
      <c r="X12" s="8">
        <f t="shared" si="0"/>
        <v>420.49191021768576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5.8999999999999999E-3</v>
      </c>
      <c r="H16" s="10">
        <f>SUMIFS(ngfs_median!$J$2:$J$17119,ngfs_median!$B$2:$B$17119,Veda!$C$5,ngfs_median!$H$2:$H$17119,Veda!$Q16,ngfs_median!$I$2:$I$17119,Veda!H$15)</f>
        <v>2.6700000000000002E-2</v>
      </c>
      <c r="I16" s="10">
        <f>SUMIFS(ngfs_median!$J$2:$J$17119,ngfs_median!$B$2:$B$17119,Veda!$C$5,ngfs_median!$H$2:$H$17119,Veda!$Q16,ngfs_median!$I$2:$I$17119,Veda!I$15)</f>
        <v>4.9000000000000002E-2</v>
      </c>
      <c r="J16" s="10">
        <f>SUMIFS(ngfs_median!$J$2:$J$17119,ngfs_median!$B$2:$B$17119,Veda!$C$5,ngfs_median!$H$2:$H$17119,Veda!$Q16,ngfs_median!$I$2:$I$17119,Veda!J$15)</f>
        <v>6.0299999999999999E-2</v>
      </c>
      <c r="K16" s="10">
        <f>SUMIFS(ngfs_median!$J$2:$J$17119,ngfs_median!$B$2:$B$17119,Veda!$C$5,ngfs_median!$H$2:$H$17119,Veda!$Q16,ngfs_median!$I$2:$I$17119,Veda!K$15)</f>
        <v>6.4349999999999991E-2</v>
      </c>
      <c r="L16" s="10">
        <f>SUMIFS(ngfs_median!$J$2:$J$17119,ngfs_median!$B$2:$B$17119,Veda!$C$5,ngfs_median!$H$2:$H$17119,Veda!$Q16,ngfs_median!$I$2:$I$17119,Veda!L$15)</f>
        <v>7.4749999999999997E-2</v>
      </c>
      <c r="M16" s="10">
        <f>SUMIFS(ngfs_median!$J$2:$J$17119,ngfs_median!$B$2:$B$17119,Veda!$C$5,ngfs_median!$H$2:$H$17119,Veda!$Q16,ngfs_median!$I$2:$I$17119,Veda!M$15)</f>
        <v>9.6849999999999992E-2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6.1944444444444446</v>
      </c>
      <c r="U16" s="6">
        <f t="shared" si="2"/>
        <v>9.3333333333333321</v>
      </c>
      <c r="V16" s="6">
        <f t="shared" si="2"/>
        <v>10.45833333333333</v>
      </c>
      <c r="W16" s="6">
        <f t="shared" si="2"/>
        <v>13.347222222222221</v>
      </c>
      <c r="X16" s="6">
        <f t="shared" si="2"/>
        <v>19.486111111111107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2.3800000000000002E-2</v>
      </c>
      <c r="H17" s="10">
        <f>SUMIFS(ngfs_median!$J$2:$J$17119,ngfs_median!$B$2:$B$17119,Veda!$C$5,ngfs_median!$H$2:$H$17119,Veda!$Q17,ngfs_median!$I$2:$I$17119,Veda!H$15)</f>
        <v>4.8149999999999998E-2</v>
      </c>
      <c r="I17" s="10">
        <f>SUMIFS(ngfs_median!$J$2:$J$17119,ngfs_median!$B$2:$B$17119,Veda!$C$5,ngfs_median!$H$2:$H$17119,Veda!$Q17,ngfs_median!$I$2:$I$17119,Veda!I$15)</f>
        <v>8.0549999999999997E-2</v>
      </c>
      <c r="J17" s="10">
        <f>SUMIFS(ngfs_median!$J$2:$J$17119,ngfs_median!$B$2:$B$17119,Veda!$C$5,ngfs_median!$H$2:$H$17119,Veda!$Q17,ngfs_median!$I$2:$I$17119,Veda!J$15)</f>
        <v>0.10985</v>
      </c>
      <c r="K17" s="10">
        <f>SUMIFS(ngfs_median!$J$2:$J$17119,ngfs_median!$B$2:$B$17119,Veda!$C$5,ngfs_median!$H$2:$H$17119,Veda!$Q17,ngfs_median!$I$2:$I$17119,Veda!K$15)</f>
        <v>0.12959999999999999</v>
      </c>
      <c r="L17" s="10">
        <f>SUMIFS(ngfs_median!$J$2:$J$17119,ngfs_median!$B$2:$B$17119,Veda!$C$5,ngfs_median!$H$2:$H$17119,Veda!$Q17,ngfs_median!$I$2:$I$17119,Veda!L$15)</f>
        <v>0.1361</v>
      </c>
      <c r="M17" s="10">
        <f>SUMIFS(ngfs_median!$J$2:$J$17119,ngfs_median!$B$2:$B$17119,Veda!$C$5,ngfs_median!$H$2:$H$17119,Veda!$Q17,ngfs_median!$I$2:$I$17119,Veda!M$15)</f>
        <v>0.14019999999999999</v>
      </c>
      <c r="Q17" s="12" t="s">
        <v>10</v>
      </c>
      <c r="R17" s="6">
        <f>$Q$10*G17/SUM($G$17:$G$19)</f>
        <v>8.4746443078845957</v>
      </c>
      <c r="S17" s="6">
        <f>R17</f>
        <v>8.4746443078845957</v>
      </c>
      <c r="T17" s="6">
        <f t="shared" ref="T17:X17" si="3">S17</f>
        <v>8.4746443078845957</v>
      </c>
      <c r="U17" s="6">
        <f t="shared" si="3"/>
        <v>8.4746443078845957</v>
      </c>
      <c r="V17" s="6">
        <f t="shared" si="3"/>
        <v>8.4746443078845957</v>
      </c>
      <c r="W17" s="6">
        <f t="shared" si="3"/>
        <v>8.4746443078845957</v>
      </c>
      <c r="X17" s="6">
        <f t="shared" si="3"/>
        <v>8.4746443078845957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0.65759999999999996</v>
      </c>
      <c r="H18" s="10">
        <f>SUMIFS(ngfs_median!$J$2:$J$17119,ngfs_median!$B$2:$B$17119,Veda!$C$5,ngfs_median!$H$2:$H$17119,Veda!$Q18,ngfs_median!$I$2:$I$17119,Veda!H$15)</f>
        <v>0.71524999999999994</v>
      </c>
      <c r="I18" s="10">
        <f>SUMIFS(ngfs_median!$J$2:$J$17119,ngfs_median!$B$2:$B$17119,Veda!$C$5,ngfs_median!$H$2:$H$17119,Veda!$Q18,ngfs_median!$I$2:$I$17119,Veda!I$15)</f>
        <v>0.74770000000000003</v>
      </c>
      <c r="J18" s="10">
        <f>SUMIFS(ngfs_median!$J$2:$J$17119,ngfs_median!$B$2:$B$17119,Veda!$C$5,ngfs_median!$H$2:$H$17119,Veda!$Q18,ngfs_median!$I$2:$I$17119,Veda!J$15)</f>
        <v>0.75480000000000003</v>
      </c>
      <c r="K18" s="10">
        <f>SUMIFS(ngfs_median!$J$2:$J$17119,ngfs_median!$B$2:$B$17119,Veda!$C$5,ngfs_median!$H$2:$H$17119,Veda!$Q18,ngfs_median!$I$2:$I$17119,Veda!K$15)</f>
        <v>0.73439999999999994</v>
      </c>
      <c r="L18" s="10">
        <f>SUMIFS(ngfs_median!$J$2:$J$17119,ngfs_median!$B$2:$B$17119,Veda!$C$5,ngfs_median!$H$2:$H$17119,Veda!$Q18,ngfs_median!$I$2:$I$17119,Veda!L$15)</f>
        <v>0.71675</v>
      </c>
      <c r="M18" s="10">
        <f>SUMIFS(ngfs_median!$J$2:$J$17119,ngfs_median!$B$2:$B$17119,Veda!$C$5,ngfs_median!$H$2:$H$17119,Veda!$Q18,ngfs_median!$I$2:$I$17119,Veda!M$15)</f>
        <v>0.72425000000000006</v>
      </c>
      <c r="Q18" s="12" t="s">
        <v>12</v>
      </c>
      <c r="R18" s="6">
        <f>$Q$10*G18/SUM($G$17:$G$19)</f>
        <v>234.15655869180293</v>
      </c>
      <c r="S18" s="6">
        <f t="shared" ref="S18:X19" si="4">R18*H18/G18</f>
        <v>254.68442610144774</v>
      </c>
      <c r="T18" s="6">
        <f t="shared" si="4"/>
        <v>266.23914071450895</v>
      </c>
      <c r="U18" s="6">
        <f t="shared" si="4"/>
        <v>268.76729090719721</v>
      </c>
      <c r="V18" s="6">
        <f t="shared" si="4"/>
        <v>261.50331007186753</v>
      </c>
      <c r="W18" s="6">
        <f t="shared" si="4"/>
        <v>255.21854233933968</v>
      </c>
      <c r="X18" s="6">
        <f t="shared" si="4"/>
        <v>257.88912352879913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0.2787</v>
      </c>
      <c r="H19" s="10">
        <f>SUMIFS(ngfs_median!$J$2:$J$17119,ngfs_median!$B$2:$B$17119,Veda!$C$5,ngfs_median!$H$2:$H$17119,Veda!$Q19,ngfs_median!$I$2:$I$17119,Veda!H$15)</f>
        <v>0.29649999999999999</v>
      </c>
      <c r="I19" s="10">
        <f>SUMIFS(ngfs_median!$J$2:$J$17119,ngfs_median!$B$2:$B$17119,Veda!$C$5,ngfs_median!$H$2:$H$17119,Veda!$Q19,ngfs_median!$I$2:$I$17119,Veda!I$15)</f>
        <v>0.3</v>
      </c>
      <c r="J19" s="10">
        <f>SUMIFS(ngfs_median!$J$2:$J$17119,ngfs_median!$B$2:$B$17119,Veda!$C$5,ngfs_median!$H$2:$H$17119,Veda!$Q19,ngfs_median!$I$2:$I$17119,Veda!J$15)</f>
        <v>0.30000000000000004</v>
      </c>
      <c r="K19" s="10">
        <f>SUMIFS(ngfs_median!$J$2:$J$17119,ngfs_median!$B$2:$B$17119,Veda!$C$5,ngfs_median!$H$2:$H$17119,Veda!$Q19,ngfs_median!$I$2:$I$17119,Veda!K$15)</f>
        <v>0.30085000000000001</v>
      </c>
      <c r="L19" s="10">
        <f>SUMIFS(ngfs_median!$J$2:$J$17119,ngfs_median!$B$2:$B$17119,Veda!$C$5,ngfs_median!$H$2:$H$17119,Veda!$Q19,ngfs_median!$I$2:$I$17119,Veda!L$15)</f>
        <v>0.30584999999999996</v>
      </c>
      <c r="M19" s="10">
        <f>SUMIFS(ngfs_median!$J$2:$J$17119,ngfs_median!$B$2:$B$17119,Veda!$C$5,ngfs_median!$H$2:$H$17119,Veda!$Q19,ngfs_median!$I$2:$I$17119,Veda!M$15)</f>
        <v>0.31645000000000001</v>
      </c>
      <c r="Q19" s="12" t="s">
        <v>13</v>
      </c>
      <c r="R19" s="6">
        <f>$Q$10*G19/SUM($G$17:$G$19)</f>
        <v>99.238797000312474</v>
      </c>
      <c r="S19" s="6">
        <f t="shared" si="4"/>
        <v>105.57697635662953</v>
      </c>
      <c r="T19" s="6">
        <f t="shared" si="4"/>
        <v>106.82324757837726</v>
      </c>
      <c r="U19" s="6">
        <f t="shared" si="4"/>
        <v>106.82324757837729</v>
      </c>
      <c r="V19" s="6">
        <f t="shared" si="4"/>
        <v>107.12591344651601</v>
      </c>
      <c r="W19" s="6">
        <f t="shared" si="4"/>
        <v>108.90630090615562</v>
      </c>
      <c r="X19" s="6">
        <f t="shared" si="4"/>
        <v>112.68072232059164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8.6704869284449551</v>
      </c>
      <c r="T20" s="6">
        <f t="shared" si="5"/>
        <v>20.207397666909699</v>
      </c>
      <c r="U20" s="6">
        <f t="shared" si="5"/>
        <v>30.640468180397882</v>
      </c>
      <c r="V20" s="6">
        <f t="shared" si="5"/>
        <v>37.672998645974374</v>
      </c>
      <c r="W20" s="6">
        <f t="shared" si="5"/>
        <v>39.987502343505888</v>
      </c>
      <c r="X20" s="6">
        <f t="shared" si="5"/>
        <v>41.44742006041038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51.66</v>
      </c>
      <c r="D22" s="12" t="s">
        <v>79</v>
      </c>
      <c r="G22" s="8">
        <f>G35/$G$35*$B22</f>
        <v>51.66</v>
      </c>
      <c r="H22" s="8">
        <f t="shared" ref="H22:M22" si="6">H35/$G$35*$B22</f>
        <v>51.607255748201112</v>
      </c>
      <c r="I22" s="8">
        <f t="shared" si="6"/>
        <v>33.191976977276461</v>
      </c>
      <c r="J22" s="8">
        <f t="shared" si="6"/>
        <v>40.598970110850146</v>
      </c>
      <c r="K22" s="8">
        <f t="shared" si="6"/>
        <v>49.544627058805929</v>
      </c>
      <c r="L22" s="8">
        <f t="shared" si="6"/>
        <v>66.360962870435472</v>
      </c>
      <c r="M22" s="8">
        <f t="shared" si="6"/>
        <v>62.568206800604358</v>
      </c>
      <c r="Q22" t="s">
        <v>64</v>
      </c>
      <c r="T22" s="8">
        <f>I35*1000</f>
        <v>17179.900000000001</v>
      </c>
      <c r="U22" s="8">
        <f>J35*1000</f>
        <v>21013.7</v>
      </c>
      <c r="V22" s="8">
        <f>K35*1000</f>
        <v>25643.9</v>
      </c>
      <c r="W22" s="8">
        <f>L35*1000</f>
        <v>34347.9</v>
      </c>
      <c r="X22" s="8">
        <f>M35*1000</f>
        <v>32384.799999999999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8</v>
      </c>
      <c r="S26" s="3">
        <f>AVERAGEIFS(historical_data_long!$D$3:$D$9999,historical_data_long!$B$3:$B$9999,"&gt;2017",historical_data_long!$A$3:$A$9999,$O26)</f>
        <v>16.216666666666665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27.8</v>
      </c>
      <c r="S27" s="3">
        <f>AVERAGEIFS(historical_data_long!$D$3:$D$9999,historical_data_long!$B$3:$B$9999,"&gt;2017",historical_data_long!$A$3:$A$9999,$O27)</f>
        <v>18.183333333333334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26.738800000000001</v>
      </c>
      <c r="H35" s="11">
        <f>SUMIFS(ngfs_median!$J$2:$J$17119,ngfs_median!$B$2:$B$17119,Veda!$C$5,ngfs_median!$D$2:$D$17119,Veda!$D22,ngfs_median!$I$2:$I$17119,Veda!H$15)</f>
        <v>26.711500000000001</v>
      </c>
      <c r="I35" s="11">
        <f>SUMIFS(ngfs_median!$J$2:$J$17119,ngfs_median!$B$2:$B$17119,Veda!$C$5,ngfs_median!$D$2:$D$17119,Veda!$D22,ngfs_median!$I$2:$I$17119,Veda!I$15)</f>
        <v>17.1799</v>
      </c>
      <c r="J35" s="11">
        <f>SUMIFS(ngfs_median!$J$2:$J$17119,ngfs_median!$B$2:$B$17119,Veda!$C$5,ngfs_median!$D$2:$D$17119,Veda!$D22,ngfs_median!$I$2:$I$17119,Veda!J$15)</f>
        <v>21.0137</v>
      </c>
      <c r="K35" s="11">
        <f>SUMIFS(ngfs_median!$J$2:$J$17119,ngfs_median!$B$2:$B$17119,Veda!$C$5,ngfs_median!$D$2:$D$17119,Veda!$D22,ngfs_median!$I$2:$I$17119,Veda!K$15)</f>
        <v>25.643900000000002</v>
      </c>
      <c r="L35" s="11">
        <f>SUMIFS(ngfs_median!$J$2:$J$17119,ngfs_median!$B$2:$B$17119,Veda!$C$5,ngfs_median!$D$2:$D$17119,Veda!$D22,ngfs_median!$I$2:$I$17119,Veda!L$15)</f>
        <v>34.347900000000003</v>
      </c>
      <c r="M35" s="11">
        <f>SUMIFS(ngfs_median!$J$2:$J$17119,ngfs_median!$B$2:$B$17119,Veda!$C$5,ngfs_median!$D$2:$D$17119,Veda!$D22,ngfs_median!$I$2:$I$17119,Veda!M$15)</f>
        <v>32.384799999999998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6.68</v>
      </c>
      <c r="T41">
        <v>10.1</v>
      </c>
      <c r="U41">
        <v>12.25</v>
      </c>
      <c r="V41" t="s">
        <v>94</v>
      </c>
    </row>
    <row r="42" spans="7:22" x14ac:dyDescent="0.45">
      <c r="Q42" t="s">
        <v>39</v>
      </c>
      <c r="R42" t="s">
        <v>93</v>
      </c>
      <c r="S42">
        <v>0</v>
      </c>
      <c r="T42">
        <v>0</v>
      </c>
      <c r="U42">
        <v>0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1.49</v>
      </c>
    </row>
    <row r="3" spans="1:4" x14ac:dyDescent="0.45">
      <c r="A3" t="s">
        <v>34</v>
      </c>
      <c r="B3">
        <v>2000</v>
      </c>
      <c r="C3" t="s">
        <v>74</v>
      </c>
      <c r="D3">
        <v>79.09</v>
      </c>
    </row>
    <row r="4" spans="1:4" x14ac:dyDescent="0.45">
      <c r="A4" t="s">
        <v>36</v>
      </c>
      <c r="B4">
        <v>2000</v>
      </c>
      <c r="C4" t="s">
        <v>74</v>
      </c>
      <c r="D4">
        <v>20.18</v>
      </c>
    </row>
    <row r="5" spans="1:4" x14ac:dyDescent="0.45">
      <c r="A5" t="s">
        <v>56</v>
      </c>
      <c r="B5">
        <v>2000</v>
      </c>
      <c r="C5" t="s">
        <v>74</v>
      </c>
      <c r="D5">
        <v>28.26</v>
      </c>
    </row>
    <row r="6" spans="1:4" x14ac:dyDescent="0.45">
      <c r="A6" t="s">
        <v>57</v>
      </c>
      <c r="B6">
        <v>2000</v>
      </c>
      <c r="C6" t="s">
        <v>74</v>
      </c>
      <c r="D6">
        <v>62.21</v>
      </c>
    </row>
    <row r="7" spans="1:4" x14ac:dyDescent="0.45">
      <c r="A7" t="s">
        <v>38</v>
      </c>
      <c r="B7">
        <v>2000</v>
      </c>
      <c r="C7" t="s">
        <v>74</v>
      </c>
      <c r="D7">
        <v>24.95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0.01</v>
      </c>
    </row>
    <row r="10" spans="1:4" x14ac:dyDescent="0.45">
      <c r="A10" t="s">
        <v>91</v>
      </c>
      <c r="B10">
        <v>2000</v>
      </c>
      <c r="C10" t="s">
        <v>74</v>
      </c>
      <c r="D10">
        <v>4.7300000000000004</v>
      </c>
    </row>
    <row r="11" spans="1:4" x14ac:dyDescent="0.45">
      <c r="A11" t="s">
        <v>32</v>
      </c>
      <c r="B11">
        <v>2001</v>
      </c>
      <c r="C11" t="s">
        <v>74</v>
      </c>
      <c r="D11">
        <v>1.63</v>
      </c>
    </row>
    <row r="12" spans="1:4" x14ac:dyDescent="0.45">
      <c r="A12" t="s">
        <v>34</v>
      </c>
      <c r="B12">
        <v>2001</v>
      </c>
      <c r="C12" t="s">
        <v>74</v>
      </c>
      <c r="D12">
        <v>70.27</v>
      </c>
    </row>
    <row r="13" spans="1:4" x14ac:dyDescent="0.45">
      <c r="A13" t="s">
        <v>36</v>
      </c>
      <c r="B13">
        <v>2001</v>
      </c>
      <c r="C13" t="s">
        <v>74</v>
      </c>
      <c r="D13">
        <v>23.36</v>
      </c>
    </row>
    <row r="14" spans="1:4" x14ac:dyDescent="0.45">
      <c r="A14" t="s">
        <v>56</v>
      </c>
      <c r="B14">
        <v>2001</v>
      </c>
      <c r="C14" t="s">
        <v>74</v>
      </c>
      <c r="D14">
        <v>40.89</v>
      </c>
    </row>
    <row r="15" spans="1:4" x14ac:dyDescent="0.45">
      <c r="A15" t="s">
        <v>57</v>
      </c>
      <c r="B15">
        <v>2001</v>
      </c>
      <c r="C15" t="s">
        <v>74</v>
      </c>
      <c r="D15">
        <v>63.71</v>
      </c>
    </row>
    <row r="16" spans="1:4" x14ac:dyDescent="0.45">
      <c r="A16" t="s">
        <v>38</v>
      </c>
      <c r="B16">
        <v>2001</v>
      </c>
      <c r="C16" t="s">
        <v>74</v>
      </c>
      <c r="D16">
        <v>26.43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0.02</v>
      </c>
    </row>
    <row r="19" spans="1:4" x14ac:dyDescent="0.45">
      <c r="A19" t="s">
        <v>91</v>
      </c>
      <c r="B19">
        <v>2001</v>
      </c>
      <c r="C19" t="s">
        <v>74</v>
      </c>
      <c r="D19">
        <v>6.76</v>
      </c>
    </row>
    <row r="20" spans="1:4" x14ac:dyDescent="0.45">
      <c r="A20" t="s">
        <v>32</v>
      </c>
      <c r="B20">
        <v>2002</v>
      </c>
      <c r="C20" t="s">
        <v>74</v>
      </c>
      <c r="D20">
        <v>2.59</v>
      </c>
    </row>
    <row r="21" spans="1:4" x14ac:dyDescent="0.45">
      <c r="A21" t="s">
        <v>34</v>
      </c>
      <c r="B21">
        <v>2002</v>
      </c>
      <c r="C21" t="s">
        <v>74</v>
      </c>
      <c r="D21">
        <v>81.180000000000007</v>
      </c>
    </row>
    <row r="22" spans="1:4" x14ac:dyDescent="0.45">
      <c r="A22" t="s">
        <v>36</v>
      </c>
      <c r="B22">
        <v>2002</v>
      </c>
      <c r="C22" t="s">
        <v>74</v>
      </c>
      <c r="D22">
        <v>32.39</v>
      </c>
    </row>
    <row r="23" spans="1:4" x14ac:dyDescent="0.45">
      <c r="A23" t="s">
        <v>56</v>
      </c>
      <c r="B23">
        <v>2002</v>
      </c>
      <c r="C23" t="s">
        <v>74</v>
      </c>
      <c r="D23">
        <v>21.22</v>
      </c>
    </row>
    <row r="24" spans="1:4" x14ac:dyDescent="0.45">
      <c r="A24" t="s">
        <v>57</v>
      </c>
      <c r="B24">
        <v>2002</v>
      </c>
      <c r="C24" t="s">
        <v>74</v>
      </c>
      <c r="D24">
        <v>63.02</v>
      </c>
    </row>
    <row r="25" spans="1:4" x14ac:dyDescent="0.45">
      <c r="A25" t="s">
        <v>38</v>
      </c>
      <c r="B25">
        <v>2002</v>
      </c>
      <c r="C25" t="s">
        <v>74</v>
      </c>
      <c r="D25">
        <v>30.15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0.02</v>
      </c>
    </row>
    <row r="28" spans="1:4" x14ac:dyDescent="0.45">
      <c r="A28" t="s">
        <v>91</v>
      </c>
      <c r="B28">
        <v>2002</v>
      </c>
      <c r="C28" t="s">
        <v>74</v>
      </c>
      <c r="D28">
        <v>9.34</v>
      </c>
    </row>
    <row r="29" spans="1:4" x14ac:dyDescent="0.45">
      <c r="A29" t="s">
        <v>32</v>
      </c>
      <c r="B29">
        <v>2003</v>
      </c>
      <c r="C29" t="s">
        <v>74</v>
      </c>
      <c r="D29">
        <v>3.18</v>
      </c>
    </row>
    <row r="30" spans="1:4" x14ac:dyDescent="0.45">
      <c r="A30" t="s">
        <v>34</v>
      </c>
      <c r="B30">
        <v>2003</v>
      </c>
      <c r="C30" t="s">
        <v>74</v>
      </c>
      <c r="D30">
        <v>74.73</v>
      </c>
    </row>
    <row r="31" spans="1:4" x14ac:dyDescent="0.45">
      <c r="A31" t="s">
        <v>36</v>
      </c>
      <c r="B31">
        <v>2003</v>
      </c>
      <c r="C31" t="s">
        <v>74</v>
      </c>
      <c r="D31">
        <v>39.369999999999997</v>
      </c>
    </row>
    <row r="32" spans="1:4" x14ac:dyDescent="0.45">
      <c r="A32" t="s">
        <v>56</v>
      </c>
      <c r="B32">
        <v>2003</v>
      </c>
      <c r="C32" t="s">
        <v>74</v>
      </c>
      <c r="D32">
        <v>40.479999999999997</v>
      </c>
    </row>
    <row r="33" spans="1:4" x14ac:dyDescent="0.45">
      <c r="A33" t="s">
        <v>57</v>
      </c>
      <c r="B33">
        <v>2003</v>
      </c>
      <c r="C33" t="s">
        <v>74</v>
      </c>
      <c r="D33">
        <v>61.88</v>
      </c>
    </row>
    <row r="34" spans="1:4" x14ac:dyDescent="0.45">
      <c r="A34" t="s">
        <v>38</v>
      </c>
      <c r="B34">
        <v>2003</v>
      </c>
      <c r="C34" t="s">
        <v>74</v>
      </c>
      <c r="D34">
        <v>25.57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0.02</v>
      </c>
    </row>
    <row r="37" spans="1:4" x14ac:dyDescent="0.45">
      <c r="A37" t="s">
        <v>91</v>
      </c>
      <c r="B37">
        <v>2003</v>
      </c>
      <c r="C37" t="s">
        <v>74</v>
      </c>
      <c r="D37">
        <v>12.07</v>
      </c>
    </row>
    <row r="38" spans="1:4" x14ac:dyDescent="0.45">
      <c r="A38" t="s">
        <v>32</v>
      </c>
      <c r="B38">
        <v>2004</v>
      </c>
      <c r="C38" t="s">
        <v>74</v>
      </c>
      <c r="D38">
        <v>3.33</v>
      </c>
    </row>
    <row r="39" spans="1:4" x14ac:dyDescent="0.45">
      <c r="A39" t="s">
        <v>34</v>
      </c>
      <c r="B39">
        <v>2004</v>
      </c>
      <c r="C39" t="s">
        <v>74</v>
      </c>
      <c r="D39">
        <v>79.099999999999994</v>
      </c>
    </row>
    <row r="40" spans="1:4" x14ac:dyDescent="0.45">
      <c r="A40" t="s">
        <v>36</v>
      </c>
      <c r="B40">
        <v>2004</v>
      </c>
      <c r="C40" t="s">
        <v>74</v>
      </c>
      <c r="D40">
        <v>55.46</v>
      </c>
    </row>
    <row r="41" spans="1:4" x14ac:dyDescent="0.45">
      <c r="A41" t="s">
        <v>56</v>
      </c>
      <c r="B41">
        <v>2004</v>
      </c>
      <c r="C41" t="s">
        <v>74</v>
      </c>
      <c r="D41">
        <v>31.08</v>
      </c>
    </row>
    <row r="42" spans="1:4" x14ac:dyDescent="0.45">
      <c r="A42" t="s">
        <v>57</v>
      </c>
      <c r="B42">
        <v>2004</v>
      </c>
      <c r="C42" t="s">
        <v>74</v>
      </c>
      <c r="D42">
        <v>63.61</v>
      </c>
    </row>
    <row r="43" spans="1:4" x14ac:dyDescent="0.45">
      <c r="A43" t="s">
        <v>38</v>
      </c>
      <c r="B43">
        <v>2004</v>
      </c>
      <c r="C43" t="s">
        <v>74</v>
      </c>
      <c r="D43">
        <v>28.31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0.02</v>
      </c>
    </row>
    <row r="46" spans="1:4" x14ac:dyDescent="0.45">
      <c r="A46" t="s">
        <v>91</v>
      </c>
      <c r="B46">
        <v>2004</v>
      </c>
      <c r="C46" t="s">
        <v>74</v>
      </c>
      <c r="D46">
        <v>15.7</v>
      </c>
    </row>
    <row r="47" spans="1:4" x14ac:dyDescent="0.45">
      <c r="A47" t="s">
        <v>32</v>
      </c>
      <c r="B47">
        <v>2005</v>
      </c>
      <c r="C47" t="s">
        <v>74</v>
      </c>
      <c r="D47">
        <v>2.65</v>
      </c>
    </row>
    <row r="48" spans="1:4" x14ac:dyDescent="0.45">
      <c r="A48" t="s">
        <v>34</v>
      </c>
      <c r="B48">
        <v>2005</v>
      </c>
      <c r="C48" t="s">
        <v>74</v>
      </c>
      <c r="D48">
        <v>79.06</v>
      </c>
    </row>
    <row r="49" spans="1:4" x14ac:dyDescent="0.45">
      <c r="A49" t="s">
        <v>36</v>
      </c>
      <c r="B49">
        <v>2005</v>
      </c>
      <c r="C49" t="s">
        <v>74</v>
      </c>
      <c r="D49">
        <v>79.010000000000005</v>
      </c>
    </row>
    <row r="50" spans="1:4" x14ac:dyDescent="0.45">
      <c r="A50" t="s">
        <v>56</v>
      </c>
      <c r="B50">
        <v>2005</v>
      </c>
      <c r="C50" t="s">
        <v>74</v>
      </c>
      <c r="D50">
        <v>18.39</v>
      </c>
    </row>
    <row r="51" spans="1:4" x14ac:dyDescent="0.45">
      <c r="A51" t="s">
        <v>57</v>
      </c>
      <c r="B51">
        <v>2005</v>
      </c>
      <c r="C51" t="s">
        <v>74</v>
      </c>
      <c r="D51">
        <v>57.54</v>
      </c>
    </row>
    <row r="52" spans="1:4" x14ac:dyDescent="0.45">
      <c r="A52" t="s">
        <v>38</v>
      </c>
      <c r="B52">
        <v>2005</v>
      </c>
      <c r="C52" t="s">
        <v>74</v>
      </c>
      <c r="D52">
        <v>31.58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0.05</v>
      </c>
    </row>
    <row r="55" spans="1:4" x14ac:dyDescent="0.45">
      <c r="A55" t="s">
        <v>91</v>
      </c>
      <c r="B55">
        <v>2005</v>
      </c>
      <c r="C55" t="s">
        <v>74</v>
      </c>
      <c r="D55">
        <v>21.18</v>
      </c>
    </row>
    <row r="56" spans="1:4" x14ac:dyDescent="0.45">
      <c r="A56" t="s">
        <v>32</v>
      </c>
      <c r="B56">
        <v>2006</v>
      </c>
      <c r="C56" t="s">
        <v>74</v>
      </c>
      <c r="D56">
        <v>2.77</v>
      </c>
    </row>
    <row r="57" spans="1:4" x14ac:dyDescent="0.45">
      <c r="A57" t="s">
        <v>34</v>
      </c>
      <c r="B57">
        <v>2006</v>
      </c>
      <c r="C57" t="s">
        <v>74</v>
      </c>
      <c r="D57">
        <v>66.739999999999995</v>
      </c>
    </row>
    <row r="58" spans="1:4" x14ac:dyDescent="0.45">
      <c r="A58" t="s">
        <v>36</v>
      </c>
      <c r="B58">
        <v>2006</v>
      </c>
      <c r="C58" t="s">
        <v>74</v>
      </c>
      <c r="D58">
        <v>90.57</v>
      </c>
    </row>
    <row r="59" spans="1:4" x14ac:dyDescent="0.45">
      <c r="A59" t="s">
        <v>56</v>
      </c>
      <c r="B59">
        <v>2006</v>
      </c>
      <c r="C59" t="s">
        <v>74</v>
      </c>
      <c r="D59">
        <v>25.96</v>
      </c>
    </row>
    <row r="60" spans="1:4" x14ac:dyDescent="0.45">
      <c r="A60" t="s">
        <v>57</v>
      </c>
      <c r="B60">
        <v>2006</v>
      </c>
      <c r="C60" t="s">
        <v>74</v>
      </c>
      <c r="D60">
        <v>60.13</v>
      </c>
    </row>
    <row r="61" spans="1:4" x14ac:dyDescent="0.45">
      <c r="A61" t="s">
        <v>38</v>
      </c>
      <c r="B61">
        <v>2006</v>
      </c>
      <c r="C61" t="s">
        <v>74</v>
      </c>
      <c r="D61">
        <v>26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0.12</v>
      </c>
    </row>
    <row r="64" spans="1:4" x14ac:dyDescent="0.45">
      <c r="A64" t="s">
        <v>91</v>
      </c>
      <c r="B64">
        <v>2006</v>
      </c>
      <c r="C64" t="s">
        <v>74</v>
      </c>
      <c r="D64">
        <v>23.3</v>
      </c>
    </row>
    <row r="65" spans="1:4" x14ac:dyDescent="0.45">
      <c r="A65" t="s">
        <v>32</v>
      </c>
      <c r="B65">
        <v>2007</v>
      </c>
      <c r="C65" t="s">
        <v>74</v>
      </c>
      <c r="D65">
        <v>2.9</v>
      </c>
    </row>
    <row r="66" spans="1:4" x14ac:dyDescent="0.45">
      <c r="A66" t="s">
        <v>34</v>
      </c>
      <c r="B66">
        <v>2007</v>
      </c>
      <c r="C66" t="s">
        <v>74</v>
      </c>
      <c r="D66">
        <v>72.8</v>
      </c>
    </row>
    <row r="67" spans="1:4" x14ac:dyDescent="0.45">
      <c r="A67" t="s">
        <v>36</v>
      </c>
      <c r="B67">
        <v>2007</v>
      </c>
      <c r="C67" t="s">
        <v>74</v>
      </c>
      <c r="D67">
        <v>94.8</v>
      </c>
    </row>
    <row r="68" spans="1:4" x14ac:dyDescent="0.45">
      <c r="A68" t="s">
        <v>56</v>
      </c>
      <c r="B68">
        <v>2007</v>
      </c>
      <c r="C68" t="s">
        <v>74</v>
      </c>
      <c r="D68">
        <v>27.31</v>
      </c>
    </row>
    <row r="69" spans="1:4" x14ac:dyDescent="0.45">
      <c r="A69" t="s">
        <v>57</v>
      </c>
      <c r="B69">
        <v>2007</v>
      </c>
      <c r="C69" t="s">
        <v>74</v>
      </c>
      <c r="D69">
        <v>55.1</v>
      </c>
    </row>
    <row r="70" spans="1:4" x14ac:dyDescent="0.45">
      <c r="A70" t="s">
        <v>38</v>
      </c>
      <c r="B70">
        <v>2007</v>
      </c>
      <c r="C70" t="s">
        <v>74</v>
      </c>
      <c r="D70">
        <v>20.86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0.52</v>
      </c>
    </row>
    <row r="73" spans="1:4" x14ac:dyDescent="0.45">
      <c r="A73" t="s">
        <v>91</v>
      </c>
      <c r="B73">
        <v>2007</v>
      </c>
      <c r="C73" t="s">
        <v>74</v>
      </c>
      <c r="D73">
        <v>27.57</v>
      </c>
    </row>
    <row r="74" spans="1:4" x14ac:dyDescent="0.45">
      <c r="A74" t="s">
        <v>32</v>
      </c>
      <c r="B74">
        <v>2008</v>
      </c>
      <c r="C74" t="s">
        <v>74</v>
      </c>
      <c r="D74">
        <v>3.26</v>
      </c>
    </row>
    <row r="75" spans="1:4" x14ac:dyDescent="0.45">
      <c r="A75" t="s">
        <v>34</v>
      </c>
      <c r="B75">
        <v>2008</v>
      </c>
      <c r="C75" t="s">
        <v>74</v>
      </c>
      <c r="D75">
        <v>48.71</v>
      </c>
    </row>
    <row r="76" spans="1:4" x14ac:dyDescent="0.45">
      <c r="A76" t="s">
        <v>36</v>
      </c>
      <c r="B76">
        <v>2008</v>
      </c>
      <c r="C76" t="s">
        <v>74</v>
      </c>
      <c r="D76">
        <v>120.8</v>
      </c>
    </row>
    <row r="77" spans="1:4" x14ac:dyDescent="0.45">
      <c r="A77" t="s">
        <v>56</v>
      </c>
      <c r="B77">
        <v>2008</v>
      </c>
      <c r="C77" t="s">
        <v>74</v>
      </c>
      <c r="D77">
        <v>23.36</v>
      </c>
    </row>
    <row r="78" spans="1:4" x14ac:dyDescent="0.45">
      <c r="A78" t="s">
        <v>57</v>
      </c>
      <c r="B78">
        <v>2008</v>
      </c>
      <c r="C78" t="s">
        <v>74</v>
      </c>
      <c r="D78">
        <v>58.97</v>
      </c>
    </row>
    <row r="79" spans="1:4" x14ac:dyDescent="0.45">
      <c r="A79" t="s">
        <v>38</v>
      </c>
      <c r="B79">
        <v>2008</v>
      </c>
      <c r="C79" t="s">
        <v>74</v>
      </c>
      <c r="D79">
        <v>19.16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2.58</v>
      </c>
    </row>
    <row r="82" spans="1:4" x14ac:dyDescent="0.45">
      <c r="A82" t="s">
        <v>91</v>
      </c>
      <c r="B82">
        <v>2008</v>
      </c>
      <c r="C82" t="s">
        <v>74</v>
      </c>
      <c r="D82">
        <v>32.950000000000003</v>
      </c>
    </row>
    <row r="83" spans="1:4" x14ac:dyDescent="0.45">
      <c r="A83" t="s">
        <v>32</v>
      </c>
      <c r="B83">
        <v>2009</v>
      </c>
      <c r="C83" t="s">
        <v>74</v>
      </c>
      <c r="D83">
        <v>3.49</v>
      </c>
    </row>
    <row r="84" spans="1:4" x14ac:dyDescent="0.45">
      <c r="A84" t="s">
        <v>34</v>
      </c>
      <c r="B84">
        <v>2009</v>
      </c>
      <c r="C84" t="s">
        <v>74</v>
      </c>
      <c r="D84">
        <v>35.909999999999997</v>
      </c>
    </row>
    <row r="85" spans="1:4" x14ac:dyDescent="0.45">
      <c r="A85" t="s">
        <v>36</v>
      </c>
      <c r="B85">
        <v>2009</v>
      </c>
      <c r="C85" t="s">
        <v>74</v>
      </c>
      <c r="D85">
        <v>107.75</v>
      </c>
    </row>
    <row r="86" spans="1:4" x14ac:dyDescent="0.45">
      <c r="A86" t="s">
        <v>56</v>
      </c>
      <c r="B86">
        <v>2009</v>
      </c>
      <c r="C86" t="s">
        <v>74</v>
      </c>
      <c r="D86">
        <v>26.41</v>
      </c>
    </row>
    <row r="87" spans="1:4" x14ac:dyDescent="0.45">
      <c r="A87" t="s">
        <v>57</v>
      </c>
      <c r="B87">
        <v>2009</v>
      </c>
      <c r="C87" t="s">
        <v>74</v>
      </c>
      <c r="D87">
        <v>52.76</v>
      </c>
    </row>
    <row r="88" spans="1:4" x14ac:dyDescent="0.45">
      <c r="A88" t="s">
        <v>38</v>
      </c>
      <c r="B88">
        <v>2009</v>
      </c>
      <c r="C88" t="s">
        <v>74</v>
      </c>
      <c r="D88">
        <v>20.22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6.06</v>
      </c>
    </row>
    <row r="91" spans="1:4" x14ac:dyDescent="0.45">
      <c r="A91" t="s">
        <v>91</v>
      </c>
      <c r="B91">
        <v>2009</v>
      </c>
      <c r="C91" t="s">
        <v>74</v>
      </c>
      <c r="D91">
        <v>38.119999999999997</v>
      </c>
    </row>
    <row r="92" spans="1:4" x14ac:dyDescent="0.45">
      <c r="A92" t="s">
        <v>32</v>
      </c>
      <c r="B92">
        <v>2010</v>
      </c>
      <c r="C92" t="s">
        <v>74</v>
      </c>
      <c r="D92">
        <v>4.01</v>
      </c>
    </row>
    <row r="93" spans="1:4" x14ac:dyDescent="0.45">
      <c r="A93" t="s">
        <v>34</v>
      </c>
      <c r="B93">
        <v>2010</v>
      </c>
      <c r="C93" t="s">
        <v>74</v>
      </c>
      <c r="D93">
        <v>25.33</v>
      </c>
    </row>
    <row r="94" spans="1:4" x14ac:dyDescent="0.45">
      <c r="A94" t="s">
        <v>36</v>
      </c>
      <c r="B94">
        <v>2010</v>
      </c>
      <c r="C94" t="s">
        <v>74</v>
      </c>
      <c r="D94">
        <v>94.85</v>
      </c>
    </row>
    <row r="95" spans="1:4" x14ac:dyDescent="0.45">
      <c r="A95" t="s">
        <v>56</v>
      </c>
      <c r="B95">
        <v>2010</v>
      </c>
      <c r="C95" t="s">
        <v>74</v>
      </c>
      <c r="D95">
        <v>42.3</v>
      </c>
    </row>
    <row r="96" spans="1:4" x14ac:dyDescent="0.45">
      <c r="A96" t="s">
        <v>57</v>
      </c>
      <c r="B96">
        <v>2010</v>
      </c>
      <c r="C96" t="s">
        <v>74</v>
      </c>
      <c r="D96">
        <v>61.99</v>
      </c>
    </row>
    <row r="97" spans="1:4" x14ac:dyDescent="0.45">
      <c r="A97" t="s">
        <v>38</v>
      </c>
      <c r="B97">
        <v>2010</v>
      </c>
      <c r="C97" t="s">
        <v>74</v>
      </c>
      <c r="D97">
        <v>17.86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7.19</v>
      </c>
    </row>
    <row r="100" spans="1:4" x14ac:dyDescent="0.45">
      <c r="A100" t="s">
        <v>91</v>
      </c>
      <c r="B100">
        <v>2010</v>
      </c>
      <c r="C100" t="s">
        <v>74</v>
      </c>
      <c r="D100">
        <v>44.27</v>
      </c>
    </row>
    <row r="101" spans="1:4" x14ac:dyDescent="0.45">
      <c r="A101" t="s">
        <v>32</v>
      </c>
      <c r="B101">
        <v>2011</v>
      </c>
      <c r="C101" t="s">
        <v>74</v>
      </c>
      <c r="D101">
        <v>4.6100000000000003</v>
      </c>
    </row>
    <row r="102" spans="1:4" x14ac:dyDescent="0.45">
      <c r="A102" t="s">
        <v>34</v>
      </c>
      <c r="B102">
        <v>2011</v>
      </c>
      <c r="C102" t="s">
        <v>74</v>
      </c>
      <c r="D102">
        <v>43.98</v>
      </c>
    </row>
    <row r="103" spans="1:4" x14ac:dyDescent="0.45">
      <c r="A103" t="s">
        <v>36</v>
      </c>
      <c r="B103">
        <v>2011</v>
      </c>
      <c r="C103" t="s">
        <v>74</v>
      </c>
      <c r="D103">
        <v>85.51</v>
      </c>
    </row>
    <row r="104" spans="1:4" x14ac:dyDescent="0.45">
      <c r="A104" t="s">
        <v>56</v>
      </c>
      <c r="B104">
        <v>2011</v>
      </c>
      <c r="C104" t="s">
        <v>74</v>
      </c>
      <c r="D104">
        <v>30.6</v>
      </c>
    </row>
    <row r="105" spans="1:4" x14ac:dyDescent="0.45">
      <c r="A105" t="s">
        <v>57</v>
      </c>
      <c r="B105">
        <v>2011</v>
      </c>
      <c r="C105" t="s">
        <v>74</v>
      </c>
      <c r="D105">
        <v>57.72</v>
      </c>
    </row>
    <row r="106" spans="1:4" x14ac:dyDescent="0.45">
      <c r="A106" t="s">
        <v>38</v>
      </c>
      <c r="B106">
        <v>2011</v>
      </c>
      <c r="C106" t="s">
        <v>74</v>
      </c>
      <c r="D106">
        <v>16.8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9.4</v>
      </c>
    </row>
    <row r="109" spans="1:4" x14ac:dyDescent="0.45">
      <c r="A109" t="s">
        <v>91</v>
      </c>
      <c r="B109">
        <v>2011</v>
      </c>
      <c r="C109" t="s">
        <v>74</v>
      </c>
      <c r="D109">
        <v>42.92</v>
      </c>
    </row>
    <row r="110" spans="1:4" x14ac:dyDescent="0.45">
      <c r="A110" t="s">
        <v>32</v>
      </c>
      <c r="B110">
        <v>2012</v>
      </c>
      <c r="C110" t="s">
        <v>74</v>
      </c>
      <c r="D110">
        <v>4.9800000000000004</v>
      </c>
    </row>
    <row r="111" spans="1:4" x14ac:dyDescent="0.45">
      <c r="A111" t="s">
        <v>34</v>
      </c>
      <c r="B111">
        <v>2012</v>
      </c>
      <c r="C111" t="s">
        <v>74</v>
      </c>
      <c r="D111">
        <v>55.07</v>
      </c>
    </row>
    <row r="112" spans="1:4" x14ac:dyDescent="0.45">
      <c r="A112" t="s">
        <v>36</v>
      </c>
      <c r="B112">
        <v>2012</v>
      </c>
      <c r="C112" t="s">
        <v>74</v>
      </c>
      <c r="D112">
        <v>73.31</v>
      </c>
    </row>
    <row r="113" spans="1:4" x14ac:dyDescent="0.45">
      <c r="A113" t="s">
        <v>56</v>
      </c>
      <c r="B113">
        <v>2012</v>
      </c>
      <c r="C113" t="s">
        <v>74</v>
      </c>
      <c r="D113">
        <v>20.55</v>
      </c>
    </row>
    <row r="114" spans="1:4" x14ac:dyDescent="0.45">
      <c r="A114" t="s">
        <v>57</v>
      </c>
      <c r="B114">
        <v>2012</v>
      </c>
      <c r="C114" t="s">
        <v>74</v>
      </c>
      <c r="D114">
        <v>61.47</v>
      </c>
    </row>
    <row r="115" spans="1:4" x14ac:dyDescent="0.45">
      <c r="A115" t="s">
        <v>38</v>
      </c>
      <c r="B115">
        <v>2012</v>
      </c>
      <c r="C115" t="s">
        <v>74</v>
      </c>
      <c r="D115">
        <v>17.13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11.97</v>
      </c>
    </row>
    <row r="118" spans="1:4" x14ac:dyDescent="0.45">
      <c r="A118" t="s">
        <v>91</v>
      </c>
      <c r="B118">
        <v>2012</v>
      </c>
      <c r="C118" t="s">
        <v>74</v>
      </c>
      <c r="D118">
        <v>49.47</v>
      </c>
    </row>
    <row r="119" spans="1:4" x14ac:dyDescent="0.45">
      <c r="A119" t="s">
        <v>32</v>
      </c>
      <c r="B119">
        <v>2013</v>
      </c>
      <c r="C119" t="s">
        <v>74</v>
      </c>
      <c r="D119">
        <v>5.8</v>
      </c>
    </row>
    <row r="120" spans="1:4" x14ac:dyDescent="0.45">
      <c r="A120" t="s">
        <v>34</v>
      </c>
      <c r="B120">
        <v>2013</v>
      </c>
      <c r="C120" t="s">
        <v>74</v>
      </c>
      <c r="D120">
        <v>39.94</v>
      </c>
    </row>
    <row r="121" spans="1:4" x14ac:dyDescent="0.45">
      <c r="A121" t="s">
        <v>36</v>
      </c>
      <c r="B121">
        <v>2013</v>
      </c>
      <c r="C121" t="s">
        <v>74</v>
      </c>
      <c r="D121">
        <v>57.54</v>
      </c>
    </row>
    <row r="122" spans="1:4" x14ac:dyDescent="0.45">
      <c r="A122" t="s">
        <v>56</v>
      </c>
      <c r="B122">
        <v>2013</v>
      </c>
      <c r="C122" t="s">
        <v>74</v>
      </c>
      <c r="D122">
        <v>36.869999999999997</v>
      </c>
    </row>
    <row r="123" spans="1:4" x14ac:dyDescent="0.45">
      <c r="A123" t="s">
        <v>57</v>
      </c>
      <c r="B123">
        <v>2013</v>
      </c>
      <c r="C123" t="s">
        <v>74</v>
      </c>
      <c r="D123">
        <v>56.73</v>
      </c>
    </row>
    <row r="124" spans="1:4" x14ac:dyDescent="0.45">
      <c r="A124" t="s">
        <v>38</v>
      </c>
      <c r="B124">
        <v>2013</v>
      </c>
      <c r="C124" t="s">
        <v>74</v>
      </c>
      <c r="D124">
        <v>15.84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13.1</v>
      </c>
    </row>
    <row r="127" spans="1:4" x14ac:dyDescent="0.45">
      <c r="A127" t="s">
        <v>91</v>
      </c>
      <c r="B127">
        <v>2013</v>
      </c>
      <c r="C127" t="s">
        <v>74</v>
      </c>
      <c r="D127">
        <v>55.64</v>
      </c>
    </row>
    <row r="128" spans="1:4" x14ac:dyDescent="0.45">
      <c r="A128" t="s">
        <v>32</v>
      </c>
      <c r="B128">
        <v>2014</v>
      </c>
      <c r="C128" t="s">
        <v>74</v>
      </c>
      <c r="D128">
        <v>5.41</v>
      </c>
    </row>
    <row r="129" spans="1:4" x14ac:dyDescent="0.45">
      <c r="A129" t="s">
        <v>34</v>
      </c>
      <c r="B129">
        <v>2014</v>
      </c>
      <c r="C129" t="s">
        <v>74</v>
      </c>
      <c r="D129">
        <v>43.81</v>
      </c>
    </row>
    <row r="130" spans="1:4" x14ac:dyDescent="0.45">
      <c r="A130" t="s">
        <v>36</v>
      </c>
      <c r="B130">
        <v>2014</v>
      </c>
      <c r="C130" t="s">
        <v>74</v>
      </c>
      <c r="D130">
        <v>47.27</v>
      </c>
    </row>
    <row r="131" spans="1:4" x14ac:dyDescent="0.45">
      <c r="A131" t="s">
        <v>56</v>
      </c>
      <c r="B131">
        <v>2014</v>
      </c>
      <c r="C131" t="s">
        <v>74</v>
      </c>
      <c r="D131">
        <v>39.17</v>
      </c>
    </row>
    <row r="132" spans="1:4" x14ac:dyDescent="0.45">
      <c r="A132" t="s">
        <v>57</v>
      </c>
      <c r="B132">
        <v>2014</v>
      </c>
      <c r="C132" t="s">
        <v>74</v>
      </c>
      <c r="D132">
        <v>57.31</v>
      </c>
    </row>
    <row r="133" spans="1:4" x14ac:dyDescent="0.45">
      <c r="A133" t="s">
        <v>38</v>
      </c>
      <c r="B133">
        <v>2014</v>
      </c>
      <c r="C133" t="s">
        <v>74</v>
      </c>
      <c r="D133">
        <v>15.79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13.67</v>
      </c>
    </row>
    <row r="136" spans="1:4" x14ac:dyDescent="0.45">
      <c r="A136" t="s">
        <v>91</v>
      </c>
      <c r="B136">
        <v>2014</v>
      </c>
      <c r="C136" t="s">
        <v>74</v>
      </c>
      <c r="D136">
        <v>52.01</v>
      </c>
    </row>
    <row r="137" spans="1:4" x14ac:dyDescent="0.45">
      <c r="A137" t="s">
        <v>32</v>
      </c>
      <c r="B137">
        <v>2015</v>
      </c>
      <c r="C137" t="s">
        <v>74</v>
      </c>
      <c r="D137">
        <v>5.76</v>
      </c>
    </row>
    <row r="138" spans="1:4" x14ac:dyDescent="0.45">
      <c r="A138" t="s">
        <v>34</v>
      </c>
      <c r="B138">
        <v>2015</v>
      </c>
      <c r="C138" t="s">
        <v>74</v>
      </c>
      <c r="D138">
        <v>51.37</v>
      </c>
    </row>
    <row r="139" spans="1:4" x14ac:dyDescent="0.45">
      <c r="A139" t="s">
        <v>36</v>
      </c>
      <c r="B139">
        <v>2015</v>
      </c>
      <c r="C139" t="s">
        <v>74</v>
      </c>
      <c r="D139">
        <v>52.5</v>
      </c>
    </row>
    <row r="140" spans="1:4" x14ac:dyDescent="0.45">
      <c r="A140" t="s">
        <v>56</v>
      </c>
      <c r="B140">
        <v>2015</v>
      </c>
      <c r="C140" t="s">
        <v>74</v>
      </c>
      <c r="D140">
        <v>28.14</v>
      </c>
    </row>
    <row r="141" spans="1:4" x14ac:dyDescent="0.45">
      <c r="A141" t="s">
        <v>57</v>
      </c>
      <c r="B141">
        <v>2015</v>
      </c>
      <c r="C141" t="s">
        <v>74</v>
      </c>
      <c r="D141">
        <v>57.2</v>
      </c>
    </row>
    <row r="142" spans="1:4" x14ac:dyDescent="0.45">
      <c r="A142" t="s">
        <v>38</v>
      </c>
      <c r="B142">
        <v>2015</v>
      </c>
      <c r="C142" t="s">
        <v>74</v>
      </c>
      <c r="D142">
        <v>19.02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13.86</v>
      </c>
    </row>
    <row r="145" spans="1:4" x14ac:dyDescent="0.45">
      <c r="A145" t="s">
        <v>91</v>
      </c>
      <c r="B145">
        <v>2015</v>
      </c>
      <c r="C145" t="s">
        <v>74</v>
      </c>
      <c r="D145">
        <v>49.32</v>
      </c>
    </row>
    <row r="146" spans="1:4" x14ac:dyDescent="0.45">
      <c r="A146" t="s">
        <v>32</v>
      </c>
      <c r="B146">
        <v>2016</v>
      </c>
      <c r="C146" t="s">
        <v>74</v>
      </c>
      <c r="D146">
        <v>5.69</v>
      </c>
    </row>
    <row r="147" spans="1:4" x14ac:dyDescent="0.45">
      <c r="A147" t="s">
        <v>34</v>
      </c>
      <c r="B147">
        <v>2016</v>
      </c>
      <c r="C147" t="s">
        <v>74</v>
      </c>
      <c r="D147">
        <v>36.43</v>
      </c>
    </row>
    <row r="148" spans="1:4" x14ac:dyDescent="0.45">
      <c r="A148" t="s">
        <v>36</v>
      </c>
      <c r="B148">
        <v>2016</v>
      </c>
      <c r="C148" t="s">
        <v>74</v>
      </c>
      <c r="D148">
        <v>52.83</v>
      </c>
    </row>
    <row r="149" spans="1:4" x14ac:dyDescent="0.45">
      <c r="A149" t="s">
        <v>56</v>
      </c>
      <c r="B149">
        <v>2016</v>
      </c>
      <c r="C149" t="s">
        <v>74</v>
      </c>
      <c r="D149">
        <v>36.4</v>
      </c>
    </row>
    <row r="150" spans="1:4" x14ac:dyDescent="0.45">
      <c r="A150" t="s">
        <v>57</v>
      </c>
      <c r="B150">
        <v>2016</v>
      </c>
      <c r="C150" t="s">
        <v>74</v>
      </c>
      <c r="D150">
        <v>58.63</v>
      </c>
    </row>
    <row r="151" spans="1:4" x14ac:dyDescent="0.45">
      <c r="A151" t="s">
        <v>38</v>
      </c>
      <c r="B151">
        <v>2016</v>
      </c>
      <c r="C151" t="s">
        <v>74</v>
      </c>
      <c r="D151">
        <v>18.18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13.64</v>
      </c>
    </row>
    <row r="154" spans="1:4" x14ac:dyDescent="0.45">
      <c r="A154" t="s">
        <v>91</v>
      </c>
      <c r="B154">
        <v>2016</v>
      </c>
      <c r="C154" t="s">
        <v>74</v>
      </c>
      <c r="D154">
        <v>48.9</v>
      </c>
    </row>
    <row r="155" spans="1:4" x14ac:dyDescent="0.45">
      <c r="A155" t="s">
        <v>32</v>
      </c>
      <c r="B155">
        <v>2017</v>
      </c>
      <c r="C155" t="s">
        <v>74</v>
      </c>
      <c r="D155">
        <v>6.08</v>
      </c>
    </row>
    <row r="156" spans="1:4" x14ac:dyDescent="0.45">
      <c r="A156" t="s">
        <v>34</v>
      </c>
      <c r="B156">
        <v>2017</v>
      </c>
      <c r="C156" t="s">
        <v>74</v>
      </c>
      <c r="D156">
        <v>45.13</v>
      </c>
    </row>
    <row r="157" spans="1:4" x14ac:dyDescent="0.45">
      <c r="A157" t="s">
        <v>36</v>
      </c>
      <c r="B157">
        <v>2017</v>
      </c>
      <c r="C157" t="s">
        <v>74</v>
      </c>
      <c r="D157">
        <v>64.040000000000006</v>
      </c>
    </row>
    <row r="158" spans="1:4" x14ac:dyDescent="0.45">
      <c r="A158" t="s">
        <v>56</v>
      </c>
      <c r="B158">
        <v>2017</v>
      </c>
      <c r="C158" t="s">
        <v>74</v>
      </c>
      <c r="D158">
        <v>18.32</v>
      </c>
    </row>
    <row r="159" spans="1:4" x14ac:dyDescent="0.45">
      <c r="A159" t="s">
        <v>57</v>
      </c>
      <c r="B159">
        <v>2017</v>
      </c>
      <c r="C159" t="s">
        <v>74</v>
      </c>
      <c r="D159">
        <v>58.04</v>
      </c>
    </row>
    <row r="160" spans="1:4" x14ac:dyDescent="0.45">
      <c r="A160" t="s">
        <v>38</v>
      </c>
      <c r="B160">
        <v>2017</v>
      </c>
      <c r="C160" t="s">
        <v>74</v>
      </c>
      <c r="D160">
        <v>17.239999999999998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14.4</v>
      </c>
    </row>
    <row r="163" spans="1:4" x14ac:dyDescent="0.45">
      <c r="A163" t="s">
        <v>91</v>
      </c>
      <c r="B163">
        <v>2017</v>
      </c>
      <c r="C163" t="s">
        <v>74</v>
      </c>
      <c r="D163">
        <v>49.13</v>
      </c>
    </row>
    <row r="164" spans="1:4" x14ac:dyDescent="0.45">
      <c r="A164" t="s">
        <v>32</v>
      </c>
      <c r="B164">
        <v>2018</v>
      </c>
      <c r="C164" t="s">
        <v>74</v>
      </c>
      <c r="D164">
        <v>5.91</v>
      </c>
    </row>
    <row r="165" spans="1:4" x14ac:dyDescent="0.45">
      <c r="A165" t="s">
        <v>34</v>
      </c>
      <c r="B165">
        <v>2018</v>
      </c>
      <c r="C165" t="s">
        <v>74</v>
      </c>
      <c r="D165">
        <v>37.340000000000003</v>
      </c>
    </row>
    <row r="166" spans="1:4" x14ac:dyDescent="0.45">
      <c r="A166" t="s">
        <v>36</v>
      </c>
      <c r="B166">
        <v>2018</v>
      </c>
      <c r="C166" t="s">
        <v>74</v>
      </c>
      <c r="D166">
        <v>58</v>
      </c>
    </row>
    <row r="167" spans="1:4" x14ac:dyDescent="0.45">
      <c r="A167" t="s">
        <v>56</v>
      </c>
      <c r="B167">
        <v>2018</v>
      </c>
      <c r="C167" t="s">
        <v>74</v>
      </c>
      <c r="D167">
        <v>34.33</v>
      </c>
    </row>
    <row r="168" spans="1:4" x14ac:dyDescent="0.45">
      <c r="A168" t="s">
        <v>57</v>
      </c>
      <c r="B168">
        <v>2018</v>
      </c>
      <c r="C168" t="s">
        <v>74</v>
      </c>
      <c r="D168">
        <v>55.77</v>
      </c>
    </row>
    <row r="169" spans="1:4" x14ac:dyDescent="0.45">
      <c r="A169" t="s">
        <v>38</v>
      </c>
      <c r="B169">
        <v>2018</v>
      </c>
      <c r="C169" t="s">
        <v>74</v>
      </c>
      <c r="D169">
        <v>16.420000000000002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12.74</v>
      </c>
    </row>
    <row r="172" spans="1:4" x14ac:dyDescent="0.45">
      <c r="A172" t="s">
        <v>91</v>
      </c>
      <c r="B172">
        <v>2018</v>
      </c>
      <c r="C172" t="s">
        <v>74</v>
      </c>
      <c r="D172">
        <v>50.89</v>
      </c>
    </row>
    <row r="173" spans="1:4" x14ac:dyDescent="0.45">
      <c r="A173" t="s">
        <v>32</v>
      </c>
      <c r="B173">
        <v>2019</v>
      </c>
      <c r="C173" t="s">
        <v>74</v>
      </c>
      <c r="D173">
        <v>5.57</v>
      </c>
    </row>
    <row r="174" spans="1:4" x14ac:dyDescent="0.45">
      <c r="A174" t="s">
        <v>34</v>
      </c>
      <c r="B174">
        <v>2019</v>
      </c>
      <c r="C174" t="s">
        <v>74</v>
      </c>
      <c r="D174">
        <v>12.86</v>
      </c>
    </row>
    <row r="175" spans="1:4" x14ac:dyDescent="0.45">
      <c r="A175" t="s">
        <v>36</v>
      </c>
      <c r="B175">
        <v>2019</v>
      </c>
      <c r="C175" t="s">
        <v>74</v>
      </c>
      <c r="D175">
        <v>83.71</v>
      </c>
    </row>
    <row r="176" spans="1:4" x14ac:dyDescent="0.45">
      <c r="A176" t="s">
        <v>56</v>
      </c>
      <c r="B176">
        <v>2019</v>
      </c>
      <c r="C176" t="s">
        <v>74</v>
      </c>
      <c r="D176">
        <v>24.65</v>
      </c>
    </row>
    <row r="177" spans="1:4" x14ac:dyDescent="0.45">
      <c r="A177" t="s">
        <v>57</v>
      </c>
      <c r="B177">
        <v>2019</v>
      </c>
      <c r="C177" t="s">
        <v>74</v>
      </c>
      <c r="D177">
        <v>58.35</v>
      </c>
    </row>
    <row r="178" spans="1:4" x14ac:dyDescent="0.45">
      <c r="A178" t="s">
        <v>38</v>
      </c>
      <c r="B178">
        <v>2019</v>
      </c>
      <c r="C178" t="s">
        <v>74</v>
      </c>
      <c r="D178">
        <v>14.61</v>
      </c>
    </row>
    <row r="179" spans="1:4" x14ac:dyDescent="0.45">
      <c r="A179" t="s">
        <v>32</v>
      </c>
      <c r="B179">
        <v>2019</v>
      </c>
      <c r="C179" t="s">
        <v>74</v>
      </c>
      <c r="D179">
        <v>0.02</v>
      </c>
    </row>
    <row r="180" spans="1:4" x14ac:dyDescent="0.45">
      <c r="A180" t="s">
        <v>58</v>
      </c>
      <c r="B180">
        <v>2019</v>
      </c>
      <c r="C180" t="s">
        <v>74</v>
      </c>
      <c r="D180">
        <v>15.1</v>
      </c>
    </row>
    <row r="181" spans="1:4" x14ac:dyDescent="0.45">
      <c r="A181" t="s">
        <v>91</v>
      </c>
      <c r="B181">
        <v>2019</v>
      </c>
      <c r="C181" t="s">
        <v>74</v>
      </c>
      <c r="D181">
        <v>55.65</v>
      </c>
    </row>
    <row r="182" spans="1:4" x14ac:dyDescent="0.45">
      <c r="A182" t="s">
        <v>32</v>
      </c>
      <c r="B182">
        <v>2020</v>
      </c>
      <c r="C182" t="s">
        <v>74</v>
      </c>
      <c r="D182">
        <v>6.14</v>
      </c>
    </row>
    <row r="183" spans="1:4" x14ac:dyDescent="0.45">
      <c r="A183" t="s">
        <v>34</v>
      </c>
      <c r="B183">
        <v>2020</v>
      </c>
      <c r="C183" t="s">
        <v>74</v>
      </c>
      <c r="D183">
        <v>5.52</v>
      </c>
    </row>
    <row r="184" spans="1:4" x14ac:dyDescent="0.45">
      <c r="A184" t="s">
        <v>36</v>
      </c>
      <c r="B184">
        <v>2020</v>
      </c>
      <c r="C184" t="s">
        <v>74</v>
      </c>
      <c r="D184">
        <v>69.739999999999995</v>
      </c>
    </row>
    <row r="185" spans="1:4" x14ac:dyDescent="0.45">
      <c r="A185" t="s">
        <v>56</v>
      </c>
      <c r="B185">
        <v>2020</v>
      </c>
      <c r="C185" t="s">
        <v>74</v>
      </c>
      <c r="D185">
        <v>30.51</v>
      </c>
    </row>
    <row r="186" spans="1:4" x14ac:dyDescent="0.45">
      <c r="A186" t="s">
        <v>57</v>
      </c>
      <c r="B186">
        <v>2020</v>
      </c>
      <c r="C186" t="s">
        <v>74</v>
      </c>
      <c r="D186">
        <v>58.3</v>
      </c>
    </row>
    <row r="187" spans="1:4" x14ac:dyDescent="0.45">
      <c r="A187" t="s">
        <v>38</v>
      </c>
      <c r="B187">
        <v>2020</v>
      </c>
      <c r="C187" t="s">
        <v>74</v>
      </c>
      <c r="D187">
        <v>12.12</v>
      </c>
    </row>
    <row r="188" spans="1:4" x14ac:dyDescent="0.45">
      <c r="A188" t="s">
        <v>32</v>
      </c>
      <c r="B188">
        <v>2020</v>
      </c>
      <c r="C188" t="s">
        <v>74</v>
      </c>
      <c r="D188">
        <v>0.03</v>
      </c>
    </row>
    <row r="189" spans="1:4" x14ac:dyDescent="0.45">
      <c r="A189" t="s">
        <v>58</v>
      </c>
      <c r="B189">
        <v>2020</v>
      </c>
      <c r="C189" t="s">
        <v>74</v>
      </c>
      <c r="D189">
        <v>20.67</v>
      </c>
    </row>
    <row r="190" spans="1:4" x14ac:dyDescent="0.45">
      <c r="A190" t="s">
        <v>91</v>
      </c>
      <c r="B190">
        <v>2020</v>
      </c>
      <c r="C190" t="s">
        <v>74</v>
      </c>
      <c r="D190">
        <v>56.44</v>
      </c>
    </row>
    <row r="191" spans="1:4" x14ac:dyDescent="0.45">
      <c r="A191" t="s">
        <v>32</v>
      </c>
      <c r="B191">
        <v>2021</v>
      </c>
      <c r="C191" t="s">
        <v>74</v>
      </c>
      <c r="D191">
        <v>6.94</v>
      </c>
    </row>
    <row r="192" spans="1:4" x14ac:dyDescent="0.45">
      <c r="A192" t="s">
        <v>34</v>
      </c>
      <c r="B192">
        <v>2021</v>
      </c>
      <c r="C192" t="s">
        <v>74</v>
      </c>
      <c r="D192">
        <v>4.8600000000000003</v>
      </c>
    </row>
    <row r="193" spans="1:4" x14ac:dyDescent="0.45">
      <c r="A193" t="s">
        <v>36</v>
      </c>
      <c r="B193">
        <v>2021</v>
      </c>
      <c r="C193" t="s">
        <v>74</v>
      </c>
      <c r="D193">
        <v>71.5</v>
      </c>
    </row>
    <row r="194" spans="1:4" x14ac:dyDescent="0.45">
      <c r="A194" t="s">
        <v>56</v>
      </c>
      <c r="B194">
        <v>2021</v>
      </c>
      <c r="C194" t="s">
        <v>74</v>
      </c>
      <c r="D194">
        <v>29.63</v>
      </c>
    </row>
    <row r="195" spans="1:4" x14ac:dyDescent="0.45">
      <c r="A195" t="s">
        <v>57</v>
      </c>
      <c r="B195">
        <v>2021</v>
      </c>
      <c r="C195" t="s">
        <v>74</v>
      </c>
      <c r="D195">
        <v>56.56</v>
      </c>
    </row>
    <row r="196" spans="1:4" x14ac:dyDescent="0.45">
      <c r="A196" t="s">
        <v>38</v>
      </c>
      <c r="B196">
        <v>2021</v>
      </c>
      <c r="C196" t="s">
        <v>74</v>
      </c>
      <c r="D196">
        <v>12.08</v>
      </c>
    </row>
    <row r="197" spans="1:4" x14ac:dyDescent="0.45">
      <c r="A197" t="s">
        <v>32</v>
      </c>
      <c r="B197">
        <v>2021</v>
      </c>
      <c r="C197" t="s">
        <v>74</v>
      </c>
      <c r="D197">
        <v>0.02</v>
      </c>
    </row>
    <row r="198" spans="1:4" x14ac:dyDescent="0.45">
      <c r="A198" t="s">
        <v>58</v>
      </c>
      <c r="B198">
        <v>2021</v>
      </c>
      <c r="C198" t="s">
        <v>74</v>
      </c>
      <c r="D198">
        <v>27.1</v>
      </c>
    </row>
    <row r="199" spans="1:4" x14ac:dyDescent="0.45">
      <c r="A199" t="s">
        <v>91</v>
      </c>
      <c r="B199">
        <v>2021</v>
      </c>
      <c r="C199" t="s">
        <v>74</v>
      </c>
      <c r="D199">
        <v>62.06</v>
      </c>
    </row>
    <row r="200" spans="1:4" x14ac:dyDescent="0.45">
      <c r="A200" t="s">
        <v>32</v>
      </c>
      <c r="B200">
        <v>2022</v>
      </c>
      <c r="C200" t="s">
        <v>74</v>
      </c>
      <c r="D200">
        <v>6.8</v>
      </c>
    </row>
    <row r="201" spans="1:4" x14ac:dyDescent="0.45">
      <c r="A201" t="s">
        <v>34</v>
      </c>
      <c r="B201">
        <v>2022</v>
      </c>
      <c r="C201" t="s">
        <v>74</v>
      </c>
      <c r="D201">
        <v>7.86</v>
      </c>
    </row>
    <row r="202" spans="1:4" x14ac:dyDescent="0.45">
      <c r="A202" t="s">
        <v>36</v>
      </c>
      <c r="B202">
        <v>2022</v>
      </c>
      <c r="C202" t="s">
        <v>74</v>
      </c>
      <c r="D202">
        <v>86.1</v>
      </c>
    </row>
    <row r="203" spans="1:4" x14ac:dyDescent="0.45">
      <c r="A203" t="s">
        <v>56</v>
      </c>
      <c r="B203">
        <v>2022</v>
      </c>
      <c r="C203" t="s">
        <v>74</v>
      </c>
      <c r="D203">
        <v>17.59</v>
      </c>
    </row>
    <row r="204" spans="1:4" x14ac:dyDescent="0.45">
      <c r="A204" t="s">
        <v>57</v>
      </c>
      <c r="B204">
        <v>2022</v>
      </c>
      <c r="C204" t="s">
        <v>74</v>
      </c>
      <c r="D204">
        <v>58.59</v>
      </c>
    </row>
    <row r="205" spans="1:4" x14ac:dyDescent="0.45">
      <c r="A205" t="s">
        <v>38</v>
      </c>
      <c r="B205">
        <v>2022</v>
      </c>
      <c r="C205" t="s">
        <v>74</v>
      </c>
      <c r="D205">
        <v>11.69</v>
      </c>
    </row>
    <row r="206" spans="1:4" x14ac:dyDescent="0.45">
      <c r="A206" t="s">
        <v>32</v>
      </c>
      <c r="B206">
        <v>2022</v>
      </c>
      <c r="C206" t="s">
        <v>74</v>
      </c>
      <c r="D206">
        <v>0.02</v>
      </c>
    </row>
    <row r="207" spans="1:4" x14ac:dyDescent="0.45">
      <c r="A207" t="s">
        <v>58</v>
      </c>
      <c r="B207">
        <v>2022</v>
      </c>
      <c r="C207" t="s">
        <v>74</v>
      </c>
      <c r="D207">
        <v>35.72</v>
      </c>
    </row>
    <row r="208" spans="1:4" x14ac:dyDescent="0.45">
      <c r="A208" t="s">
        <v>91</v>
      </c>
      <c r="B208">
        <v>2022</v>
      </c>
      <c r="C208" t="s">
        <v>74</v>
      </c>
      <c r="D208">
        <v>61.9</v>
      </c>
    </row>
    <row r="209" spans="1:4" x14ac:dyDescent="0.45">
      <c r="A209" t="s">
        <v>32</v>
      </c>
      <c r="B209">
        <v>2023</v>
      </c>
      <c r="C209" t="s">
        <v>74</v>
      </c>
      <c r="D209">
        <v>5.86</v>
      </c>
    </row>
    <row r="210" spans="1:4" x14ac:dyDescent="0.45">
      <c r="A210" t="s">
        <v>34</v>
      </c>
      <c r="B210">
        <v>2023</v>
      </c>
      <c r="C210" t="s">
        <v>74</v>
      </c>
      <c r="D210">
        <v>3.9</v>
      </c>
    </row>
    <row r="211" spans="1:4" x14ac:dyDescent="0.45">
      <c r="A211" t="s">
        <v>36</v>
      </c>
      <c r="B211">
        <v>2023</v>
      </c>
      <c r="C211" t="s">
        <v>74</v>
      </c>
      <c r="D211">
        <v>63.24</v>
      </c>
    </row>
    <row r="212" spans="1:4" x14ac:dyDescent="0.45">
      <c r="A212" t="s">
        <v>56</v>
      </c>
      <c r="B212">
        <v>2023</v>
      </c>
      <c r="C212" t="s">
        <v>74</v>
      </c>
      <c r="D212">
        <v>20.010000000000002</v>
      </c>
    </row>
    <row r="213" spans="1:4" x14ac:dyDescent="0.45">
      <c r="A213" t="s">
        <v>57</v>
      </c>
      <c r="B213">
        <v>2023</v>
      </c>
      <c r="C213" t="s">
        <v>74</v>
      </c>
      <c r="D213">
        <v>56.8</v>
      </c>
    </row>
    <row r="214" spans="1:4" x14ac:dyDescent="0.45">
      <c r="A214" t="s">
        <v>38</v>
      </c>
      <c r="B214">
        <v>2023</v>
      </c>
      <c r="C214" t="s">
        <v>74</v>
      </c>
      <c r="D214">
        <v>10.73</v>
      </c>
    </row>
    <row r="215" spans="1:4" x14ac:dyDescent="0.45">
      <c r="A215" t="s">
        <v>32</v>
      </c>
      <c r="B215">
        <v>2023</v>
      </c>
      <c r="C215" t="s">
        <v>74</v>
      </c>
      <c r="D215">
        <v>0</v>
      </c>
    </row>
    <row r="216" spans="1:4" x14ac:dyDescent="0.45">
      <c r="A216" t="s">
        <v>58</v>
      </c>
      <c r="B216">
        <v>2023</v>
      </c>
      <c r="C216" t="s">
        <v>74</v>
      </c>
      <c r="D216">
        <v>45.08</v>
      </c>
    </row>
    <row r="217" spans="1:4" x14ac:dyDescent="0.45">
      <c r="A217" t="s">
        <v>91</v>
      </c>
      <c r="B217">
        <v>2023</v>
      </c>
      <c r="C217" t="s">
        <v>74</v>
      </c>
      <c r="D217">
        <v>64.13</v>
      </c>
    </row>
    <row r="218" spans="1:4" x14ac:dyDescent="0.45">
      <c r="A218" t="s">
        <v>32</v>
      </c>
      <c r="B218">
        <v>2000</v>
      </c>
      <c r="C218" t="s">
        <v>75</v>
      </c>
      <c r="D218">
        <v>0.18</v>
      </c>
    </row>
    <row r="219" spans="1:4" x14ac:dyDescent="0.45">
      <c r="A219" t="s">
        <v>34</v>
      </c>
      <c r="B219">
        <v>2000</v>
      </c>
      <c r="C219" t="s">
        <v>75</v>
      </c>
      <c r="D219">
        <v>13.84</v>
      </c>
    </row>
    <row r="220" spans="1:4" x14ac:dyDescent="0.45">
      <c r="A220" t="s">
        <v>36</v>
      </c>
      <c r="B220">
        <v>2000</v>
      </c>
      <c r="C220" t="s">
        <v>75</v>
      </c>
      <c r="D220">
        <v>0.81</v>
      </c>
    </row>
    <row r="221" spans="1:4" x14ac:dyDescent="0.45">
      <c r="A221" t="s">
        <v>56</v>
      </c>
      <c r="B221">
        <v>2000</v>
      </c>
      <c r="C221" t="s">
        <v>75</v>
      </c>
      <c r="D221">
        <v>15.51</v>
      </c>
    </row>
    <row r="222" spans="1:4" x14ac:dyDescent="0.45">
      <c r="A222" t="s">
        <v>57</v>
      </c>
      <c r="B222">
        <v>2000</v>
      </c>
      <c r="C222" t="s">
        <v>75</v>
      </c>
      <c r="D222">
        <v>7.5</v>
      </c>
    </row>
    <row r="223" spans="1:4" x14ac:dyDescent="0.45">
      <c r="A223" t="s">
        <v>38</v>
      </c>
      <c r="B223">
        <v>2000</v>
      </c>
      <c r="C223" t="s">
        <v>75</v>
      </c>
      <c r="D223">
        <v>2.35</v>
      </c>
    </row>
    <row r="224" spans="1:4" x14ac:dyDescent="0.45">
      <c r="A224" t="s">
        <v>32</v>
      </c>
      <c r="B224">
        <v>2000</v>
      </c>
      <c r="C224" t="s">
        <v>75</v>
      </c>
      <c r="D224">
        <v>0.05</v>
      </c>
    </row>
    <row r="225" spans="1:4" x14ac:dyDescent="0.45">
      <c r="A225" t="s">
        <v>58</v>
      </c>
      <c r="B225">
        <v>2000</v>
      </c>
      <c r="C225" t="s">
        <v>75</v>
      </c>
      <c r="D225">
        <v>0.01</v>
      </c>
    </row>
    <row r="226" spans="1:4" x14ac:dyDescent="0.45">
      <c r="A226" t="s">
        <v>91</v>
      </c>
      <c r="B226">
        <v>2000</v>
      </c>
      <c r="C226" t="s">
        <v>75</v>
      </c>
      <c r="D226">
        <v>2.21</v>
      </c>
    </row>
    <row r="227" spans="1:4" x14ac:dyDescent="0.45">
      <c r="A227" t="s">
        <v>32</v>
      </c>
      <c r="B227">
        <v>2001</v>
      </c>
      <c r="C227" t="s">
        <v>75</v>
      </c>
      <c r="D227">
        <v>0.2</v>
      </c>
    </row>
    <row r="228" spans="1:4" x14ac:dyDescent="0.45">
      <c r="A228" t="s">
        <v>34</v>
      </c>
      <c r="B228">
        <v>2001</v>
      </c>
      <c r="C228" t="s">
        <v>75</v>
      </c>
      <c r="D228">
        <v>13.84</v>
      </c>
    </row>
    <row r="229" spans="1:4" x14ac:dyDescent="0.45">
      <c r="A229" t="s">
        <v>36</v>
      </c>
      <c r="B229">
        <v>2001</v>
      </c>
      <c r="C229" t="s">
        <v>75</v>
      </c>
      <c r="D229">
        <v>1.26</v>
      </c>
    </row>
    <row r="230" spans="1:4" x14ac:dyDescent="0.45">
      <c r="A230" t="s">
        <v>56</v>
      </c>
      <c r="B230">
        <v>2001</v>
      </c>
      <c r="C230" t="s">
        <v>75</v>
      </c>
      <c r="D230">
        <v>15.58</v>
      </c>
    </row>
    <row r="231" spans="1:4" x14ac:dyDescent="0.45">
      <c r="A231" t="s">
        <v>57</v>
      </c>
      <c r="B231">
        <v>2001</v>
      </c>
      <c r="C231" t="s">
        <v>75</v>
      </c>
      <c r="D231">
        <v>7.52</v>
      </c>
    </row>
    <row r="232" spans="1:4" x14ac:dyDescent="0.45">
      <c r="A232" t="s">
        <v>38</v>
      </c>
      <c r="B232">
        <v>2001</v>
      </c>
      <c r="C232" t="s">
        <v>75</v>
      </c>
      <c r="D232">
        <v>2.5499999999999998</v>
      </c>
    </row>
    <row r="233" spans="1:4" x14ac:dyDescent="0.45">
      <c r="A233" t="s">
        <v>32</v>
      </c>
      <c r="B233">
        <v>2001</v>
      </c>
      <c r="C233" t="s">
        <v>75</v>
      </c>
      <c r="D233">
        <v>0.05</v>
      </c>
    </row>
    <row r="234" spans="1:4" x14ac:dyDescent="0.45">
      <c r="A234" t="s">
        <v>58</v>
      </c>
      <c r="B234">
        <v>2001</v>
      </c>
      <c r="C234" t="s">
        <v>75</v>
      </c>
      <c r="D234">
        <v>0.01</v>
      </c>
    </row>
    <row r="235" spans="1:4" x14ac:dyDescent="0.45">
      <c r="A235" t="s">
        <v>91</v>
      </c>
      <c r="B235">
        <v>2001</v>
      </c>
      <c r="C235" t="s">
        <v>75</v>
      </c>
      <c r="D235">
        <v>3.4</v>
      </c>
    </row>
    <row r="236" spans="1:4" x14ac:dyDescent="0.45">
      <c r="A236" t="s">
        <v>32</v>
      </c>
      <c r="B236">
        <v>2002</v>
      </c>
      <c r="C236" t="s">
        <v>75</v>
      </c>
      <c r="D236">
        <v>0.35</v>
      </c>
    </row>
    <row r="237" spans="1:4" x14ac:dyDescent="0.45">
      <c r="A237" t="s">
        <v>34</v>
      </c>
      <c r="B237">
        <v>2002</v>
      </c>
      <c r="C237" t="s">
        <v>75</v>
      </c>
      <c r="D237">
        <v>13.84</v>
      </c>
    </row>
    <row r="238" spans="1:4" x14ac:dyDescent="0.45">
      <c r="A238" t="s">
        <v>36</v>
      </c>
      <c r="B238">
        <v>2002</v>
      </c>
      <c r="C238" t="s">
        <v>75</v>
      </c>
      <c r="D238">
        <v>4.3899999999999997</v>
      </c>
    </row>
    <row r="239" spans="1:4" x14ac:dyDescent="0.45">
      <c r="A239" t="s">
        <v>56</v>
      </c>
      <c r="B239">
        <v>2002</v>
      </c>
      <c r="C239" t="s">
        <v>75</v>
      </c>
      <c r="D239">
        <v>15.61</v>
      </c>
    </row>
    <row r="240" spans="1:4" x14ac:dyDescent="0.45">
      <c r="A240" t="s">
        <v>57</v>
      </c>
      <c r="B240">
        <v>2002</v>
      </c>
      <c r="C240" t="s">
        <v>75</v>
      </c>
      <c r="D240">
        <v>7.58</v>
      </c>
    </row>
    <row r="241" spans="1:4" x14ac:dyDescent="0.45">
      <c r="A241" t="s">
        <v>38</v>
      </c>
      <c r="B241">
        <v>2002</v>
      </c>
      <c r="C241" t="s">
        <v>75</v>
      </c>
      <c r="D241">
        <v>2.58</v>
      </c>
    </row>
    <row r="242" spans="1:4" x14ac:dyDescent="0.45">
      <c r="A242" t="s">
        <v>32</v>
      </c>
      <c r="B242">
        <v>2002</v>
      </c>
      <c r="C242" t="s">
        <v>75</v>
      </c>
      <c r="D242">
        <v>0.05</v>
      </c>
    </row>
    <row r="243" spans="1:4" x14ac:dyDescent="0.45">
      <c r="A243" t="s">
        <v>58</v>
      </c>
      <c r="B243">
        <v>2002</v>
      </c>
      <c r="C243" t="s">
        <v>75</v>
      </c>
      <c r="D243">
        <v>0.02</v>
      </c>
    </row>
    <row r="244" spans="1:4" x14ac:dyDescent="0.45">
      <c r="A244" t="s">
        <v>91</v>
      </c>
      <c r="B244">
        <v>2002</v>
      </c>
      <c r="C244" t="s">
        <v>75</v>
      </c>
      <c r="D244">
        <v>4.8899999999999997</v>
      </c>
    </row>
    <row r="245" spans="1:4" x14ac:dyDescent="0.45">
      <c r="A245" t="s">
        <v>32</v>
      </c>
      <c r="B245">
        <v>2003</v>
      </c>
      <c r="C245" t="s">
        <v>75</v>
      </c>
      <c r="D245">
        <v>0.43</v>
      </c>
    </row>
    <row r="246" spans="1:4" x14ac:dyDescent="0.45">
      <c r="A246" t="s">
        <v>34</v>
      </c>
      <c r="B246">
        <v>2003</v>
      </c>
      <c r="C246" t="s">
        <v>75</v>
      </c>
      <c r="D246">
        <v>13.84</v>
      </c>
    </row>
    <row r="247" spans="1:4" x14ac:dyDescent="0.45">
      <c r="A247" t="s">
        <v>36</v>
      </c>
      <c r="B247">
        <v>2003</v>
      </c>
      <c r="C247" t="s">
        <v>75</v>
      </c>
      <c r="D247">
        <v>6.92</v>
      </c>
    </row>
    <row r="248" spans="1:4" x14ac:dyDescent="0.45">
      <c r="A248" t="s">
        <v>56</v>
      </c>
      <c r="B248">
        <v>2003</v>
      </c>
      <c r="C248" t="s">
        <v>75</v>
      </c>
      <c r="D248">
        <v>15.59</v>
      </c>
    </row>
    <row r="249" spans="1:4" x14ac:dyDescent="0.45">
      <c r="A249" t="s">
        <v>57</v>
      </c>
      <c r="B249">
        <v>2003</v>
      </c>
      <c r="C249" t="s">
        <v>75</v>
      </c>
      <c r="D249">
        <v>7.58</v>
      </c>
    </row>
    <row r="250" spans="1:4" x14ac:dyDescent="0.45">
      <c r="A250" t="s">
        <v>38</v>
      </c>
      <c r="B250">
        <v>2003</v>
      </c>
      <c r="C250" t="s">
        <v>75</v>
      </c>
      <c r="D250">
        <v>2.81</v>
      </c>
    </row>
    <row r="251" spans="1:4" x14ac:dyDescent="0.45">
      <c r="A251" t="s">
        <v>32</v>
      </c>
      <c r="B251">
        <v>2003</v>
      </c>
      <c r="C251" t="s">
        <v>75</v>
      </c>
      <c r="D251">
        <v>0.05</v>
      </c>
    </row>
    <row r="252" spans="1:4" x14ac:dyDescent="0.45">
      <c r="A252" t="s">
        <v>58</v>
      </c>
      <c r="B252">
        <v>2003</v>
      </c>
      <c r="C252" t="s">
        <v>75</v>
      </c>
      <c r="D252">
        <v>0.02</v>
      </c>
    </row>
    <row r="253" spans="1:4" x14ac:dyDescent="0.45">
      <c r="A253" t="s">
        <v>91</v>
      </c>
      <c r="B253">
        <v>2003</v>
      </c>
      <c r="C253" t="s">
        <v>75</v>
      </c>
      <c r="D253">
        <v>5.95</v>
      </c>
    </row>
    <row r="254" spans="1:4" x14ac:dyDescent="0.45">
      <c r="A254" t="s">
        <v>32</v>
      </c>
      <c r="B254">
        <v>2004</v>
      </c>
      <c r="C254" t="s">
        <v>75</v>
      </c>
      <c r="D254">
        <v>0.46</v>
      </c>
    </row>
    <row r="255" spans="1:4" x14ac:dyDescent="0.45">
      <c r="A255" t="s">
        <v>34</v>
      </c>
      <c r="B255">
        <v>2004</v>
      </c>
      <c r="C255" t="s">
        <v>75</v>
      </c>
      <c r="D255">
        <v>13.84</v>
      </c>
    </row>
    <row r="256" spans="1:4" x14ac:dyDescent="0.45">
      <c r="A256" t="s">
        <v>36</v>
      </c>
      <c r="B256">
        <v>2004</v>
      </c>
      <c r="C256" t="s">
        <v>75</v>
      </c>
      <c r="D256">
        <v>8.5</v>
      </c>
    </row>
    <row r="257" spans="1:4" x14ac:dyDescent="0.45">
      <c r="A257" t="s">
        <v>56</v>
      </c>
      <c r="B257">
        <v>2004</v>
      </c>
      <c r="C257" t="s">
        <v>75</v>
      </c>
      <c r="D257">
        <v>15.71</v>
      </c>
    </row>
    <row r="258" spans="1:4" x14ac:dyDescent="0.45">
      <c r="A258" t="s">
        <v>57</v>
      </c>
      <c r="B258">
        <v>2004</v>
      </c>
      <c r="C258" t="s">
        <v>75</v>
      </c>
      <c r="D258">
        <v>7.58</v>
      </c>
    </row>
    <row r="259" spans="1:4" x14ac:dyDescent="0.45">
      <c r="A259" t="s">
        <v>38</v>
      </c>
      <c r="B259">
        <v>2004</v>
      </c>
      <c r="C259" t="s">
        <v>75</v>
      </c>
      <c r="D259">
        <v>2.81</v>
      </c>
    </row>
    <row r="260" spans="1:4" x14ac:dyDescent="0.45">
      <c r="A260" t="s">
        <v>32</v>
      </c>
      <c r="B260">
        <v>2004</v>
      </c>
      <c r="C260" t="s">
        <v>75</v>
      </c>
      <c r="D260">
        <v>0.09</v>
      </c>
    </row>
    <row r="261" spans="1:4" x14ac:dyDescent="0.45">
      <c r="A261" t="s">
        <v>58</v>
      </c>
      <c r="B261">
        <v>2004</v>
      </c>
      <c r="C261" t="s">
        <v>75</v>
      </c>
      <c r="D261">
        <v>0.03</v>
      </c>
    </row>
    <row r="262" spans="1:4" x14ac:dyDescent="0.45">
      <c r="A262" t="s">
        <v>91</v>
      </c>
      <c r="B262">
        <v>2004</v>
      </c>
      <c r="C262" t="s">
        <v>75</v>
      </c>
      <c r="D262">
        <v>8.32</v>
      </c>
    </row>
    <row r="263" spans="1:4" x14ac:dyDescent="0.45">
      <c r="A263" t="s">
        <v>32</v>
      </c>
      <c r="B263">
        <v>2005</v>
      </c>
      <c r="C263" t="s">
        <v>75</v>
      </c>
      <c r="D263">
        <v>0.49</v>
      </c>
    </row>
    <row r="264" spans="1:4" x14ac:dyDescent="0.45">
      <c r="A264" t="s">
        <v>34</v>
      </c>
      <c r="B264">
        <v>2005</v>
      </c>
      <c r="C264" t="s">
        <v>75</v>
      </c>
      <c r="D264">
        <v>13.84</v>
      </c>
    </row>
    <row r="265" spans="1:4" x14ac:dyDescent="0.45">
      <c r="A265" t="s">
        <v>36</v>
      </c>
      <c r="B265">
        <v>2005</v>
      </c>
      <c r="C265" t="s">
        <v>75</v>
      </c>
      <c r="D265">
        <v>13.22</v>
      </c>
    </row>
    <row r="266" spans="1:4" x14ac:dyDescent="0.45">
      <c r="A266" t="s">
        <v>56</v>
      </c>
      <c r="B266">
        <v>2005</v>
      </c>
      <c r="C266" t="s">
        <v>75</v>
      </c>
      <c r="D266">
        <v>15.77</v>
      </c>
    </row>
    <row r="267" spans="1:4" x14ac:dyDescent="0.45">
      <c r="A267" t="s">
        <v>57</v>
      </c>
      <c r="B267">
        <v>2005</v>
      </c>
      <c r="C267" t="s">
        <v>75</v>
      </c>
      <c r="D267">
        <v>7.58</v>
      </c>
    </row>
    <row r="268" spans="1:4" x14ac:dyDescent="0.45">
      <c r="A268" t="s">
        <v>38</v>
      </c>
      <c r="B268">
        <v>2005</v>
      </c>
      <c r="C268" t="s">
        <v>75</v>
      </c>
      <c r="D268">
        <v>2.86</v>
      </c>
    </row>
    <row r="269" spans="1:4" x14ac:dyDescent="0.45">
      <c r="A269" t="s">
        <v>32</v>
      </c>
      <c r="B269">
        <v>2005</v>
      </c>
      <c r="C269" t="s">
        <v>75</v>
      </c>
      <c r="D269">
        <v>0.09</v>
      </c>
    </row>
    <row r="270" spans="1:4" x14ac:dyDescent="0.45">
      <c r="A270" t="s">
        <v>58</v>
      </c>
      <c r="B270">
        <v>2005</v>
      </c>
      <c r="C270" t="s">
        <v>75</v>
      </c>
      <c r="D270">
        <v>0.05</v>
      </c>
    </row>
    <row r="271" spans="1:4" x14ac:dyDescent="0.45">
      <c r="A271" t="s">
        <v>91</v>
      </c>
      <c r="B271">
        <v>2005</v>
      </c>
      <c r="C271" t="s">
        <v>75</v>
      </c>
      <c r="D271">
        <v>9.92</v>
      </c>
    </row>
    <row r="272" spans="1:4" x14ac:dyDescent="0.45">
      <c r="A272" t="s">
        <v>32</v>
      </c>
      <c r="B272">
        <v>2006</v>
      </c>
      <c r="C272" t="s">
        <v>75</v>
      </c>
      <c r="D272">
        <v>0.53</v>
      </c>
    </row>
    <row r="273" spans="1:4" x14ac:dyDescent="0.45">
      <c r="A273" t="s">
        <v>34</v>
      </c>
      <c r="B273">
        <v>2006</v>
      </c>
      <c r="C273" t="s">
        <v>75</v>
      </c>
      <c r="D273">
        <v>13.76</v>
      </c>
    </row>
    <row r="274" spans="1:4" x14ac:dyDescent="0.45">
      <c r="A274" t="s">
        <v>36</v>
      </c>
      <c r="B274">
        <v>2006</v>
      </c>
      <c r="C274" t="s">
        <v>75</v>
      </c>
      <c r="D274">
        <v>18.28</v>
      </c>
    </row>
    <row r="275" spans="1:4" x14ac:dyDescent="0.45">
      <c r="A275" t="s">
        <v>56</v>
      </c>
      <c r="B275">
        <v>2006</v>
      </c>
      <c r="C275" t="s">
        <v>75</v>
      </c>
      <c r="D275">
        <v>15.86</v>
      </c>
    </row>
    <row r="276" spans="1:4" x14ac:dyDescent="0.45">
      <c r="A276" t="s">
        <v>57</v>
      </c>
      <c r="B276">
        <v>2006</v>
      </c>
      <c r="C276" t="s">
        <v>75</v>
      </c>
      <c r="D276">
        <v>7.36</v>
      </c>
    </row>
    <row r="277" spans="1:4" x14ac:dyDescent="0.45">
      <c r="A277" t="s">
        <v>38</v>
      </c>
      <c r="B277">
        <v>2006</v>
      </c>
      <c r="C277" t="s">
        <v>75</v>
      </c>
      <c r="D277">
        <v>2.95</v>
      </c>
    </row>
    <row r="278" spans="1:4" x14ac:dyDescent="0.45">
      <c r="A278" t="s">
        <v>32</v>
      </c>
      <c r="B278">
        <v>2006</v>
      </c>
      <c r="C278" t="s">
        <v>75</v>
      </c>
      <c r="D278">
        <v>0.09</v>
      </c>
    </row>
    <row r="279" spans="1:4" x14ac:dyDescent="0.45">
      <c r="A279" t="s">
        <v>58</v>
      </c>
      <c r="B279">
        <v>2006</v>
      </c>
      <c r="C279" t="s">
        <v>75</v>
      </c>
      <c r="D279">
        <v>0.14000000000000001</v>
      </c>
    </row>
    <row r="280" spans="1:4" x14ac:dyDescent="0.45">
      <c r="A280" t="s">
        <v>91</v>
      </c>
      <c r="B280">
        <v>2006</v>
      </c>
      <c r="C280" t="s">
        <v>75</v>
      </c>
      <c r="D280">
        <v>11.72</v>
      </c>
    </row>
    <row r="281" spans="1:4" x14ac:dyDescent="0.45">
      <c r="A281" t="s">
        <v>32</v>
      </c>
      <c r="B281">
        <v>2007</v>
      </c>
      <c r="C281" t="s">
        <v>75</v>
      </c>
      <c r="D281">
        <v>0.55000000000000004</v>
      </c>
    </row>
    <row r="282" spans="1:4" x14ac:dyDescent="0.45">
      <c r="A282" t="s">
        <v>34</v>
      </c>
      <c r="B282">
        <v>2007</v>
      </c>
      <c r="C282" t="s">
        <v>75</v>
      </c>
      <c r="D282">
        <v>13</v>
      </c>
    </row>
    <row r="283" spans="1:4" x14ac:dyDescent="0.45">
      <c r="A283" t="s">
        <v>36</v>
      </c>
      <c r="B283">
        <v>2007</v>
      </c>
      <c r="C283" t="s">
        <v>75</v>
      </c>
      <c r="D283">
        <v>21.42</v>
      </c>
    </row>
    <row r="284" spans="1:4" x14ac:dyDescent="0.45">
      <c r="A284" t="s">
        <v>56</v>
      </c>
      <c r="B284">
        <v>2007</v>
      </c>
      <c r="C284" t="s">
        <v>75</v>
      </c>
      <c r="D284">
        <v>15.92</v>
      </c>
    </row>
    <row r="285" spans="1:4" x14ac:dyDescent="0.45">
      <c r="A285" t="s">
        <v>57</v>
      </c>
      <c r="B285">
        <v>2007</v>
      </c>
      <c r="C285" t="s">
        <v>75</v>
      </c>
      <c r="D285">
        <v>7.36</v>
      </c>
    </row>
    <row r="286" spans="1:4" x14ac:dyDescent="0.45">
      <c r="A286" t="s">
        <v>38</v>
      </c>
      <c r="B286">
        <v>2007</v>
      </c>
      <c r="C286" t="s">
        <v>75</v>
      </c>
      <c r="D286">
        <v>3.19</v>
      </c>
    </row>
    <row r="287" spans="1:4" x14ac:dyDescent="0.45">
      <c r="A287" t="s">
        <v>32</v>
      </c>
      <c r="B287">
        <v>2007</v>
      </c>
      <c r="C287" t="s">
        <v>75</v>
      </c>
      <c r="D287">
        <v>0.09</v>
      </c>
    </row>
    <row r="288" spans="1:4" x14ac:dyDescent="0.45">
      <c r="A288" t="s">
        <v>58</v>
      </c>
      <c r="B288">
        <v>2007</v>
      </c>
      <c r="C288" t="s">
        <v>75</v>
      </c>
      <c r="D288">
        <v>0.5</v>
      </c>
    </row>
    <row r="289" spans="1:4" x14ac:dyDescent="0.45">
      <c r="A289" t="s">
        <v>91</v>
      </c>
      <c r="B289">
        <v>2007</v>
      </c>
      <c r="C289" t="s">
        <v>75</v>
      </c>
      <c r="D289">
        <v>14.82</v>
      </c>
    </row>
    <row r="290" spans="1:4" x14ac:dyDescent="0.45">
      <c r="A290" t="s">
        <v>32</v>
      </c>
      <c r="B290">
        <v>2008</v>
      </c>
      <c r="C290" t="s">
        <v>75</v>
      </c>
      <c r="D290">
        <v>0.53</v>
      </c>
    </row>
    <row r="291" spans="1:4" x14ac:dyDescent="0.45">
      <c r="A291" t="s">
        <v>34</v>
      </c>
      <c r="B291">
        <v>2008</v>
      </c>
      <c r="C291" t="s">
        <v>75</v>
      </c>
      <c r="D291">
        <v>12.94</v>
      </c>
    </row>
    <row r="292" spans="1:4" x14ac:dyDescent="0.45">
      <c r="A292" t="s">
        <v>36</v>
      </c>
      <c r="B292">
        <v>2008</v>
      </c>
      <c r="C292" t="s">
        <v>75</v>
      </c>
      <c r="D292">
        <v>24.06</v>
      </c>
    </row>
    <row r="293" spans="1:4" x14ac:dyDescent="0.45">
      <c r="A293" t="s">
        <v>56</v>
      </c>
      <c r="B293">
        <v>2008</v>
      </c>
      <c r="C293" t="s">
        <v>75</v>
      </c>
      <c r="D293">
        <v>16</v>
      </c>
    </row>
    <row r="294" spans="1:4" x14ac:dyDescent="0.45">
      <c r="A294" t="s">
        <v>57</v>
      </c>
      <c r="B294">
        <v>2008</v>
      </c>
      <c r="C294" t="s">
        <v>75</v>
      </c>
      <c r="D294">
        <v>7.36</v>
      </c>
    </row>
    <row r="295" spans="1:4" x14ac:dyDescent="0.45">
      <c r="A295" t="s">
        <v>38</v>
      </c>
      <c r="B295">
        <v>2008</v>
      </c>
      <c r="C295" t="s">
        <v>75</v>
      </c>
      <c r="D295">
        <v>3.19</v>
      </c>
    </row>
    <row r="296" spans="1:4" x14ac:dyDescent="0.45">
      <c r="A296" t="s">
        <v>32</v>
      </c>
      <c r="B296">
        <v>2008</v>
      </c>
      <c r="C296" t="s">
        <v>75</v>
      </c>
      <c r="D296">
        <v>0.09</v>
      </c>
    </row>
    <row r="297" spans="1:4" x14ac:dyDescent="0.45">
      <c r="A297" t="s">
        <v>58</v>
      </c>
      <c r="B297">
        <v>2008</v>
      </c>
      <c r="C297" t="s">
        <v>75</v>
      </c>
      <c r="D297">
        <v>3.45</v>
      </c>
    </row>
    <row r="298" spans="1:4" x14ac:dyDescent="0.45">
      <c r="A298" t="s">
        <v>91</v>
      </c>
      <c r="B298">
        <v>2008</v>
      </c>
      <c r="C298" t="s">
        <v>75</v>
      </c>
      <c r="D298">
        <v>16.559999999999999</v>
      </c>
    </row>
    <row r="299" spans="1:4" x14ac:dyDescent="0.45">
      <c r="A299" t="s">
        <v>32</v>
      </c>
      <c r="B299">
        <v>2009</v>
      </c>
      <c r="C299" t="s">
        <v>75</v>
      </c>
      <c r="D299">
        <v>0.68</v>
      </c>
    </row>
    <row r="300" spans="1:4" x14ac:dyDescent="0.45">
      <c r="A300" t="s">
        <v>34</v>
      </c>
      <c r="B300">
        <v>2009</v>
      </c>
      <c r="C300" t="s">
        <v>75</v>
      </c>
      <c r="D300">
        <v>12.94</v>
      </c>
    </row>
    <row r="301" spans="1:4" x14ac:dyDescent="0.45">
      <c r="A301" t="s">
        <v>36</v>
      </c>
      <c r="B301">
        <v>2009</v>
      </c>
      <c r="C301" t="s">
        <v>75</v>
      </c>
      <c r="D301">
        <v>24.58</v>
      </c>
    </row>
    <row r="302" spans="1:4" x14ac:dyDescent="0.45">
      <c r="A302" t="s">
        <v>56</v>
      </c>
      <c r="B302">
        <v>2009</v>
      </c>
      <c r="C302" t="s">
        <v>75</v>
      </c>
      <c r="D302">
        <v>16.05</v>
      </c>
    </row>
    <row r="303" spans="1:4" x14ac:dyDescent="0.45">
      <c r="A303" t="s">
        <v>57</v>
      </c>
      <c r="B303">
        <v>2009</v>
      </c>
      <c r="C303" t="s">
        <v>75</v>
      </c>
      <c r="D303">
        <v>7.36</v>
      </c>
    </row>
    <row r="304" spans="1:4" x14ac:dyDescent="0.45">
      <c r="A304" t="s">
        <v>38</v>
      </c>
      <c r="B304">
        <v>2009</v>
      </c>
      <c r="C304" t="s">
        <v>75</v>
      </c>
      <c r="D304">
        <v>3.19</v>
      </c>
    </row>
    <row r="305" spans="1:4" x14ac:dyDescent="0.45">
      <c r="A305" t="s">
        <v>32</v>
      </c>
      <c r="B305">
        <v>2009</v>
      </c>
      <c r="C305" t="s">
        <v>75</v>
      </c>
      <c r="D305">
        <v>0.09</v>
      </c>
    </row>
    <row r="306" spans="1:4" x14ac:dyDescent="0.45">
      <c r="A306" t="s">
        <v>58</v>
      </c>
      <c r="B306">
        <v>2009</v>
      </c>
      <c r="C306" t="s">
        <v>75</v>
      </c>
      <c r="D306">
        <v>3.71</v>
      </c>
    </row>
    <row r="307" spans="1:4" x14ac:dyDescent="0.45">
      <c r="A307" t="s">
        <v>91</v>
      </c>
      <c r="B307">
        <v>2009</v>
      </c>
      <c r="C307" t="s">
        <v>75</v>
      </c>
      <c r="D307">
        <v>19.18</v>
      </c>
    </row>
    <row r="308" spans="1:4" x14ac:dyDescent="0.45">
      <c r="A308" t="s">
        <v>32</v>
      </c>
      <c r="B308">
        <v>2010</v>
      </c>
      <c r="C308" t="s">
        <v>75</v>
      </c>
      <c r="D308">
        <v>0.74</v>
      </c>
    </row>
    <row r="309" spans="1:4" x14ac:dyDescent="0.45">
      <c r="A309" t="s">
        <v>34</v>
      </c>
      <c r="B309">
        <v>2010</v>
      </c>
      <c r="C309" t="s">
        <v>75</v>
      </c>
      <c r="D309">
        <v>12.94</v>
      </c>
    </row>
    <row r="310" spans="1:4" x14ac:dyDescent="0.45">
      <c r="A310" t="s">
        <v>36</v>
      </c>
      <c r="B310">
        <v>2010</v>
      </c>
      <c r="C310" t="s">
        <v>75</v>
      </c>
      <c r="D310">
        <v>25.78</v>
      </c>
    </row>
    <row r="311" spans="1:4" x14ac:dyDescent="0.45">
      <c r="A311" t="s">
        <v>56</v>
      </c>
      <c r="B311">
        <v>2010</v>
      </c>
      <c r="C311" t="s">
        <v>75</v>
      </c>
      <c r="D311">
        <v>16.079999999999998</v>
      </c>
    </row>
    <row r="312" spans="1:4" x14ac:dyDescent="0.45">
      <c r="A312" t="s">
        <v>57</v>
      </c>
      <c r="B312">
        <v>2010</v>
      </c>
      <c r="C312" t="s">
        <v>75</v>
      </c>
      <c r="D312">
        <v>7.45</v>
      </c>
    </row>
    <row r="313" spans="1:4" x14ac:dyDescent="0.45">
      <c r="A313" t="s">
        <v>38</v>
      </c>
      <c r="B313">
        <v>2010</v>
      </c>
      <c r="C313" t="s">
        <v>75</v>
      </c>
      <c r="D313">
        <v>3.27</v>
      </c>
    </row>
    <row r="314" spans="1:4" x14ac:dyDescent="0.45">
      <c r="A314" t="s">
        <v>32</v>
      </c>
      <c r="B314">
        <v>2010</v>
      </c>
      <c r="C314" t="s">
        <v>75</v>
      </c>
      <c r="D314">
        <v>0.11</v>
      </c>
    </row>
    <row r="315" spans="1:4" x14ac:dyDescent="0.45">
      <c r="A315" t="s">
        <v>58</v>
      </c>
      <c r="B315">
        <v>2010</v>
      </c>
      <c r="C315" t="s">
        <v>75</v>
      </c>
      <c r="D315">
        <v>4.5999999999999996</v>
      </c>
    </row>
    <row r="316" spans="1:4" x14ac:dyDescent="0.45">
      <c r="A316" t="s">
        <v>91</v>
      </c>
      <c r="B316">
        <v>2010</v>
      </c>
      <c r="C316" t="s">
        <v>75</v>
      </c>
      <c r="D316">
        <v>20.69</v>
      </c>
    </row>
    <row r="317" spans="1:4" x14ac:dyDescent="0.45">
      <c r="A317" t="s">
        <v>32</v>
      </c>
      <c r="B317">
        <v>2011</v>
      </c>
      <c r="C317" t="s">
        <v>75</v>
      </c>
      <c r="D317">
        <v>0.78</v>
      </c>
    </row>
    <row r="318" spans="1:4" x14ac:dyDescent="0.45">
      <c r="A318" t="s">
        <v>34</v>
      </c>
      <c r="B318">
        <v>2011</v>
      </c>
      <c r="C318" t="s">
        <v>75</v>
      </c>
      <c r="D318">
        <v>12.78</v>
      </c>
    </row>
    <row r="319" spans="1:4" x14ac:dyDescent="0.45">
      <c r="A319" t="s">
        <v>36</v>
      </c>
      <c r="B319">
        <v>2011</v>
      </c>
      <c r="C319" t="s">
        <v>75</v>
      </c>
      <c r="D319">
        <v>27.23</v>
      </c>
    </row>
    <row r="320" spans="1:4" x14ac:dyDescent="0.45">
      <c r="A320" t="s">
        <v>56</v>
      </c>
      <c r="B320">
        <v>2011</v>
      </c>
      <c r="C320" t="s">
        <v>75</v>
      </c>
      <c r="D320">
        <v>16.09</v>
      </c>
    </row>
    <row r="321" spans="1:4" x14ac:dyDescent="0.45">
      <c r="A321" t="s">
        <v>57</v>
      </c>
      <c r="B321">
        <v>2011</v>
      </c>
      <c r="C321" t="s">
        <v>75</v>
      </c>
      <c r="D321">
        <v>7.45</v>
      </c>
    </row>
    <row r="322" spans="1:4" x14ac:dyDescent="0.45">
      <c r="A322" t="s">
        <v>38</v>
      </c>
      <c r="B322">
        <v>2011</v>
      </c>
      <c r="C322" t="s">
        <v>75</v>
      </c>
      <c r="D322">
        <v>3.27</v>
      </c>
    </row>
    <row r="323" spans="1:4" x14ac:dyDescent="0.45">
      <c r="A323" t="s">
        <v>32</v>
      </c>
      <c r="B323">
        <v>2011</v>
      </c>
      <c r="C323" t="s">
        <v>75</v>
      </c>
      <c r="D323">
        <v>0.11</v>
      </c>
    </row>
    <row r="324" spans="1:4" x14ac:dyDescent="0.45">
      <c r="A324" t="s">
        <v>58</v>
      </c>
      <c r="B324">
        <v>2011</v>
      </c>
      <c r="C324" t="s">
        <v>75</v>
      </c>
      <c r="D324">
        <v>5.43</v>
      </c>
    </row>
    <row r="325" spans="1:4" x14ac:dyDescent="0.45">
      <c r="A325" t="s">
        <v>91</v>
      </c>
      <c r="B325">
        <v>2011</v>
      </c>
      <c r="C325" t="s">
        <v>75</v>
      </c>
      <c r="D325">
        <v>21.53</v>
      </c>
    </row>
    <row r="326" spans="1:4" x14ac:dyDescent="0.45">
      <c r="A326" t="s">
        <v>32</v>
      </c>
      <c r="B326">
        <v>2012</v>
      </c>
      <c r="C326" t="s">
        <v>75</v>
      </c>
      <c r="D326">
        <v>0.87</v>
      </c>
    </row>
    <row r="327" spans="1:4" x14ac:dyDescent="0.45">
      <c r="A327" t="s">
        <v>34</v>
      </c>
      <c r="B327">
        <v>2012</v>
      </c>
      <c r="C327" t="s">
        <v>75</v>
      </c>
      <c r="D327">
        <v>11.98</v>
      </c>
    </row>
    <row r="328" spans="1:4" x14ac:dyDescent="0.45">
      <c r="A328" t="s">
        <v>36</v>
      </c>
      <c r="B328">
        <v>2012</v>
      </c>
      <c r="C328" t="s">
        <v>75</v>
      </c>
      <c r="D328">
        <v>27.28</v>
      </c>
    </row>
    <row r="329" spans="1:4" x14ac:dyDescent="0.45">
      <c r="A329" t="s">
        <v>56</v>
      </c>
      <c r="B329">
        <v>2012</v>
      </c>
      <c r="C329" t="s">
        <v>75</v>
      </c>
      <c r="D329">
        <v>16.100000000000001</v>
      </c>
    </row>
    <row r="330" spans="1:4" x14ac:dyDescent="0.45">
      <c r="A330" t="s">
        <v>57</v>
      </c>
      <c r="B330">
        <v>2012</v>
      </c>
      <c r="C330" t="s">
        <v>75</v>
      </c>
      <c r="D330">
        <v>7.45</v>
      </c>
    </row>
    <row r="331" spans="1:4" x14ac:dyDescent="0.45">
      <c r="A331" t="s">
        <v>38</v>
      </c>
      <c r="B331">
        <v>2012</v>
      </c>
      <c r="C331" t="s">
        <v>75</v>
      </c>
      <c r="D331">
        <v>3.27</v>
      </c>
    </row>
    <row r="332" spans="1:4" x14ac:dyDescent="0.45">
      <c r="A332" t="s">
        <v>32</v>
      </c>
      <c r="B332">
        <v>2012</v>
      </c>
      <c r="C332" t="s">
        <v>75</v>
      </c>
      <c r="D332">
        <v>0.11</v>
      </c>
    </row>
    <row r="333" spans="1:4" x14ac:dyDescent="0.45">
      <c r="A333" t="s">
        <v>58</v>
      </c>
      <c r="B333">
        <v>2012</v>
      </c>
      <c r="C333" t="s">
        <v>75</v>
      </c>
      <c r="D333">
        <v>6.57</v>
      </c>
    </row>
    <row r="334" spans="1:4" x14ac:dyDescent="0.45">
      <c r="A334" t="s">
        <v>91</v>
      </c>
      <c r="B334">
        <v>2012</v>
      </c>
      <c r="C334" t="s">
        <v>75</v>
      </c>
      <c r="D334">
        <v>22.79</v>
      </c>
    </row>
    <row r="335" spans="1:4" x14ac:dyDescent="0.45">
      <c r="A335" t="s">
        <v>32</v>
      </c>
      <c r="B335">
        <v>2013</v>
      </c>
      <c r="C335" t="s">
        <v>75</v>
      </c>
      <c r="D335">
        <v>0.9</v>
      </c>
    </row>
    <row r="336" spans="1:4" x14ac:dyDescent="0.45">
      <c r="A336" t="s">
        <v>34</v>
      </c>
      <c r="B336">
        <v>2013</v>
      </c>
      <c r="C336" t="s">
        <v>75</v>
      </c>
      <c r="D336">
        <v>11.39</v>
      </c>
    </row>
    <row r="337" spans="1:4" x14ac:dyDescent="0.45">
      <c r="A337" t="s">
        <v>36</v>
      </c>
      <c r="B337">
        <v>2013</v>
      </c>
      <c r="C337" t="s">
        <v>75</v>
      </c>
      <c r="D337">
        <v>27.33</v>
      </c>
    </row>
    <row r="338" spans="1:4" x14ac:dyDescent="0.45">
      <c r="A338" t="s">
        <v>56</v>
      </c>
      <c r="B338">
        <v>2013</v>
      </c>
      <c r="C338" t="s">
        <v>75</v>
      </c>
      <c r="D338">
        <v>15.85</v>
      </c>
    </row>
    <row r="339" spans="1:4" x14ac:dyDescent="0.45">
      <c r="A339" t="s">
        <v>57</v>
      </c>
      <c r="B339">
        <v>2013</v>
      </c>
      <c r="C339" t="s">
        <v>75</v>
      </c>
      <c r="D339">
        <v>6.98</v>
      </c>
    </row>
    <row r="340" spans="1:4" x14ac:dyDescent="0.45">
      <c r="A340" t="s">
        <v>38</v>
      </c>
      <c r="B340">
        <v>2013</v>
      </c>
      <c r="C340" t="s">
        <v>75</v>
      </c>
      <c r="D340">
        <v>3.27</v>
      </c>
    </row>
    <row r="341" spans="1:4" x14ac:dyDescent="0.45">
      <c r="A341" t="s">
        <v>32</v>
      </c>
      <c r="B341">
        <v>2013</v>
      </c>
      <c r="C341" t="s">
        <v>75</v>
      </c>
      <c r="D341">
        <v>0.12</v>
      </c>
    </row>
    <row r="342" spans="1:4" x14ac:dyDescent="0.45">
      <c r="A342" t="s">
        <v>58</v>
      </c>
      <c r="B342">
        <v>2013</v>
      </c>
      <c r="C342" t="s">
        <v>75</v>
      </c>
      <c r="D342">
        <v>6.99</v>
      </c>
    </row>
    <row r="343" spans="1:4" x14ac:dyDescent="0.45">
      <c r="A343" t="s">
        <v>91</v>
      </c>
      <c r="B343">
        <v>2013</v>
      </c>
      <c r="C343" t="s">
        <v>75</v>
      </c>
      <c r="D343">
        <v>22.96</v>
      </c>
    </row>
    <row r="344" spans="1:4" x14ac:dyDescent="0.45">
      <c r="A344" t="s">
        <v>32</v>
      </c>
      <c r="B344">
        <v>2014</v>
      </c>
      <c r="C344" t="s">
        <v>75</v>
      </c>
      <c r="D344">
        <v>0.92</v>
      </c>
    </row>
    <row r="345" spans="1:4" x14ac:dyDescent="0.45">
      <c r="A345" t="s">
        <v>34</v>
      </c>
      <c r="B345">
        <v>2014</v>
      </c>
      <c r="C345" t="s">
        <v>75</v>
      </c>
      <c r="D345">
        <v>11.39</v>
      </c>
    </row>
    <row r="346" spans="1:4" x14ac:dyDescent="0.45">
      <c r="A346" t="s">
        <v>36</v>
      </c>
      <c r="B346">
        <v>2014</v>
      </c>
      <c r="C346" t="s">
        <v>75</v>
      </c>
      <c r="D346">
        <v>27.33</v>
      </c>
    </row>
    <row r="347" spans="1:4" x14ac:dyDescent="0.45">
      <c r="A347" t="s">
        <v>56</v>
      </c>
      <c r="B347">
        <v>2014</v>
      </c>
      <c r="C347" t="s">
        <v>75</v>
      </c>
      <c r="D347">
        <v>15.89</v>
      </c>
    </row>
    <row r="348" spans="1:4" x14ac:dyDescent="0.45">
      <c r="A348" t="s">
        <v>57</v>
      </c>
      <c r="B348">
        <v>2014</v>
      </c>
      <c r="C348" t="s">
        <v>75</v>
      </c>
      <c r="D348">
        <v>7.4</v>
      </c>
    </row>
    <row r="349" spans="1:4" x14ac:dyDescent="0.45">
      <c r="A349" t="s">
        <v>38</v>
      </c>
      <c r="B349">
        <v>2014</v>
      </c>
      <c r="C349" t="s">
        <v>75</v>
      </c>
      <c r="D349">
        <v>3.27</v>
      </c>
    </row>
    <row r="350" spans="1:4" x14ac:dyDescent="0.45">
      <c r="A350" t="s">
        <v>32</v>
      </c>
      <c r="B350">
        <v>2014</v>
      </c>
      <c r="C350" t="s">
        <v>75</v>
      </c>
      <c r="D350">
        <v>0.12</v>
      </c>
    </row>
    <row r="351" spans="1:4" x14ac:dyDescent="0.45">
      <c r="A351" t="s">
        <v>58</v>
      </c>
      <c r="B351">
        <v>2014</v>
      </c>
      <c r="C351" t="s">
        <v>75</v>
      </c>
      <c r="D351">
        <v>7</v>
      </c>
    </row>
    <row r="352" spans="1:4" x14ac:dyDescent="0.45">
      <c r="A352" t="s">
        <v>91</v>
      </c>
      <c r="B352">
        <v>2014</v>
      </c>
      <c r="C352" t="s">
        <v>75</v>
      </c>
      <c r="D352">
        <v>22.93</v>
      </c>
    </row>
    <row r="353" spans="1:4" x14ac:dyDescent="0.45">
      <c r="A353" t="s">
        <v>32</v>
      </c>
      <c r="B353">
        <v>2015</v>
      </c>
      <c r="C353" t="s">
        <v>75</v>
      </c>
      <c r="D353">
        <v>0.92</v>
      </c>
    </row>
    <row r="354" spans="1:4" x14ac:dyDescent="0.45">
      <c r="A354" t="s">
        <v>34</v>
      </c>
      <c r="B354">
        <v>2015</v>
      </c>
      <c r="C354" t="s">
        <v>75</v>
      </c>
      <c r="D354">
        <v>11.14</v>
      </c>
    </row>
    <row r="355" spans="1:4" x14ac:dyDescent="0.45">
      <c r="A355" t="s">
        <v>36</v>
      </c>
      <c r="B355">
        <v>2015</v>
      </c>
      <c r="C355" t="s">
        <v>75</v>
      </c>
      <c r="D355">
        <v>27.33</v>
      </c>
    </row>
    <row r="356" spans="1:4" x14ac:dyDescent="0.45">
      <c r="A356" t="s">
        <v>56</v>
      </c>
      <c r="B356">
        <v>2015</v>
      </c>
      <c r="C356" t="s">
        <v>75</v>
      </c>
      <c r="D356">
        <v>16.72</v>
      </c>
    </row>
    <row r="357" spans="1:4" x14ac:dyDescent="0.45">
      <c r="A357" t="s">
        <v>57</v>
      </c>
      <c r="B357">
        <v>2015</v>
      </c>
      <c r="C357" t="s">
        <v>75</v>
      </c>
      <c r="D357">
        <v>7.4</v>
      </c>
    </row>
    <row r="358" spans="1:4" x14ac:dyDescent="0.45">
      <c r="A358" t="s">
        <v>38</v>
      </c>
      <c r="B358">
        <v>2015</v>
      </c>
      <c r="C358" t="s">
        <v>75</v>
      </c>
      <c r="D358">
        <v>3.33</v>
      </c>
    </row>
    <row r="359" spans="1:4" x14ac:dyDescent="0.45">
      <c r="A359" t="s">
        <v>32</v>
      </c>
      <c r="B359">
        <v>2015</v>
      </c>
      <c r="C359" t="s">
        <v>75</v>
      </c>
      <c r="D359">
        <v>0.12</v>
      </c>
    </row>
    <row r="360" spans="1:4" x14ac:dyDescent="0.45">
      <c r="A360" t="s">
        <v>58</v>
      </c>
      <c r="B360">
        <v>2015</v>
      </c>
      <c r="C360" t="s">
        <v>75</v>
      </c>
      <c r="D360">
        <v>7.01</v>
      </c>
    </row>
    <row r="361" spans="1:4" x14ac:dyDescent="0.45">
      <c r="A361" t="s">
        <v>91</v>
      </c>
      <c r="B361">
        <v>2015</v>
      </c>
      <c r="C361" t="s">
        <v>75</v>
      </c>
      <c r="D361">
        <v>22.94</v>
      </c>
    </row>
    <row r="362" spans="1:4" x14ac:dyDescent="0.45">
      <c r="A362" t="s">
        <v>32</v>
      </c>
      <c r="B362">
        <v>2016</v>
      </c>
      <c r="C362" t="s">
        <v>75</v>
      </c>
      <c r="D362">
        <v>0.92</v>
      </c>
    </row>
    <row r="363" spans="1:4" x14ac:dyDescent="0.45">
      <c r="A363" t="s">
        <v>34</v>
      </c>
      <c r="B363">
        <v>2016</v>
      </c>
      <c r="C363" t="s">
        <v>75</v>
      </c>
      <c r="D363">
        <v>10.61</v>
      </c>
    </row>
    <row r="364" spans="1:4" x14ac:dyDescent="0.45">
      <c r="A364" t="s">
        <v>36</v>
      </c>
      <c r="B364">
        <v>2016</v>
      </c>
      <c r="C364" t="s">
        <v>75</v>
      </c>
      <c r="D364">
        <v>27.33</v>
      </c>
    </row>
    <row r="365" spans="1:4" x14ac:dyDescent="0.45">
      <c r="A365" t="s">
        <v>56</v>
      </c>
      <c r="B365">
        <v>2016</v>
      </c>
      <c r="C365" t="s">
        <v>75</v>
      </c>
      <c r="D365">
        <v>16.75</v>
      </c>
    </row>
    <row r="366" spans="1:4" x14ac:dyDescent="0.45">
      <c r="A366" t="s">
        <v>57</v>
      </c>
      <c r="B366">
        <v>2016</v>
      </c>
      <c r="C366" t="s">
        <v>75</v>
      </c>
      <c r="D366">
        <v>7.4</v>
      </c>
    </row>
    <row r="367" spans="1:4" x14ac:dyDescent="0.45">
      <c r="A367" t="s">
        <v>38</v>
      </c>
      <c r="B367">
        <v>2016</v>
      </c>
      <c r="C367" t="s">
        <v>75</v>
      </c>
      <c r="D367">
        <v>3.33</v>
      </c>
    </row>
    <row r="368" spans="1:4" x14ac:dyDescent="0.45">
      <c r="A368" t="s">
        <v>32</v>
      </c>
      <c r="B368">
        <v>2016</v>
      </c>
      <c r="C368" t="s">
        <v>75</v>
      </c>
      <c r="D368">
        <v>0.12</v>
      </c>
    </row>
    <row r="369" spans="1:4" x14ac:dyDescent="0.45">
      <c r="A369" t="s">
        <v>58</v>
      </c>
      <c r="B369">
        <v>2016</v>
      </c>
      <c r="C369" t="s">
        <v>75</v>
      </c>
      <c r="D369">
        <v>7.02</v>
      </c>
    </row>
    <row r="370" spans="1:4" x14ac:dyDescent="0.45">
      <c r="A370" t="s">
        <v>91</v>
      </c>
      <c r="B370">
        <v>2016</v>
      </c>
      <c r="C370" t="s">
        <v>75</v>
      </c>
      <c r="D370">
        <v>22.99</v>
      </c>
    </row>
    <row r="371" spans="1:4" x14ac:dyDescent="0.45">
      <c r="A371" t="s">
        <v>32</v>
      </c>
      <c r="B371">
        <v>2017</v>
      </c>
      <c r="C371" t="s">
        <v>75</v>
      </c>
      <c r="D371">
        <v>0.92</v>
      </c>
    </row>
    <row r="372" spans="1:4" x14ac:dyDescent="0.45">
      <c r="A372" t="s">
        <v>34</v>
      </c>
      <c r="B372">
        <v>2017</v>
      </c>
      <c r="C372" t="s">
        <v>75</v>
      </c>
      <c r="D372">
        <v>10.61</v>
      </c>
    </row>
    <row r="373" spans="1:4" x14ac:dyDescent="0.45">
      <c r="A373" t="s">
        <v>36</v>
      </c>
      <c r="B373">
        <v>2017</v>
      </c>
      <c r="C373" t="s">
        <v>75</v>
      </c>
      <c r="D373">
        <v>27.33</v>
      </c>
    </row>
    <row r="374" spans="1:4" x14ac:dyDescent="0.45">
      <c r="A374" t="s">
        <v>56</v>
      </c>
      <c r="B374">
        <v>2017</v>
      </c>
      <c r="C374" t="s">
        <v>75</v>
      </c>
      <c r="D374">
        <v>16.75</v>
      </c>
    </row>
    <row r="375" spans="1:4" x14ac:dyDescent="0.45">
      <c r="A375" t="s">
        <v>57</v>
      </c>
      <c r="B375">
        <v>2017</v>
      </c>
      <c r="C375" t="s">
        <v>75</v>
      </c>
      <c r="D375">
        <v>7.12</v>
      </c>
    </row>
    <row r="376" spans="1:4" x14ac:dyDescent="0.45">
      <c r="A376" t="s">
        <v>38</v>
      </c>
      <c r="B376">
        <v>2017</v>
      </c>
      <c r="C376" t="s">
        <v>75</v>
      </c>
      <c r="D376">
        <v>3.33</v>
      </c>
    </row>
    <row r="377" spans="1:4" x14ac:dyDescent="0.45">
      <c r="A377" t="s">
        <v>32</v>
      </c>
      <c r="B377">
        <v>2017</v>
      </c>
      <c r="C377" t="s">
        <v>75</v>
      </c>
      <c r="D377">
        <v>0.13</v>
      </c>
    </row>
    <row r="378" spans="1:4" x14ac:dyDescent="0.45">
      <c r="A378" t="s">
        <v>58</v>
      </c>
      <c r="B378">
        <v>2017</v>
      </c>
      <c r="C378" t="s">
        <v>75</v>
      </c>
      <c r="D378">
        <v>7.03</v>
      </c>
    </row>
    <row r="379" spans="1:4" x14ac:dyDescent="0.45">
      <c r="A379" t="s">
        <v>91</v>
      </c>
      <c r="B379">
        <v>2017</v>
      </c>
      <c r="C379" t="s">
        <v>75</v>
      </c>
      <c r="D379">
        <v>23.12</v>
      </c>
    </row>
    <row r="380" spans="1:4" x14ac:dyDescent="0.45">
      <c r="A380" t="s">
        <v>32</v>
      </c>
      <c r="B380">
        <v>2018</v>
      </c>
      <c r="C380" t="s">
        <v>75</v>
      </c>
      <c r="D380">
        <v>0.94</v>
      </c>
    </row>
    <row r="381" spans="1:4" x14ac:dyDescent="0.45">
      <c r="A381" t="s">
        <v>34</v>
      </c>
      <c r="B381">
        <v>2018</v>
      </c>
      <c r="C381" t="s">
        <v>75</v>
      </c>
      <c r="D381">
        <v>10.24</v>
      </c>
    </row>
    <row r="382" spans="1:4" x14ac:dyDescent="0.45">
      <c r="A382" t="s">
        <v>36</v>
      </c>
      <c r="B382">
        <v>2018</v>
      </c>
      <c r="C382" t="s">
        <v>75</v>
      </c>
      <c r="D382">
        <v>27.35</v>
      </c>
    </row>
    <row r="383" spans="1:4" x14ac:dyDescent="0.45">
      <c r="A383" t="s">
        <v>56</v>
      </c>
      <c r="B383">
        <v>2018</v>
      </c>
      <c r="C383" t="s">
        <v>75</v>
      </c>
      <c r="D383">
        <v>16.75</v>
      </c>
    </row>
    <row r="384" spans="1:4" x14ac:dyDescent="0.45">
      <c r="A384" t="s">
        <v>57</v>
      </c>
      <c r="B384">
        <v>2018</v>
      </c>
      <c r="C384" t="s">
        <v>75</v>
      </c>
      <c r="D384">
        <v>7.12</v>
      </c>
    </row>
    <row r="385" spans="1:4" x14ac:dyDescent="0.45">
      <c r="A385" t="s">
        <v>38</v>
      </c>
      <c r="B385">
        <v>2018</v>
      </c>
      <c r="C385" t="s">
        <v>75</v>
      </c>
      <c r="D385">
        <v>3.33</v>
      </c>
    </row>
    <row r="386" spans="1:4" x14ac:dyDescent="0.45">
      <c r="A386" t="s">
        <v>32</v>
      </c>
      <c r="B386">
        <v>2018</v>
      </c>
      <c r="C386" t="s">
        <v>75</v>
      </c>
      <c r="D386">
        <v>0.13</v>
      </c>
    </row>
    <row r="387" spans="1:4" x14ac:dyDescent="0.45">
      <c r="A387" t="s">
        <v>58</v>
      </c>
      <c r="B387">
        <v>2018</v>
      </c>
      <c r="C387" t="s">
        <v>75</v>
      </c>
      <c r="D387">
        <v>7.07</v>
      </c>
    </row>
    <row r="388" spans="1:4" x14ac:dyDescent="0.45">
      <c r="A388" t="s">
        <v>91</v>
      </c>
      <c r="B388">
        <v>2018</v>
      </c>
      <c r="C388" t="s">
        <v>75</v>
      </c>
      <c r="D388">
        <v>23.41</v>
      </c>
    </row>
    <row r="389" spans="1:4" x14ac:dyDescent="0.45">
      <c r="A389" t="s">
        <v>32</v>
      </c>
      <c r="B389">
        <v>2019</v>
      </c>
      <c r="C389" t="s">
        <v>75</v>
      </c>
      <c r="D389">
        <v>0.99</v>
      </c>
    </row>
    <row r="390" spans="1:4" x14ac:dyDescent="0.45">
      <c r="A390" t="s">
        <v>34</v>
      </c>
      <c r="B390">
        <v>2019</v>
      </c>
      <c r="C390" t="s">
        <v>75</v>
      </c>
      <c r="D390">
        <v>9.99</v>
      </c>
    </row>
    <row r="391" spans="1:4" x14ac:dyDescent="0.45">
      <c r="A391" t="s">
        <v>36</v>
      </c>
      <c r="B391">
        <v>2019</v>
      </c>
      <c r="C391" t="s">
        <v>75</v>
      </c>
      <c r="D391">
        <v>27.35</v>
      </c>
    </row>
    <row r="392" spans="1:4" x14ac:dyDescent="0.45">
      <c r="A392" t="s">
        <v>56</v>
      </c>
      <c r="B392">
        <v>2019</v>
      </c>
      <c r="C392" t="s">
        <v>75</v>
      </c>
      <c r="D392">
        <v>16.78</v>
      </c>
    </row>
    <row r="393" spans="1:4" x14ac:dyDescent="0.45">
      <c r="A393" t="s">
        <v>57</v>
      </c>
      <c r="B393">
        <v>2019</v>
      </c>
      <c r="C393" t="s">
        <v>75</v>
      </c>
      <c r="D393">
        <v>7.12</v>
      </c>
    </row>
    <row r="394" spans="1:4" x14ac:dyDescent="0.45">
      <c r="A394" t="s">
        <v>38</v>
      </c>
      <c r="B394">
        <v>2019</v>
      </c>
      <c r="C394" t="s">
        <v>75</v>
      </c>
      <c r="D394">
        <v>3.33</v>
      </c>
    </row>
    <row r="395" spans="1:4" x14ac:dyDescent="0.45">
      <c r="A395" t="s">
        <v>32</v>
      </c>
      <c r="B395">
        <v>2019</v>
      </c>
      <c r="C395" t="s">
        <v>75</v>
      </c>
      <c r="D395">
        <v>0.13</v>
      </c>
    </row>
    <row r="396" spans="1:4" x14ac:dyDescent="0.45">
      <c r="A396" t="s">
        <v>58</v>
      </c>
      <c r="B396">
        <v>2019</v>
      </c>
      <c r="C396" t="s">
        <v>75</v>
      </c>
      <c r="D396">
        <v>11.11</v>
      </c>
    </row>
    <row r="397" spans="1:4" x14ac:dyDescent="0.45">
      <c r="A397" t="s">
        <v>91</v>
      </c>
      <c r="B397">
        <v>2019</v>
      </c>
      <c r="C397" t="s">
        <v>75</v>
      </c>
      <c r="D397">
        <v>25.59</v>
      </c>
    </row>
    <row r="398" spans="1:4" x14ac:dyDescent="0.45">
      <c r="A398" t="s">
        <v>32</v>
      </c>
      <c r="B398">
        <v>2020</v>
      </c>
      <c r="C398" t="s">
        <v>75</v>
      </c>
      <c r="D398">
        <v>1.1399999999999999</v>
      </c>
    </row>
    <row r="399" spans="1:4" x14ac:dyDescent="0.45">
      <c r="A399" t="s">
        <v>34</v>
      </c>
      <c r="B399">
        <v>2020</v>
      </c>
      <c r="C399" t="s">
        <v>75</v>
      </c>
      <c r="D399">
        <v>5.2</v>
      </c>
    </row>
    <row r="400" spans="1:4" x14ac:dyDescent="0.45">
      <c r="A400" t="s">
        <v>36</v>
      </c>
      <c r="B400">
        <v>2020</v>
      </c>
      <c r="C400" t="s">
        <v>75</v>
      </c>
      <c r="D400">
        <v>27.27</v>
      </c>
    </row>
    <row r="401" spans="1:4" x14ac:dyDescent="0.45">
      <c r="A401" t="s">
        <v>56</v>
      </c>
      <c r="B401">
        <v>2020</v>
      </c>
      <c r="C401" t="s">
        <v>75</v>
      </c>
      <c r="D401">
        <v>16.79</v>
      </c>
    </row>
    <row r="402" spans="1:4" x14ac:dyDescent="0.45">
      <c r="A402" t="s">
        <v>57</v>
      </c>
      <c r="B402">
        <v>2020</v>
      </c>
      <c r="C402" t="s">
        <v>75</v>
      </c>
      <c r="D402">
        <v>7.12</v>
      </c>
    </row>
    <row r="403" spans="1:4" x14ac:dyDescent="0.45">
      <c r="A403" t="s">
        <v>38</v>
      </c>
      <c r="B403">
        <v>2020</v>
      </c>
      <c r="C403" t="s">
        <v>75</v>
      </c>
      <c r="D403">
        <v>3.21</v>
      </c>
    </row>
    <row r="404" spans="1:4" x14ac:dyDescent="0.45">
      <c r="A404" t="s">
        <v>32</v>
      </c>
      <c r="B404">
        <v>2020</v>
      </c>
      <c r="C404" t="s">
        <v>75</v>
      </c>
      <c r="D404">
        <v>0.13</v>
      </c>
    </row>
    <row r="405" spans="1:4" x14ac:dyDescent="0.45">
      <c r="A405" t="s">
        <v>58</v>
      </c>
      <c r="B405">
        <v>2020</v>
      </c>
      <c r="C405" t="s">
        <v>75</v>
      </c>
      <c r="D405">
        <v>12.44</v>
      </c>
    </row>
    <row r="406" spans="1:4" x14ac:dyDescent="0.45">
      <c r="A406" t="s">
        <v>91</v>
      </c>
      <c r="B406">
        <v>2020</v>
      </c>
      <c r="C406" t="s">
        <v>75</v>
      </c>
      <c r="D406">
        <v>26.82</v>
      </c>
    </row>
    <row r="407" spans="1:4" x14ac:dyDescent="0.45">
      <c r="A407" t="s">
        <v>32</v>
      </c>
      <c r="B407">
        <v>2021</v>
      </c>
      <c r="C407" t="s">
        <v>75</v>
      </c>
      <c r="D407">
        <v>1.1399999999999999</v>
      </c>
    </row>
    <row r="408" spans="1:4" x14ac:dyDescent="0.45">
      <c r="A408" t="s">
        <v>34</v>
      </c>
      <c r="B408">
        <v>2021</v>
      </c>
      <c r="C408" t="s">
        <v>75</v>
      </c>
      <c r="D408">
        <v>3.68</v>
      </c>
    </row>
    <row r="409" spans="1:4" x14ac:dyDescent="0.45">
      <c r="A409" t="s">
        <v>36</v>
      </c>
      <c r="B409">
        <v>2021</v>
      </c>
      <c r="C409" t="s">
        <v>75</v>
      </c>
      <c r="D409">
        <v>27.27</v>
      </c>
    </row>
    <row r="410" spans="1:4" x14ac:dyDescent="0.45">
      <c r="A410" t="s">
        <v>56</v>
      </c>
      <c r="B410">
        <v>2021</v>
      </c>
      <c r="C410" t="s">
        <v>75</v>
      </c>
      <c r="D410">
        <v>16.8</v>
      </c>
    </row>
    <row r="411" spans="1:4" x14ac:dyDescent="0.45">
      <c r="A411" t="s">
        <v>57</v>
      </c>
      <c r="B411">
        <v>2021</v>
      </c>
      <c r="C411" t="s">
        <v>75</v>
      </c>
      <c r="D411">
        <v>7.12</v>
      </c>
    </row>
    <row r="412" spans="1:4" x14ac:dyDescent="0.45">
      <c r="A412" t="s">
        <v>38</v>
      </c>
      <c r="B412">
        <v>2021</v>
      </c>
      <c r="C412" t="s">
        <v>75</v>
      </c>
      <c r="D412">
        <v>3.21</v>
      </c>
    </row>
    <row r="413" spans="1:4" x14ac:dyDescent="0.45">
      <c r="A413" t="s">
        <v>32</v>
      </c>
      <c r="B413">
        <v>2021</v>
      </c>
      <c r="C413" t="s">
        <v>75</v>
      </c>
      <c r="D413">
        <v>0.14000000000000001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16.02</v>
      </c>
    </row>
    <row r="415" spans="1:4" x14ac:dyDescent="0.45">
      <c r="A415" t="s">
        <v>91</v>
      </c>
      <c r="B415">
        <v>2021</v>
      </c>
      <c r="C415" t="s">
        <v>75</v>
      </c>
      <c r="D415">
        <v>27.91</v>
      </c>
    </row>
    <row r="416" spans="1:4" x14ac:dyDescent="0.45">
      <c r="A416" t="s">
        <v>32</v>
      </c>
      <c r="B416">
        <v>2022</v>
      </c>
      <c r="C416" t="s">
        <v>75</v>
      </c>
      <c r="D416">
        <v>1.1499999999999999</v>
      </c>
    </row>
    <row r="417" spans="1:4" x14ac:dyDescent="0.45">
      <c r="A417" t="s">
        <v>34</v>
      </c>
      <c r="B417">
        <v>2022</v>
      </c>
      <c r="C417" t="s">
        <v>75</v>
      </c>
      <c r="D417">
        <v>2.95</v>
      </c>
    </row>
    <row r="418" spans="1:4" x14ac:dyDescent="0.45">
      <c r="A418" t="s">
        <v>36</v>
      </c>
      <c r="B418">
        <v>2022</v>
      </c>
      <c r="C418" t="s">
        <v>75</v>
      </c>
      <c r="D418">
        <v>27.27</v>
      </c>
    </row>
    <row r="419" spans="1:4" x14ac:dyDescent="0.45">
      <c r="A419" t="s">
        <v>56</v>
      </c>
      <c r="B419">
        <v>2022</v>
      </c>
      <c r="C419" t="s">
        <v>75</v>
      </c>
      <c r="D419">
        <v>16.809999999999999</v>
      </c>
    </row>
    <row r="420" spans="1:4" x14ac:dyDescent="0.45">
      <c r="A420" t="s">
        <v>57</v>
      </c>
      <c r="B420">
        <v>2022</v>
      </c>
      <c r="C420" t="s">
        <v>75</v>
      </c>
      <c r="D420">
        <v>7.12</v>
      </c>
    </row>
    <row r="421" spans="1:4" x14ac:dyDescent="0.45">
      <c r="A421" t="s">
        <v>38</v>
      </c>
      <c r="B421">
        <v>2022</v>
      </c>
      <c r="C421" t="s">
        <v>75</v>
      </c>
      <c r="D421">
        <v>3.21</v>
      </c>
    </row>
    <row r="422" spans="1:4" x14ac:dyDescent="0.45">
      <c r="A422" t="s">
        <v>32</v>
      </c>
      <c r="B422">
        <v>2022</v>
      </c>
      <c r="C422" t="s">
        <v>75</v>
      </c>
      <c r="D422">
        <v>0.14000000000000001</v>
      </c>
    </row>
    <row r="423" spans="1:4" x14ac:dyDescent="0.45">
      <c r="A423" t="s">
        <v>58</v>
      </c>
      <c r="B423">
        <v>2022</v>
      </c>
      <c r="C423" t="s">
        <v>75</v>
      </c>
      <c r="D423">
        <v>25.62</v>
      </c>
    </row>
    <row r="424" spans="1:4" x14ac:dyDescent="0.45">
      <c r="A424" t="s">
        <v>91</v>
      </c>
      <c r="B424">
        <v>2022</v>
      </c>
      <c r="C424" t="s">
        <v>75</v>
      </c>
      <c r="D424">
        <v>30.11</v>
      </c>
    </row>
    <row r="425" spans="1:4" x14ac:dyDescent="0.45">
      <c r="A425" t="s">
        <v>32</v>
      </c>
      <c r="B425">
        <v>2023</v>
      </c>
      <c r="C425" t="s">
        <v>75</v>
      </c>
      <c r="D425">
        <v>1.1499999999999999</v>
      </c>
    </row>
    <row r="426" spans="1:4" x14ac:dyDescent="0.45">
      <c r="A426" t="s">
        <v>34</v>
      </c>
      <c r="B426">
        <v>2023</v>
      </c>
      <c r="C426" t="s">
        <v>75</v>
      </c>
      <c r="D426">
        <v>2.95</v>
      </c>
    </row>
    <row r="427" spans="1:4" x14ac:dyDescent="0.45">
      <c r="A427" t="s">
        <v>36</v>
      </c>
      <c r="B427">
        <v>2023</v>
      </c>
      <c r="C427" t="s">
        <v>75</v>
      </c>
      <c r="D427">
        <v>27.27</v>
      </c>
    </row>
    <row r="428" spans="1:4" x14ac:dyDescent="0.45">
      <c r="A428" t="s">
        <v>56</v>
      </c>
      <c r="B428">
        <v>2023</v>
      </c>
      <c r="C428" t="s">
        <v>75</v>
      </c>
      <c r="D428">
        <v>16.809999999999999</v>
      </c>
    </row>
    <row r="429" spans="1:4" x14ac:dyDescent="0.45">
      <c r="A429" t="s">
        <v>57</v>
      </c>
      <c r="B429">
        <v>2023</v>
      </c>
      <c r="C429" t="s">
        <v>75</v>
      </c>
      <c r="D429">
        <v>7.12</v>
      </c>
    </row>
    <row r="430" spans="1:4" x14ac:dyDescent="0.45">
      <c r="A430" t="s">
        <v>38</v>
      </c>
      <c r="B430">
        <v>2023</v>
      </c>
      <c r="C430" t="s">
        <v>75</v>
      </c>
      <c r="D430">
        <v>3.21</v>
      </c>
    </row>
    <row r="431" spans="1:4" x14ac:dyDescent="0.45">
      <c r="A431" t="s">
        <v>32</v>
      </c>
      <c r="B431">
        <v>2023</v>
      </c>
      <c r="C431" t="s">
        <v>75</v>
      </c>
      <c r="D431">
        <v>0.14000000000000001</v>
      </c>
    </row>
    <row r="432" spans="1:4" x14ac:dyDescent="0.45">
      <c r="A432" t="s">
        <v>58</v>
      </c>
      <c r="B432">
        <v>2023</v>
      </c>
      <c r="C432" t="s">
        <v>75</v>
      </c>
      <c r="D432">
        <v>31.02</v>
      </c>
    </row>
    <row r="433" spans="1:4" x14ac:dyDescent="0.45">
      <c r="A433" t="s">
        <v>91</v>
      </c>
      <c r="B433">
        <v>2023</v>
      </c>
      <c r="C433" t="s">
        <v>75</v>
      </c>
      <c r="D433">
        <v>31.03</v>
      </c>
    </row>
    <row r="434" spans="1:4" x14ac:dyDescent="0.45">
      <c r="A434" t="s">
        <v>32</v>
      </c>
      <c r="B434">
        <v>2000</v>
      </c>
      <c r="C434" t="s">
        <v>76</v>
      </c>
      <c r="D434">
        <v>0.32</v>
      </c>
    </row>
    <row r="435" spans="1:4" x14ac:dyDescent="0.45">
      <c r="A435" t="s">
        <v>34</v>
      </c>
      <c r="B435">
        <v>2000</v>
      </c>
      <c r="C435" t="s">
        <v>76</v>
      </c>
      <c r="D435">
        <v>76.319999999999993</v>
      </c>
    </row>
    <row r="436" spans="1:4" x14ac:dyDescent="0.45">
      <c r="A436" t="s">
        <v>36</v>
      </c>
      <c r="B436">
        <v>2000</v>
      </c>
      <c r="C436" t="s">
        <v>76</v>
      </c>
      <c r="D436">
        <v>9.9499999999999993</v>
      </c>
    </row>
    <row r="437" spans="1:4" x14ac:dyDescent="0.45">
      <c r="A437" t="s">
        <v>56</v>
      </c>
      <c r="B437">
        <v>2000</v>
      </c>
      <c r="C437" t="s">
        <v>76</v>
      </c>
      <c r="D437">
        <v>0.67</v>
      </c>
    </row>
    <row r="438" spans="1:4" x14ac:dyDescent="0.45">
      <c r="A438" t="s">
        <v>57</v>
      </c>
      <c r="B438">
        <v>2000</v>
      </c>
      <c r="C438" t="s">
        <v>76</v>
      </c>
      <c r="D438">
        <v>0.3</v>
      </c>
    </row>
    <row r="439" spans="1:4" x14ac:dyDescent="0.45">
      <c r="A439" t="s">
        <v>38</v>
      </c>
      <c r="B439">
        <v>2000</v>
      </c>
      <c r="C439" t="s">
        <v>76</v>
      </c>
      <c r="D439">
        <v>16.420000000000002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0.06</v>
      </c>
    </row>
    <row r="443" spans="1:4" x14ac:dyDescent="0.45">
      <c r="A443" t="s">
        <v>32</v>
      </c>
      <c r="B443">
        <v>2001</v>
      </c>
      <c r="C443" t="s">
        <v>76</v>
      </c>
      <c r="D443">
        <v>0.35</v>
      </c>
    </row>
    <row r="444" spans="1:4" x14ac:dyDescent="0.45">
      <c r="A444" t="s">
        <v>34</v>
      </c>
      <c r="B444">
        <v>2001</v>
      </c>
      <c r="C444" t="s">
        <v>76</v>
      </c>
      <c r="D444">
        <v>67.86</v>
      </c>
    </row>
    <row r="445" spans="1:4" x14ac:dyDescent="0.45">
      <c r="A445" t="s">
        <v>36</v>
      </c>
      <c r="B445">
        <v>2001</v>
      </c>
      <c r="C445" t="s">
        <v>76</v>
      </c>
      <c r="D445">
        <v>11.52</v>
      </c>
    </row>
    <row r="446" spans="1:4" x14ac:dyDescent="0.45">
      <c r="A446" t="s">
        <v>56</v>
      </c>
      <c r="B446">
        <v>2001</v>
      </c>
      <c r="C446" t="s">
        <v>76</v>
      </c>
      <c r="D446">
        <v>0.97</v>
      </c>
    </row>
    <row r="447" spans="1:4" x14ac:dyDescent="0.45">
      <c r="A447" t="s">
        <v>57</v>
      </c>
      <c r="B447">
        <v>2001</v>
      </c>
      <c r="C447" t="s">
        <v>76</v>
      </c>
      <c r="D447">
        <v>0.31</v>
      </c>
    </row>
    <row r="448" spans="1:4" x14ac:dyDescent="0.45">
      <c r="A448" t="s">
        <v>38</v>
      </c>
      <c r="B448">
        <v>2001</v>
      </c>
      <c r="C448" t="s">
        <v>76</v>
      </c>
      <c r="D448">
        <v>17.39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0.08</v>
      </c>
    </row>
    <row r="452" spans="1:4" x14ac:dyDescent="0.45">
      <c r="A452" t="s">
        <v>32</v>
      </c>
      <c r="B452">
        <v>2002</v>
      </c>
      <c r="C452" t="s">
        <v>76</v>
      </c>
      <c r="D452">
        <v>0.56000000000000005</v>
      </c>
    </row>
    <row r="453" spans="1:4" x14ac:dyDescent="0.45">
      <c r="A453" t="s">
        <v>34</v>
      </c>
      <c r="B453">
        <v>2002</v>
      </c>
      <c r="C453" t="s">
        <v>76</v>
      </c>
      <c r="D453">
        <v>78.34</v>
      </c>
    </row>
    <row r="454" spans="1:4" x14ac:dyDescent="0.45">
      <c r="A454" t="s">
        <v>36</v>
      </c>
      <c r="B454">
        <v>2002</v>
      </c>
      <c r="C454" t="s">
        <v>76</v>
      </c>
      <c r="D454">
        <v>15.97</v>
      </c>
    </row>
    <row r="455" spans="1:4" x14ac:dyDescent="0.45">
      <c r="A455" t="s">
        <v>56</v>
      </c>
      <c r="B455">
        <v>2002</v>
      </c>
      <c r="C455" t="s">
        <v>76</v>
      </c>
      <c r="D455">
        <v>0.5</v>
      </c>
    </row>
    <row r="456" spans="1:4" x14ac:dyDescent="0.45">
      <c r="A456" t="s">
        <v>57</v>
      </c>
      <c r="B456">
        <v>2002</v>
      </c>
      <c r="C456" t="s">
        <v>76</v>
      </c>
      <c r="D456">
        <v>0.3</v>
      </c>
    </row>
    <row r="457" spans="1:4" x14ac:dyDescent="0.45">
      <c r="A457" t="s">
        <v>38</v>
      </c>
      <c r="B457">
        <v>2002</v>
      </c>
      <c r="C457" t="s">
        <v>76</v>
      </c>
      <c r="D457">
        <v>19.84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0.11</v>
      </c>
    </row>
    <row r="461" spans="1:4" x14ac:dyDescent="0.45">
      <c r="A461" t="s">
        <v>32</v>
      </c>
      <c r="B461">
        <v>2003</v>
      </c>
      <c r="C461" t="s">
        <v>76</v>
      </c>
      <c r="D461">
        <v>0.69</v>
      </c>
    </row>
    <row r="462" spans="1:4" x14ac:dyDescent="0.45">
      <c r="A462" t="s">
        <v>34</v>
      </c>
      <c r="B462">
        <v>2003</v>
      </c>
      <c r="C462" t="s">
        <v>76</v>
      </c>
      <c r="D462">
        <v>72.11</v>
      </c>
    </row>
    <row r="463" spans="1:4" x14ac:dyDescent="0.45">
      <c r="A463" t="s">
        <v>36</v>
      </c>
      <c r="B463">
        <v>2003</v>
      </c>
      <c r="C463" t="s">
        <v>76</v>
      </c>
      <c r="D463">
        <v>19.41</v>
      </c>
    </row>
    <row r="464" spans="1:4" x14ac:dyDescent="0.45">
      <c r="A464" t="s">
        <v>56</v>
      </c>
      <c r="B464">
        <v>2003</v>
      </c>
      <c r="C464" t="s">
        <v>76</v>
      </c>
      <c r="D464">
        <v>0.96</v>
      </c>
    </row>
    <row r="465" spans="1:4" x14ac:dyDescent="0.45">
      <c r="A465" t="s">
        <v>57</v>
      </c>
      <c r="B465">
        <v>2003</v>
      </c>
      <c r="C465" t="s">
        <v>76</v>
      </c>
      <c r="D465">
        <v>0.3</v>
      </c>
    </row>
    <row r="466" spans="1:4" x14ac:dyDescent="0.45">
      <c r="A466" t="s">
        <v>38</v>
      </c>
      <c r="B466">
        <v>2003</v>
      </c>
      <c r="C466" t="s">
        <v>76</v>
      </c>
      <c r="D466">
        <v>16.829999999999998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0.15</v>
      </c>
    </row>
    <row r="470" spans="1:4" x14ac:dyDescent="0.45">
      <c r="A470" t="s">
        <v>32</v>
      </c>
      <c r="B470">
        <v>2004</v>
      </c>
      <c r="C470" t="s">
        <v>76</v>
      </c>
      <c r="D470">
        <v>0.72</v>
      </c>
    </row>
    <row r="471" spans="1:4" x14ac:dyDescent="0.45">
      <c r="A471" t="s">
        <v>34</v>
      </c>
      <c r="B471">
        <v>2004</v>
      </c>
      <c r="C471" t="s">
        <v>76</v>
      </c>
      <c r="D471">
        <v>76.31</v>
      </c>
    </row>
    <row r="472" spans="1:4" x14ac:dyDescent="0.45">
      <c r="A472" t="s">
        <v>36</v>
      </c>
      <c r="B472">
        <v>2004</v>
      </c>
      <c r="C472" t="s">
        <v>76</v>
      </c>
      <c r="D472">
        <v>27.34</v>
      </c>
    </row>
    <row r="473" spans="1:4" x14ac:dyDescent="0.45">
      <c r="A473" t="s">
        <v>56</v>
      </c>
      <c r="B473">
        <v>2004</v>
      </c>
      <c r="C473" t="s">
        <v>76</v>
      </c>
      <c r="D473">
        <v>0.74</v>
      </c>
    </row>
    <row r="474" spans="1:4" x14ac:dyDescent="0.45">
      <c r="A474" t="s">
        <v>57</v>
      </c>
      <c r="B474">
        <v>2004</v>
      </c>
      <c r="C474" t="s">
        <v>76</v>
      </c>
      <c r="D474">
        <v>0.31</v>
      </c>
    </row>
    <row r="475" spans="1:4" x14ac:dyDescent="0.45">
      <c r="A475" t="s">
        <v>38</v>
      </c>
      <c r="B475">
        <v>2004</v>
      </c>
      <c r="C475" t="s">
        <v>76</v>
      </c>
      <c r="D475">
        <v>18.63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0.19</v>
      </c>
    </row>
    <row r="479" spans="1:4" x14ac:dyDescent="0.45">
      <c r="A479" t="s">
        <v>32</v>
      </c>
      <c r="B479">
        <v>2005</v>
      </c>
      <c r="C479" t="s">
        <v>76</v>
      </c>
      <c r="D479">
        <v>0.56999999999999995</v>
      </c>
    </row>
    <row r="480" spans="1:4" x14ac:dyDescent="0.45">
      <c r="A480" t="s">
        <v>34</v>
      </c>
      <c r="B480">
        <v>2005</v>
      </c>
      <c r="C480" t="s">
        <v>76</v>
      </c>
      <c r="D480">
        <v>76.239999999999995</v>
      </c>
    </row>
    <row r="481" spans="1:4" x14ac:dyDescent="0.45">
      <c r="A481" t="s">
        <v>36</v>
      </c>
      <c r="B481">
        <v>2005</v>
      </c>
      <c r="C481" t="s">
        <v>76</v>
      </c>
      <c r="D481">
        <v>38.950000000000003</v>
      </c>
    </row>
    <row r="482" spans="1:4" x14ac:dyDescent="0.45">
      <c r="A482" t="s">
        <v>56</v>
      </c>
      <c r="B482">
        <v>2005</v>
      </c>
      <c r="C482" t="s">
        <v>76</v>
      </c>
      <c r="D482">
        <v>0.44</v>
      </c>
    </row>
    <row r="483" spans="1:4" x14ac:dyDescent="0.45">
      <c r="A483" t="s">
        <v>57</v>
      </c>
      <c r="B483">
        <v>2005</v>
      </c>
      <c r="C483" t="s">
        <v>76</v>
      </c>
      <c r="D483">
        <v>0.28000000000000003</v>
      </c>
    </row>
    <row r="484" spans="1:4" x14ac:dyDescent="0.45">
      <c r="A484" t="s">
        <v>38</v>
      </c>
      <c r="B484">
        <v>2005</v>
      </c>
      <c r="C484" t="s">
        <v>76</v>
      </c>
      <c r="D484">
        <v>20.78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0.26</v>
      </c>
    </row>
    <row r="488" spans="1:4" x14ac:dyDescent="0.45">
      <c r="A488" t="s">
        <v>32</v>
      </c>
      <c r="B488">
        <v>2006</v>
      </c>
      <c r="C488" t="s">
        <v>76</v>
      </c>
      <c r="D488">
        <v>0.6</v>
      </c>
    </row>
    <row r="489" spans="1:4" x14ac:dyDescent="0.45">
      <c r="A489" t="s">
        <v>34</v>
      </c>
      <c r="B489">
        <v>2006</v>
      </c>
      <c r="C489" t="s">
        <v>76</v>
      </c>
      <c r="D489">
        <v>64.36</v>
      </c>
    </row>
    <row r="490" spans="1:4" x14ac:dyDescent="0.45">
      <c r="A490" t="s">
        <v>36</v>
      </c>
      <c r="B490">
        <v>2006</v>
      </c>
      <c r="C490" t="s">
        <v>76</v>
      </c>
      <c r="D490">
        <v>44.65</v>
      </c>
    </row>
    <row r="491" spans="1:4" x14ac:dyDescent="0.45">
      <c r="A491" t="s">
        <v>56</v>
      </c>
      <c r="B491">
        <v>2006</v>
      </c>
      <c r="C491" t="s">
        <v>76</v>
      </c>
      <c r="D491">
        <v>0.62</v>
      </c>
    </row>
    <row r="492" spans="1:4" x14ac:dyDescent="0.45">
      <c r="A492" t="s">
        <v>57</v>
      </c>
      <c r="B492">
        <v>2006</v>
      </c>
      <c r="C492" t="s">
        <v>76</v>
      </c>
      <c r="D492">
        <v>0.28999999999999998</v>
      </c>
    </row>
    <row r="493" spans="1:4" x14ac:dyDescent="0.45">
      <c r="A493" t="s">
        <v>38</v>
      </c>
      <c r="B493">
        <v>2006</v>
      </c>
      <c r="C493" t="s">
        <v>76</v>
      </c>
      <c r="D493">
        <v>17.11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0.01</v>
      </c>
    </row>
    <row r="496" spans="1:4" x14ac:dyDescent="0.45">
      <c r="A496" t="s">
        <v>91</v>
      </c>
      <c r="B496">
        <v>2006</v>
      </c>
      <c r="C496" t="s">
        <v>76</v>
      </c>
      <c r="D496">
        <v>0.28999999999999998</v>
      </c>
    </row>
    <row r="497" spans="1:4" x14ac:dyDescent="0.45">
      <c r="A497" t="s">
        <v>32</v>
      </c>
      <c r="B497">
        <v>2007</v>
      </c>
      <c r="C497" t="s">
        <v>76</v>
      </c>
      <c r="D497">
        <v>0.63</v>
      </c>
    </row>
    <row r="498" spans="1:4" x14ac:dyDescent="0.45">
      <c r="A498" t="s">
        <v>34</v>
      </c>
      <c r="B498">
        <v>2007</v>
      </c>
      <c r="C498" t="s">
        <v>76</v>
      </c>
      <c r="D498">
        <v>70.099999999999994</v>
      </c>
    </row>
    <row r="499" spans="1:4" x14ac:dyDescent="0.45">
      <c r="A499" t="s">
        <v>36</v>
      </c>
      <c r="B499">
        <v>2007</v>
      </c>
      <c r="C499" t="s">
        <v>76</v>
      </c>
      <c r="D499">
        <v>46.74</v>
      </c>
    </row>
    <row r="500" spans="1:4" x14ac:dyDescent="0.45">
      <c r="A500" t="s">
        <v>56</v>
      </c>
      <c r="B500">
        <v>2007</v>
      </c>
      <c r="C500" t="s">
        <v>76</v>
      </c>
      <c r="D500">
        <v>0.65</v>
      </c>
    </row>
    <row r="501" spans="1:4" x14ac:dyDescent="0.45">
      <c r="A501" t="s">
        <v>57</v>
      </c>
      <c r="B501">
        <v>2007</v>
      </c>
      <c r="C501" t="s">
        <v>76</v>
      </c>
      <c r="D501">
        <v>0.27</v>
      </c>
    </row>
    <row r="502" spans="1:4" x14ac:dyDescent="0.45">
      <c r="A502" t="s">
        <v>38</v>
      </c>
      <c r="B502">
        <v>2007</v>
      </c>
      <c r="C502" t="s">
        <v>76</v>
      </c>
      <c r="D502">
        <v>13.73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0.02</v>
      </c>
    </row>
    <row r="505" spans="1:4" x14ac:dyDescent="0.45">
      <c r="A505" t="s">
        <v>91</v>
      </c>
      <c r="B505">
        <v>2007</v>
      </c>
      <c r="C505" t="s">
        <v>76</v>
      </c>
      <c r="D505">
        <v>0.34</v>
      </c>
    </row>
    <row r="506" spans="1:4" x14ac:dyDescent="0.45">
      <c r="A506" t="s">
        <v>32</v>
      </c>
      <c r="B506">
        <v>2008</v>
      </c>
      <c r="C506" t="s">
        <v>76</v>
      </c>
      <c r="D506">
        <v>0.7</v>
      </c>
    </row>
    <row r="507" spans="1:4" x14ac:dyDescent="0.45">
      <c r="A507" t="s">
        <v>34</v>
      </c>
      <c r="B507">
        <v>2008</v>
      </c>
      <c r="C507" t="s">
        <v>76</v>
      </c>
      <c r="D507">
        <v>46.68</v>
      </c>
    </row>
    <row r="508" spans="1:4" x14ac:dyDescent="0.45">
      <c r="A508" t="s">
        <v>36</v>
      </c>
      <c r="B508">
        <v>2008</v>
      </c>
      <c r="C508" t="s">
        <v>76</v>
      </c>
      <c r="D508">
        <v>59.55</v>
      </c>
    </row>
    <row r="509" spans="1:4" x14ac:dyDescent="0.45">
      <c r="A509" t="s">
        <v>56</v>
      </c>
      <c r="B509">
        <v>2008</v>
      </c>
      <c r="C509" t="s">
        <v>76</v>
      </c>
      <c r="D509">
        <v>0.56000000000000005</v>
      </c>
    </row>
    <row r="510" spans="1:4" x14ac:dyDescent="0.45">
      <c r="A510" t="s">
        <v>57</v>
      </c>
      <c r="B510">
        <v>2008</v>
      </c>
      <c r="C510" t="s">
        <v>76</v>
      </c>
      <c r="D510">
        <v>0.28000000000000003</v>
      </c>
    </row>
    <row r="511" spans="1:4" x14ac:dyDescent="0.45">
      <c r="A511" t="s">
        <v>38</v>
      </c>
      <c r="B511">
        <v>2008</v>
      </c>
      <c r="C511" t="s">
        <v>76</v>
      </c>
      <c r="D511">
        <v>12.61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0.12</v>
      </c>
    </row>
    <row r="514" spans="1:4" x14ac:dyDescent="0.45">
      <c r="A514" t="s">
        <v>91</v>
      </c>
      <c r="B514">
        <v>2008</v>
      </c>
      <c r="C514" t="s">
        <v>76</v>
      </c>
      <c r="D514">
        <v>0.4</v>
      </c>
    </row>
    <row r="515" spans="1:4" x14ac:dyDescent="0.45">
      <c r="A515" t="s">
        <v>32</v>
      </c>
      <c r="B515">
        <v>2009</v>
      </c>
      <c r="C515" t="s">
        <v>76</v>
      </c>
      <c r="D515">
        <v>0.75</v>
      </c>
    </row>
    <row r="516" spans="1:4" x14ac:dyDescent="0.45">
      <c r="A516" t="s">
        <v>34</v>
      </c>
      <c r="B516">
        <v>2009</v>
      </c>
      <c r="C516" t="s">
        <v>76</v>
      </c>
      <c r="D516">
        <v>34.409999999999997</v>
      </c>
    </row>
    <row r="517" spans="1:4" x14ac:dyDescent="0.45">
      <c r="A517" t="s">
        <v>36</v>
      </c>
      <c r="B517">
        <v>2009</v>
      </c>
      <c r="C517" t="s">
        <v>76</v>
      </c>
      <c r="D517">
        <v>53.12</v>
      </c>
    </row>
    <row r="518" spans="1:4" x14ac:dyDescent="0.45">
      <c r="A518" t="s">
        <v>56</v>
      </c>
      <c r="B518">
        <v>2009</v>
      </c>
      <c r="C518" t="s">
        <v>76</v>
      </c>
      <c r="D518">
        <v>0.63</v>
      </c>
    </row>
    <row r="519" spans="1:4" x14ac:dyDescent="0.45">
      <c r="A519" t="s">
        <v>57</v>
      </c>
      <c r="B519">
        <v>2009</v>
      </c>
      <c r="C519" t="s">
        <v>76</v>
      </c>
      <c r="D519">
        <v>0.25</v>
      </c>
    </row>
    <row r="520" spans="1:4" x14ac:dyDescent="0.45">
      <c r="A520" t="s">
        <v>38</v>
      </c>
      <c r="B520">
        <v>2009</v>
      </c>
      <c r="C520" t="s">
        <v>76</v>
      </c>
      <c r="D520">
        <v>13.3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0.28999999999999998</v>
      </c>
    </row>
    <row r="523" spans="1:4" x14ac:dyDescent="0.45">
      <c r="A523" t="s">
        <v>91</v>
      </c>
      <c r="B523">
        <v>2009</v>
      </c>
      <c r="C523" t="s">
        <v>76</v>
      </c>
      <c r="D523">
        <v>0.47</v>
      </c>
    </row>
    <row r="524" spans="1:4" x14ac:dyDescent="0.45">
      <c r="A524" t="s">
        <v>32</v>
      </c>
      <c r="B524">
        <v>2010</v>
      </c>
      <c r="C524" t="s">
        <v>76</v>
      </c>
      <c r="D524">
        <v>0.87</v>
      </c>
    </row>
    <row r="525" spans="1:4" x14ac:dyDescent="0.45">
      <c r="A525" t="s">
        <v>34</v>
      </c>
      <c r="B525">
        <v>2010</v>
      </c>
      <c r="C525" t="s">
        <v>76</v>
      </c>
      <c r="D525">
        <v>24.27</v>
      </c>
    </row>
    <row r="526" spans="1:4" x14ac:dyDescent="0.45">
      <c r="A526" t="s">
        <v>36</v>
      </c>
      <c r="B526">
        <v>2010</v>
      </c>
      <c r="C526" t="s">
        <v>76</v>
      </c>
      <c r="D526">
        <v>46.76</v>
      </c>
    </row>
    <row r="527" spans="1:4" x14ac:dyDescent="0.45">
      <c r="A527" t="s">
        <v>56</v>
      </c>
      <c r="B527">
        <v>2010</v>
      </c>
      <c r="C527" t="s">
        <v>76</v>
      </c>
      <c r="D527">
        <v>1.01</v>
      </c>
    </row>
    <row r="528" spans="1:4" x14ac:dyDescent="0.45">
      <c r="A528" t="s">
        <v>57</v>
      </c>
      <c r="B528">
        <v>2010</v>
      </c>
      <c r="C528" t="s">
        <v>76</v>
      </c>
      <c r="D528">
        <v>0.3</v>
      </c>
    </row>
    <row r="529" spans="1:4" x14ac:dyDescent="0.45">
      <c r="A529" t="s">
        <v>38</v>
      </c>
      <c r="B529">
        <v>2010</v>
      </c>
      <c r="C529" t="s">
        <v>76</v>
      </c>
      <c r="D529">
        <v>11.75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0.34</v>
      </c>
    </row>
    <row r="532" spans="1:4" x14ac:dyDescent="0.45">
      <c r="A532" t="s">
        <v>91</v>
      </c>
      <c r="B532">
        <v>2010</v>
      </c>
      <c r="C532" t="s">
        <v>76</v>
      </c>
      <c r="D532">
        <v>0.54</v>
      </c>
    </row>
    <row r="533" spans="1:4" x14ac:dyDescent="0.45">
      <c r="A533" t="s">
        <v>32</v>
      </c>
      <c r="B533">
        <v>2011</v>
      </c>
      <c r="C533" t="s">
        <v>76</v>
      </c>
      <c r="D533">
        <v>1</v>
      </c>
    </row>
    <row r="534" spans="1:4" x14ac:dyDescent="0.45">
      <c r="A534" t="s">
        <v>34</v>
      </c>
      <c r="B534">
        <v>2011</v>
      </c>
      <c r="C534" t="s">
        <v>76</v>
      </c>
      <c r="D534">
        <v>42.14</v>
      </c>
    </row>
    <row r="535" spans="1:4" x14ac:dyDescent="0.45">
      <c r="A535" t="s">
        <v>36</v>
      </c>
      <c r="B535">
        <v>2011</v>
      </c>
      <c r="C535" t="s">
        <v>76</v>
      </c>
      <c r="D535">
        <v>42.16</v>
      </c>
    </row>
    <row r="536" spans="1:4" x14ac:dyDescent="0.45">
      <c r="A536" t="s">
        <v>56</v>
      </c>
      <c r="B536">
        <v>2011</v>
      </c>
      <c r="C536" t="s">
        <v>76</v>
      </c>
      <c r="D536">
        <v>0.73</v>
      </c>
    </row>
    <row r="537" spans="1:4" x14ac:dyDescent="0.45">
      <c r="A537" t="s">
        <v>57</v>
      </c>
      <c r="B537">
        <v>2011</v>
      </c>
      <c r="C537" t="s">
        <v>76</v>
      </c>
      <c r="D537">
        <v>0.28000000000000003</v>
      </c>
    </row>
    <row r="538" spans="1:4" x14ac:dyDescent="0.45">
      <c r="A538" t="s">
        <v>38</v>
      </c>
      <c r="B538">
        <v>2011</v>
      </c>
      <c r="C538" t="s">
        <v>76</v>
      </c>
      <c r="D538">
        <v>11.05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0.45</v>
      </c>
    </row>
    <row r="541" spans="1:4" x14ac:dyDescent="0.45">
      <c r="A541" t="s">
        <v>91</v>
      </c>
      <c r="B541">
        <v>2011</v>
      </c>
      <c r="C541" t="s">
        <v>76</v>
      </c>
      <c r="D541">
        <v>0.53</v>
      </c>
    </row>
    <row r="542" spans="1:4" x14ac:dyDescent="0.45">
      <c r="A542" t="s">
        <v>32</v>
      </c>
      <c r="B542">
        <v>2012</v>
      </c>
      <c r="C542" t="s">
        <v>76</v>
      </c>
      <c r="D542">
        <v>1.08</v>
      </c>
    </row>
    <row r="543" spans="1:4" x14ac:dyDescent="0.45">
      <c r="A543" t="s">
        <v>34</v>
      </c>
      <c r="B543">
        <v>2012</v>
      </c>
      <c r="C543" t="s">
        <v>76</v>
      </c>
      <c r="D543">
        <v>52.76</v>
      </c>
    </row>
    <row r="544" spans="1:4" x14ac:dyDescent="0.45">
      <c r="A544" t="s">
        <v>36</v>
      </c>
      <c r="B544">
        <v>2012</v>
      </c>
      <c r="C544" t="s">
        <v>76</v>
      </c>
      <c r="D544">
        <v>36.14</v>
      </c>
    </row>
    <row r="545" spans="1:4" x14ac:dyDescent="0.45">
      <c r="A545" t="s">
        <v>56</v>
      </c>
      <c r="B545">
        <v>2012</v>
      </c>
      <c r="C545" t="s">
        <v>76</v>
      </c>
      <c r="D545">
        <v>0.49</v>
      </c>
    </row>
    <row r="546" spans="1:4" x14ac:dyDescent="0.45">
      <c r="A546" t="s">
        <v>57</v>
      </c>
      <c r="B546">
        <v>2012</v>
      </c>
      <c r="C546" t="s">
        <v>76</v>
      </c>
      <c r="D546">
        <v>0.3</v>
      </c>
    </row>
    <row r="547" spans="1:4" x14ac:dyDescent="0.45">
      <c r="A547" t="s">
        <v>38</v>
      </c>
      <c r="B547">
        <v>2012</v>
      </c>
      <c r="C547" t="s">
        <v>76</v>
      </c>
      <c r="D547">
        <v>11.27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0.56999999999999995</v>
      </c>
    </row>
    <row r="550" spans="1:4" x14ac:dyDescent="0.45">
      <c r="A550" t="s">
        <v>91</v>
      </c>
      <c r="B550">
        <v>2012</v>
      </c>
      <c r="C550" t="s">
        <v>76</v>
      </c>
      <c r="D550">
        <v>0.61</v>
      </c>
    </row>
    <row r="551" spans="1:4" x14ac:dyDescent="0.45">
      <c r="A551" t="s">
        <v>32</v>
      </c>
      <c r="B551">
        <v>2013</v>
      </c>
      <c r="C551" t="s">
        <v>76</v>
      </c>
      <c r="D551">
        <v>1.25</v>
      </c>
    </row>
    <row r="552" spans="1:4" x14ac:dyDescent="0.45">
      <c r="A552" t="s">
        <v>34</v>
      </c>
      <c r="B552">
        <v>2013</v>
      </c>
      <c r="C552" t="s">
        <v>76</v>
      </c>
      <c r="D552">
        <v>38.26</v>
      </c>
    </row>
    <row r="553" spans="1:4" x14ac:dyDescent="0.45">
      <c r="A553" t="s">
        <v>36</v>
      </c>
      <c r="B553">
        <v>2013</v>
      </c>
      <c r="C553" t="s">
        <v>76</v>
      </c>
      <c r="D553">
        <v>28.37</v>
      </c>
    </row>
    <row r="554" spans="1:4" x14ac:dyDescent="0.45">
      <c r="A554" t="s">
        <v>56</v>
      </c>
      <c r="B554">
        <v>2013</v>
      </c>
      <c r="C554" t="s">
        <v>76</v>
      </c>
      <c r="D554">
        <v>0.88</v>
      </c>
    </row>
    <row r="555" spans="1:4" x14ac:dyDescent="0.45">
      <c r="A555" t="s">
        <v>57</v>
      </c>
      <c r="B555">
        <v>2013</v>
      </c>
      <c r="C555" t="s">
        <v>76</v>
      </c>
      <c r="D555">
        <v>0.27</v>
      </c>
    </row>
    <row r="556" spans="1:4" x14ac:dyDescent="0.45">
      <c r="A556" t="s">
        <v>38</v>
      </c>
      <c r="B556">
        <v>2013</v>
      </c>
      <c r="C556" t="s">
        <v>76</v>
      </c>
      <c r="D556">
        <v>10.42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0.62</v>
      </c>
    </row>
    <row r="559" spans="1:4" x14ac:dyDescent="0.45">
      <c r="A559" t="s">
        <v>91</v>
      </c>
      <c r="B559">
        <v>2013</v>
      </c>
      <c r="C559" t="s">
        <v>76</v>
      </c>
      <c r="D559">
        <v>0.68</v>
      </c>
    </row>
    <row r="560" spans="1:4" x14ac:dyDescent="0.45">
      <c r="A560" t="s">
        <v>32</v>
      </c>
      <c r="B560">
        <v>2014</v>
      </c>
      <c r="C560" t="s">
        <v>76</v>
      </c>
      <c r="D560">
        <v>1.17</v>
      </c>
    </row>
    <row r="561" spans="1:4" x14ac:dyDescent="0.45">
      <c r="A561" t="s">
        <v>34</v>
      </c>
      <c r="B561">
        <v>2014</v>
      </c>
      <c r="C561" t="s">
        <v>76</v>
      </c>
      <c r="D561">
        <v>41.96</v>
      </c>
    </row>
    <row r="562" spans="1:4" x14ac:dyDescent="0.45">
      <c r="A562" t="s">
        <v>36</v>
      </c>
      <c r="B562">
        <v>2014</v>
      </c>
      <c r="C562" t="s">
        <v>76</v>
      </c>
      <c r="D562">
        <v>23.3</v>
      </c>
    </row>
    <row r="563" spans="1:4" x14ac:dyDescent="0.45">
      <c r="A563" t="s">
        <v>56</v>
      </c>
      <c r="B563">
        <v>2014</v>
      </c>
      <c r="C563" t="s">
        <v>76</v>
      </c>
      <c r="D563">
        <v>0.93</v>
      </c>
    </row>
    <row r="564" spans="1:4" x14ac:dyDescent="0.45">
      <c r="A564" t="s">
        <v>57</v>
      </c>
      <c r="B564">
        <v>2014</v>
      </c>
      <c r="C564" t="s">
        <v>76</v>
      </c>
      <c r="D564">
        <v>0.28000000000000003</v>
      </c>
    </row>
    <row r="565" spans="1:4" x14ac:dyDescent="0.45">
      <c r="A565" t="s">
        <v>38</v>
      </c>
      <c r="B565">
        <v>2014</v>
      </c>
      <c r="C565" t="s">
        <v>76</v>
      </c>
      <c r="D565">
        <v>10.39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0.65</v>
      </c>
    </row>
    <row r="568" spans="1:4" x14ac:dyDescent="0.45">
      <c r="A568" t="s">
        <v>91</v>
      </c>
      <c r="B568">
        <v>2014</v>
      </c>
      <c r="C568" t="s">
        <v>76</v>
      </c>
      <c r="D568">
        <v>0.64</v>
      </c>
    </row>
    <row r="569" spans="1:4" x14ac:dyDescent="0.45">
      <c r="A569" t="s">
        <v>32</v>
      </c>
      <c r="B569">
        <v>2015</v>
      </c>
      <c r="C569" t="s">
        <v>76</v>
      </c>
      <c r="D569">
        <v>1.25</v>
      </c>
    </row>
    <row r="570" spans="1:4" x14ac:dyDescent="0.45">
      <c r="A570" t="s">
        <v>34</v>
      </c>
      <c r="B570">
        <v>2015</v>
      </c>
      <c r="C570" t="s">
        <v>76</v>
      </c>
      <c r="D570">
        <v>49.19</v>
      </c>
    </row>
    <row r="571" spans="1:4" x14ac:dyDescent="0.45">
      <c r="A571" t="s">
        <v>36</v>
      </c>
      <c r="B571">
        <v>2015</v>
      </c>
      <c r="C571" t="s">
        <v>76</v>
      </c>
      <c r="D571">
        <v>25.88</v>
      </c>
    </row>
    <row r="572" spans="1:4" x14ac:dyDescent="0.45">
      <c r="A572" t="s">
        <v>56</v>
      </c>
      <c r="B572">
        <v>2015</v>
      </c>
      <c r="C572" t="s">
        <v>76</v>
      </c>
      <c r="D572">
        <v>0.67</v>
      </c>
    </row>
    <row r="573" spans="1:4" x14ac:dyDescent="0.45">
      <c r="A573" t="s">
        <v>57</v>
      </c>
      <c r="B573">
        <v>2015</v>
      </c>
      <c r="C573" t="s">
        <v>76</v>
      </c>
      <c r="D573">
        <v>0.28000000000000003</v>
      </c>
    </row>
    <row r="574" spans="1:4" x14ac:dyDescent="0.45">
      <c r="A574" t="s">
        <v>38</v>
      </c>
      <c r="B574">
        <v>2015</v>
      </c>
      <c r="C574" t="s">
        <v>76</v>
      </c>
      <c r="D574">
        <v>12.52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0.66</v>
      </c>
    </row>
    <row r="577" spans="1:4" x14ac:dyDescent="0.45">
      <c r="A577" t="s">
        <v>91</v>
      </c>
      <c r="B577">
        <v>2015</v>
      </c>
      <c r="C577" t="s">
        <v>76</v>
      </c>
      <c r="D577">
        <v>0.61</v>
      </c>
    </row>
    <row r="578" spans="1:4" x14ac:dyDescent="0.45">
      <c r="A578" t="s">
        <v>32</v>
      </c>
      <c r="B578">
        <v>2016</v>
      </c>
      <c r="C578" t="s">
        <v>76</v>
      </c>
      <c r="D578">
        <v>1.23</v>
      </c>
    </row>
    <row r="579" spans="1:4" x14ac:dyDescent="0.45">
      <c r="A579" t="s">
        <v>34</v>
      </c>
      <c r="B579">
        <v>2016</v>
      </c>
      <c r="C579" t="s">
        <v>76</v>
      </c>
      <c r="D579">
        <v>34.97</v>
      </c>
    </row>
    <row r="580" spans="1:4" x14ac:dyDescent="0.45">
      <c r="A580" t="s">
        <v>36</v>
      </c>
      <c r="B580">
        <v>2016</v>
      </c>
      <c r="C580" t="s">
        <v>76</v>
      </c>
      <c r="D580">
        <v>26.04</v>
      </c>
    </row>
    <row r="581" spans="1:4" x14ac:dyDescent="0.45">
      <c r="A581" t="s">
        <v>56</v>
      </c>
      <c r="B581">
        <v>2016</v>
      </c>
      <c r="C581" t="s">
        <v>76</v>
      </c>
      <c r="D581">
        <v>0.86</v>
      </c>
    </row>
    <row r="582" spans="1:4" x14ac:dyDescent="0.45">
      <c r="A582" t="s">
        <v>57</v>
      </c>
      <c r="B582">
        <v>2016</v>
      </c>
      <c r="C582" t="s">
        <v>76</v>
      </c>
      <c r="D582">
        <v>0.28000000000000003</v>
      </c>
    </row>
    <row r="583" spans="1:4" x14ac:dyDescent="0.45">
      <c r="A583" t="s">
        <v>38</v>
      </c>
      <c r="B583">
        <v>2016</v>
      </c>
      <c r="C583" t="s">
        <v>76</v>
      </c>
      <c r="D583">
        <v>11.96</v>
      </c>
    </row>
    <row r="584" spans="1:4" x14ac:dyDescent="0.45">
      <c r="A584" t="s">
        <v>32</v>
      </c>
      <c r="B584">
        <v>2016</v>
      </c>
      <c r="C584" t="s">
        <v>76</v>
      </c>
      <c r="D584">
        <v>0</v>
      </c>
    </row>
    <row r="585" spans="1:4" x14ac:dyDescent="0.45">
      <c r="A585" t="s">
        <v>58</v>
      </c>
      <c r="B585">
        <v>2016</v>
      </c>
      <c r="C585" t="s">
        <v>76</v>
      </c>
      <c r="D585">
        <v>0.65</v>
      </c>
    </row>
    <row r="586" spans="1:4" x14ac:dyDescent="0.45">
      <c r="A586" t="s">
        <v>91</v>
      </c>
      <c r="B586">
        <v>2016</v>
      </c>
      <c r="C586" t="s">
        <v>76</v>
      </c>
      <c r="D586">
        <v>0.6</v>
      </c>
    </row>
    <row r="587" spans="1:4" x14ac:dyDescent="0.45">
      <c r="A587" t="s">
        <v>32</v>
      </c>
      <c r="B587">
        <v>2017</v>
      </c>
      <c r="C587" t="s">
        <v>76</v>
      </c>
      <c r="D587">
        <v>1.31</v>
      </c>
    </row>
    <row r="588" spans="1:4" x14ac:dyDescent="0.45">
      <c r="A588" t="s">
        <v>34</v>
      </c>
      <c r="B588">
        <v>2017</v>
      </c>
      <c r="C588" t="s">
        <v>76</v>
      </c>
      <c r="D588">
        <v>43.45</v>
      </c>
    </row>
    <row r="589" spans="1:4" x14ac:dyDescent="0.45">
      <c r="A589" t="s">
        <v>36</v>
      </c>
      <c r="B589">
        <v>2017</v>
      </c>
      <c r="C589" t="s">
        <v>76</v>
      </c>
      <c r="D589">
        <v>31.57</v>
      </c>
    </row>
    <row r="590" spans="1:4" x14ac:dyDescent="0.45">
      <c r="A590" t="s">
        <v>56</v>
      </c>
      <c r="B590">
        <v>2017</v>
      </c>
      <c r="C590" t="s">
        <v>76</v>
      </c>
      <c r="D590">
        <v>0.44</v>
      </c>
    </row>
    <row r="591" spans="1:4" x14ac:dyDescent="0.45">
      <c r="A591" t="s">
        <v>57</v>
      </c>
      <c r="B591">
        <v>2017</v>
      </c>
      <c r="C591" t="s">
        <v>76</v>
      </c>
      <c r="D591">
        <v>0.28000000000000003</v>
      </c>
    </row>
    <row r="592" spans="1:4" x14ac:dyDescent="0.45">
      <c r="A592" t="s">
        <v>38</v>
      </c>
      <c r="B592">
        <v>2017</v>
      </c>
      <c r="C592" t="s">
        <v>76</v>
      </c>
      <c r="D592">
        <v>11.34</v>
      </c>
    </row>
    <row r="593" spans="1:4" x14ac:dyDescent="0.45">
      <c r="A593" t="s">
        <v>32</v>
      </c>
      <c r="B593">
        <v>2017</v>
      </c>
      <c r="C593" t="s">
        <v>76</v>
      </c>
      <c r="D593">
        <v>0</v>
      </c>
    </row>
    <row r="594" spans="1:4" x14ac:dyDescent="0.45">
      <c r="A594" t="s">
        <v>58</v>
      </c>
      <c r="B594">
        <v>2017</v>
      </c>
      <c r="C594" t="s">
        <v>76</v>
      </c>
      <c r="D594">
        <v>0.68</v>
      </c>
    </row>
    <row r="595" spans="1:4" x14ac:dyDescent="0.45">
      <c r="A595" t="s">
        <v>91</v>
      </c>
      <c r="B595">
        <v>2017</v>
      </c>
      <c r="C595" t="s">
        <v>76</v>
      </c>
      <c r="D595">
        <v>0.6</v>
      </c>
    </row>
    <row r="596" spans="1:4" x14ac:dyDescent="0.45">
      <c r="A596" t="s">
        <v>32</v>
      </c>
      <c r="B596">
        <v>2018</v>
      </c>
      <c r="C596" t="s">
        <v>76</v>
      </c>
      <c r="D596">
        <v>1.28</v>
      </c>
    </row>
    <row r="597" spans="1:4" x14ac:dyDescent="0.45">
      <c r="A597" t="s">
        <v>34</v>
      </c>
      <c r="B597">
        <v>2018</v>
      </c>
      <c r="C597" t="s">
        <v>76</v>
      </c>
      <c r="D597">
        <v>35.950000000000003</v>
      </c>
    </row>
    <row r="598" spans="1:4" x14ac:dyDescent="0.45">
      <c r="A598" t="s">
        <v>36</v>
      </c>
      <c r="B598">
        <v>2018</v>
      </c>
      <c r="C598" t="s">
        <v>76</v>
      </c>
      <c r="D598">
        <v>28.59</v>
      </c>
    </row>
    <row r="599" spans="1:4" x14ac:dyDescent="0.45">
      <c r="A599" t="s">
        <v>56</v>
      </c>
      <c r="B599">
        <v>2018</v>
      </c>
      <c r="C599" t="s">
        <v>76</v>
      </c>
      <c r="D599">
        <v>0.82</v>
      </c>
    </row>
    <row r="600" spans="1:4" x14ac:dyDescent="0.45">
      <c r="A600" t="s">
        <v>57</v>
      </c>
      <c r="B600">
        <v>2018</v>
      </c>
      <c r="C600" t="s">
        <v>76</v>
      </c>
      <c r="D600">
        <v>0.27</v>
      </c>
    </row>
    <row r="601" spans="1:4" x14ac:dyDescent="0.45">
      <c r="A601" t="s">
        <v>38</v>
      </c>
      <c r="B601">
        <v>2018</v>
      </c>
      <c r="C601" t="s">
        <v>76</v>
      </c>
      <c r="D601">
        <v>10.8</v>
      </c>
    </row>
    <row r="602" spans="1:4" x14ac:dyDescent="0.45">
      <c r="A602" t="s">
        <v>32</v>
      </c>
      <c r="B602">
        <v>2018</v>
      </c>
      <c r="C602" t="s">
        <v>76</v>
      </c>
      <c r="D602">
        <v>0</v>
      </c>
    </row>
    <row r="603" spans="1:4" x14ac:dyDescent="0.45">
      <c r="A603" t="s">
        <v>58</v>
      </c>
      <c r="B603">
        <v>2018</v>
      </c>
      <c r="C603" t="s">
        <v>76</v>
      </c>
      <c r="D603">
        <v>0.61</v>
      </c>
    </row>
    <row r="604" spans="1:4" x14ac:dyDescent="0.45">
      <c r="A604" t="s">
        <v>91</v>
      </c>
      <c r="B604">
        <v>2018</v>
      </c>
      <c r="C604" t="s">
        <v>76</v>
      </c>
      <c r="D604">
        <v>0.62</v>
      </c>
    </row>
    <row r="605" spans="1:4" x14ac:dyDescent="0.45">
      <c r="A605" t="s">
        <v>32</v>
      </c>
      <c r="B605">
        <v>2019</v>
      </c>
      <c r="C605" t="s">
        <v>76</v>
      </c>
      <c r="D605">
        <v>1.2</v>
      </c>
    </row>
    <row r="606" spans="1:4" x14ac:dyDescent="0.45">
      <c r="A606" t="s">
        <v>34</v>
      </c>
      <c r="B606">
        <v>2019</v>
      </c>
      <c r="C606" t="s">
        <v>76</v>
      </c>
      <c r="D606">
        <v>12.38</v>
      </c>
    </row>
    <row r="607" spans="1:4" x14ac:dyDescent="0.45">
      <c r="A607" t="s">
        <v>36</v>
      </c>
      <c r="B607">
        <v>2019</v>
      </c>
      <c r="C607" t="s">
        <v>76</v>
      </c>
      <c r="D607">
        <v>41.27</v>
      </c>
    </row>
    <row r="608" spans="1:4" x14ac:dyDescent="0.45">
      <c r="A608" t="s">
        <v>56</v>
      </c>
      <c r="B608">
        <v>2019</v>
      </c>
      <c r="C608" t="s">
        <v>76</v>
      </c>
      <c r="D608">
        <v>0.59</v>
      </c>
    </row>
    <row r="609" spans="1:4" x14ac:dyDescent="0.45">
      <c r="A609" t="s">
        <v>57</v>
      </c>
      <c r="B609">
        <v>2019</v>
      </c>
      <c r="C609" t="s">
        <v>76</v>
      </c>
      <c r="D609">
        <v>0.28000000000000003</v>
      </c>
    </row>
    <row r="610" spans="1:4" x14ac:dyDescent="0.45">
      <c r="A610" t="s">
        <v>38</v>
      </c>
      <c r="B610">
        <v>2019</v>
      </c>
      <c r="C610" t="s">
        <v>76</v>
      </c>
      <c r="D610">
        <v>9.61</v>
      </c>
    </row>
    <row r="611" spans="1:4" x14ac:dyDescent="0.45">
      <c r="A611" t="s">
        <v>32</v>
      </c>
      <c r="B611">
        <v>2019</v>
      </c>
      <c r="C611" t="s">
        <v>76</v>
      </c>
      <c r="D611">
        <v>0</v>
      </c>
    </row>
    <row r="612" spans="1:4" x14ac:dyDescent="0.45">
      <c r="A612" t="s">
        <v>58</v>
      </c>
      <c r="B612">
        <v>2019</v>
      </c>
      <c r="C612" t="s">
        <v>76</v>
      </c>
      <c r="D612">
        <v>0.72</v>
      </c>
    </row>
    <row r="613" spans="1:4" x14ac:dyDescent="0.45">
      <c r="A613" t="s">
        <v>91</v>
      </c>
      <c r="B613">
        <v>2019</v>
      </c>
      <c r="C613" t="s">
        <v>76</v>
      </c>
      <c r="D613">
        <v>0.68</v>
      </c>
    </row>
    <row r="614" spans="1:4" x14ac:dyDescent="0.45">
      <c r="A614" t="s">
        <v>32</v>
      </c>
      <c r="B614">
        <v>2020</v>
      </c>
      <c r="C614" t="s">
        <v>76</v>
      </c>
      <c r="D614">
        <v>1.33</v>
      </c>
    </row>
    <row r="615" spans="1:4" x14ac:dyDescent="0.45">
      <c r="A615" t="s">
        <v>34</v>
      </c>
      <c r="B615">
        <v>2020</v>
      </c>
      <c r="C615" t="s">
        <v>76</v>
      </c>
      <c r="D615">
        <v>5.31</v>
      </c>
    </row>
    <row r="616" spans="1:4" x14ac:dyDescent="0.45">
      <c r="A616" t="s">
        <v>36</v>
      </c>
      <c r="B616">
        <v>2020</v>
      </c>
      <c r="C616" t="s">
        <v>76</v>
      </c>
      <c r="D616">
        <v>34.380000000000003</v>
      </c>
    </row>
    <row r="617" spans="1:4" x14ac:dyDescent="0.45">
      <c r="A617" t="s">
        <v>56</v>
      </c>
      <c r="B617">
        <v>2020</v>
      </c>
      <c r="C617" t="s">
        <v>76</v>
      </c>
      <c r="D617">
        <v>0.72</v>
      </c>
    </row>
    <row r="618" spans="1:4" x14ac:dyDescent="0.45">
      <c r="A618" t="s">
        <v>57</v>
      </c>
      <c r="B618">
        <v>2020</v>
      </c>
      <c r="C618" t="s">
        <v>76</v>
      </c>
      <c r="D618">
        <v>0.28000000000000003</v>
      </c>
    </row>
    <row r="619" spans="1:4" x14ac:dyDescent="0.45">
      <c r="A619" t="s">
        <v>38</v>
      </c>
      <c r="B619">
        <v>2020</v>
      </c>
      <c r="C619" t="s">
        <v>76</v>
      </c>
      <c r="D619">
        <v>7.97</v>
      </c>
    </row>
    <row r="620" spans="1:4" x14ac:dyDescent="0.45">
      <c r="A620" t="s">
        <v>32</v>
      </c>
      <c r="B620">
        <v>2020</v>
      </c>
      <c r="C620" t="s">
        <v>76</v>
      </c>
      <c r="D620">
        <v>0</v>
      </c>
    </row>
    <row r="621" spans="1:4" x14ac:dyDescent="0.45">
      <c r="A621" t="s">
        <v>58</v>
      </c>
      <c r="B621">
        <v>2020</v>
      </c>
      <c r="C621" t="s">
        <v>76</v>
      </c>
      <c r="D621">
        <v>0.98</v>
      </c>
    </row>
    <row r="622" spans="1:4" x14ac:dyDescent="0.45">
      <c r="A622" t="s">
        <v>91</v>
      </c>
      <c r="B622">
        <v>2020</v>
      </c>
      <c r="C622" t="s">
        <v>76</v>
      </c>
      <c r="D622">
        <v>0.69</v>
      </c>
    </row>
    <row r="623" spans="1:4" x14ac:dyDescent="0.45">
      <c r="A623" t="s">
        <v>32</v>
      </c>
      <c r="B623">
        <v>2021</v>
      </c>
      <c r="C623" t="s">
        <v>76</v>
      </c>
      <c r="D623">
        <v>1.5</v>
      </c>
    </row>
    <row r="624" spans="1:4" x14ac:dyDescent="0.45">
      <c r="A624" t="s">
        <v>34</v>
      </c>
      <c r="B624">
        <v>2021</v>
      </c>
      <c r="C624" t="s">
        <v>76</v>
      </c>
      <c r="D624">
        <v>4.68</v>
      </c>
    </row>
    <row r="625" spans="1:4" x14ac:dyDescent="0.45">
      <c r="A625" t="s">
        <v>36</v>
      </c>
      <c r="B625">
        <v>2021</v>
      </c>
      <c r="C625" t="s">
        <v>76</v>
      </c>
      <c r="D625">
        <v>35.25</v>
      </c>
    </row>
    <row r="626" spans="1:4" x14ac:dyDescent="0.45">
      <c r="A626" t="s">
        <v>56</v>
      </c>
      <c r="B626">
        <v>2021</v>
      </c>
      <c r="C626" t="s">
        <v>76</v>
      </c>
      <c r="D626">
        <v>0.7</v>
      </c>
    </row>
    <row r="627" spans="1:4" x14ac:dyDescent="0.45">
      <c r="A627" t="s">
        <v>57</v>
      </c>
      <c r="B627">
        <v>2021</v>
      </c>
      <c r="C627" t="s">
        <v>76</v>
      </c>
      <c r="D627">
        <v>0.27</v>
      </c>
    </row>
    <row r="628" spans="1:4" x14ac:dyDescent="0.45">
      <c r="A628" t="s">
        <v>38</v>
      </c>
      <c r="B628">
        <v>2021</v>
      </c>
      <c r="C628" t="s">
        <v>76</v>
      </c>
      <c r="D628">
        <v>7.95</v>
      </c>
    </row>
    <row r="629" spans="1:4" x14ac:dyDescent="0.45">
      <c r="A629" t="s">
        <v>32</v>
      </c>
      <c r="B629">
        <v>2021</v>
      </c>
      <c r="C629" t="s">
        <v>76</v>
      </c>
      <c r="D629">
        <v>0</v>
      </c>
    </row>
    <row r="630" spans="1:4" x14ac:dyDescent="0.45">
      <c r="A630" t="s">
        <v>58</v>
      </c>
      <c r="B630">
        <v>2021</v>
      </c>
      <c r="C630" t="s">
        <v>76</v>
      </c>
      <c r="D630">
        <v>1.29</v>
      </c>
    </row>
    <row r="631" spans="1:4" x14ac:dyDescent="0.45">
      <c r="A631" t="s">
        <v>91</v>
      </c>
      <c r="B631">
        <v>2021</v>
      </c>
      <c r="C631" t="s">
        <v>76</v>
      </c>
      <c r="D631">
        <v>0.76</v>
      </c>
    </row>
    <row r="632" spans="1:4" x14ac:dyDescent="0.45">
      <c r="A632" t="s">
        <v>32</v>
      </c>
      <c r="B632">
        <v>2022</v>
      </c>
      <c r="C632" t="s">
        <v>76</v>
      </c>
      <c r="D632">
        <v>1.47</v>
      </c>
    </row>
    <row r="633" spans="1:4" x14ac:dyDescent="0.45">
      <c r="A633" t="s">
        <v>34</v>
      </c>
      <c r="B633">
        <v>2022</v>
      </c>
      <c r="C633" t="s">
        <v>76</v>
      </c>
      <c r="D633">
        <v>7.57</v>
      </c>
    </row>
    <row r="634" spans="1:4" x14ac:dyDescent="0.45">
      <c r="A634" t="s">
        <v>36</v>
      </c>
      <c r="B634">
        <v>2022</v>
      </c>
      <c r="C634" t="s">
        <v>76</v>
      </c>
      <c r="D634">
        <v>42.45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0.28000000000000003</v>
      </c>
    </row>
    <row r="637" spans="1:4" x14ac:dyDescent="0.45">
      <c r="A637" t="s">
        <v>38</v>
      </c>
      <c r="B637">
        <v>2022</v>
      </c>
      <c r="C637" t="s">
        <v>76</v>
      </c>
      <c r="D637">
        <v>7.69</v>
      </c>
    </row>
    <row r="638" spans="1:4" x14ac:dyDescent="0.45">
      <c r="A638" t="s">
        <v>32</v>
      </c>
      <c r="B638">
        <v>2022</v>
      </c>
      <c r="C638" t="s">
        <v>76</v>
      </c>
      <c r="D638">
        <v>0</v>
      </c>
    </row>
    <row r="639" spans="1:4" x14ac:dyDescent="0.45">
      <c r="A639" t="s">
        <v>58</v>
      </c>
      <c r="B639">
        <v>2022</v>
      </c>
      <c r="C639" t="s">
        <v>76</v>
      </c>
      <c r="D639">
        <v>1.7</v>
      </c>
    </row>
    <row r="640" spans="1:4" x14ac:dyDescent="0.45">
      <c r="A640" t="s">
        <v>91</v>
      </c>
      <c r="B640">
        <v>2022</v>
      </c>
      <c r="C640" t="s">
        <v>76</v>
      </c>
      <c r="D640">
        <v>0.76</v>
      </c>
    </row>
    <row r="641" spans="1:4" x14ac:dyDescent="0.45">
      <c r="A641" t="s">
        <v>32</v>
      </c>
      <c r="B641">
        <v>2023</v>
      </c>
      <c r="C641" t="s">
        <v>76</v>
      </c>
      <c r="D641">
        <v>1.27</v>
      </c>
    </row>
    <row r="642" spans="1:4" x14ac:dyDescent="0.45">
      <c r="A642" t="s">
        <v>34</v>
      </c>
      <c r="B642">
        <v>2023</v>
      </c>
      <c r="C642" t="s">
        <v>76</v>
      </c>
      <c r="D642">
        <v>3.76</v>
      </c>
    </row>
    <row r="643" spans="1:4" x14ac:dyDescent="0.45">
      <c r="A643" t="s">
        <v>36</v>
      </c>
      <c r="B643">
        <v>2023</v>
      </c>
      <c r="C643" t="s">
        <v>76</v>
      </c>
      <c r="D643">
        <v>31.18</v>
      </c>
    </row>
    <row r="644" spans="1:4" x14ac:dyDescent="0.45">
      <c r="A644" t="s">
        <v>56</v>
      </c>
      <c r="B644">
        <v>2023</v>
      </c>
      <c r="C644" t="s">
        <v>76</v>
      </c>
      <c r="D644">
        <v>0.48</v>
      </c>
    </row>
    <row r="645" spans="1:4" x14ac:dyDescent="0.45">
      <c r="A645" t="s">
        <v>57</v>
      </c>
      <c r="B645">
        <v>2023</v>
      </c>
      <c r="C645" t="s">
        <v>76</v>
      </c>
      <c r="D645">
        <v>0.27</v>
      </c>
    </row>
    <row r="646" spans="1:4" x14ac:dyDescent="0.45">
      <c r="A646" t="s">
        <v>38</v>
      </c>
      <c r="B646">
        <v>2023</v>
      </c>
      <c r="C646" t="s">
        <v>76</v>
      </c>
      <c r="D646">
        <v>7.06</v>
      </c>
    </row>
    <row r="647" spans="1:4" x14ac:dyDescent="0.45">
      <c r="A647" t="s">
        <v>32</v>
      </c>
      <c r="B647">
        <v>2023</v>
      </c>
      <c r="C647" t="s">
        <v>76</v>
      </c>
      <c r="D647">
        <v>0</v>
      </c>
    </row>
    <row r="648" spans="1:4" x14ac:dyDescent="0.45">
      <c r="A648" t="s">
        <v>58</v>
      </c>
      <c r="B648">
        <v>2023</v>
      </c>
      <c r="C648" t="s">
        <v>76</v>
      </c>
      <c r="D648">
        <v>2.14</v>
      </c>
    </row>
    <row r="649" spans="1:4" x14ac:dyDescent="0.45">
      <c r="A649" t="s">
        <v>91</v>
      </c>
      <c r="B649">
        <v>2023</v>
      </c>
      <c r="C649" t="s">
        <v>76</v>
      </c>
      <c r="D649">
        <v>0.79</v>
      </c>
    </row>
    <row r="650" spans="1:4" x14ac:dyDescent="0.45">
      <c r="A650" t="s">
        <v>59</v>
      </c>
      <c r="B650">
        <v>2000</v>
      </c>
      <c r="C650" t="s">
        <v>74</v>
      </c>
      <c r="D650">
        <v>7.8</v>
      </c>
    </row>
    <row r="651" spans="1:4" x14ac:dyDescent="0.45">
      <c r="A651" t="s">
        <v>60</v>
      </c>
      <c r="B651">
        <v>2000</v>
      </c>
      <c r="C651" t="s">
        <v>74</v>
      </c>
      <c r="D651">
        <v>12.3</v>
      </c>
    </row>
    <row r="652" spans="1:4" x14ac:dyDescent="0.45">
      <c r="A652" t="s">
        <v>59</v>
      </c>
      <c r="B652">
        <v>2001</v>
      </c>
      <c r="C652" t="s">
        <v>74</v>
      </c>
      <c r="D652">
        <v>6.7</v>
      </c>
    </row>
    <row r="653" spans="1:4" x14ac:dyDescent="0.45">
      <c r="A653" t="s">
        <v>60</v>
      </c>
      <c r="B653">
        <v>2001</v>
      </c>
      <c r="C653" t="s">
        <v>74</v>
      </c>
      <c r="D653">
        <v>10.199999999999999</v>
      </c>
    </row>
    <row r="654" spans="1:4" x14ac:dyDescent="0.45">
      <c r="A654" t="s">
        <v>59</v>
      </c>
      <c r="B654">
        <v>2002</v>
      </c>
      <c r="C654" t="s">
        <v>74</v>
      </c>
      <c r="D654">
        <v>7.2</v>
      </c>
    </row>
    <row r="655" spans="1:4" x14ac:dyDescent="0.45">
      <c r="A655" t="s">
        <v>60</v>
      </c>
      <c r="B655">
        <v>2002</v>
      </c>
      <c r="C655" t="s">
        <v>74</v>
      </c>
      <c r="D655">
        <v>12.5</v>
      </c>
    </row>
    <row r="656" spans="1:4" x14ac:dyDescent="0.45">
      <c r="A656" t="s">
        <v>59</v>
      </c>
      <c r="B656">
        <v>2003</v>
      </c>
      <c r="C656" t="s">
        <v>74</v>
      </c>
      <c r="D656">
        <v>8.3000000000000007</v>
      </c>
    </row>
    <row r="657" spans="1:4" x14ac:dyDescent="0.45">
      <c r="A657" t="s">
        <v>60</v>
      </c>
      <c r="B657">
        <v>2003</v>
      </c>
      <c r="C657" t="s">
        <v>74</v>
      </c>
      <c r="D657">
        <v>9.5</v>
      </c>
    </row>
    <row r="658" spans="1:4" x14ac:dyDescent="0.45">
      <c r="A658" t="s">
        <v>59</v>
      </c>
      <c r="B658">
        <v>2004</v>
      </c>
      <c r="C658" t="s">
        <v>74</v>
      </c>
      <c r="D658">
        <v>11.1</v>
      </c>
    </row>
    <row r="659" spans="1:4" x14ac:dyDescent="0.45">
      <c r="A659" t="s">
        <v>60</v>
      </c>
      <c r="B659">
        <v>2004</v>
      </c>
      <c r="C659" t="s">
        <v>74</v>
      </c>
      <c r="D659">
        <v>8.1</v>
      </c>
    </row>
    <row r="660" spans="1:4" x14ac:dyDescent="0.45">
      <c r="A660" t="s">
        <v>59</v>
      </c>
      <c r="B660">
        <v>2005</v>
      </c>
      <c r="C660" t="s">
        <v>74</v>
      </c>
      <c r="D660">
        <v>11.6</v>
      </c>
    </row>
    <row r="661" spans="1:4" x14ac:dyDescent="0.45">
      <c r="A661" t="s">
        <v>60</v>
      </c>
      <c r="B661">
        <v>2005</v>
      </c>
      <c r="C661" t="s">
        <v>74</v>
      </c>
      <c r="D661">
        <v>10.199999999999999</v>
      </c>
    </row>
    <row r="662" spans="1:4" x14ac:dyDescent="0.45">
      <c r="A662" t="s">
        <v>59</v>
      </c>
      <c r="B662">
        <v>2006</v>
      </c>
      <c r="C662" t="s">
        <v>74</v>
      </c>
      <c r="D662">
        <v>12.4</v>
      </c>
    </row>
    <row r="663" spans="1:4" x14ac:dyDescent="0.45">
      <c r="A663" t="s">
        <v>60</v>
      </c>
      <c r="B663">
        <v>2006</v>
      </c>
      <c r="C663" t="s">
        <v>74</v>
      </c>
      <c r="D663">
        <v>9.1</v>
      </c>
    </row>
    <row r="664" spans="1:4" x14ac:dyDescent="0.45">
      <c r="A664" t="s">
        <v>59</v>
      </c>
      <c r="B664">
        <v>2007</v>
      </c>
      <c r="C664" t="s">
        <v>74</v>
      </c>
      <c r="D664">
        <v>14.5</v>
      </c>
    </row>
    <row r="665" spans="1:4" x14ac:dyDescent="0.45">
      <c r="A665" t="s">
        <v>60</v>
      </c>
      <c r="B665">
        <v>2007</v>
      </c>
      <c r="C665" t="s">
        <v>74</v>
      </c>
      <c r="D665">
        <v>8.8000000000000007</v>
      </c>
    </row>
    <row r="666" spans="1:4" x14ac:dyDescent="0.45">
      <c r="A666" t="s">
        <v>59</v>
      </c>
      <c r="B666">
        <v>2008</v>
      </c>
      <c r="C666" t="s">
        <v>74</v>
      </c>
      <c r="D666">
        <v>16.899999999999999</v>
      </c>
    </row>
    <row r="667" spans="1:4" x14ac:dyDescent="0.45">
      <c r="A667" t="s">
        <v>60</v>
      </c>
      <c r="B667">
        <v>2008</v>
      </c>
      <c r="C667" t="s">
        <v>74</v>
      </c>
      <c r="D667">
        <v>5.9</v>
      </c>
    </row>
    <row r="668" spans="1:4" x14ac:dyDescent="0.45">
      <c r="A668" t="s">
        <v>59</v>
      </c>
      <c r="B668">
        <v>2009</v>
      </c>
      <c r="C668" t="s">
        <v>74</v>
      </c>
      <c r="D668">
        <v>14.9</v>
      </c>
    </row>
    <row r="669" spans="1:4" x14ac:dyDescent="0.45">
      <c r="A669" t="s">
        <v>60</v>
      </c>
      <c r="B669">
        <v>2009</v>
      </c>
      <c r="C669" t="s">
        <v>74</v>
      </c>
      <c r="D669">
        <v>6.8</v>
      </c>
    </row>
    <row r="670" spans="1:4" x14ac:dyDescent="0.45">
      <c r="A670" t="s">
        <v>59</v>
      </c>
      <c r="B670">
        <v>2010</v>
      </c>
      <c r="C670" t="s">
        <v>74</v>
      </c>
      <c r="D670">
        <v>13.5</v>
      </c>
    </row>
    <row r="671" spans="1:4" x14ac:dyDescent="0.45">
      <c r="A671" t="s">
        <v>60</v>
      </c>
      <c r="B671">
        <v>2010</v>
      </c>
      <c r="C671" t="s">
        <v>74</v>
      </c>
      <c r="D671">
        <v>5.2</v>
      </c>
    </row>
    <row r="672" spans="1:4" x14ac:dyDescent="0.45">
      <c r="A672" t="s">
        <v>59</v>
      </c>
      <c r="B672">
        <v>2011</v>
      </c>
      <c r="C672" t="s">
        <v>74</v>
      </c>
      <c r="D672">
        <v>14</v>
      </c>
    </row>
    <row r="673" spans="1:4" x14ac:dyDescent="0.45">
      <c r="A673" t="s">
        <v>60</v>
      </c>
      <c r="B673">
        <v>2011</v>
      </c>
      <c r="C673" t="s">
        <v>74</v>
      </c>
      <c r="D673">
        <v>7.9</v>
      </c>
    </row>
    <row r="674" spans="1:4" x14ac:dyDescent="0.45">
      <c r="A674" t="s">
        <v>59</v>
      </c>
      <c r="B674">
        <v>2012</v>
      </c>
      <c r="C674" t="s">
        <v>74</v>
      </c>
      <c r="D674">
        <v>19</v>
      </c>
    </row>
    <row r="675" spans="1:4" x14ac:dyDescent="0.45">
      <c r="A675" t="s">
        <v>60</v>
      </c>
      <c r="B675">
        <v>2012</v>
      </c>
      <c r="C675" t="s">
        <v>74</v>
      </c>
      <c r="D675">
        <v>7.8</v>
      </c>
    </row>
    <row r="676" spans="1:4" x14ac:dyDescent="0.45">
      <c r="A676" t="s">
        <v>59</v>
      </c>
      <c r="B676">
        <v>2013</v>
      </c>
      <c r="C676" t="s">
        <v>74</v>
      </c>
      <c r="D676">
        <v>16.600000000000001</v>
      </c>
    </row>
    <row r="677" spans="1:4" x14ac:dyDescent="0.45">
      <c r="A677" t="s">
        <v>60</v>
      </c>
      <c r="B677">
        <v>2013</v>
      </c>
      <c r="C677" t="s">
        <v>74</v>
      </c>
      <c r="D677">
        <v>9.9</v>
      </c>
    </row>
    <row r="678" spans="1:4" x14ac:dyDescent="0.45">
      <c r="A678" t="s">
        <v>59</v>
      </c>
      <c r="B678">
        <v>2014</v>
      </c>
      <c r="C678" t="s">
        <v>74</v>
      </c>
      <c r="D678">
        <v>15.7</v>
      </c>
    </row>
    <row r="679" spans="1:4" x14ac:dyDescent="0.45">
      <c r="A679" t="s">
        <v>60</v>
      </c>
      <c r="B679">
        <v>2014</v>
      </c>
      <c r="C679" t="s">
        <v>74</v>
      </c>
      <c r="D679">
        <v>12.3</v>
      </c>
    </row>
    <row r="680" spans="1:4" x14ac:dyDescent="0.45">
      <c r="A680" t="s">
        <v>59</v>
      </c>
      <c r="B680">
        <v>2015</v>
      </c>
      <c r="C680" t="s">
        <v>74</v>
      </c>
      <c r="D680">
        <v>15.1</v>
      </c>
    </row>
    <row r="681" spans="1:4" x14ac:dyDescent="0.45">
      <c r="A681" t="s">
        <v>60</v>
      </c>
      <c r="B681">
        <v>2015</v>
      </c>
      <c r="C681" t="s">
        <v>74</v>
      </c>
      <c r="D681">
        <v>15</v>
      </c>
    </row>
    <row r="682" spans="1:4" x14ac:dyDescent="0.45">
      <c r="A682" t="s">
        <v>59</v>
      </c>
      <c r="B682">
        <v>2016</v>
      </c>
      <c r="C682" t="s">
        <v>74</v>
      </c>
      <c r="D682">
        <v>14.2</v>
      </c>
    </row>
    <row r="683" spans="1:4" x14ac:dyDescent="0.45">
      <c r="A683" t="s">
        <v>60</v>
      </c>
      <c r="B683">
        <v>2016</v>
      </c>
      <c r="C683" t="s">
        <v>74</v>
      </c>
      <c r="D683">
        <v>21.8</v>
      </c>
    </row>
    <row r="684" spans="1:4" x14ac:dyDescent="0.45">
      <c r="A684" t="s">
        <v>59</v>
      </c>
      <c r="B684">
        <v>2017</v>
      </c>
      <c r="C684" t="s">
        <v>74</v>
      </c>
      <c r="D684">
        <v>14.6</v>
      </c>
    </row>
    <row r="685" spans="1:4" x14ac:dyDescent="0.45">
      <c r="A685" t="s">
        <v>60</v>
      </c>
      <c r="B685">
        <v>2017</v>
      </c>
      <c r="C685" t="s">
        <v>74</v>
      </c>
      <c r="D685">
        <v>23.8</v>
      </c>
    </row>
    <row r="686" spans="1:4" x14ac:dyDescent="0.45">
      <c r="A686" t="s">
        <v>59</v>
      </c>
      <c r="B686">
        <v>2018</v>
      </c>
      <c r="C686" t="s">
        <v>74</v>
      </c>
      <c r="D686">
        <v>12.9</v>
      </c>
    </row>
    <row r="687" spans="1:4" x14ac:dyDescent="0.45">
      <c r="A687" t="s">
        <v>60</v>
      </c>
      <c r="B687">
        <v>2018</v>
      </c>
      <c r="C687" t="s">
        <v>74</v>
      </c>
      <c r="D687">
        <v>24</v>
      </c>
    </row>
    <row r="688" spans="1:4" x14ac:dyDescent="0.45">
      <c r="A688" t="s">
        <v>59</v>
      </c>
      <c r="B688">
        <v>2019</v>
      </c>
      <c r="C688" t="s">
        <v>74</v>
      </c>
      <c r="D688">
        <v>11.9</v>
      </c>
    </row>
    <row r="689" spans="1:4" x14ac:dyDescent="0.45">
      <c r="A689" t="s">
        <v>60</v>
      </c>
      <c r="B689">
        <v>2019</v>
      </c>
      <c r="C689" t="s">
        <v>74</v>
      </c>
      <c r="D689">
        <v>18.7</v>
      </c>
    </row>
    <row r="690" spans="1:4" x14ac:dyDescent="0.45">
      <c r="A690" t="s">
        <v>59</v>
      </c>
      <c r="B690">
        <v>2020</v>
      </c>
      <c r="C690" t="s">
        <v>74</v>
      </c>
      <c r="D690">
        <v>14.6</v>
      </c>
    </row>
    <row r="691" spans="1:4" x14ac:dyDescent="0.45">
      <c r="A691" t="s">
        <v>60</v>
      </c>
      <c r="B691">
        <v>2020</v>
      </c>
      <c r="C691" t="s">
        <v>74</v>
      </c>
      <c r="D691">
        <v>17.899999999999999</v>
      </c>
    </row>
    <row r="692" spans="1:4" x14ac:dyDescent="0.45">
      <c r="A692" t="s">
        <v>59</v>
      </c>
      <c r="B692">
        <v>2021</v>
      </c>
      <c r="C692" t="s">
        <v>74</v>
      </c>
      <c r="D692">
        <v>16.600000000000001</v>
      </c>
    </row>
    <row r="693" spans="1:4" x14ac:dyDescent="0.45">
      <c r="A693" t="s">
        <v>60</v>
      </c>
      <c r="B693">
        <v>2021</v>
      </c>
      <c r="C693" t="s">
        <v>74</v>
      </c>
      <c r="D693">
        <v>17.399999999999999</v>
      </c>
    </row>
    <row r="694" spans="1:4" x14ac:dyDescent="0.45">
      <c r="A694" t="s">
        <v>59</v>
      </c>
      <c r="B694">
        <v>2022</v>
      </c>
      <c r="C694" t="s">
        <v>74</v>
      </c>
      <c r="D694">
        <v>27.8</v>
      </c>
    </row>
    <row r="695" spans="1:4" x14ac:dyDescent="0.45">
      <c r="A695" t="s">
        <v>60</v>
      </c>
      <c r="B695">
        <v>2022</v>
      </c>
      <c r="C695" t="s">
        <v>74</v>
      </c>
      <c r="D695">
        <v>8</v>
      </c>
    </row>
    <row r="696" spans="1:4" x14ac:dyDescent="0.45">
      <c r="A696" t="s">
        <v>59</v>
      </c>
      <c r="B696">
        <v>2023</v>
      </c>
      <c r="C696" t="s">
        <v>74</v>
      </c>
      <c r="D696">
        <v>25.3</v>
      </c>
    </row>
    <row r="697" spans="1:4" x14ac:dyDescent="0.45">
      <c r="A697" t="s">
        <v>60</v>
      </c>
      <c r="B697">
        <v>2023</v>
      </c>
      <c r="C697" t="s">
        <v>74</v>
      </c>
      <c r="D697">
        <v>11.3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9.1650000000000009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6.2040000000000006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3.7882000000000002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2.6696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1.2596000000000001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12.067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15.471499999999999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16.714500000000001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18.161000000000001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20.515000000000001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25.7895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25.0855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4.8930000000000007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2.8000000000000001E-2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9.4187999999999992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6.157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3.5344000000000002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4.2111999999999998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3.4403999999999999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1.9364000000000001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1.2878000000000001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12.364000000000001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18.342500000000001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13.645499999999998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16.802499999999998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22.203500000000002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32.411500000000004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31.097000000000001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4.9560000000000004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2.2120000000000002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9.4657999999999998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6.1757999999999997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3.5344000000000002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1.3724000000000001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0.29139999999999999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12.397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18.425000000000001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13.695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13.326499999999999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13.629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16.769500000000001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14.222999999999999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4.9630000000000001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2.2189999999999999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9.0991999999999997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5.9501999999999997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3.4686000000000003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0.9870000000000001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0.29139999999999999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12.033999999999999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17.814500000000002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13.277000000000001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13.172499999999999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12.694000000000001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12.644499999999999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11.2585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4.8930000000000007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2.1910000000000003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9.5221999999999998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6.2885999999999997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3.6472000000000002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0.89300000000000002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0.2162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2.8199999999999996E-2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12.286999999999999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15.686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11.9625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2.3210000000000002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1.8975000000000002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5.3789999999999996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7.3094999999999999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4.9139999999999997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2.8000000000000001E-2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9.2590000000000003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6.2697999999999992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3.6189999999999998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1.9551999999999998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0.81779999999999997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12.138500000000001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15.548500000000001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14.432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15.543000000000001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17.7925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21.785499999999999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25.762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4.9210000000000003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2.8000000000000001E-2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9.1462000000000003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6.2134000000000009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1.786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0.39479999999999998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2.8199999999999996E-2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5.6399999999999992E-2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12.0395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15.4055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8.4700000000000006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0.20350000000000001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0.70950000000000002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0.66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0.1045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4.8719999999999999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2.8000000000000001E-2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0.21379999999999999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1.76675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5.3887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11.02345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16.590599999999998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20.297449999999998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20.3444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19.526450000000001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18.02515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16.403399999999998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15.949400000000001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15.4053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16.132100000000001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16.763100000000001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16.540849999999999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16.392099999999999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0.13895000000000002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0.15944999999999998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0.1704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0.18254999999999999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0.1946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0.1923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0.186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0.16420000000000001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0.11244999999999999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5.9549999999999999E-2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2.955E-2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0.14460000000000001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0.16505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0.97704999999999997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15.946449999999999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42.26585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54.002899999999997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59.327300000000001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56.780699999999996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55.659649999999999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54.171300000000002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49.324750000000002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44.200299999999999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37.711399999999998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30.9971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29.456600000000002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27.99005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0.14355000000000001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0.16284999999999999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0.60304999999999997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3.6853500000000001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7.7946000000000009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11.660299999999999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12.766349999999999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13.08545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12.763400000000001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12.361800000000001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10.549800000000001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8.7556000000000012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8.8819999999999997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8.9491499999999995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9.2787500000000005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9.6190999999999995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0.27105000000000001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5.8373499999999998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14.13635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24.282499999999999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33.670999999999999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40.850849999999994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43.599050000000005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44.49635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43.953850000000003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43.097200000000001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43.242100000000001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43.102199999999996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42.884299999999996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42.34205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40.8718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39.522199999999998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0.26380000000000003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2.2010500000000004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5.8964999999999996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11.035399999999999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13.69115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16.17015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16.72925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15.8254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14.24025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12.560400000000001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9.5868499999999983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6.7344000000000008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6.5879499999999993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6.4238999999999997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7.4714499999999999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8.5058000000000007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0.27765000000000001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10.51595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31.717700000000001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54.611999999999995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63.086849999999998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66.231949999999998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65.630499999999998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61.7575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55.031649999999999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47.918149999999997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43.527550000000005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38.88015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40.382549999999995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41.876000000000005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42.1753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42.526600000000002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0.27929999999999999</v>
      </c>
      <c r="K268" t="s">
        <v>24</v>
      </c>
    </row>
    <row r="269" spans="1:11" x14ac:dyDescent="0.45">
      <c r="A269" t="s">
        <v>90</v>
      </c>
      <c r="B269" t="s">
        <v>3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0.29954999999999998</v>
      </c>
      <c r="K269" t="s">
        <v>24</v>
      </c>
    </row>
    <row r="270" spans="1:11" x14ac:dyDescent="0.45">
      <c r="A270" t="s">
        <v>90</v>
      </c>
      <c r="B270" t="s">
        <v>3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0.29484999999999995</v>
      </c>
      <c r="K270" t="s">
        <v>24</v>
      </c>
    </row>
    <row r="271" spans="1:11" x14ac:dyDescent="0.45">
      <c r="A271" t="s">
        <v>90</v>
      </c>
      <c r="B271" t="s">
        <v>3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0.30580000000000002</v>
      </c>
      <c r="K271" t="s">
        <v>24</v>
      </c>
    </row>
    <row r="272" spans="1:11" x14ac:dyDescent="0.45">
      <c r="A272" t="s">
        <v>90</v>
      </c>
      <c r="B272" t="s">
        <v>3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0.31335000000000002</v>
      </c>
      <c r="K272" t="s">
        <v>24</v>
      </c>
    </row>
    <row r="273" spans="1:11" x14ac:dyDescent="0.45">
      <c r="A273" t="s">
        <v>90</v>
      </c>
      <c r="B273" t="s">
        <v>3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0.33899999999999997</v>
      </c>
      <c r="K273" t="s">
        <v>24</v>
      </c>
    </row>
    <row r="274" spans="1:11" x14ac:dyDescent="0.45">
      <c r="A274" t="s">
        <v>90</v>
      </c>
      <c r="B274" t="s">
        <v>3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0.34984999999999999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0.34299999999999997</v>
      </c>
      <c r="K275" t="s">
        <v>24</v>
      </c>
    </row>
    <row r="276" spans="1:11" x14ac:dyDescent="0.45">
      <c r="A276" t="s">
        <v>90</v>
      </c>
      <c r="B276" t="s">
        <v>3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0.31655</v>
      </c>
      <c r="K276" t="s">
        <v>24</v>
      </c>
    </row>
    <row r="277" spans="1:11" x14ac:dyDescent="0.45">
      <c r="A277" t="s">
        <v>90</v>
      </c>
      <c r="B277" t="s">
        <v>3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0.31574999999999998</v>
      </c>
      <c r="K277" t="s">
        <v>24</v>
      </c>
    </row>
    <row r="278" spans="1:11" x14ac:dyDescent="0.45">
      <c r="A278" t="s">
        <v>90</v>
      </c>
      <c r="B278" t="s">
        <v>3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0.31459999999999999</v>
      </c>
      <c r="K278" t="s">
        <v>24</v>
      </c>
    </row>
    <row r="279" spans="1:11" x14ac:dyDescent="0.45">
      <c r="A279" t="s">
        <v>90</v>
      </c>
      <c r="B279" t="s">
        <v>3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0.31435000000000002</v>
      </c>
      <c r="K279" t="s">
        <v>24</v>
      </c>
    </row>
    <row r="280" spans="1:11" x14ac:dyDescent="0.45">
      <c r="A280" t="s">
        <v>90</v>
      </c>
      <c r="B280" t="s">
        <v>3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0.31325000000000003</v>
      </c>
      <c r="K280" t="s">
        <v>24</v>
      </c>
    </row>
    <row r="281" spans="1:11" x14ac:dyDescent="0.45">
      <c r="A281" t="s">
        <v>90</v>
      </c>
      <c r="B281" t="s">
        <v>3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0.30754999999999999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0.29969999999999997</v>
      </c>
      <c r="K282" t="s">
        <v>24</v>
      </c>
    </row>
    <row r="283" spans="1:11" x14ac:dyDescent="0.45">
      <c r="A283" t="s">
        <v>90</v>
      </c>
      <c r="B283" t="s">
        <v>3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0.28510000000000002</v>
      </c>
      <c r="K283" t="s">
        <v>24</v>
      </c>
    </row>
    <row r="284" spans="1:11" x14ac:dyDescent="0.45">
      <c r="A284" t="s">
        <v>90</v>
      </c>
      <c r="B284" t="s">
        <v>3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0.27</v>
      </c>
      <c r="K284" t="s">
        <v>24</v>
      </c>
    </row>
    <row r="285" spans="1:11" x14ac:dyDescent="0.45">
      <c r="A285" t="s">
        <v>90</v>
      </c>
      <c r="B285" t="s">
        <v>3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0.65585000000000004</v>
      </c>
      <c r="K285" t="s">
        <v>28</v>
      </c>
    </row>
    <row r="286" spans="1:11" x14ac:dyDescent="0.45">
      <c r="A286" t="s">
        <v>90</v>
      </c>
      <c r="B286" t="s">
        <v>3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0.71655000000000002</v>
      </c>
      <c r="K286" t="s">
        <v>28</v>
      </c>
    </row>
    <row r="287" spans="1:11" x14ac:dyDescent="0.45">
      <c r="A287" t="s">
        <v>90</v>
      </c>
      <c r="B287" t="s">
        <v>3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0.74465000000000003</v>
      </c>
      <c r="K287" t="s">
        <v>28</v>
      </c>
    </row>
    <row r="288" spans="1:11" x14ac:dyDescent="0.45">
      <c r="A288" t="s">
        <v>90</v>
      </c>
      <c r="B288" t="s">
        <v>3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0.76829999999999998</v>
      </c>
      <c r="K288" t="s">
        <v>28</v>
      </c>
    </row>
    <row r="289" spans="1:11" x14ac:dyDescent="0.45">
      <c r="A289" t="s">
        <v>90</v>
      </c>
      <c r="B289" t="s">
        <v>3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0.74930000000000008</v>
      </c>
      <c r="K289" t="s">
        <v>28</v>
      </c>
    </row>
    <row r="290" spans="1:11" x14ac:dyDescent="0.45">
      <c r="A290" t="s">
        <v>90</v>
      </c>
      <c r="B290" t="s">
        <v>3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0.76459999999999995</v>
      </c>
      <c r="K290" t="s">
        <v>28</v>
      </c>
    </row>
    <row r="291" spans="1:11" x14ac:dyDescent="0.45">
      <c r="A291" t="s">
        <v>90</v>
      </c>
      <c r="B291" t="s">
        <v>3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0.78410000000000002</v>
      </c>
      <c r="K291" t="s">
        <v>28</v>
      </c>
    </row>
    <row r="292" spans="1:11" x14ac:dyDescent="0.45">
      <c r="A292" t="s">
        <v>90</v>
      </c>
      <c r="B292" t="s">
        <v>3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0.75209999999999999</v>
      </c>
      <c r="K292" t="s">
        <v>28</v>
      </c>
    </row>
    <row r="293" spans="1:11" x14ac:dyDescent="0.45">
      <c r="A293" t="s">
        <v>90</v>
      </c>
      <c r="B293" t="s">
        <v>3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0.77590000000000003</v>
      </c>
      <c r="K293" t="s">
        <v>28</v>
      </c>
    </row>
    <row r="294" spans="1:11" x14ac:dyDescent="0.45">
      <c r="A294" t="s">
        <v>90</v>
      </c>
      <c r="B294" t="s">
        <v>3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0.78289999999999993</v>
      </c>
      <c r="K294" t="s">
        <v>28</v>
      </c>
    </row>
    <row r="295" spans="1:11" x14ac:dyDescent="0.45">
      <c r="A295" t="s">
        <v>90</v>
      </c>
      <c r="B295" t="s">
        <v>3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0.79255000000000009</v>
      </c>
      <c r="K295" t="s">
        <v>28</v>
      </c>
    </row>
    <row r="296" spans="1:11" x14ac:dyDescent="0.45">
      <c r="A296" t="s">
        <v>90</v>
      </c>
      <c r="B296" t="s">
        <v>3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0.83214999999999995</v>
      </c>
      <c r="K296" t="s">
        <v>28</v>
      </c>
    </row>
    <row r="297" spans="1:11" x14ac:dyDescent="0.45">
      <c r="A297" t="s">
        <v>90</v>
      </c>
      <c r="B297" t="s">
        <v>3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0.87080000000000002</v>
      </c>
      <c r="K297" t="s">
        <v>28</v>
      </c>
    </row>
    <row r="298" spans="1:11" x14ac:dyDescent="0.45">
      <c r="A298" t="s">
        <v>90</v>
      </c>
      <c r="B298" t="s">
        <v>3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0.90060000000000007</v>
      </c>
      <c r="K298" t="s">
        <v>28</v>
      </c>
    </row>
    <row r="299" spans="1:11" x14ac:dyDescent="0.45">
      <c r="A299" t="s">
        <v>90</v>
      </c>
      <c r="B299" t="s">
        <v>3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0.92930000000000001</v>
      </c>
      <c r="K299" t="s">
        <v>28</v>
      </c>
    </row>
    <row r="300" spans="1:11" x14ac:dyDescent="0.45">
      <c r="A300" t="s">
        <v>90</v>
      </c>
      <c r="B300" t="s">
        <v>3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0.95304999999999995</v>
      </c>
      <c r="K300" t="s">
        <v>28</v>
      </c>
    </row>
    <row r="301" spans="1:11" x14ac:dyDescent="0.45">
      <c r="A301" t="s">
        <v>90</v>
      </c>
      <c r="B301" t="s">
        <v>3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0.97575000000000001</v>
      </c>
      <c r="K301" t="s">
        <v>28</v>
      </c>
    </row>
    <row r="302" spans="1:11" x14ac:dyDescent="0.45">
      <c r="A302" t="s">
        <v>90</v>
      </c>
      <c r="B302" t="s">
        <v>3</v>
      </c>
      <c r="C302" t="s">
        <v>84</v>
      </c>
      <c r="D302" t="s">
        <v>27</v>
      </c>
      <c r="E302" t="s">
        <v>25</v>
      </c>
      <c r="F302" t="s">
        <v>27</v>
      </c>
      <c r="G302" t="s">
        <v>26</v>
      </c>
      <c r="H302" t="s">
        <v>10</v>
      </c>
      <c r="I302">
        <v>2020</v>
      </c>
      <c r="J302">
        <v>2.2499999999999999E-2</v>
      </c>
      <c r="K302" t="s">
        <v>27</v>
      </c>
    </row>
    <row r="303" spans="1:11" x14ac:dyDescent="0.45">
      <c r="A303" t="s">
        <v>90</v>
      </c>
      <c r="B303" t="s">
        <v>3</v>
      </c>
      <c r="C303" t="s">
        <v>84</v>
      </c>
      <c r="D303" t="s">
        <v>27</v>
      </c>
      <c r="E303" t="s">
        <v>25</v>
      </c>
      <c r="F303" t="s">
        <v>27</v>
      </c>
      <c r="G303" t="s">
        <v>26</v>
      </c>
      <c r="H303" t="s">
        <v>10</v>
      </c>
      <c r="I303">
        <v>2025</v>
      </c>
      <c r="J303">
        <v>4.8399999999999999E-2</v>
      </c>
      <c r="K303" t="s">
        <v>27</v>
      </c>
    </row>
    <row r="304" spans="1:11" x14ac:dyDescent="0.45">
      <c r="A304" t="s">
        <v>90</v>
      </c>
      <c r="B304" t="s">
        <v>3</v>
      </c>
      <c r="C304" t="s">
        <v>84</v>
      </c>
      <c r="D304" t="s">
        <v>27</v>
      </c>
      <c r="E304" t="s">
        <v>25</v>
      </c>
      <c r="F304" t="s">
        <v>27</v>
      </c>
      <c r="G304" t="s">
        <v>26</v>
      </c>
      <c r="H304" t="s">
        <v>10</v>
      </c>
      <c r="I304">
        <v>2030</v>
      </c>
      <c r="J304">
        <v>8.6150000000000004E-2</v>
      </c>
      <c r="K304" t="s">
        <v>27</v>
      </c>
    </row>
    <row r="305" spans="1:11" x14ac:dyDescent="0.45">
      <c r="A305" t="s">
        <v>90</v>
      </c>
      <c r="B305" t="s">
        <v>3</v>
      </c>
      <c r="C305" t="s">
        <v>84</v>
      </c>
      <c r="D305" t="s">
        <v>27</v>
      </c>
      <c r="E305" t="s">
        <v>25</v>
      </c>
      <c r="F305" t="s">
        <v>27</v>
      </c>
      <c r="G305" t="s">
        <v>26</v>
      </c>
      <c r="H305" t="s">
        <v>10</v>
      </c>
      <c r="I305">
        <v>2035</v>
      </c>
      <c r="J305">
        <v>0.1298</v>
      </c>
      <c r="K305" t="s">
        <v>27</v>
      </c>
    </row>
    <row r="306" spans="1:11" x14ac:dyDescent="0.45">
      <c r="A306" t="s">
        <v>90</v>
      </c>
      <c r="B306" t="s">
        <v>3</v>
      </c>
      <c r="C306" t="s">
        <v>84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2040</v>
      </c>
      <c r="J306">
        <v>0.15989999999999999</v>
      </c>
      <c r="K306" t="s">
        <v>27</v>
      </c>
    </row>
    <row r="307" spans="1:11" x14ac:dyDescent="0.45">
      <c r="A307" t="s">
        <v>90</v>
      </c>
      <c r="B307" t="s">
        <v>3</v>
      </c>
      <c r="C307" t="s">
        <v>84</v>
      </c>
      <c r="D307" t="s">
        <v>27</v>
      </c>
      <c r="E307" t="s">
        <v>25</v>
      </c>
      <c r="F307" t="s">
        <v>27</v>
      </c>
      <c r="G307" t="s">
        <v>26</v>
      </c>
      <c r="H307" t="s">
        <v>10</v>
      </c>
      <c r="I307">
        <v>2045</v>
      </c>
      <c r="J307">
        <v>0.17765</v>
      </c>
      <c r="K307" t="s">
        <v>27</v>
      </c>
    </row>
    <row r="308" spans="1:11" x14ac:dyDescent="0.45">
      <c r="A308" t="s">
        <v>90</v>
      </c>
      <c r="B308" t="s">
        <v>3</v>
      </c>
      <c r="C308" t="s">
        <v>84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2050</v>
      </c>
      <c r="J308">
        <v>0.18535000000000001</v>
      </c>
      <c r="K308" t="s">
        <v>27</v>
      </c>
    </row>
    <row r="309" spans="1:11" x14ac:dyDescent="0.45">
      <c r="A309" t="s">
        <v>90</v>
      </c>
      <c r="B309" t="s">
        <v>3</v>
      </c>
      <c r="C309" t="s">
        <v>84</v>
      </c>
      <c r="D309" t="s">
        <v>27</v>
      </c>
      <c r="E309" t="s">
        <v>25</v>
      </c>
      <c r="F309" t="s">
        <v>27</v>
      </c>
      <c r="G309" t="s">
        <v>26</v>
      </c>
      <c r="H309" t="s">
        <v>10</v>
      </c>
      <c r="I309">
        <v>2055</v>
      </c>
      <c r="J309">
        <v>0.188</v>
      </c>
      <c r="K309" t="s">
        <v>27</v>
      </c>
    </row>
    <row r="310" spans="1:11" x14ac:dyDescent="0.45">
      <c r="A310" t="s">
        <v>90</v>
      </c>
      <c r="B310" t="s">
        <v>3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2060</v>
      </c>
      <c r="J310">
        <v>0.19114999999999999</v>
      </c>
      <c r="K310" t="s">
        <v>27</v>
      </c>
    </row>
    <row r="311" spans="1:11" x14ac:dyDescent="0.45">
      <c r="A311" t="s">
        <v>90</v>
      </c>
      <c r="B311" t="s">
        <v>3</v>
      </c>
      <c r="C311" t="s">
        <v>84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2065</v>
      </c>
      <c r="J311">
        <v>0.19889999999999999</v>
      </c>
      <c r="K311" t="s">
        <v>27</v>
      </c>
    </row>
    <row r="312" spans="1:11" x14ac:dyDescent="0.45">
      <c r="A312" t="s">
        <v>90</v>
      </c>
      <c r="B312" t="s">
        <v>3</v>
      </c>
      <c r="C312" t="s">
        <v>84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2070</v>
      </c>
      <c r="J312">
        <v>0.2054</v>
      </c>
      <c r="K312" t="s">
        <v>27</v>
      </c>
    </row>
    <row r="313" spans="1:11" x14ac:dyDescent="0.45">
      <c r="A313" t="s">
        <v>90</v>
      </c>
      <c r="B313" t="s">
        <v>3</v>
      </c>
      <c r="C313" t="s">
        <v>84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2075</v>
      </c>
      <c r="J313">
        <v>0.21354999999999999</v>
      </c>
      <c r="K313" t="s">
        <v>27</v>
      </c>
    </row>
    <row r="314" spans="1:11" x14ac:dyDescent="0.45">
      <c r="A314" t="s">
        <v>90</v>
      </c>
      <c r="B314" t="s">
        <v>3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2080</v>
      </c>
      <c r="J314">
        <v>0.22334999999999999</v>
      </c>
      <c r="K314" t="s">
        <v>27</v>
      </c>
    </row>
    <row r="315" spans="1:11" x14ac:dyDescent="0.45">
      <c r="A315" t="s">
        <v>90</v>
      </c>
      <c r="B315" t="s">
        <v>3</v>
      </c>
      <c r="C315" t="s">
        <v>84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2085</v>
      </c>
      <c r="J315">
        <v>0.23255000000000001</v>
      </c>
      <c r="K315" t="s">
        <v>27</v>
      </c>
    </row>
    <row r="316" spans="1:11" x14ac:dyDescent="0.45">
      <c r="A316" t="s">
        <v>90</v>
      </c>
      <c r="B316" t="s">
        <v>3</v>
      </c>
      <c r="C316" t="s">
        <v>84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2090</v>
      </c>
      <c r="J316">
        <v>0.24295</v>
      </c>
      <c r="K316" t="s">
        <v>27</v>
      </c>
    </row>
    <row r="317" spans="1:11" x14ac:dyDescent="0.45">
      <c r="A317" t="s">
        <v>90</v>
      </c>
      <c r="B317" t="s">
        <v>3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2095</v>
      </c>
      <c r="J317">
        <v>0.25074999999999997</v>
      </c>
      <c r="K317" t="s">
        <v>27</v>
      </c>
    </row>
    <row r="318" spans="1:11" x14ac:dyDescent="0.45">
      <c r="A318" t="s">
        <v>90</v>
      </c>
      <c r="B318" t="s">
        <v>3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2100</v>
      </c>
      <c r="J318">
        <v>0.25660000000000005</v>
      </c>
      <c r="K318" t="s">
        <v>27</v>
      </c>
    </row>
    <row r="319" spans="1:11" x14ac:dyDescent="0.45">
      <c r="A319" t="s">
        <v>90</v>
      </c>
      <c r="B319" t="s">
        <v>3</v>
      </c>
      <c r="C319" t="s">
        <v>84</v>
      </c>
      <c r="D319" t="s">
        <v>85</v>
      </c>
      <c r="E319" t="s">
        <v>25</v>
      </c>
      <c r="F319" t="s">
        <v>85</v>
      </c>
      <c r="G319" t="s">
        <v>26</v>
      </c>
      <c r="H319" t="s">
        <v>82</v>
      </c>
      <c r="I319">
        <v>2020</v>
      </c>
      <c r="J319">
        <v>5.8999999999999999E-3</v>
      </c>
      <c r="K319" t="s">
        <v>85</v>
      </c>
    </row>
    <row r="320" spans="1:11" x14ac:dyDescent="0.45">
      <c r="A320" t="s">
        <v>90</v>
      </c>
      <c r="B320" t="s">
        <v>3</v>
      </c>
      <c r="C320" t="s">
        <v>84</v>
      </c>
      <c r="D320" t="s">
        <v>85</v>
      </c>
      <c r="E320" t="s">
        <v>25</v>
      </c>
      <c r="F320" t="s">
        <v>85</v>
      </c>
      <c r="G320" t="s">
        <v>26</v>
      </c>
      <c r="H320" t="s">
        <v>82</v>
      </c>
      <c r="I320">
        <v>2025</v>
      </c>
      <c r="J320">
        <v>2.69E-2</v>
      </c>
      <c r="K320" t="s">
        <v>85</v>
      </c>
    </row>
    <row r="321" spans="1:11" x14ac:dyDescent="0.45">
      <c r="A321" t="s">
        <v>90</v>
      </c>
      <c r="B321" t="s">
        <v>3</v>
      </c>
      <c r="C321" t="s">
        <v>84</v>
      </c>
      <c r="D321" t="s">
        <v>85</v>
      </c>
      <c r="E321" t="s">
        <v>25</v>
      </c>
      <c r="F321" t="s">
        <v>85</v>
      </c>
      <c r="G321" t="s">
        <v>26</v>
      </c>
      <c r="H321" t="s">
        <v>82</v>
      </c>
      <c r="I321">
        <v>2030</v>
      </c>
      <c r="J321">
        <v>4.87E-2</v>
      </c>
      <c r="K321" t="s">
        <v>85</v>
      </c>
    </row>
    <row r="322" spans="1:11" x14ac:dyDescent="0.45">
      <c r="A322" t="s">
        <v>90</v>
      </c>
      <c r="B322" t="s">
        <v>3</v>
      </c>
      <c r="C322" t="s">
        <v>84</v>
      </c>
      <c r="D322" t="s">
        <v>85</v>
      </c>
      <c r="E322" t="s">
        <v>25</v>
      </c>
      <c r="F322" t="s">
        <v>85</v>
      </c>
      <c r="G322" t="s">
        <v>26</v>
      </c>
      <c r="H322" t="s">
        <v>82</v>
      </c>
      <c r="I322">
        <v>2035</v>
      </c>
      <c r="J322">
        <v>7.0899999999999991E-2</v>
      </c>
      <c r="K322" t="s">
        <v>85</v>
      </c>
    </row>
    <row r="323" spans="1:11" x14ac:dyDescent="0.45">
      <c r="A323" t="s">
        <v>90</v>
      </c>
      <c r="B323" t="s">
        <v>3</v>
      </c>
      <c r="C323" t="s">
        <v>84</v>
      </c>
      <c r="D323" t="s">
        <v>85</v>
      </c>
      <c r="E323" t="s">
        <v>25</v>
      </c>
      <c r="F323" t="s">
        <v>85</v>
      </c>
      <c r="G323" t="s">
        <v>26</v>
      </c>
      <c r="H323" t="s">
        <v>82</v>
      </c>
      <c r="I323">
        <v>2040</v>
      </c>
      <c r="J323">
        <v>9.8599999999999993E-2</v>
      </c>
      <c r="K323" t="s">
        <v>85</v>
      </c>
    </row>
    <row r="324" spans="1:11" x14ac:dyDescent="0.45">
      <c r="A324" t="s">
        <v>90</v>
      </c>
      <c r="B324" t="s">
        <v>3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2045</v>
      </c>
      <c r="J324">
        <v>0.1542</v>
      </c>
      <c r="K324" t="s">
        <v>85</v>
      </c>
    </row>
    <row r="325" spans="1:11" x14ac:dyDescent="0.45">
      <c r="A325" t="s">
        <v>90</v>
      </c>
      <c r="B325" t="s">
        <v>3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2050</v>
      </c>
      <c r="J325">
        <v>0.21875</v>
      </c>
      <c r="K325" t="s">
        <v>85</v>
      </c>
    </row>
    <row r="326" spans="1:11" x14ac:dyDescent="0.45">
      <c r="A326" t="s">
        <v>90</v>
      </c>
      <c r="B326" t="s">
        <v>3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2055</v>
      </c>
      <c r="J326">
        <v>0.2762</v>
      </c>
      <c r="K326" t="s">
        <v>85</v>
      </c>
    </row>
    <row r="327" spans="1:11" x14ac:dyDescent="0.45">
      <c r="A327" t="s">
        <v>90</v>
      </c>
      <c r="B327" t="s">
        <v>3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2060</v>
      </c>
      <c r="J327">
        <v>0.32740000000000002</v>
      </c>
      <c r="K327" t="s">
        <v>85</v>
      </c>
    </row>
    <row r="328" spans="1:11" x14ac:dyDescent="0.45">
      <c r="A328" t="s">
        <v>90</v>
      </c>
      <c r="B328" t="s">
        <v>3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2065</v>
      </c>
      <c r="J328">
        <v>0.31795000000000001</v>
      </c>
      <c r="K328" t="s">
        <v>85</v>
      </c>
    </row>
    <row r="329" spans="1:11" x14ac:dyDescent="0.45">
      <c r="A329" t="s">
        <v>90</v>
      </c>
      <c r="B329" t="s">
        <v>3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2070</v>
      </c>
      <c r="J329">
        <v>0.3009</v>
      </c>
      <c r="K329" t="s">
        <v>85</v>
      </c>
    </row>
    <row r="330" spans="1:11" x14ac:dyDescent="0.45">
      <c r="A330" t="s">
        <v>90</v>
      </c>
      <c r="B330" t="s">
        <v>3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2075</v>
      </c>
      <c r="J330">
        <v>0.28420000000000001</v>
      </c>
      <c r="K330" t="s">
        <v>85</v>
      </c>
    </row>
    <row r="331" spans="1:11" x14ac:dyDescent="0.45">
      <c r="A331" t="s">
        <v>90</v>
      </c>
      <c r="B331" t="s">
        <v>3</v>
      </c>
      <c r="C331" t="s">
        <v>84</v>
      </c>
      <c r="D331" t="s">
        <v>85</v>
      </c>
      <c r="E331" t="s">
        <v>25</v>
      </c>
      <c r="F331" t="s">
        <v>85</v>
      </c>
      <c r="G331" t="s">
        <v>26</v>
      </c>
      <c r="H331" t="s">
        <v>82</v>
      </c>
      <c r="I331">
        <v>2080</v>
      </c>
      <c r="J331">
        <v>0.2661</v>
      </c>
      <c r="K331" t="s">
        <v>85</v>
      </c>
    </row>
    <row r="332" spans="1:11" x14ac:dyDescent="0.45">
      <c r="A332" t="s">
        <v>90</v>
      </c>
      <c r="B332" t="s">
        <v>3</v>
      </c>
      <c r="C332" t="s">
        <v>84</v>
      </c>
      <c r="D332" t="s">
        <v>85</v>
      </c>
      <c r="E332" t="s">
        <v>25</v>
      </c>
      <c r="F332" t="s">
        <v>85</v>
      </c>
      <c r="G332" t="s">
        <v>26</v>
      </c>
      <c r="H332" t="s">
        <v>82</v>
      </c>
      <c r="I332">
        <v>2085</v>
      </c>
      <c r="J332">
        <v>0.25924999999999998</v>
      </c>
      <c r="K332" t="s">
        <v>85</v>
      </c>
    </row>
    <row r="333" spans="1:11" x14ac:dyDescent="0.45">
      <c r="A333" t="s">
        <v>90</v>
      </c>
      <c r="B333" t="s">
        <v>3</v>
      </c>
      <c r="C333" t="s">
        <v>84</v>
      </c>
      <c r="D333" t="s">
        <v>85</v>
      </c>
      <c r="E333" t="s">
        <v>25</v>
      </c>
      <c r="F333" t="s">
        <v>85</v>
      </c>
      <c r="G333" t="s">
        <v>26</v>
      </c>
      <c r="H333" t="s">
        <v>82</v>
      </c>
      <c r="I333">
        <v>2090</v>
      </c>
      <c r="J333">
        <v>0.25124999999999997</v>
      </c>
      <c r="K333" t="s">
        <v>85</v>
      </c>
    </row>
    <row r="334" spans="1:11" x14ac:dyDescent="0.45">
      <c r="A334" t="s">
        <v>90</v>
      </c>
      <c r="B334" t="s">
        <v>3</v>
      </c>
      <c r="C334" t="s">
        <v>84</v>
      </c>
      <c r="D334" t="s">
        <v>85</v>
      </c>
      <c r="E334" t="s">
        <v>25</v>
      </c>
      <c r="F334" t="s">
        <v>85</v>
      </c>
      <c r="G334" t="s">
        <v>26</v>
      </c>
      <c r="H334" t="s">
        <v>82</v>
      </c>
      <c r="I334">
        <v>2095</v>
      </c>
      <c r="J334">
        <v>0.2447</v>
      </c>
      <c r="K334" t="s">
        <v>85</v>
      </c>
    </row>
    <row r="335" spans="1:11" x14ac:dyDescent="0.45">
      <c r="A335" t="s">
        <v>90</v>
      </c>
      <c r="B335" t="s">
        <v>3</v>
      </c>
      <c r="C335" t="s">
        <v>84</v>
      </c>
      <c r="D335" t="s">
        <v>85</v>
      </c>
      <c r="E335" t="s">
        <v>25</v>
      </c>
      <c r="F335" t="s">
        <v>85</v>
      </c>
      <c r="G335" t="s">
        <v>26</v>
      </c>
      <c r="H335" t="s">
        <v>82</v>
      </c>
      <c r="I335">
        <v>2100</v>
      </c>
      <c r="J335">
        <v>0.23945</v>
      </c>
      <c r="K335" t="s">
        <v>85</v>
      </c>
    </row>
    <row r="336" spans="1:11" x14ac:dyDescent="0.45">
      <c r="A336" t="s">
        <v>90</v>
      </c>
      <c r="B336" t="s">
        <v>4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2020</v>
      </c>
      <c r="J336">
        <v>0.2787</v>
      </c>
      <c r="K336" t="s">
        <v>24</v>
      </c>
    </row>
    <row r="337" spans="1:11" x14ac:dyDescent="0.45">
      <c r="A337" t="s">
        <v>90</v>
      </c>
      <c r="B337" t="s">
        <v>4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2025</v>
      </c>
      <c r="J337">
        <v>0.29649999999999999</v>
      </c>
      <c r="K337" t="s">
        <v>24</v>
      </c>
    </row>
    <row r="338" spans="1:11" x14ac:dyDescent="0.45">
      <c r="A338" t="s">
        <v>90</v>
      </c>
      <c r="B338" t="s">
        <v>4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2030</v>
      </c>
      <c r="J338">
        <v>0.3</v>
      </c>
      <c r="K338" t="s">
        <v>24</v>
      </c>
    </row>
    <row r="339" spans="1:11" x14ac:dyDescent="0.45">
      <c r="A339" t="s">
        <v>90</v>
      </c>
      <c r="B339" t="s">
        <v>4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2035</v>
      </c>
      <c r="J339">
        <v>0.30000000000000004</v>
      </c>
      <c r="K339" t="s">
        <v>24</v>
      </c>
    </row>
    <row r="340" spans="1:11" x14ac:dyDescent="0.45">
      <c r="A340" t="s">
        <v>90</v>
      </c>
      <c r="B340" t="s">
        <v>4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2040</v>
      </c>
      <c r="J340">
        <v>0.30085000000000001</v>
      </c>
      <c r="K340" t="s">
        <v>24</v>
      </c>
    </row>
    <row r="341" spans="1:11" x14ac:dyDescent="0.45">
      <c r="A341" t="s">
        <v>90</v>
      </c>
      <c r="B341" t="s">
        <v>4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2045</v>
      </c>
      <c r="J341">
        <v>0.30584999999999996</v>
      </c>
      <c r="K341" t="s">
        <v>24</v>
      </c>
    </row>
    <row r="342" spans="1:11" x14ac:dyDescent="0.45">
      <c r="A342" t="s">
        <v>90</v>
      </c>
      <c r="B342" t="s">
        <v>4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2050</v>
      </c>
      <c r="J342">
        <v>0.31645000000000001</v>
      </c>
      <c r="K342" t="s">
        <v>24</v>
      </c>
    </row>
    <row r="343" spans="1:11" x14ac:dyDescent="0.45">
      <c r="A343" t="s">
        <v>90</v>
      </c>
      <c r="B343" t="s">
        <v>4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2055</v>
      </c>
      <c r="J343">
        <v>0.3105</v>
      </c>
      <c r="K343" t="s">
        <v>24</v>
      </c>
    </row>
    <row r="344" spans="1:11" x14ac:dyDescent="0.45">
      <c r="A344" t="s">
        <v>90</v>
      </c>
      <c r="B344" t="s">
        <v>4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2060</v>
      </c>
      <c r="J344">
        <v>0.29164999999999996</v>
      </c>
      <c r="K344" t="s">
        <v>24</v>
      </c>
    </row>
    <row r="345" spans="1:11" x14ac:dyDescent="0.45">
      <c r="A345" t="s">
        <v>90</v>
      </c>
      <c r="B345" t="s">
        <v>4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2065</v>
      </c>
      <c r="J345">
        <v>0.2903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2070</v>
      </c>
      <c r="J346">
        <v>0.28994999999999999</v>
      </c>
      <c r="K346" t="s">
        <v>24</v>
      </c>
    </row>
    <row r="347" spans="1:11" x14ac:dyDescent="0.45">
      <c r="A347" t="s">
        <v>90</v>
      </c>
      <c r="B347" t="s">
        <v>4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0.28639999999999999</v>
      </c>
      <c r="K347" t="s">
        <v>24</v>
      </c>
    </row>
    <row r="348" spans="1:11" x14ac:dyDescent="0.45">
      <c r="A348" t="s">
        <v>90</v>
      </c>
      <c r="B348" t="s">
        <v>4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2080</v>
      </c>
      <c r="J348">
        <v>0.28085000000000004</v>
      </c>
      <c r="K348" t="s">
        <v>24</v>
      </c>
    </row>
    <row r="349" spans="1:11" x14ac:dyDescent="0.45">
      <c r="A349" t="s">
        <v>90</v>
      </c>
      <c r="B349" t="s">
        <v>4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2085</v>
      </c>
      <c r="J349">
        <v>0.27265</v>
      </c>
      <c r="K349" t="s">
        <v>24</v>
      </c>
    </row>
    <row r="350" spans="1:11" x14ac:dyDescent="0.45">
      <c r="A350" t="s">
        <v>90</v>
      </c>
      <c r="B350" t="s">
        <v>4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2090</v>
      </c>
      <c r="J350">
        <v>0.26334999999999997</v>
      </c>
      <c r="K350" t="s">
        <v>24</v>
      </c>
    </row>
    <row r="351" spans="1:11" x14ac:dyDescent="0.45">
      <c r="A351" t="s">
        <v>90</v>
      </c>
      <c r="B351" t="s">
        <v>4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2095</v>
      </c>
      <c r="J351">
        <v>0.25245000000000001</v>
      </c>
      <c r="K351" t="s">
        <v>24</v>
      </c>
    </row>
    <row r="352" spans="1:11" x14ac:dyDescent="0.45">
      <c r="A352" t="s">
        <v>90</v>
      </c>
      <c r="B352" t="s">
        <v>4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2100</v>
      </c>
      <c r="J352">
        <v>0.24075000000000002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0.65759999999999996</v>
      </c>
      <c r="K353" t="s">
        <v>28</v>
      </c>
    </row>
    <row r="354" spans="1:11" x14ac:dyDescent="0.45">
      <c r="A354" t="s">
        <v>90</v>
      </c>
      <c r="B354" t="s">
        <v>4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0.71524999999999994</v>
      </c>
      <c r="K354" t="s">
        <v>28</v>
      </c>
    </row>
    <row r="355" spans="1:11" x14ac:dyDescent="0.45">
      <c r="A355" t="s">
        <v>90</v>
      </c>
      <c r="B355" t="s">
        <v>4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0.74770000000000003</v>
      </c>
      <c r="K355" t="s">
        <v>28</v>
      </c>
    </row>
    <row r="356" spans="1:11" x14ac:dyDescent="0.45">
      <c r="A356" t="s">
        <v>90</v>
      </c>
      <c r="B356" t="s">
        <v>4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0.75480000000000003</v>
      </c>
      <c r="K356" t="s">
        <v>28</v>
      </c>
    </row>
    <row r="357" spans="1:11" x14ac:dyDescent="0.45">
      <c r="A357" t="s">
        <v>90</v>
      </c>
      <c r="B357" t="s">
        <v>4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0.73439999999999994</v>
      </c>
      <c r="K357" t="s">
        <v>28</v>
      </c>
    </row>
    <row r="358" spans="1:11" x14ac:dyDescent="0.45">
      <c r="A358" t="s">
        <v>90</v>
      </c>
      <c r="B358" t="s">
        <v>4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0.71675</v>
      </c>
      <c r="K358" t="s">
        <v>28</v>
      </c>
    </row>
    <row r="359" spans="1:11" x14ac:dyDescent="0.45">
      <c r="A359" t="s">
        <v>90</v>
      </c>
      <c r="B359" t="s">
        <v>4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0.72425000000000006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0.69730000000000003</v>
      </c>
      <c r="K360" t="s">
        <v>28</v>
      </c>
    </row>
    <row r="361" spans="1:11" x14ac:dyDescent="0.45">
      <c r="A361" t="s">
        <v>90</v>
      </c>
      <c r="B361" t="s">
        <v>4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0.70645000000000002</v>
      </c>
      <c r="K361" t="s">
        <v>28</v>
      </c>
    </row>
    <row r="362" spans="1:11" x14ac:dyDescent="0.45">
      <c r="A362" t="s">
        <v>90</v>
      </c>
      <c r="B362" t="s">
        <v>4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0.71460000000000001</v>
      </c>
      <c r="K362" t="s">
        <v>28</v>
      </c>
    </row>
    <row r="363" spans="1:11" x14ac:dyDescent="0.45">
      <c r="A363" t="s">
        <v>90</v>
      </c>
      <c r="B363" t="s">
        <v>4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0.72455000000000003</v>
      </c>
      <c r="K363" t="s">
        <v>28</v>
      </c>
    </row>
    <row r="364" spans="1:11" x14ac:dyDescent="0.45">
      <c r="A364" t="s">
        <v>90</v>
      </c>
      <c r="B364" t="s">
        <v>4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0.75670000000000004</v>
      </c>
      <c r="K364" t="s">
        <v>28</v>
      </c>
    </row>
    <row r="365" spans="1:11" x14ac:dyDescent="0.45">
      <c r="A365" t="s">
        <v>90</v>
      </c>
      <c r="B365" t="s">
        <v>4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0.78710000000000002</v>
      </c>
      <c r="K365" t="s">
        <v>28</v>
      </c>
    </row>
    <row r="366" spans="1:11" x14ac:dyDescent="0.45">
      <c r="A366" t="s">
        <v>90</v>
      </c>
      <c r="B366" t="s">
        <v>4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0.81119999999999992</v>
      </c>
      <c r="K366" t="s">
        <v>28</v>
      </c>
    </row>
    <row r="367" spans="1:11" x14ac:dyDescent="0.45">
      <c r="A367" t="s">
        <v>90</v>
      </c>
      <c r="B367" t="s">
        <v>4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0.83479999999999999</v>
      </c>
      <c r="K367" t="s">
        <v>28</v>
      </c>
    </row>
    <row r="368" spans="1:11" x14ac:dyDescent="0.45">
      <c r="A368" t="s">
        <v>90</v>
      </c>
      <c r="B368" t="s">
        <v>4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0.8589</v>
      </c>
      <c r="K368" t="s">
        <v>28</v>
      </c>
    </row>
    <row r="369" spans="1:11" x14ac:dyDescent="0.45">
      <c r="A369" t="s">
        <v>90</v>
      </c>
      <c r="B369" t="s">
        <v>4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0.88385000000000002</v>
      </c>
      <c r="K369" t="s">
        <v>28</v>
      </c>
    </row>
    <row r="370" spans="1:11" x14ac:dyDescent="0.45">
      <c r="A370" t="s">
        <v>90</v>
      </c>
      <c r="B370" t="s">
        <v>4</v>
      </c>
      <c r="C370" t="s">
        <v>84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2020</v>
      </c>
      <c r="J370">
        <v>2.3800000000000002E-2</v>
      </c>
      <c r="K370" t="s">
        <v>27</v>
      </c>
    </row>
    <row r="371" spans="1:11" x14ac:dyDescent="0.45">
      <c r="A371" t="s">
        <v>90</v>
      </c>
      <c r="B371" t="s">
        <v>4</v>
      </c>
      <c r="C371" t="s">
        <v>84</v>
      </c>
      <c r="D371" t="s">
        <v>27</v>
      </c>
      <c r="E371" t="s">
        <v>25</v>
      </c>
      <c r="F371" t="s">
        <v>27</v>
      </c>
      <c r="G371" t="s">
        <v>26</v>
      </c>
      <c r="H371" t="s">
        <v>10</v>
      </c>
      <c r="I371">
        <v>2025</v>
      </c>
      <c r="J371">
        <v>4.8149999999999998E-2</v>
      </c>
      <c r="K371" t="s">
        <v>27</v>
      </c>
    </row>
    <row r="372" spans="1:11" x14ac:dyDescent="0.45">
      <c r="A372" t="s">
        <v>90</v>
      </c>
      <c r="B372" t="s">
        <v>4</v>
      </c>
      <c r="C372" t="s">
        <v>84</v>
      </c>
      <c r="D372" t="s">
        <v>27</v>
      </c>
      <c r="E372" t="s">
        <v>25</v>
      </c>
      <c r="F372" t="s">
        <v>27</v>
      </c>
      <c r="G372" t="s">
        <v>26</v>
      </c>
      <c r="H372" t="s">
        <v>10</v>
      </c>
      <c r="I372">
        <v>2030</v>
      </c>
      <c r="J372">
        <v>8.0549999999999997E-2</v>
      </c>
      <c r="K372" t="s">
        <v>27</v>
      </c>
    </row>
    <row r="373" spans="1:11" x14ac:dyDescent="0.45">
      <c r="A373" t="s">
        <v>90</v>
      </c>
      <c r="B373" t="s">
        <v>4</v>
      </c>
      <c r="C373" t="s">
        <v>84</v>
      </c>
      <c r="D373" t="s">
        <v>27</v>
      </c>
      <c r="E373" t="s">
        <v>25</v>
      </c>
      <c r="F373" t="s">
        <v>27</v>
      </c>
      <c r="G373" t="s">
        <v>26</v>
      </c>
      <c r="H373" t="s">
        <v>10</v>
      </c>
      <c r="I373">
        <v>2035</v>
      </c>
      <c r="J373">
        <v>0.10985</v>
      </c>
      <c r="K373" t="s">
        <v>27</v>
      </c>
    </row>
    <row r="374" spans="1:11" x14ac:dyDescent="0.45">
      <c r="A374" t="s">
        <v>90</v>
      </c>
      <c r="B374" t="s">
        <v>4</v>
      </c>
      <c r="C374" t="s">
        <v>84</v>
      </c>
      <c r="D374" t="s">
        <v>27</v>
      </c>
      <c r="E374" t="s">
        <v>25</v>
      </c>
      <c r="F374" t="s">
        <v>27</v>
      </c>
      <c r="G374" t="s">
        <v>26</v>
      </c>
      <c r="H374" t="s">
        <v>10</v>
      </c>
      <c r="I374">
        <v>2040</v>
      </c>
      <c r="J374">
        <v>0.12959999999999999</v>
      </c>
      <c r="K374" t="s">
        <v>27</v>
      </c>
    </row>
    <row r="375" spans="1:11" x14ac:dyDescent="0.45">
      <c r="A375" t="s">
        <v>90</v>
      </c>
      <c r="B375" t="s">
        <v>4</v>
      </c>
      <c r="C375" t="s">
        <v>84</v>
      </c>
      <c r="D375" t="s">
        <v>27</v>
      </c>
      <c r="E375" t="s">
        <v>25</v>
      </c>
      <c r="F375" t="s">
        <v>27</v>
      </c>
      <c r="G375" t="s">
        <v>26</v>
      </c>
      <c r="H375" t="s">
        <v>10</v>
      </c>
      <c r="I375">
        <v>2045</v>
      </c>
      <c r="J375">
        <v>0.1361</v>
      </c>
      <c r="K375" t="s">
        <v>27</v>
      </c>
    </row>
    <row r="376" spans="1:11" x14ac:dyDescent="0.45">
      <c r="A376" t="s">
        <v>90</v>
      </c>
      <c r="B376" t="s">
        <v>4</v>
      </c>
      <c r="C376" t="s">
        <v>84</v>
      </c>
      <c r="D376" t="s">
        <v>27</v>
      </c>
      <c r="E376" t="s">
        <v>25</v>
      </c>
      <c r="F376" t="s">
        <v>27</v>
      </c>
      <c r="G376" t="s">
        <v>26</v>
      </c>
      <c r="H376" t="s">
        <v>10</v>
      </c>
      <c r="I376">
        <v>2050</v>
      </c>
      <c r="J376">
        <v>0.14019999999999999</v>
      </c>
      <c r="K376" t="s">
        <v>27</v>
      </c>
    </row>
    <row r="377" spans="1:11" x14ac:dyDescent="0.45">
      <c r="A377" t="s">
        <v>90</v>
      </c>
      <c r="B377" t="s">
        <v>4</v>
      </c>
      <c r="C377" t="s">
        <v>84</v>
      </c>
      <c r="D377" t="s">
        <v>27</v>
      </c>
      <c r="E377" t="s">
        <v>25</v>
      </c>
      <c r="F377" t="s">
        <v>27</v>
      </c>
      <c r="G377" t="s">
        <v>26</v>
      </c>
      <c r="H377" t="s">
        <v>10</v>
      </c>
      <c r="I377">
        <v>2055</v>
      </c>
      <c r="J377">
        <v>0.14795</v>
      </c>
      <c r="K377" t="s">
        <v>27</v>
      </c>
    </row>
    <row r="378" spans="1:11" x14ac:dyDescent="0.45">
      <c r="A378" t="s">
        <v>90</v>
      </c>
      <c r="B378" t="s">
        <v>4</v>
      </c>
      <c r="C378" t="s">
        <v>84</v>
      </c>
      <c r="D378" t="s">
        <v>27</v>
      </c>
      <c r="E378" t="s">
        <v>25</v>
      </c>
      <c r="F378" t="s">
        <v>27</v>
      </c>
      <c r="G378" t="s">
        <v>26</v>
      </c>
      <c r="H378" t="s">
        <v>10</v>
      </c>
      <c r="I378">
        <v>2060</v>
      </c>
      <c r="J378">
        <v>0.15334999999999999</v>
      </c>
      <c r="K378" t="s">
        <v>27</v>
      </c>
    </row>
    <row r="379" spans="1:11" x14ac:dyDescent="0.45">
      <c r="A379" t="s">
        <v>90</v>
      </c>
      <c r="B379" t="s">
        <v>4</v>
      </c>
      <c r="C379" t="s">
        <v>84</v>
      </c>
      <c r="D379" t="s">
        <v>27</v>
      </c>
      <c r="E379" t="s">
        <v>25</v>
      </c>
      <c r="F379" t="s">
        <v>27</v>
      </c>
      <c r="G379" t="s">
        <v>26</v>
      </c>
      <c r="H379" t="s">
        <v>10</v>
      </c>
      <c r="I379">
        <v>2065</v>
      </c>
      <c r="J379">
        <v>0.16159999999999999</v>
      </c>
      <c r="K379" t="s">
        <v>27</v>
      </c>
    </row>
    <row r="380" spans="1:11" x14ac:dyDescent="0.45">
      <c r="A380" t="s">
        <v>90</v>
      </c>
      <c r="B380" t="s">
        <v>4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2070</v>
      </c>
      <c r="J380">
        <v>0.16889999999999999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2075</v>
      </c>
      <c r="J381">
        <v>0.17504999999999998</v>
      </c>
      <c r="K381" t="s">
        <v>27</v>
      </c>
    </row>
    <row r="382" spans="1:11" x14ac:dyDescent="0.45">
      <c r="A382" t="s">
        <v>90</v>
      </c>
      <c r="B382" t="s">
        <v>4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2080</v>
      </c>
      <c r="J382">
        <v>0.18174999999999999</v>
      </c>
      <c r="K382" t="s">
        <v>27</v>
      </c>
    </row>
    <row r="383" spans="1:11" x14ac:dyDescent="0.45">
      <c r="A383" t="s">
        <v>90</v>
      </c>
      <c r="B383" t="s">
        <v>4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2085</v>
      </c>
      <c r="J383">
        <v>0.18804999999999999</v>
      </c>
      <c r="K383" t="s">
        <v>27</v>
      </c>
    </row>
    <row r="384" spans="1:11" x14ac:dyDescent="0.45">
      <c r="A384" t="s">
        <v>90</v>
      </c>
      <c r="B384" t="s">
        <v>4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2090</v>
      </c>
      <c r="J384">
        <v>0.19535</v>
      </c>
      <c r="K384" t="s">
        <v>27</v>
      </c>
    </row>
    <row r="385" spans="1:11" x14ac:dyDescent="0.45">
      <c r="A385" t="s">
        <v>90</v>
      </c>
      <c r="B385" t="s">
        <v>4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2095</v>
      </c>
      <c r="J385">
        <v>0.20224999999999999</v>
      </c>
      <c r="K385" t="s">
        <v>27</v>
      </c>
    </row>
    <row r="386" spans="1:11" x14ac:dyDescent="0.45">
      <c r="A386" t="s">
        <v>90</v>
      </c>
      <c r="B386" t="s">
        <v>4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2100</v>
      </c>
      <c r="J386">
        <v>0.20850000000000002</v>
      </c>
      <c r="K386" t="s">
        <v>27</v>
      </c>
    </row>
    <row r="387" spans="1:11" x14ac:dyDescent="0.45">
      <c r="A387" t="s">
        <v>90</v>
      </c>
      <c r="B387" t="s">
        <v>4</v>
      </c>
      <c r="C387" t="s">
        <v>84</v>
      </c>
      <c r="D387" t="s">
        <v>85</v>
      </c>
      <c r="E387" t="s">
        <v>25</v>
      </c>
      <c r="F387" t="s">
        <v>85</v>
      </c>
      <c r="G387" t="s">
        <v>26</v>
      </c>
      <c r="H387" t="s">
        <v>82</v>
      </c>
      <c r="I387">
        <v>2020</v>
      </c>
      <c r="J387">
        <v>5.8999999999999999E-3</v>
      </c>
      <c r="K387" t="s">
        <v>85</v>
      </c>
    </row>
    <row r="388" spans="1:11" x14ac:dyDescent="0.45">
      <c r="A388" t="s">
        <v>90</v>
      </c>
      <c r="B388" t="s">
        <v>4</v>
      </c>
      <c r="C388" t="s">
        <v>84</v>
      </c>
      <c r="D388" t="s">
        <v>85</v>
      </c>
      <c r="E388" t="s">
        <v>25</v>
      </c>
      <c r="F388" t="s">
        <v>85</v>
      </c>
      <c r="G388" t="s">
        <v>26</v>
      </c>
      <c r="H388" t="s">
        <v>82</v>
      </c>
      <c r="I388">
        <v>2025</v>
      </c>
      <c r="J388">
        <v>2.6700000000000002E-2</v>
      </c>
      <c r="K388" t="s">
        <v>85</v>
      </c>
    </row>
    <row r="389" spans="1:11" x14ac:dyDescent="0.45">
      <c r="A389" t="s">
        <v>90</v>
      </c>
      <c r="B389" t="s">
        <v>4</v>
      </c>
      <c r="C389" t="s">
        <v>84</v>
      </c>
      <c r="D389" t="s">
        <v>85</v>
      </c>
      <c r="E389" t="s">
        <v>25</v>
      </c>
      <c r="F389" t="s">
        <v>85</v>
      </c>
      <c r="G389" t="s">
        <v>26</v>
      </c>
      <c r="H389" t="s">
        <v>82</v>
      </c>
      <c r="I389">
        <v>2030</v>
      </c>
      <c r="J389">
        <v>4.9000000000000002E-2</v>
      </c>
      <c r="K389" t="s">
        <v>85</v>
      </c>
    </row>
    <row r="390" spans="1:11" x14ac:dyDescent="0.45">
      <c r="A390" t="s">
        <v>90</v>
      </c>
      <c r="B390" t="s">
        <v>4</v>
      </c>
      <c r="C390" t="s">
        <v>84</v>
      </c>
      <c r="D390" t="s">
        <v>85</v>
      </c>
      <c r="E390" t="s">
        <v>25</v>
      </c>
      <c r="F390" t="s">
        <v>85</v>
      </c>
      <c r="G390" t="s">
        <v>26</v>
      </c>
      <c r="H390" t="s">
        <v>82</v>
      </c>
      <c r="I390">
        <v>2035</v>
      </c>
      <c r="J390">
        <v>6.0299999999999999E-2</v>
      </c>
      <c r="K390" t="s">
        <v>85</v>
      </c>
    </row>
    <row r="391" spans="1:11" x14ac:dyDescent="0.45">
      <c r="A391" t="s">
        <v>90</v>
      </c>
      <c r="B391" t="s">
        <v>4</v>
      </c>
      <c r="C391" t="s">
        <v>84</v>
      </c>
      <c r="D391" t="s">
        <v>85</v>
      </c>
      <c r="E391" t="s">
        <v>25</v>
      </c>
      <c r="F391" t="s">
        <v>85</v>
      </c>
      <c r="G391" t="s">
        <v>26</v>
      </c>
      <c r="H391" t="s">
        <v>82</v>
      </c>
      <c r="I391">
        <v>2040</v>
      </c>
      <c r="J391">
        <v>6.4349999999999991E-2</v>
      </c>
      <c r="K391" t="s">
        <v>85</v>
      </c>
    </row>
    <row r="392" spans="1:11" x14ac:dyDescent="0.45">
      <c r="A392" t="s">
        <v>90</v>
      </c>
      <c r="B392" t="s">
        <v>4</v>
      </c>
      <c r="C392" t="s">
        <v>84</v>
      </c>
      <c r="D392" t="s">
        <v>85</v>
      </c>
      <c r="E392" t="s">
        <v>25</v>
      </c>
      <c r="F392" t="s">
        <v>85</v>
      </c>
      <c r="G392" t="s">
        <v>26</v>
      </c>
      <c r="H392" t="s">
        <v>82</v>
      </c>
      <c r="I392">
        <v>2045</v>
      </c>
      <c r="J392">
        <v>7.4749999999999997E-2</v>
      </c>
      <c r="K392" t="s">
        <v>85</v>
      </c>
    </row>
    <row r="393" spans="1:11" x14ac:dyDescent="0.45">
      <c r="A393" t="s">
        <v>90</v>
      </c>
      <c r="B393" t="s">
        <v>4</v>
      </c>
      <c r="C393" t="s">
        <v>84</v>
      </c>
      <c r="D393" t="s">
        <v>85</v>
      </c>
      <c r="E393" t="s">
        <v>25</v>
      </c>
      <c r="F393" t="s">
        <v>85</v>
      </c>
      <c r="G393" t="s">
        <v>26</v>
      </c>
      <c r="H393" t="s">
        <v>82</v>
      </c>
      <c r="I393">
        <v>2050</v>
      </c>
      <c r="J393">
        <v>9.6849999999999992E-2</v>
      </c>
      <c r="K393" t="s">
        <v>85</v>
      </c>
    </row>
    <row r="394" spans="1:11" x14ac:dyDescent="0.45">
      <c r="A394" t="s">
        <v>90</v>
      </c>
      <c r="B394" t="s">
        <v>4</v>
      </c>
      <c r="C394" t="s">
        <v>84</v>
      </c>
      <c r="D394" t="s">
        <v>85</v>
      </c>
      <c r="E394" t="s">
        <v>25</v>
      </c>
      <c r="F394" t="s">
        <v>85</v>
      </c>
      <c r="G394" t="s">
        <v>26</v>
      </c>
      <c r="H394" t="s">
        <v>82</v>
      </c>
      <c r="I394">
        <v>2055</v>
      </c>
      <c r="J394">
        <v>9.325E-2</v>
      </c>
      <c r="K394" t="s">
        <v>85</v>
      </c>
    </row>
    <row r="395" spans="1:11" x14ac:dyDescent="0.45">
      <c r="A395" t="s">
        <v>90</v>
      </c>
      <c r="B395" t="s">
        <v>4</v>
      </c>
      <c r="C395" t="s">
        <v>84</v>
      </c>
      <c r="D395" t="s">
        <v>85</v>
      </c>
      <c r="E395" t="s">
        <v>25</v>
      </c>
      <c r="F395" t="s">
        <v>85</v>
      </c>
      <c r="G395" t="s">
        <v>26</v>
      </c>
      <c r="H395" t="s">
        <v>82</v>
      </c>
      <c r="I395">
        <v>2060</v>
      </c>
      <c r="J395">
        <v>0.14665</v>
      </c>
      <c r="K395" t="s">
        <v>85</v>
      </c>
    </row>
    <row r="396" spans="1:11" x14ac:dyDescent="0.45">
      <c r="A396" t="s">
        <v>90</v>
      </c>
      <c r="B396" t="s">
        <v>4</v>
      </c>
      <c r="C396" t="s">
        <v>84</v>
      </c>
      <c r="D396" t="s">
        <v>85</v>
      </c>
      <c r="E396" t="s">
        <v>25</v>
      </c>
      <c r="F396" t="s">
        <v>85</v>
      </c>
      <c r="G396" t="s">
        <v>26</v>
      </c>
      <c r="H396" t="s">
        <v>82</v>
      </c>
      <c r="I396">
        <v>2065</v>
      </c>
      <c r="J396">
        <v>0.17954999999999999</v>
      </c>
      <c r="K396" t="s">
        <v>85</v>
      </c>
    </row>
    <row r="397" spans="1:11" x14ac:dyDescent="0.45">
      <c r="A397" t="s">
        <v>90</v>
      </c>
      <c r="B397" t="s">
        <v>4</v>
      </c>
      <c r="C397" t="s">
        <v>84</v>
      </c>
      <c r="D397" t="s">
        <v>85</v>
      </c>
      <c r="E397" t="s">
        <v>25</v>
      </c>
      <c r="F397" t="s">
        <v>85</v>
      </c>
      <c r="G397" t="s">
        <v>26</v>
      </c>
      <c r="H397" t="s">
        <v>82</v>
      </c>
      <c r="I397">
        <v>2070</v>
      </c>
      <c r="J397">
        <v>0.2077</v>
      </c>
      <c r="K397" t="s">
        <v>85</v>
      </c>
    </row>
    <row r="398" spans="1:11" x14ac:dyDescent="0.45">
      <c r="A398" t="s">
        <v>90</v>
      </c>
      <c r="B398" t="s">
        <v>4</v>
      </c>
      <c r="C398" t="s">
        <v>84</v>
      </c>
      <c r="D398" t="s">
        <v>85</v>
      </c>
      <c r="E398" t="s">
        <v>25</v>
      </c>
      <c r="F398" t="s">
        <v>85</v>
      </c>
      <c r="G398" t="s">
        <v>26</v>
      </c>
      <c r="H398" t="s">
        <v>82</v>
      </c>
      <c r="I398">
        <v>2075</v>
      </c>
      <c r="J398">
        <v>0.24664999999999998</v>
      </c>
      <c r="K398" t="s">
        <v>85</v>
      </c>
    </row>
    <row r="399" spans="1:11" x14ac:dyDescent="0.45">
      <c r="A399" t="s">
        <v>90</v>
      </c>
      <c r="B399" t="s">
        <v>4</v>
      </c>
      <c r="C399" t="s">
        <v>84</v>
      </c>
      <c r="D399" t="s">
        <v>85</v>
      </c>
      <c r="E399" t="s">
        <v>25</v>
      </c>
      <c r="F399" t="s">
        <v>85</v>
      </c>
      <c r="G399" t="s">
        <v>26</v>
      </c>
      <c r="H399" t="s">
        <v>82</v>
      </c>
      <c r="I399">
        <v>2080</v>
      </c>
      <c r="J399">
        <v>0.27755000000000002</v>
      </c>
      <c r="K399" t="s">
        <v>85</v>
      </c>
    </row>
    <row r="400" spans="1:11" x14ac:dyDescent="0.45">
      <c r="A400" t="s">
        <v>90</v>
      </c>
      <c r="B400" t="s">
        <v>4</v>
      </c>
      <c r="C400" t="s">
        <v>84</v>
      </c>
      <c r="D400" t="s">
        <v>85</v>
      </c>
      <c r="E400" t="s">
        <v>25</v>
      </c>
      <c r="F400" t="s">
        <v>85</v>
      </c>
      <c r="G400" t="s">
        <v>26</v>
      </c>
      <c r="H400" t="s">
        <v>82</v>
      </c>
      <c r="I400">
        <v>2085</v>
      </c>
      <c r="J400">
        <v>0.30825000000000002</v>
      </c>
      <c r="K400" t="s">
        <v>85</v>
      </c>
    </row>
    <row r="401" spans="1:11" x14ac:dyDescent="0.45">
      <c r="A401" t="s">
        <v>90</v>
      </c>
      <c r="B401" t="s">
        <v>4</v>
      </c>
      <c r="C401" t="s">
        <v>84</v>
      </c>
      <c r="D401" t="s">
        <v>85</v>
      </c>
      <c r="E401" t="s">
        <v>25</v>
      </c>
      <c r="F401" t="s">
        <v>85</v>
      </c>
      <c r="G401" t="s">
        <v>26</v>
      </c>
      <c r="H401" t="s">
        <v>82</v>
      </c>
      <c r="I401">
        <v>2090</v>
      </c>
      <c r="J401">
        <v>0.32989999999999997</v>
      </c>
      <c r="K401" t="s">
        <v>85</v>
      </c>
    </row>
    <row r="402" spans="1:11" x14ac:dyDescent="0.45">
      <c r="A402" t="s">
        <v>90</v>
      </c>
      <c r="B402" t="s">
        <v>4</v>
      </c>
      <c r="C402" t="s">
        <v>84</v>
      </c>
      <c r="D402" t="s">
        <v>85</v>
      </c>
      <c r="E402" t="s">
        <v>25</v>
      </c>
      <c r="F402" t="s">
        <v>85</v>
      </c>
      <c r="G402" t="s">
        <v>26</v>
      </c>
      <c r="H402" t="s">
        <v>82</v>
      </c>
      <c r="I402">
        <v>2095</v>
      </c>
      <c r="J402">
        <v>0.33169999999999999</v>
      </c>
      <c r="K402" t="s">
        <v>85</v>
      </c>
    </row>
    <row r="403" spans="1:11" x14ac:dyDescent="0.45">
      <c r="A403" t="s">
        <v>90</v>
      </c>
      <c r="B403" t="s">
        <v>4</v>
      </c>
      <c r="C403" t="s">
        <v>84</v>
      </c>
      <c r="D403" t="s">
        <v>85</v>
      </c>
      <c r="E403" t="s">
        <v>25</v>
      </c>
      <c r="F403" t="s">
        <v>85</v>
      </c>
      <c r="G403" t="s">
        <v>26</v>
      </c>
      <c r="H403" t="s">
        <v>82</v>
      </c>
      <c r="I403">
        <v>2100</v>
      </c>
      <c r="J403">
        <v>0.33065</v>
      </c>
      <c r="K403" t="s">
        <v>85</v>
      </c>
    </row>
    <row r="404" spans="1:11" x14ac:dyDescent="0.45">
      <c r="A404" t="s">
        <v>90</v>
      </c>
      <c r="B404" t="s">
        <v>0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2020</v>
      </c>
      <c r="J404">
        <v>0.28284999999999999</v>
      </c>
      <c r="K404" t="s">
        <v>24</v>
      </c>
    </row>
    <row r="405" spans="1:11" x14ac:dyDescent="0.45">
      <c r="A405" t="s">
        <v>90</v>
      </c>
      <c r="B405" t="s">
        <v>0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2025</v>
      </c>
      <c r="J405">
        <v>0.29795000000000005</v>
      </c>
      <c r="K405" t="s">
        <v>24</v>
      </c>
    </row>
    <row r="406" spans="1:11" x14ac:dyDescent="0.45">
      <c r="A406" t="s">
        <v>90</v>
      </c>
      <c r="B406" t="s">
        <v>0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2030</v>
      </c>
      <c r="J406">
        <v>0.29699999999999999</v>
      </c>
      <c r="K406" t="s">
        <v>24</v>
      </c>
    </row>
    <row r="407" spans="1:11" x14ac:dyDescent="0.45">
      <c r="A407" t="s">
        <v>90</v>
      </c>
      <c r="B407" t="s">
        <v>0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2035</v>
      </c>
      <c r="J407">
        <v>0.3029</v>
      </c>
      <c r="K407" t="s">
        <v>24</v>
      </c>
    </row>
    <row r="408" spans="1:11" x14ac:dyDescent="0.45">
      <c r="A408" t="s">
        <v>90</v>
      </c>
      <c r="B408" t="s">
        <v>0</v>
      </c>
      <c r="C408" t="s">
        <v>84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2040</v>
      </c>
      <c r="J408">
        <v>0.34409999999999996</v>
      </c>
      <c r="K408" t="s">
        <v>24</v>
      </c>
    </row>
    <row r="409" spans="1:11" x14ac:dyDescent="0.45">
      <c r="A409" t="s">
        <v>90</v>
      </c>
      <c r="B409" t="s">
        <v>0</v>
      </c>
      <c r="C409" t="s">
        <v>84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2045</v>
      </c>
      <c r="J409">
        <v>0.39610000000000001</v>
      </c>
      <c r="K409" t="s">
        <v>24</v>
      </c>
    </row>
    <row r="410" spans="1:11" x14ac:dyDescent="0.45">
      <c r="A410" t="s">
        <v>90</v>
      </c>
      <c r="B410" t="s">
        <v>0</v>
      </c>
      <c r="C410" t="s">
        <v>84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2050</v>
      </c>
      <c r="J410">
        <v>0.37980000000000003</v>
      </c>
      <c r="K410" t="s">
        <v>24</v>
      </c>
    </row>
    <row r="411" spans="1:11" x14ac:dyDescent="0.45">
      <c r="A411" t="s">
        <v>90</v>
      </c>
      <c r="B411" t="s">
        <v>0</v>
      </c>
      <c r="C411" t="s">
        <v>84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2055</v>
      </c>
      <c r="J411">
        <v>0.37404999999999999</v>
      </c>
      <c r="K411" t="s">
        <v>24</v>
      </c>
    </row>
    <row r="412" spans="1:11" x14ac:dyDescent="0.45">
      <c r="A412" t="s">
        <v>90</v>
      </c>
      <c r="B412" t="s">
        <v>0</v>
      </c>
      <c r="C412" t="s">
        <v>84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2060</v>
      </c>
      <c r="J412">
        <v>0.33804999999999996</v>
      </c>
      <c r="K412" t="s">
        <v>24</v>
      </c>
    </row>
    <row r="413" spans="1:11" x14ac:dyDescent="0.45">
      <c r="A413" t="s">
        <v>90</v>
      </c>
      <c r="B413" t="s">
        <v>0</v>
      </c>
      <c r="C413" t="s">
        <v>84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2065</v>
      </c>
      <c r="J413">
        <v>0.33374999999999999</v>
      </c>
      <c r="K413" t="s">
        <v>24</v>
      </c>
    </row>
    <row r="414" spans="1:11" x14ac:dyDescent="0.45">
      <c r="A414" t="s">
        <v>90</v>
      </c>
      <c r="B414" t="s">
        <v>0</v>
      </c>
      <c r="C414" t="s">
        <v>84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2070</v>
      </c>
      <c r="J414">
        <v>0.32940000000000003</v>
      </c>
      <c r="K414" t="s">
        <v>24</v>
      </c>
    </row>
    <row r="415" spans="1:11" x14ac:dyDescent="0.45">
      <c r="A415" t="s">
        <v>90</v>
      </c>
      <c r="B415" t="s">
        <v>0</v>
      </c>
      <c r="C415" t="s">
        <v>84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2075</v>
      </c>
      <c r="J415">
        <v>0.33004999999999995</v>
      </c>
      <c r="K415" t="s">
        <v>24</v>
      </c>
    </row>
    <row r="416" spans="1:11" x14ac:dyDescent="0.45">
      <c r="A416" t="s">
        <v>90</v>
      </c>
      <c r="B416" t="s">
        <v>0</v>
      </c>
      <c r="C416" t="s">
        <v>84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2080</v>
      </c>
      <c r="J416">
        <v>0.32989999999999997</v>
      </c>
      <c r="K416" t="s">
        <v>24</v>
      </c>
    </row>
    <row r="417" spans="1:11" x14ac:dyDescent="0.45">
      <c r="A417" t="s">
        <v>90</v>
      </c>
      <c r="B417" t="s">
        <v>0</v>
      </c>
      <c r="C417" t="s">
        <v>84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2085</v>
      </c>
      <c r="J417">
        <v>0.32284999999999997</v>
      </c>
      <c r="K417" t="s">
        <v>24</v>
      </c>
    </row>
    <row r="418" spans="1:11" x14ac:dyDescent="0.45">
      <c r="A418" t="s">
        <v>90</v>
      </c>
      <c r="B418" t="s">
        <v>0</v>
      </c>
      <c r="C418" t="s">
        <v>84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2090</v>
      </c>
      <c r="J418">
        <v>0.31240000000000001</v>
      </c>
      <c r="K418" t="s">
        <v>24</v>
      </c>
    </row>
    <row r="419" spans="1:11" x14ac:dyDescent="0.45">
      <c r="A419" t="s">
        <v>90</v>
      </c>
      <c r="B419" t="s">
        <v>0</v>
      </c>
      <c r="C419" t="s">
        <v>84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2095</v>
      </c>
      <c r="J419">
        <v>0.29675000000000001</v>
      </c>
      <c r="K419" t="s">
        <v>24</v>
      </c>
    </row>
    <row r="420" spans="1:11" x14ac:dyDescent="0.45">
      <c r="A420" t="s">
        <v>90</v>
      </c>
      <c r="B420" t="s">
        <v>0</v>
      </c>
      <c r="C420" t="s">
        <v>84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2100</v>
      </c>
      <c r="J420">
        <v>0.28079999999999999</v>
      </c>
      <c r="K420" t="s">
        <v>24</v>
      </c>
    </row>
    <row r="421" spans="1:11" x14ac:dyDescent="0.45">
      <c r="A421" t="s">
        <v>90</v>
      </c>
      <c r="B421" t="s">
        <v>0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2020</v>
      </c>
      <c r="J421">
        <v>0.65820000000000001</v>
      </c>
      <c r="K421" t="s">
        <v>28</v>
      </c>
    </row>
    <row r="422" spans="1:11" x14ac:dyDescent="0.45">
      <c r="A422" t="s">
        <v>90</v>
      </c>
      <c r="B422" t="s">
        <v>0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2025</v>
      </c>
      <c r="J422">
        <v>0.71894999999999998</v>
      </c>
      <c r="K422" t="s">
        <v>28</v>
      </c>
    </row>
    <row r="423" spans="1:11" x14ac:dyDescent="0.45">
      <c r="A423" t="s">
        <v>90</v>
      </c>
      <c r="B423" t="s">
        <v>0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2030</v>
      </c>
      <c r="J423">
        <v>0.74924999999999997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2035</v>
      </c>
      <c r="J424">
        <v>0.77505000000000002</v>
      </c>
      <c r="K424" t="s">
        <v>28</v>
      </c>
    </row>
    <row r="425" spans="1:11" x14ac:dyDescent="0.45">
      <c r="A425" t="s">
        <v>90</v>
      </c>
      <c r="B425" t="s">
        <v>0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2040</v>
      </c>
      <c r="J425">
        <v>0.78265000000000007</v>
      </c>
      <c r="K425" t="s">
        <v>28</v>
      </c>
    </row>
    <row r="426" spans="1:11" x14ac:dyDescent="0.45">
      <c r="A426" t="s">
        <v>90</v>
      </c>
      <c r="B426" t="s">
        <v>0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0.86034999999999995</v>
      </c>
      <c r="K426" t="s">
        <v>28</v>
      </c>
    </row>
    <row r="427" spans="1:11" x14ac:dyDescent="0.45">
      <c r="A427" t="s">
        <v>90</v>
      </c>
      <c r="B427" t="s">
        <v>0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2050</v>
      </c>
      <c r="J427">
        <v>0.8639</v>
      </c>
      <c r="K427" t="s">
        <v>28</v>
      </c>
    </row>
    <row r="428" spans="1:11" x14ac:dyDescent="0.45">
      <c r="A428" t="s">
        <v>90</v>
      </c>
      <c r="B428" t="s">
        <v>0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2055</v>
      </c>
      <c r="J428">
        <v>0.82579999999999998</v>
      </c>
      <c r="K428" t="s">
        <v>28</v>
      </c>
    </row>
    <row r="429" spans="1:11" x14ac:dyDescent="0.45">
      <c r="A429" t="s">
        <v>90</v>
      </c>
      <c r="B429" t="s">
        <v>0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2060</v>
      </c>
      <c r="J429">
        <v>0.82339999999999991</v>
      </c>
      <c r="K429" t="s">
        <v>28</v>
      </c>
    </row>
    <row r="430" spans="1:11" x14ac:dyDescent="0.45">
      <c r="A430" t="s">
        <v>90</v>
      </c>
      <c r="B430" t="s">
        <v>0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2065</v>
      </c>
      <c r="J430">
        <v>0.8246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2070</v>
      </c>
      <c r="J431">
        <v>0.82855000000000001</v>
      </c>
      <c r="K431" t="s">
        <v>28</v>
      </c>
    </row>
    <row r="432" spans="1:11" x14ac:dyDescent="0.45">
      <c r="A432" t="s">
        <v>90</v>
      </c>
      <c r="B432" t="s">
        <v>0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2075</v>
      </c>
      <c r="J432">
        <v>0.86420000000000008</v>
      </c>
      <c r="K432" t="s">
        <v>28</v>
      </c>
    </row>
    <row r="433" spans="1:11" x14ac:dyDescent="0.45">
      <c r="A433" t="s">
        <v>90</v>
      </c>
      <c r="B433" t="s">
        <v>0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2080</v>
      </c>
      <c r="J433">
        <v>0.89860000000000007</v>
      </c>
      <c r="K433" t="s">
        <v>28</v>
      </c>
    </row>
    <row r="434" spans="1:11" x14ac:dyDescent="0.45">
      <c r="A434" t="s">
        <v>90</v>
      </c>
      <c r="B434" t="s">
        <v>0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2085</v>
      </c>
      <c r="J434">
        <v>0.92435</v>
      </c>
      <c r="K434" t="s">
        <v>28</v>
      </c>
    </row>
    <row r="435" spans="1:11" x14ac:dyDescent="0.45">
      <c r="A435" t="s">
        <v>90</v>
      </c>
      <c r="B435" t="s">
        <v>0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2090</v>
      </c>
      <c r="J435">
        <v>0.94689999999999996</v>
      </c>
      <c r="K435" t="s">
        <v>28</v>
      </c>
    </row>
    <row r="436" spans="1:11" x14ac:dyDescent="0.45">
      <c r="A436" t="s">
        <v>90</v>
      </c>
      <c r="B436" t="s">
        <v>0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2095</v>
      </c>
      <c r="J436">
        <v>0.97394999999999998</v>
      </c>
      <c r="K436" t="s">
        <v>28</v>
      </c>
    </row>
    <row r="437" spans="1:11" x14ac:dyDescent="0.45">
      <c r="A437" t="s">
        <v>90</v>
      </c>
      <c r="B437" t="s">
        <v>0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2100</v>
      </c>
      <c r="J437">
        <v>1.002</v>
      </c>
      <c r="K437" t="s">
        <v>28</v>
      </c>
    </row>
    <row r="438" spans="1:11" x14ac:dyDescent="0.45">
      <c r="A438" t="s">
        <v>90</v>
      </c>
      <c r="B438" t="s">
        <v>0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2.4050000000000002E-2</v>
      </c>
      <c r="K438" t="s">
        <v>27</v>
      </c>
    </row>
    <row r="439" spans="1:11" x14ac:dyDescent="0.45">
      <c r="A439" t="s">
        <v>90</v>
      </c>
      <c r="B439" t="s">
        <v>0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4.9700000000000001E-2</v>
      </c>
      <c r="K439" t="s">
        <v>27</v>
      </c>
    </row>
    <row r="440" spans="1:11" x14ac:dyDescent="0.45">
      <c r="A440" t="s">
        <v>90</v>
      </c>
      <c r="B440" t="s">
        <v>0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8.1600000000000006E-2</v>
      </c>
      <c r="K440" t="s">
        <v>27</v>
      </c>
    </row>
    <row r="441" spans="1:11" x14ac:dyDescent="0.45">
      <c r="A441" t="s">
        <v>90</v>
      </c>
      <c r="B441" t="s">
        <v>0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0.11649999999999999</v>
      </c>
      <c r="K441" t="s">
        <v>27</v>
      </c>
    </row>
    <row r="442" spans="1:11" x14ac:dyDescent="0.45">
      <c r="A442" t="s">
        <v>90</v>
      </c>
      <c r="B442" t="s">
        <v>0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0.13900000000000001</v>
      </c>
      <c r="K442" t="s">
        <v>27</v>
      </c>
    </row>
    <row r="443" spans="1:11" x14ac:dyDescent="0.45">
      <c r="A443" t="s">
        <v>90</v>
      </c>
      <c r="B443" t="s">
        <v>0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0.16505</v>
      </c>
      <c r="K443" t="s">
        <v>27</v>
      </c>
    </row>
    <row r="444" spans="1:11" x14ac:dyDescent="0.45">
      <c r="A444" t="s">
        <v>90</v>
      </c>
      <c r="B444" t="s">
        <v>0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0.1694</v>
      </c>
      <c r="K444" t="s">
        <v>27</v>
      </c>
    </row>
    <row r="445" spans="1:11" x14ac:dyDescent="0.45">
      <c r="A445" t="s">
        <v>90</v>
      </c>
      <c r="B445" t="s">
        <v>0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0.1724</v>
      </c>
      <c r="K445" t="s">
        <v>27</v>
      </c>
    </row>
    <row r="446" spans="1:11" x14ac:dyDescent="0.45">
      <c r="A446" t="s">
        <v>90</v>
      </c>
      <c r="B446" t="s">
        <v>0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0.17369999999999999</v>
      </c>
      <c r="K446" t="s">
        <v>27</v>
      </c>
    </row>
    <row r="447" spans="1:11" x14ac:dyDescent="0.45">
      <c r="A447" t="s">
        <v>90</v>
      </c>
      <c r="B447" t="s">
        <v>0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0.18045</v>
      </c>
      <c r="K447" t="s">
        <v>27</v>
      </c>
    </row>
    <row r="448" spans="1:11" x14ac:dyDescent="0.45">
      <c r="A448" t="s">
        <v>90</v>
      </c>
      <c r="B448" t="s">
        <v>0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0.18625</v>
      </c>
      <c r="K448" t="s">
        <v>27</v>
      </c>
    </row>
    <row r="449" spans="1:11" x14ac:dyDescent="0.45">
      <c r="A449" t="s">
        <v>90</v>
      </c>
      <c r="B449" t="s">
        <v>0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0.19420000000000001</v>
      </c>
      <c r="K449" t="s">
        <v>27</v>
      </c>
    </row>
    <row r="450" spans="1:11" x14ac:dyDescent="0.45">
      <c r="A450" t="s">
        <v>90</v>
      </c>
      <c r="B450" t="s">
        <v>0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0.20369999999999999</v>
      </c>
      <c r="K450" t="s">
        <v>27</v>
      </c>
    </row>
    <row r="451" spans="1:11" x14ac:dyDescent="0.45">
      <c r="A451" t="s">
        <v>90</v>
      </c>
      <c r="B451" t="s">
        <v>0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0.21240000000000001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0.22105000000000002</v>
      </c>
      <c r="K452" t="s">
        <v>27</v>
      </c>
    </row>
    <row r="453" spans="1:11" x14ac:dyDescent="0.45">
      <c r="A453" t="s">
        <v>90</v>
      </c>
      <c r="B453" t="s">
        <v>0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0.22850000000000001</v>
      </c>
      <c r="K453" t="s">
        <v>27</v>
      </c>
    </row>
    <row r="454" spans="1:11" x14ac:dyDescent="0.45">
      <c r="A454" t="s">
        <v>90</v>
      </c>
      <c r="B454" t="s">
        <v>0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0.23554999999999998</v>
      </c>
      <c r="K454" t="s">
        <v>27</v>
      </c>
    </row>
    <row r="455" spans="1:11" x14ac:dyDescent="0.45">
      <c r="A455" t="s">
        <v>90</v>
      </c>
      <c r="B455" t="s">
        <v>0</v>
      </c>
      <c r="C455" t="s">
        <v>84</v>
      </c>
      <c r="D455" t="s">
        <v>85</v>
      </c>
      <c r="E455" t="s">
        <v>25</v>
      </c>
      <c r="F455" t="s">
        <v>85</v>
      </c>
      <c r="G455" t="s">
        <v>26</v>
      </c>
      <c r="H455" t="s">
        <v>82</v>
      </c>
      <c r="I455">
        <v>2020</v>
      </c>
      <c r="J455">
        <v>5.9500000000000004E-3</v>
      </c>
      <c r="K455" t="s">
        <v>85</v>
      </c>
    </row>
    <row r="456" spans="1:11" x14ac:dyDescent="0.45">
      <c r="A456" t="s">
        <v>90</v>
      </c>
      <c r="B456" t="s">
        <v>0</v>
      </c>
      <c r="C456" t="s">
        <v>84</v>
      </c>
      <c r="D456" t="s">
        <v>85</v>
      </c>
      <c r="E456" t="s">
        <v>25</v>
      </c>
      <c r="F456" t="s">
        <v>85</v>
      </c>
      <c r="G456" t="s">
        <v>26</v>
      </c>
      <c r="H456" t="s">
        <v>82</v>
      </c>
      <c r="I456">
        <v>2025</v>
      </c>
      <c r="J456">
        <v>2.7200000000000002E-2</v>
      </c>
      <c r="K456" t="s">
        <v>85</v>
      </c>
    </row>
    <row r="457" spans="1:11" x14ac:dyDescent="0.45">
      <c r="A457" t="s">
        <v>90</v>
      </c>
      <c r="B457" t="s">
        <v>0</v>
      </c>
      <c r="C457" t="s">
        <v>84</v>
      </c>
      <c r="D457" t="s">
        <v>85</v>
      </c>
      <c r="E457" t="s">
        <v>25</v>
      </c>
      <c r="F457" t="s">
        <v>85</v>
      </c>
      <c r="G457" t="s">
        <v>26</v>
      </c>
      <c r="H457" t="s">
        <v>82</v>
      </c>
      <c r="I457">
        <v>2030</v>
      </c>
      <c r="J457">
        <v>4.9449999999999994E-2</v>
      </c>
      <c r="K457" t="s">
        <v>85</v>
      </c>
    </row>
    <row r="458" spans="1:11" x14ac:dyDescent="0.45">
      <c r="A458" t="s">
        <v>90</v>
      </c>
      <c r="B458" t="s">
        <v>0</v>
      </c>
      <c r="C458" t="s">
        <v>84</v>
      </c>
      <c r="D458" t="s">
        <v>85</v>
      </c>
      <c r="E458" t="s">
        <v>25</v>
      </c>
      <c r="F458" t="s">
        <v>85</v>
      </c>
      <c r="G458" t="s">
        <v>26</v>
      </c>
      <c r="H458" t="s">
        <v>82</v>
      </c>
      <c r="I458">
        <v>2035</v>
      </c>
      <c r="J458">
        <v>5.9950000000000003E-2</v>
      </c>
      <c r="K458" t="s">
        <v>85</v>
      </c>
    </row>
    <row r="459" spans="1:11" x14ac:dyDescent="0.45">
      <c r="A459" t="s">
        <v>90</v>
      </c>
      <c r="B459" t="s">
        <v>0</v>
      </c>
      <c r="C459" t="s">
        <v>84</v>
      </c>
      <c r="D459" t="s">
        <v>85</v>
      </c>
      <c r="E459" t="s">
        <v>25</v>
      </c>
      <c r="F459" t="s">
        <v>85</v>
      </c>
      <c r="G459" t="s">
        <v>26</v>
      </c>
      <c r="H459" t="s">
        <v>82</v>
      </c>
      <c r="I459">
        <v>2040</v>
      </c>
      <c r="J459">
        <v>9.4049999999999995E-2</v>
      </c>
      <c r="K459" t="s">
        <v>85</v>
      </c>
    </row>
    <row r="460" spans="1:11" x14ac:dyDescent="0.45">
      <c r="A460" t="s">
        <v>90</v>
      </c>
      <c r="B460" t="s">
        <v>0</v>
      </c>
      <c r="C460" t="s">
        <v>84</v>
      </c>
      <c r="D460" t="s">
        <v>85</v>
      </c>
      <c r="E460" t="s">
        <v>25</v>
      </c>
      <c r="F460" t="s">
        <v>85</v>
      </c>
      <c r="G460" t="s">
        <v>26</v>
      </c>
      <c r="H460" t="s">
        <v>82</v>
      </c>
      <c r="I460">
        <v>2045</v>
      </c>
      <c r="J460">
        <v>0.19864999999999999</v>
      </c>
      <c r="K460" t="s">
        <v>85</v>
      </c>
    </row>
    <row r="461" spans="1:11" x14ac:dyDescent="0.45">
      <c r="A461" t="s">
        <v>90</v>
      </c>
      <c r="B461" t="s">
        <v>0</v>
      </c>
      <c r="C461" t="s">
        <v>84</v>
      </c>
      <c r="D461" t="s">
        <v>85</v>
      </c>
      <c r="E461" t="s">
        <v>25</v>
      </c>
      <c r="F461" t="s">
        <v>85</v>
      </c>
      <c r="G461" t="s">
        <v>26</v>
      </c>
      <c r="H461" t="s">
        <v>82</v>
      </c>
      <c r="I461">
        <v>2050</v>
      </c>
      <c r="J461">
        <v>0.32889999999999997</v>
      </c>
      <c r="K461" t="s">
        <v>85</v>
      </c>
    </row>
    <row r="462" spans="1:11" x14ac:dyDescent="0.45">
      <c r="A462" t="s">
        <v>90</v>
      </c>
      <c r="B462" t="s">
        <v>0</v>
      </c>
      <c r="C462" t="s">
        <v>84</v>
      </c>
      <c r="D462" t="s">
        <v>85</v>
      </c>
      <c r="E462" t="s">
        <v>25</v>
      </c>
      <c r="F462" t="s">
        <v>85</v>
      </c>
      <c r="G462" t="s">
        <v>26</v>
      </c>
      <c r="H462" t="s">
        <v>82</v>
      </c>
      <c r="I462">
        <v>2055</v>
      </c>
      <c r="J462">
        <v>0.41044999999999998</v>
      </c>
      <c r="K462" t="s">
        <v>85</v>
      </c>
    </row>
    <row r="463" spans="1:11" x14ac:dyDescent="0.45">
      <c r="A463" t="s">
        <v>90</v>
      </c>
      <c r="B463" t="s">
        <v>0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2060</v>
      </c>
      <c r="J463">
        <v>0.46579999999999999</v>
      </c>
      <c r="K463" t="s">
        <v>85</v>
      </c>
    </row>
    <row r="464" spans="1:11" x14ac:dyDescent="0.45">
      <c r="A464" t="s">
        <v>90</v>
      </c>
      <c r="B464" t="s">
        <v>0</v>
      </c>
      <c r="C464" t="s">
        <v>84</v>
      </c>
      <c r="D464" t="s">
        <v>85</v>
      </c>
      <c r="E464" t="s">
        <v>25</v>
      </c>
      <c r="F464" t="s">
        <v>85</v>
      </c>
      <c r="G464" t="s">
        <v>26</v>
      </c>
      <c r="H464" t="s">
        <v>82</v>
      </c>
      <c r="I464">
        <v>2065</v>
      </c>
      <c r="J464">
        <v>0.45665</v>
      </c>
      <c r="K464" t="s">
        <v>85</v>
      </c>
    </row>
    <row r="465" spans="1:11" x14ac:dyDescent="0.45">
      <c r="A465" t="s">
        <v>90</v>
      </c>
      <c r="B465" t="s">
        <v>0</v>
      </c>
      <c r="C465" t="s">
        <v>84</v>
      </c>
      <c r="D465" t="s">
        <v>85</v>
      </c>
      <c r="E465" t="s">
        <v>25</v>
      </c>
      <c r="F465" t="s">
        <v>85</v>
      </c>
      <c r="G465" t="s">
        <v>26</v>
      </c>
      <c r="H465" t="s">
        <v>82</v>
      </c>
      <c r="I465">
        <v>2070</v>
      </c>
      <c r="J465">
        <v>0.44245000000000001</v>
      </c>
      <c r="K465" t="s">
        <v>85</v>
      </c>
    </row>
    <row r="466" spans="1:11" x14ac:dyDescent="0.45">
      <c r="A466" t="s">
        <v>90</v>
      </c>
      <c r="B466" t="s">
        <v>0</v>
      </c>
      <c r="C466" t="s">
        <v>84</v>
      </c>
      <c r="D466" t="s">
        <v>85</v>
      </c>
      <c r="E466" t="s">
        <v>25</v>
      </c>
      <c r="F466" t="s">
        <v>85</v>
      </c>
      <c r="G466" t="s">
        <v>26</v>
      </c>
      <c r="H466" t="s">
        <v>82</v>
      </c>
      <c r="I466">
        <v>2075</v>
      </c>
      <c r="J466">
        <v>0.42075000000000001</v>
      </c>
      <c r="K466" t="s">
        <v>85</v>
      </c>
    </row>
    <row r="467" spans="1:11" x14ac:dyDescent="0.45">
      <c r="A467" t="s">
        <v>90</v>
      </c>
      <c r="B467" t="s">
        <v>0</v>
      </c>
      <c r="C467" t="s">
        <v>84</v>
      </c>
      <c r="D467" t="s">
        <v>85</v>
      </c>
      <c r="E467" t="s">
        <v>25</v>
      </c>
      <c r="F467" t="s">
        <v>85</v>
      </c>
      <c r="G467" t="s">
        <v>26</v>
      </c>
      <c r="H467" t="s">
        <v>82</v>
      </c>
      <c r="I467">
        <v>2080</v>
      </c>
      <c r="J467">
        <v>0.39665</v>
      </c>
      <c r="K467" t="s">
        <v>85</v>
      </c>
    </row>
    <row r="468" spans="1:11" x14ac:dyDescent="0.45">
      <c r="A468" t="s">
        <v>90</v>
      </c>
      <c r="B468" t="s">
        <v>0</v>
      </c>
      <c r="C468" t="s">
        <v>84</v>
      </c>
      <c r="D468" t="s">
        <v>85</v>
      </c>
      <c r="E468" t="s">
        <v>25</v>
      </c>
      <c r="F468" t="s">
        <v>85</v>
      </c>
      <c r="G468" t="s">
        <v>26</v>
      </c>
      <c r="H468" t="s">
        <v>82</v>
      </c>
      <c r="I468">
        <v>2085</v>
      </c>
      <c r="J468">
        <v>0.38285000000000002</v>
      </c>
      <c r="K468" t="s">
        <v>85</v>
      </c>
    </row>
    <row r="469" spans="1:11" x14ac:dyDescent="0.45">
      <c r="A469" t="s">
        <v>90</v>
      </c>
      <c r="B469" t="s">
        <v>0</v>
      </c>
      <c r="C469" t="s">
        <v>84</v>
      </c>
      <c r="D469" t="s">
        <v>85</v>
      </c>
      <c r="E469" t="s">
        <v>25</v>
      </c>
      <c r="F469" t="s">
        <v>85</v>
      </c>
      <c r="G469" t="s">
        <v>26</v>
      </c>
      <c r="H469" t="s">
        <v>82</v>
      </c>
      <c r="I469">
        <v>2090</v>
      </c>
      <c r="J469">
        <v>0.36724999999999997</v>
      </c>
      <c r="K469" t="s">
        <v>85</v>
      </c>
    </row>
    <row r="470" spans="1:11" x14ac:dyDescent="0.45">
      <c r="A470" t="s">
        <v>90</v>
      </c>
      <c r="B470" t="s">
        <v>0</v>
      </c>
      <c r="C470" t="s">
        <v>84</v>
      </c>
      <c r="D470" t="s">
        <v>85</v>
      </c>
      <c r="E470" t="s">
        <v>25</v>
      </c>
      <c r="F470" t="s">
        <v>85</v>
      </c>
      <c r="G470" t="s">
        <v>26</v>
      </c>
      <c r="H470" t="s">
        <v>82</v>
      </c>
      <c r="I470">
        <v>2095</v>
      </c>
      <c r="J470">
        <v>0.35565000000000002</v>
      </c>
      <c r="K470" t="s">
        <v>85</v>
      </c>
    </row>
    <row r="471" spans="1:11" x14ac:dyDescent="0.45">
      <c r="A471" t="s">
        <v>90</v>
      </c>
      <c r="B471" t="s">
        <v>0</v>
      </c>
      <c r="C471" t="s">
        <v>84</v>
      </c>
      <c r="D471" t="s">
        <v>85</v>
      </c>
      <c r="E471" t="s">
        <v>25</v>
      </c>
      <c r="F471" t="s">
        <v>85</v>
      </c>
      <c r="G471" t="s">
        <v>26</v>
      </c>
      <c r="H471" t="s">
        <v>82</v>
      </c>
      <c r="I471">
        <v>2100</v>
      </c>
      <c r="J471">
        <v>0.34484999999999999</v>
      </c>
      <c r="K471" t="s">
        <v>85</v>
      </c>
    </row>
    <row r="472" spans="1:11" x14ac:dyDescent="0.45">
      <c r="A472" t="s">
        <v>90</v>
      </c>
      <c r="B472" t="s">
        <v>6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0.27880000000000005</v>
      </c>
      <c r="K472" t="s">
        <v>24</v>
      </c>
    </row>
    <row r="473" spans="1:11" x14ac:dyDescent="0.45">
      <c r="A473" t="s">
        <v>90</v>
      </c>
      <c r="B473" t="s">
        <v>6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0.29394999999999999</v>
      </c>
      <c r="K473" t="s">
        <v>24</v>
      </c>
    </row>
    <row r="474" spans="1:11" x14ac:dyDescent="0.45">
      <c r="A474" t="s">
        <v>90</v>
      </c>
      <c r="B474" t="s">
        <v>6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0.29510000000000003</v>
      </c>
      <c r="K474" t="s">
        <v>24</v>
      </c>
    </row>
    <row r="475" spans="1:11" x14ac:dyDescent="0.45">
      <c r="A475" t="s">
        <v>90</v>
      </c>
      <c r="B475" t="s">
        <v>6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0.29035</v>
      </c>
      <c r="K475" t="s">
        <v>24</v>
      </c>
    </row>
    <row r="476" spans="1:11" x14ac:dyDescent="0.45">
      <c r="A476" t="s">
        <v>90</v>
      </c>
      <c r="B476" t="s">
        <v>6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0.28885</v>
      </c>
      <c r="K476" t="s">
        <v>24</v>
      </c>
    </row>
    <row r="477" spans="1:11" x14ac:dyDescent="0.45">
      <c r="A477" t="s">
        <v>90</v>
      </c>
      <c r="B477" t="s">
        <v>6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0.31359999999999999</v>
      </c>
      <c r="K477" t="s">
        <v>24</v>
      </c>
    </row>
    <row r="478" spans="1:11" x14ac:dyDescent="0.45">
      <c r="A478" t="s">
        <v>90</v>
      </c>
      <c r="B478" t="s">
        <v>6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0.32935000000000003</v>
      </c>
      <c r="K478" t="s">
        <v>24</v>
      </c>
    </row>
    <row r="479" spans="1:11" x14ac:dyDescent="0.45">
      <c r="A479" t="s">
        <v>90</v>
      </c>
      <c r="B479" t="s">
        <v>6</v>
      </c>
      <c r="C479" t="s">
        <v>84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0.33474999999999999</v>
      </c>
      <c r="K479" t="s">
        <v>24</v>
      </c>
    </row>
    <row r="480" spans="1:11" x14ac:dyDescent="0.45">
      <c r="A480" t="s">
        <v>90</v>
      </c>
      <c r="B480" t="s">
        <v>6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0.31074999999999997</v>
      </c>
      <c r="K480" t="s">
        <v>24</v>
      </c>
    </row>
    <row r="481" spans="1:11" x14ac:dyDescent="0.45">
      <c r="A481" t="s">
        <v>90</v>
      </c>
      <c r="B481" t="s">
        <v>6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0.31085000000000002</v>
      </c>
      <c r="K481" t="s">
        <v>24</v>
      </c>
    </row>
    <row r="482" spans="1:11" x14ac:dyDescent="0.45">
      <c r="A482" t="s">
        <v>90</v>
      </c>
      <c r="B482" t="s">
        <v>6</v>
      </c>
      <c r="C482" t="s">
        <v>84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0.311</v>
      </c>
      <c r="K482" t="s">
        <v>24</v>
      </c>
    </row>
    <row r="483" spans="1:11" x14ac:dyDescent="0.45">
      <c r="A483" t="s">
        <v>90</v>
      </c>
      <c r="B483" t="s">
        <v>6</v>
      </c>
      <c r="C483" t="s">
        <v>84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0.31135000000000002</v>
      </c>
      <c r="K483" t="s">
        <v>24</v>
      </c>
    </row>
    <row r="484" spans="1:11" x14ac:dyDescent="0.45">
      <c r="A484" t="s">
        <v>90</v>
      </c>
      <c r="B484" t="s">
        <v>6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0.30980000000000002</v>
      </c>
      <c r="K484" t="s">
        <v>24</v>
      </c>
    </row>
    <row r="485" spans="1:11" x14ac:dyDescent="0.45">
      <c r="A485" t="s">
        <v>90</v>
      </c>
      <c r="B485" t="s">
        <v>6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0.30095</v>
      </c>
      <c r="K485" t="s">
        <v>24</v>
      </c>
    </row>
    <row r="486" spans="1:11" x14ac:dyDescent="0.45">
      <c r="A486" t="s">
        <v>90</v>
      </c>
      <c r="B486" t="s">
        <v>6</v>
      </c>
      <c r="C486" t="s">
        <v>84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0.28915000000000002</v>
      </c>
      <c r="K486" t="s">
        <v>24</v>
      </c>
    </row>
    <row r="487" spans="1:11" x14ac:dyDescent="0.45">
      <c r="A487" t="s">
        <v>90</v>
      </c>
      <c r="B487" t="s">
        <v>6</v>
      </c>
      <c r="C487" t="s">
        <v>84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0.27700000000000002</v>
      </c>
      <c r="K487" t="s">
        <v>24</v>
      </c>
    </row>
    <row r="488" spans="1:11" x14ac:dyDescent="0.45">
      <c r="A488" t="s">
        <v>90</v>
      </c>
      <c r="B488" t="s">
        <v>6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0.26429999999999998</v>
      </c>
      <c r="K488" t="s">
        <v>24</v>
      </c>
    </row>
    <row r="489" spans="1:11" x14ac:dyDescent="0.45">
      <c r="A489" t="s">
        <v>90</v>
      </c>
      <c r="B489" t="s">
        <v>6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2020</v>
      </c>
      <c r="J489">
        <v>0.65759999999999996</v>
      </c>
      <c r="K489" t="s">
        <v>28</v>
      </c>
    </row>
    <row r="490" spans="1:11" x14ac:dyDescent="0.45">
      <c r="A490" t="s">
        <v>90</v>
      </c>
      <c r="B490" t="s">
        <v>6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2025</v>
      </c>
      <c r="J490">
        <v>0.7147</v>
      </c>
      <c r="K490" t="s">
        <v>28</v>
      </c>
    </row>
    <row r="491" spans="1:11" x14ac:dyDescent="0.45">
      <c r="A491" t="s">
        <v>90</v>
      </c>
      <c r="B491" t="s">
        <v>6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2030</v>
      </c>
      <c r="J491">
        <v>0.74724999999999997</v>
      </c>
      <c r="K491" t="s">
        <v>28</v>
      </c>
    </row>
    <row r="492" spans="1:11" x14ac:dyDescent="0.45">
      <c r="A492" t="s">
        <v>90</v>
      </c>
      <c r="B492" t="s">
        <v>6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2035</v>
      </c>
      <c r="J492">
        <v>0.77500000000000002</v>
      </c>
      <c r="K492" t="s">
        <v>28</v>
      </c>
    </row>
    <row r="493" spans="1:11" x14ac:dyDescent="0.45">
      <c r="A493" t="s">
        <v>90</v>
      </c>
      <c r="B493" t="s">
        <v>6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2040</v>
      </c>
      <c r="J493">
        <v>0.76039999999999996</v>
      </c>
      <c r="K493" t="s">
        <v>28</v>
      </c>
    </row>
    <row r="494" spans="1:11" x14ac:dyDescent="0.45">
      <c r="A494" t="s">
        <v>90</v>
      </c>
      <c r="B494" t="s">
        <v>6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2045</v>
      </c>
      <c r="J494">
        <v>0.7841499999999999</v>
      </c>
      <c r="K494" t="s">
        <v>28</v>
      </c>
    </row>
    <row r="495" spans="1:11" x14ac:dyDescent="0.45">
      <c r="A495" t="s">
        <v>90</v>
      </c>
      <c r="B495" t="s">
        <v>6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2050</v>
      </c>
      <c r="J495">
        <v>0.78079999999999994</v>
      </c>
      <c r="K495" t="s">
        <v>28</v>
      </c>
    </row>
    <row r="496" spans="1:11" x14ac:dyDescent="0.45">
      <c r="A496" t="s">
        <v>90</v>
      </c>
      <c r="B496" t="s">
        <v>6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2055</v>
      </c>
      <c r="J496">
        <v>0.75445000000000007</v>
      </c>
      <c r="K496" t="s">
        <v>28</v>
      </c>
    </row>
    <row r="497" spans="1:11" x14ac:dyDescent="0.45">
      <c r="A497" t="s">
        <v>90</v>
      </c>
      <c r="B497" t="s">
        <v>6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2060</v>
      </c>
      <c r="J497">
        <v>0.76800000000000002</v>
      </c>
      <c r="K497" t="s">
        <v>28</v>
      </c>
    </row>
    <row r="498" spans="1:11" x14ac:dyDescent="0.45">
      <c r="A498" t="s">
        <v>90</v>
      </c>
      <c r="B498" t="s">
        <v>6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2065</v>
      </c>
      <c r="J498">
        <v>0.77115</v>
      </c>
      <c r="K498" t="s">
        <v>28</v>
      </c>
    </row>
    <row r="499" spans="1:11" x14ac:dyDescent="0.45">
      <c r="A499" t="s">
        <v>90</v>
      </c>
      <c r="B499" t="s">
        <v>6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2070</v>
      </c>
      <c r="J499">
        <v>0.77725</v>
      </c>
      <c r="K499" t="s">
        <v>28</v>
      </c>
    </row>
    <row r="500" spans="1:11" x14ac:dyDescent="0.45">
      <c r="A500" t="s">
        <v>90</v>
      </c>
      <c r="B500" t="s">
        <v>6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2075</v>
      </c>
      <c r="J500">
        <v>0.81415000000000004</v>
      </c>
      <c r="K500" t="s">
        <v>28</v>
      </c>
    </row>
    <row r="501" spans="1:11" x14ac:dyDescent="0.45">
      <c r="A501" t="s">
        <v>90</v>
      </c>
      <c r="B501" t="s">
        <v>6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2080</v>
      </c>
      <c r="J501">
        <v>0.84870000000000001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2085</v>
      </c>
      <c r="J502">
        <v>0.87795000000000001</v>
      </c>
      <c r="K502" t="s">
        <v>28</v>
      </c>
    </row>
    <row r="503" spans="1:11" x14ac:dyDescent="0.45">
      <c r="A503" t="s">
        <v>90</v>
      </c>
      <c r="B503" t="s">
        <v>6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2090</v>
      </c>
      <c r="J503">
        <v>0.90474999999999994</v>
      </c>
      <c r="K503" t="s">
        <v>28</v>
      </c>
    </row>
    <row r="504" spans="1:11" x14ac:dyDescent="0.45">
      <c r="A504" t="s">
        <v>90</v>
      </c>
      <c r="B504" t="s">
        <v>6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2095</v>
      </c>
      <c r="J504">
        <v>0.92920000000000003</v>
      </c>
      <c r="K504" t="s">
        <v>28</v>
      </c>
    </row>
    <row r="505" spans="1:11" x14ac:dyDescent="0.45">
      <c r="A505" t="s">
        <v>90</v>
      </c>
      <c r="B505" t="s">
        <v>6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0.95365</v>
      </c>
      <c r="K505" t="s">
        <v>28</v>
      </c>
    </row>
    <row r="506" spans="1:11" x14ac:dyDescent="0.45">
      <c r="A506" t="s">
        <v>90</v>
      </c>
      <c r="B506" t="s">
        <v>6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2.3E-2</v>
      </c>
      <c r="K506" t="s">
        <v>27</v>
      </c>
    </row>
    <row r="507" spans="1:11" x14ac:dyDescent="0.45">
      <c r="A507" t="s">
        <v>90</v>
      </c>
      <c r="B507" t="s">
        <v>6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2025</v>
      </c>
      <c r="J507">
        <v>4.8599999999999997E-2</v>
      </c>
      <c r="K507" t="s">
        <v>27</v>
      </c>
    </row>
    <row r="508" spans="1:11" x14ac:dyDescent="0.45">
      <c r="A508" t="s">
        <v>90</v>
      </c>
      <c r="B508" t="s">
        <v>6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2030</v>
      </c>
      <c r="J508">
        <v>8.165E-2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2035</v>
      </c>
      <c r="J509">
        <v>0.11165</v>
      </c>
      <c r="K509" t="s">
        <v>27</v>
      </c>
    </row>
    <row r="510" spans="1:11" x14ac:dyDescent="0.45">
      <c r="A510" t="s">
        <v>90</v>
      </c>
      <c r="B510" t="s">
        <v>6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2040</v>
      </c>
      <c r="J510">
        <v>0.12995000000000001</v>
      </c>
      <c r="K510" t="s">
        <v>27</v>
      </c>
    </row>
    <row r="511" spans="1:11" x14ac:dyDescent="0.45">
      <c r="A511" t="s">
        <v>90</v>
      </c>
      <c r="B511" t="s">
        <v>6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2045</v>
      </c>
      <c r="J511">
        <v>0.14415</v>
      </c>
      <c r="K511" t="s">
        <v>27</v>
      </c>
    </row>
    <row r="512" spans="1:11" x14ac:dyDescent="0.45">
      <c r="A512" t="s">
        <v>90</v>
      </c>
      <c r="B512" t="s">
        <v>6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2050</v>
      </c>
      <c r="J512">
        <v>0.15175</v>
      </c>
      <c r="K512" t="s">
        <v>27</v>
      </c>
    </row>
    <row r="513" spans="1:11" x14ac:dyDescent="0.45">
      <c r="A513" t="s">
        <v>90</v>
      </c>
      <c r="B513" t="s">
        <v>6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2055</v>
      </c>
      <c r="J513">
        <v>0.15605000000000002</v>
      </c>
      <c r="K513" t="s">
        <v>27</v>
      </c>
    </row>
    <row r="514" spans="1:11" x14ac:dyDescent="0.45">
      <c r="A514" t="s">
        <v>90</v>
      </c>
      <c r="B514" t="s">
        <v>6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2060</v>
      </c>
      <c r="J514">
        <v>0.15984999999999999</v>
      </c>
      <c r="K514" t="s">
        <v>27</v>
      </c>
    </row>
    <row r="515" spans="1:11" x14ac:dyDescent="0.45">
      <c r="A515" t="s">
        <v>90</v>
      </c>
      <c r="B515" t="s">
        <v>6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2065</v>
      </c>
      <c r="J515">
        <v>0.1676</v>
      </c>
      <c r="K515" t="s">
        <v>27</v>
      </c>
    </row>
    <row r="516" spans="1:11" x14ac:dyDescent="0.45">
      <c r="A516" t="s">
        <v>90</v>
      </c>
      <c r="B516" t="s">
        <v>6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2070</v>
      </c>
      <c r="J516">
        <v>0.1744</v>
      </c>
      <c r="K516" t="s">
        <v>27</v>
      </c>
    </row>
    <row r="517" spans="1:11" x14ac:dyDescent="0.45">
      <c r="A517" t="s">
        <v>90</v>
      </c>
      <c r="B517" t="s">
        <v>6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2075</v>
      </c>
      <c r="J517">
        <v>0.18340000000000001</v>
      </c>
      <c r="K517" t="s">
        <v>27</v>
      </c>
    </row>
    <row r="518" spans="1:11" x14ac:dyDescent="0.45">
      <c r="A518" t="s">
        <v>90</v>
      </c>
      <c r="B518" t="s">
        <v>6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2080</v>
      </c>
      <c r="J518">
        <v>0.19305</v>
      </c>
      <c r="K518" t="s">
        <v>27</v>
      </c>
    </row>
    <row r="519" spans="1:11" x14ac:dyDescent="0.45">
      <c r="A519" t="s">
        <v>90</v>
      </c>
      <c r="B519" t="s">
        <v>6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2085</v>
      </c>
      <c r="J519">
        <v>0.20079999999999998</v>
      </c>
      <c r="K519" t="s">
        <v>27</v>
      </c>
    </row>
    <row r="520" spans="1:11" x14ac:dyDescent="0.45">
      <c r="A520" t="s">
        <v>90</v>
      </c>
      <c r="B520" t="s">
        <v>6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2090</v>
      </c>
      <c r="J520">
        <v>0.20915</v>
      </c>
      <c r="K520" t="s">
        <v>27</v>
      </c>
    </row>
    <row r="521" spans="1:11" x14ac:dyDescent="0.45">
      <c r="A521" t="s">
        <v>90</v>
      </c>
      <c r="B521" t="s">
        <v>6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2095</v>
      </c>
      <c r="J521">
        <v>0.2165</v>
      </c>
      <c r="K521" t="s">
        <v>27</v>
      </c>
    </row>
    <row r="522" spans="1:11" x14ac:dyDescent="0.45">
      <c r="A522" t="s">
        <v>90</v>
      </c>
      <c r="B522" t="s">
        <v>6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2100</v>
      </c>
      <c r="J522">
        <v>0.22305</v>
      </c>
      <c r="K522" t="s">
        <v>27</v>
      </c>
    </row>
    <row r="523" spans="1:11" x14ac:dyDescent="0.45">
      <c r="A523" t="s">
        <v>90</v>
      </c>
      <c r="B523" t="s">
        <v>6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2020</v>
      </c>
      <c r="J523">
        <v>5.8999999999999999E-3</v>
      </c>
      <c r="K523" t="s">
        <v>85</v>
      </c>
    </row>
    <row r="524" spans="1:11" x14ac:dyDescent="0.45">
      <c r="A524" t="s">
        <v>90</v>
      </c>
      <c r="B524" t="s">
        <v>6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2025</v>
      </c>
      <c r="J524">
        <v>2.7E-2</v>
      </c>
      <c r="K524" t="s">
        <v>85</v>
      </c>
    </row>
    <row r="525" spans="1:11" x14ac:dyDescent="0.45">
      <c r="A525" t="s">
        <v>90</v>
      </c>
      <c r="B525" t="s">
        <v>6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4.9349999999999998E-2</v>
      </c>
      <c r="K525" t="s">
        <v>85</v>
      </c>
    </row>
    <row r="526" spans="1:11" x14ac:dyDescent="0.45">
      <c r="A526" t="s">
        <v>90</v>
      </c>
      <c r="B526" t="s">
        <v>6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2035</v>
      </c>
      <c r="J526">
        <v>5.7250000000000002E-2</v>
      </c>
      <c r="K526" t="s">
        <v>85</v>
      </c>
    </row>
    <row r="527" spans="1:11" x14ac:dyDescent="0.45">
      <c r="A527" t="s">
        <v>90</v>
      </c>
      <c r="B527" t="s">
        <v>6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2040</v>
      </c>
      <c r="J527">
        <v>7.7850000000000003E-2</v>
      </c>
      <c r="K527" t="s">
        <v>85</v>
      </c>
    </row>
    <row r="528" spans="1:11" x14ac:dyDescent="0.45">
      <c r="A528" t="s">
        <v>90</v>
      </c>
      <c r="B528" t="s">
        <v>6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2045</v>
      </c>
      <c r="J528">
        <v>0.1298</v>
      </c>
      <c r="K528" t="s">
        <v>85</v>
      </c>
    </row>
    <row r="529" spans="1:11" x14ac:dyDescent="0.45">
      <c r="A529" t="s">
        <v>90</v>
      </c>
      <c r="B529" t="s">
        <v>6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2050</v>
      </c>
      <c r="J529">
        <v>0.20610000000000001</v>
      </c>
      <c r="K529" t="s">
        <v>85</v>
      </c>
    </row>
    <row r="530" spans="1:11" x14ac:dyDescent="0.45">
      <c r="A530" t="s">
        <v>90</v>
      </c>
      <c r="B530" t="s">
        <v>6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2055</v>
      </c>
      <c r="J530">
        <v>0.26244999999999996</v>
      </c>
      <c r="K530" t="s">
        <v>85</v>
      </c>
    </row>
    <row r="531" spans="1:11" x14ac:dyDescent="0.45">
      <c r="A531" t="s">
        <v>90</v>
      </c>
      <c r="B531" t="s">
        <v>6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2060</v>
      </c>
      <c r="J531">
        <v>0.32315000000000005</v>
      </c>
      <c r="K531" t="s">
        <v>85</v>
      </c>
    </row>
    <row r="532" spans="1:11" x14ac:dyDescent="0.45">
      <c r="A532" t="s">
        <v>90</v>
      </c>
      <c r="B532" t="s">
        <v>6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2065</v>
      </c>
      <c r="J532">
        <v>0.32445000000000002</v>
      </c>
      <c r="K532" t="s">
        <v>85</v>
      </c>
    </row>
    <row r="533" spans="1:11" x14ac:dyDescent="0.45">
      <c r="A533" t="s">
        <v>90</v>
      </c>
      <c r="B533" t="s">
        <v>6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2070</v>
      </c>
      <c r="J533">
        <v>0.31879999999999997</v>
      </c>
      <c r="K533" t="s">
        <v>85</v>
      </c>
    </row>
    <row r="534" spans="1:11" x14ac:dyDescent="0.45">
      <c r="A534" t="s">
        <v>90</v>
      </c>
      <c r="B534" t="s">
        <v>6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2075</v>
      </c>
      <c r="J534">
        <v>0.31079999999999997</v>
      </c>
      <c r="K534" t="s">
        <v>85</v>
      </c>
    </row>
    <row r="535" spans="1:11" x14ac:dyDescent="0.45">
      <c r="A535" t="s">
        <v>90</v>
      </c>
      <c r="B535" t="s">
        <v>6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2080</v>
      </c>
      <c r="J535">
        <v>0.29759999999999998</v>
      </c>
      <c r="K535" t="s">
        <v>85</v>
      </c>
    </row>
    <row r="536" spans="1:11" x14ac:dyDescent="0.45">
      <c r="A536" t="s">
        <v>90</v>
      </c>
      <c r="B536" t="s">
        <v>6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2085</v>
      </c>
      <c r="J536">
        <v>0.29415000000000002</v>
      </c>
      <c r="K536" t="s">
        <v>85</v>
      </c>
    </row>
    <row r="537" spans="1:11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2090</v>
      </c>
      <c r="J537">
        <v>0.28870000000000001</v>
      </c>
      <c r="K537" t="s">
        <v>85</v>
      </c>
    </row>
    <row r="538" spans="1:11" x14ac:dyDescent="0.45">
      <c r="A538" t="s">
        <v>90</v>
      </c>
      <c r="B538" t="s">
        <v>6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2095</v>
      </c>
      <c r="J538">
        <v>0.27929999999999999</v>
      </c>
      <c r="K538" t="s">
        <v>85</v>
      </c>
    </row>
    <row r="539" spans="1:11" x14ac:dyDescent="0.45">
      <c r="A539" t="s">
        <v>90</v>
      </c>
      <c r="B539" t="s">
        <v>6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2100</v>
      </c>
      <c r="J539">
        <v>0.2707</v>
      </c>
      <c r="K539" t="s">
        <v>85</v>
      </c>
    </row>
    <row r="540" spans="1:11" x14ac:dyDescent="0.45">
      <c r="A540" t="s">
        <v>90</v>
      </c>
      <c r="B540" t="s">
        <v>5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0.28259999999999996</v>
      </c>
      <c r="K540" t="s">
        <v>24</v>
      </c>
    </row>
    <row r="541" spans="1:11" x14ac:dyDescent="0.45">
      <c r="A541" t="s">
        <v>90</v>
      </c>
      <c r="B541" t="s">
        <v>5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0.27039999999999997</v>
      </c>
      <c r="K541" t="s">
        <v>24</v>
      </c>
    </row>
    <row r="542" spans="1:11" x14ac:dyDescent="0.45">
      <c r="A542" t="s">
        <v>90</v>
      </c>
      <c r="B542" t="s">
        <v>5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0.2137</v>
      </c>
      <c r="K542" t="s">
        <v>24</v>
      </c>
    </row>
    <row r="543" spans="1:11" x14ac:dyDescent="0.45">
      <c r="A543" t="s">
        <v>90</v>
      </c>
      <c r="B543" t="s">
        <v>5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0.20224999999999999</v>
      </c>
      <c r="K543" t="s">
        <v>24</v>
      </c>
    </row>
    <row r="544" spans="1:11" x14ac:dyDescent="0.45">
      <c r="A544" t="s">
        <v>90</v>
      </c>
      <c r="B544" t="s">
        <v>5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0.19869999999999999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0.2024</v>
      </c>
      <c r="K545" t="s">
        <v>24</v>
      </c>
    </row>
    <row r="546" spans="1:11" x14ac:dyDescent="0.45">
      <c r="A546" t="s">
        <v>90</v>
      </c>
      <c r="B546" t="s">
        <v>5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0.2082</v>
      </c>
      <c r="K546" t="s">
        <v>24</v>
      </c>
    </row>
    <row r="547" spans="1:11" x14ac:dyDescent="0.45">
      <c r="A547" t="s">
        <v>90</v>
      </c>
      <c r="B547" t="s">
        <v>5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0.19980000000000001</v>
      </c>
      <c r="K547" t="s">
        <v>24</v>
      </c>
    </row>
    <row r="548" spans="1:11" x14ac:dyDescent="0.45">
      <c r="A548" t="s">
        <v>90</v>
      </c>
      <c r="B548" t="s">
        <v>5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0.18280000000000002</v>
      </c>
      <c r="K548" t="s">
        <v>24</v>
      </c>
    </row>
    <row r="549" spans="1:11" x14ac:dyDescent="0.45">
      <c r="A549" t="s">
        <v>90</v>
      </c>
      <c r="B549" t="s">
        <v>5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0.18459999999999999</v>
      </c>
      <c r="K549" t="s">
        <v>24</v>
      </c>
    </row>
    <row r="550" spans="1:11" x14ac:dyDescent="0.45">
      <c r="A550" t="s">
        <v>90</v>
      </c>
      <c r="B550" t="s">
        <v>5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0.18645</v>
      </c>
      <c r="K550" t="s">
        <v>24</v>
      </c>
    </row>
    <row r="551" spans="1:11" x14ac:dyDescent="0.45">
      <c r="A551" t="s">
        <v>90</v>
      </c>
      <c r="B551" t="s">
        <v>5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0.1918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0.19585</v>
      </c>
      <c r="K552" t="s">
        <v>24</v>
      </c>
    </row>
    <row r="553" spans="1:11" x14ac:dyDescent="0.45">
      <c r="A553" t="s">
        <v>90</v>
      </c>
      <c r="B553" t="s">
        <v>5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0.19885</v>
      </c>
      <c r="K553" t="s">
        <v>24</v>
      </c>
    </row>
    <row r="554" spans="1:11" x14ac:dyDescent="0.45">
      <c r="A554" t="s">
        <v>90</v>
      </c>
      <c r="B554" t="s">
        <v>5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0.19985</v>
      </c>
      <c r="K554" t="s">
        <v>24</v>
      </c>
    </row>
    <row r="555" spans="1:11" x14ac:dyDescent="0.45">
      <c r="A555" t="s">
        <v>90</v>
      </c>
      <c r="B555" t="s">
        <v>5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0.19579999999999997</v>
      </c>
      <c r="K555" t="s">
        <v>24</v>
      </c>
    </row>
    <row r="556" spans="1:11" x14ac:dyDescent="0.45">
      <c r="A556" t="s">
        <v>90</v>
      </c>
      <c r="B556" t="s">
        <v>5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0.19164999999999999</v>
      </c>
      <c r="K556" t="s">
        <v>24</v>
      </c>
    </row>
    <row r="557" spans="1:11" x14ac:dyDescent="0.45">
      <c r="A557" t="s">
        <v>90</v>
      </c>
      <c r="B557" t="s">
        <v>5</v>
      </c>
      <c r="C557" t="s">
        <v>84</v>
      </c>
      <c r="D557" t="s">
        <v>28</v>
      </c>
      <c r="E557" t="s">
        <v>25</v>
      </c>
      <c r="F557" t="s">
        <v>28</v>
      </c>
      <c r="G557" t="s">
        <v>26</v>
      </c>
      <c r="H557" t="s">
        <v>12</v>
      </c>
      <c r="I557">
        <v>2020</v>
      </c>
      <c r="J557">
        <v>0.66754999999999998</v>
      </c>
      <c r="K557" t="s">
        <v>28</v>
      </c>
    </row>
    <row r="558" spans="1:11" x14ac:dyDescent="0.45">
      <c r="A558" t="s">
        <v>90</v>
      </c>
      <c r="B558" t="s">
        <v>5</v>
      </c>
      <c r="C558" t="s">
        <v>84</v>
      </c>
      <c r="D558" t="s">
        <v>28</v>
      </c>
      <c r="E558" t="s">
        <v>25</v>
      </c>
      <c r="F558" t="s">
        <v>28</v>
      </c>
      <c r="G558" t="s">
        <v>26</v>
      </c>
      <c r="H558" t="s">
        <v>12</v>
      </c>
      <c r="I558">
        <v>2025</v>
      </c>
      <c r="J558">
        <v>0.71829999999999994</v>
      </c>
      <c r="K558" t="s">
        <v>28</v>
      </c>
    </row>
    <row r="559" spans="1:11" x14ac:dyDescent="0.45">
      <c r="A559" t="s">
        <v>90</v>
      </c>
      <c r="B559" t="s">
        <v>5</v>
      </c>
      <c r="C559" t="s">
        <v>84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2030</v>
      </c>
      <c r="J559">
        <v>0.68215000000000003</v>
      </c>
      <c r="K559" t="s">
        <v>28</v>
      </c>
    </row>
    <row r="560" spans="1:11" x14ac:dyDescent="0.45">
      <c r="A560" t="s">
        <v>90</v>
      </c>
      <c r="B560" t="s">
        <v>5</v>
      </c>
      <c r="C560" t="s">
        <v>84</v>
      </c>
      <c r="D560" t="s">
        <v>28</v>
      </c>
      <c r="E560" t="s">
        <v>25</v>
      </c>
      <c r="F560" t="s">
        <v>28</v>
      </c>
      <c r="G560" t="s">
        <v>26</v>
      </c>
      <c r="H560" t="s">
        <v>12</v>
      </c>
      <c r="I560">
        <v>2035</v>
      </c>
      <c r="J560">
        <v>0.70479999999999998</v>
      </c>
      <c r="K560" t="s">
        <v>28</v>
      </c>
    </row>
    <row r="561" spans="1:11" x14ac:dyDescent="0.45">
      <c r="A561" t="s">
        <v>90</v>
      </c>
      <c r="B561" t="s">
        <v>5</v>
      </c>
      <c r="C561" t="s">
        <v>84</v>
      </c>
      <c r="D561" t="s">
        <v>28</v>
      </c>
      <c r="E561" t="s">
        <v>25</v>
      </c>
      <c r="F561" t="s">
        <v>28</v>
      </c>
      <c r="G561" t="s">
        <v>26</v>
      </c>
      <c r="H561" t="s">
        <v>12</v>
      </c>
      <c r="I561">
        <v>2040</v>
      </c>
      <c r="J561">
        <v>0.71310000000000007</v>
      </c>
      <c r="K561" t="s">
        <v>28</v>
      </c>
    </row>
    <row r="562" spans="1:11" x14ac:dyDescent="0.45">
      <c r="A562" t="s">
        <v>90</v>
      </c>
      <c r="B562" t="s">
        <v>5</v>
      </c>
      <c r="C562" t="s">
        <v>84</v>
      </c>
      <c r="D562" t="s">
        <v>28</v>
      </c>
      <c r="E562" t="s">
        <v>25</v>
      </c>
      <c r="F562" t="s">
        <v>28</v>
      </c>
      <c r="G562" t="s">
        <v>26</v>
      </c>
      <c r="H562" t="s">
        <v>12</v>
      </c>
      <c r="I562">
        <v>2045</v>
      </c>
      <c r="J562">
        <v>0.74750000000000005</v>
      </c>
      <c r="K562" t="s">
        <v>28</v>
      </c>
    </row>
    <row r="563" spans="1:11" x14ac:dyDescent="0.45">
      <c r="A563" t="s">
        <v>90</v>
      </c>
      <c r="B563" t="s">
        <v>5</v>
      </c>
      <c r="C563" t="s">
        <v>84</v>
      </c>
      <c r="D563" t="s">
        <v>28</v>
      </c>
      <c r="E563" t="s">
        <v>25</v>
      </c>
      <c r="F563" t="s">
        <v>28</v>
      </c>
      <c r="G563" t="s">
        <v>26</v>
      </c>
      <c r="H563" t="s">
        <v>12</v>
      </c>
      <c r="I563">
        <v>2050</v>
      </c>
      <c r="J563">
        <v>0.77190000000000003</v>
      </c>
      <c r="K563" t="s">
        <v>28</v>
      </c>
    </row>
    <row r="564" spans="1:11" x14ac:dyDescent="0.45">
      <c r="A564" t="s">
        <v>90</v>
      </c>
      <c r="B564" t="s">
        <v>5</v>
      </c>
      <c r="C564" t="s">
        <v>84</v>
      </c>
      <c r="D564" t="s">
        <v>28</v>
      </c>
      <c r="E564" t="s">
        <v>25</v>
      </c>
      <c r="F564" t="s">
        <v>28</v>
      </c>
      <c r="G564" t="s">
        <v>26</v>
      </c>
      <c r="H564" t="s">
        <v>12</v>
      </c>
      <c r="I564">
        <v>2055</v>
      </c>
      <c r="J564">
        <v>0.74490000000000001</v>
      </c>
      <c r="K564" t="s">
        <v>28</v>
      </c>
    </row>
    <row r="565" spans="1:11" x14ac:dyDescent="0.45">
      <c r="A565" t="s">
        <v>90</v>
      </c>
      <c r="B565" t="s">
        <v>5</v>
      </c>
      <c r="C565" t="s">
        <v>84</v>
      </c>
      <c r="D565" t="s">
        <v>28</v>
      </c>
      <c r="E565" t="s">
        <v>25</v>
      </c>
      <c r="F565" t="s">
        <v>28</v>
      </c>
      <c r="G565" t="s">
        <v>26</v>
      </c>
      <c r="H565" t="s">
        <v>12</v>
      </c>
      <c r="I565">
        <v>2060</v>
      </c>
      <c r="J565">
        <v>0.74990000000000001</v>
      </c>
      <c r="K565" t="s">
        <v>28</v>
      </c>
    </row>
    <row r="566" spans="1:11" x14ac:dyDescent="0.45">
      <c r="A566" t="s">
        <v>90</v>
      </c>
      <c r="B566" t="s">
        <v>5</v>
      </c>
      <c r="C566" t="s">
        <v>84</v>
      </c>
      <c r="D566" t="s">
        <v>28</v>
      </c>
      <c r="E566" t="s">
        <v>25</v>
      </c>
      <c r="F566" t="s">
        <v>28</v>
      </c>
      <c r="G566" t="s">
        <v>26</v>
      </c>
      <c r="H566" t="s">
        <v>12</v>
      </c>
      <c r="I566">
        <v>2065</v>
      </c>
      <c r="J566">
        <v>0.76475000000000004</v>
      </c>
      <c r="K566" t="s">
        <v>28</v>
      </c>
    </row>
    <row r="567" spans="1:11" x14ac:dyDescent="0.45">
      <c r="A567" t="s">
        <v>90</v>
      </c>
      <c r="B567" t="s">
        <v>5</v>
      </c>
      <c r="C567" t="s">
        <v>84</v>
      </c>
      <c r="D567" t="s">
        <v>28</v>
      </c>
      <c r="E567" t="s">
        <v>25</v>
      </c>
      <c r="F567" t="s">
        <v>28</v>
      </c>
      <c r="G567" t="s">
        <v>26</v>
      </c>
      <c r="H567" t="s">
        <v>12</v>
      </c>
      <c r="I567">
        <v>2070</v>
      </c>
      <c r="J567">
        <v>0.78120000000000001</v>
      </c>
      <c r="K567" t="s">
        <v>28</v>
      </c>
    </row>
    <row r="568" spans="1:11" x14ac:dyDescent="0.45">
      <c r="A568" t="s">
        <v>90</v>
      </c>
      <c r="B568" t="s">
        <v>5</v>
      </c>
      <c r="C568" t="s">
        <v>84</v>
      </c>
      <c r="D568" t="s">
        <v>28</v>
      </c>
      <c r="E568" t="s">
        <v>25</v>
      </c>
      <c r="F568" t="s">
        <v>28</v>
      </c>
      <c r="G568" t="s">
        <v>26</v>
      </c>
      <c r="H568" t="s">
        <v>12</v>
      </c>
      <c r="I568">
        <v>2075</v>
      </c>
      <c r="J568">
        <v>0.83684999999999998</v>
      </c>
      <c r="K568" t="s">
        <v>28</v>
      </c>
    </row>
    <row r="569" spans="1:11" x14ac:dyDescent="0.45">
      <c r="A569" t="s">
        <v>90</v>
      </c>
      <c r="B569" t="s">
        <v>5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2080</v>
      </c>
      <c r="J569">
        <v>0.88980000000000004</v>
      </c>
      <c r="K569" t="s">
        <v>28</v>
      </c>
    </row>
    <row r="570" spans="1:11" x14ac:dyDescent="0.45">
      <c r="A570" t="s">
        <v>90</v>
      </c>
      <c r="B570" t="s">
        <v>5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2085</v>
      </c>
      <c r="J570">
        <v>0.9302999999999999</v>
      </c>
      <c r="K570" t="s">
        <v>28</v>
      </c>
    </row>
    <row r="571" spans="1:11" x14ac:dyDescent="0.45">
      <c r="A571" t="s">
        <v>90</v>
      </c>
      <c r="B571" t="s">
        <v>5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2090</v>
      </c>
      <c r="J571">
        <v>0.96589999999999998</v>
      </c>
      <c r="K571" t="s">
        <v>28</v>
      </c>
    </row>
    <row r="572" spans="1:11" x14ac:dyDescent="0.45">
      <c r="A572" t="s">
        <v>90</v>
      </c>
      <c r="B572" t="s">
        <v>5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2095</v>
      </c>
      <c r="J572">
        <v>0.99145000000000005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2100</v>
      </c>
      <c r="J573">
        <v>1.01755</v>
      </c>
      <c r="K573" t="s">
        <v>28</v>
      </c>
    </row>
    <row r="574" spans="1:11" x14ac:dyDescent="0.45">
      <c r="A574" t="s">
        <v>90</v>
      </c>
      <c r="B574" t="s">
        <v>5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2020</v>
      </c>
      <c r="J574">
        <v>2.4799999999999999E-2</v>
      </c>
      <c r="K574" t="s">
        <v>27</v>
      </c>
    </row>
    <row r="575" spans="1:11" x14ac:dyDescent="0.45">
      <c r="A575" t="s">
        <v>90</v>
      </c>
      <c r="B575" t="s">
        <v>5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2025</v>
      </c>
      <c r="J575">
        <v>5.1000000000000004E-2</v>
      </c>
      <c r="K575" t="s">
        <v>27</v>
      </c>
    </row>
    <row r="576" spans="1:11" x14ac:dyDescent="0.45">
      <c r="A576" t="s">
        <v>90</v>
      </c>
      <c r="B576" t="s">
        <v>5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2030</v>
      </c>
      <c r="J576">
        <v>8.6449999999999999E-2</v>
      </c>
      <c r="K576" t="s">
        <v>27</v>
      </c>
    </row>
    <row r="577" spans="1:11" x14ac:dyDescent="0.45">
      <c r="A577" t="s">
        <v>90</v>
      </c>
      <c r="B577" t="s">
        <v>5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2035</v>
      </c>
      <c r="J577">
        <v>0.1268</v>
      </c>
      <c r="K577" t="s">
        <v>27</v>
      </c>
    </row>
    <row r="578" spans="1:11" x14ac:dyDescent="0.45">
      <c r="A578" t="s">
        <v>90</v>
      </c>
      <c r="B578" t="s">
        <v>5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0.14789999999999998</v>
      </c>
      <c r="K578" t="s">
        <v>27</v>
      </c>
    </row>
    <row r="579" spans="1:11" x14ac:dyDescent="0.45">
      <c r="A579" t="s">
        <v>90</v>
      </c>
      <c r="B579" t="s">
        <v>5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2045</v>
      </c>
      <c r="J579">
        <v>0.16694999999999999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2050</v>
      </c>
      <c r="J580">
        <v>0.1653</v>
      </c>
      <c r="K580" t="s">
        <v>27</v>
      </c>
    </row>
    <row r="581" spans="1:11" x14ac:dyDescent="0.45">
      <c r="A581" t="s">
        <v>90</v>
      </c>
      <c r="B581" t="s">
        <v>5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2055</v>
      </c>
      <c r="J581">
        <v>0.17035</v>
      </c>
      <c r="K581" t="s">
        <v>27</v>
      </c>
    </row>
    <row r="582" spans="1:11" x14ac:dyDescent="0.45">
      <c r="A582" t="s">
        <v>90</v>
      </c>
      <c r="B582" t="s">
        <v>5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2060</v>
      </c>
      <c r="J582">
        <v>0.1754</v>
      </c>
      <c r="K582" t="s">
        <v>27</v>
      </c>
    </row>
    <row r="583" spans="1:11" x14ac:dyDescent="0.45">
      <c r="A583" t="s">
        <v>90</v>
      </c>
      <c r="B583" t="s">
        <v>5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2065</v>
      </c>
      <c r="J583">
        <v>0.18335000000000001</v>
      </c>
      <c r="K583" t="s">
        <v>27</v>
      </c>
    </row>
    <row r="584" spans="1:11" x14ac:dyDescent="0.45">
      <c r="A584" t="s">
        <v>90</v>
      </c>
      <c r="B584" t="s">
        <v>5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2070</v>
      </c>
      <c r="J584">
        <v>0.18985000000000002</v>
      </c>
      <c r="K584" t="s">
        <v>27</v>
      </c>
    </row>
    <row r="585" spans="1:11" x14ac:dyDescent="0.45">
      <c r="A585" t="s">
        <v>90</v>
      </c>
      <c r="B585" t="s">
        <v>5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0.19990000000000002</v>
      </c>
      <c r="K585" t="s">
        <v>27</v>
      </c>
    </row>
    <row r="586" spans="1:11" x14ac:dyDescent="0.45">
      <c r="A586" t="s">
        <v>90</v>
      </c>
      <c r="B586" t="s">
        <v>5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2080</v>
      </c>
      <c r="J586">
        <v>0.21065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2085</v>
      </c>
      <c r="J587">
        <v>0.21975</v>
      </c>
      <c r="K587" t="s">
        <v>27</v>
      </c>
    </row>
    <row r="588" spans="1:11" x14ac:dyDescent="0.45">
      <c r="A588" t="s">
        <v>90</v>
      </c>
      <c r="B588" t="s">
        <v>5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2090</v>
      </c>
      <c r="J588">
        <v>0.22865000000000002</v>
      </c>
      <c r="K588" t="s">
        <v>27</v>
      </c>
    </row>
    <row r="589" spans="1:11" x14ac:dyDescent="0.45">
      <c r="A589" t="s">
        <v>90</v>
      </c>
      <c r="B589" t="s">
        <v>5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2095</v>
      </c>
      <c r="J589">
        <v>0.23415</v>
      </c>
      <c r="K589" t="s">
        <v>27</v>
      </c>
    </row>
    <row r="590" spans="1:11" x14ac:dyDescent="0.45">
      <c r="A590" t="s">
        <v>90</v>
      </c>
      <c r="B590" t="s">
        <v>5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2100</v>
      </c>
      <c r="J590">
        <v>0.23914999999999997</v>
      </c>
      <c r="K590" t="s">
        <v>27</v>
      </c>
    </row>
    <row r="591" spans="1:11" x14ac:dyDescent="0.45">
      <c r="A591" t="s">
        <v>90</v>
      </c>
      <c r="B591" t="s">
        <v>5</v>
      </c>
      <c r="C591" t="s">
        <v>84</v>
      </c>
      <c r="D591" t="s">
        <v>85</v>
      </c>
      <c r="E591" t="s">
        <v>25</v>
      </c>
      <c r="F591" t="s">
        <v>85</v>
      </c>
      <c r="G591" t="s">
        <v>26</v>
      </c>
      <c r="H591" t="s">
        <v>82</v>
      </c>
      <c r="I591">
        <v>2020</v>
      </c>
      <c r="J591">
        <v>6.0000000000000001E-3</v>
      </c>
      <c r="K591" t="s">
        <v>85</v>
      </c>
    </row>
    <row r="592" spans="1:11" x14ac:dyDescent="0.45">
      <c r="A592" t="s">
        <v>90</v>
      </c>
      <c r="B592" t="s">
        <v>5</v>
      </c>
      <c r="C592" t="s">
        <v>84</v>
      </c>
      <c r="D592" t="s">
        <v>85</v>
      </c>
      <c r="E592" t="s">
        <v>25</v>
      </c>
      <c r="F592" t="s">
        <v>85</v>
      </c>
      <c r="G592" t="s">
        <v>26</v>
      </c>
      <c r="H592" t="s">
        <v>82</v>
      </c>
      <c r="I592">
        <v>2025</v>
      </c>
      <c r="J592">
        <v>2.0900000000000002E-2</v>
      </c>
      <c r="K592" t="s">
        <v>85</v>
      </c>
    </row>
    <row r="593" spans="1:11" x14ac:dyDescent="0.45">
      <c r="A593" t="s">
        <v>90</v>
      </c>
      <c r="B593" t="s">
        <v>5</v>
      </c>
      <c r="C593" t="s">
        <v>84</v>
      </c>
      <c r="D593" t="s">
        <v>85</v>
      </c>
      <c r="E593" t="s">
        <v>25</v>
      </c>
      <c r="F593" t="s">
        <v>85</v>
      </c>
      <c r="G593" t="s">
        <v>26</v>
      </c>
      <c r="H593" t="s">
        <v>82</v>
      </c>
      <c r="I593">
        <v>2030</v>
      </c>
      <c r="J593">
        <v>3.6850000000000001E-2</v>
      </c>
      <c r="K593" t="s">
        <v>85</v>
      </c>
    </row>
    <row r="594" spans="1:11" x14ac:dyDescent="0.45">
      <c r="A594" t="s">
        <v>90</v>
      </c>
      <c r="B594" t="s">
        <v>5</v>
      </c>
      <c r="C594" t="s">
        <v>84</v>
      </c>
      <c r="D594" t="s">
        <v>85</v>
      </c>
      <c r="E594" t="s">
        <v>25</v>
      </c>
      <c r="F594" t="s">
        <v>85</v>
      </c>
      <c r="G594" t="s">
        <v>26</v>
      </c>
      <c r="H594" t="s">
        <v>82</v>
      </c>
      <c r="I594">
        <v>2035</v>
      </c>
      <c r="J594">
        <v>5.1549999999999999E-2</v>
      </c>
      <c r="K594" t="s">
        <v>85</v>
      </c>
    </row>
    <row r="595" spans="1:11" x14ac:dyDescent="0.45">
      <c r="A595" t="s">
        <v>90</v>
      </c>
      <c r="B595" t="s">
        <v>5</v>
      </c>
      <c r="C595" t="s">
        <v>84</v>
      </c>
      <c r="D595" t="s">
        <v>85</v>
      </c>
      <c r="E595" t="s">
        <v>25</v>
      </c>
      <c r="F595" t="s">
        <v>85</v>
      </c>
      <c r="G595" t="s">
        <v>26</v>
      </c>
      <c r="H595" t="s">
        <v>82</v>
      </c>
      <c r="I595">
        <v>2040</v>
      </c>
      <c r="J595">
        <v>7.1249999999999994E-2</v>
      </c>
      <c r="K595" t="s">
        <v>85</v>
      </c>
    </row>
    <row r="596" spans="1:11" x14ac:dyDescent="0.45">
      <c r="A596" t="s">
        <v>90</v>
      </c>
      <c r="B596" t="s">
        <v>5</v>
      </c>
      <c r="C596" t="s">
        <v>84</v>
      </c>
      <c r="D596" t="s">
        <v>85</v>
      </c>
      <c r="E596" t="s">
        <v>25</v>
      </c>
      <c r="F596" t="s">
        <v>85</v>
      </c>
      <c r="G596" t="s">
        <v>26</v>
      </c>
      <c r="H596" t="s">
        <v>82</v>
      </c>
      <c r="I596">
        <v>2045</v>
      </c>
      <c r="J596">
        <v>8.3949999999999997E-2</v>
      </c>
      <c r="K596" t="s">
        <v>85</v>
      </c>
    </row>
    <row r="597" spans="1:11" x14ac:dyDescent="0.45">
      <c r="A597" t="s">
        <v>90</v>
      </c>
      <c r="B597" t="s">
        <v>5</v>
      </c>
      <c r="C597" t="s">
        <v>84</v>
      </c>
      <c r="D597" t="s">
        <v>85</v>
      </c>
      <c r="E597" t="s">
        <v>25</v>
      </c>
      <c r="F597" t="s">
        <v>85</v>
      </c>
      <c r="G597" t="s">
        <v>26</v>
      </c>
      <c r="H597" t="s">
        <v>82</v>
      </c>
      <c r="I597">
        <v>2050</v>
      </c>
      <c r="J597">
        <v>0.10045000000000001</v>
      </c>
      <c r="K597" t="s">
        <v>85</v>
      </c>
    </row>
    <row r="598" spans="1:11" x14ac:dyDescent="0.45">
      <c r="A598" t="s">
        <v>90</v>
      </c>
      <c r="B598" t="s">
        <v>5</v>
      </c>
      <c r="C598" t="s">
        <v>84</v>
      </c>
      <c r="D598" t="s">
        <v>85</v>
      </c>
      <c r="E598" t="s">
        <v>25</v>
      </c>
      <c r="F598" t="s">
        <v>85</v>
      </c>
      <c r="G598" t="s">
        <v>26</v>
      </c>
      <c r="H598" t="s">
        <v>82</v>
      </c>
      <c r="I598">
        <v>2055</v>
      </c>
      <c r="J598">
        <v>0.1142</v>
      </c>
      <c r="K598" t="s">
        <v>85</v>
      </c>
    </row>
    <row r="599" spans="1:11" x14ac:dyDescent="0.45">
      <c r="A599" t="s">
        <v>90</v>
      </c>
      <c r="B599" t="s">
        <v>5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2060</v>
      </c>
      <c r="J599">
        <v>0.15715000000000001</v>
      </c>
      <c r="K599" t="s">
        <v>85</v>
      </c>
    </row>
    <row r="600" spans="1:11" x14ac:dyDescent="0.45">
      <c r="A600" t="s">
        <v>90</v>
      </c>
      <c r="B600" t="s">
        <v>5</v>
      </c>
      <c r="C600" t="s">
        <v>84</v>
      </c>
      <c r="D600" t="s">
        <v>85</v>
      </c>
      <c r="E600" t="s">
        <v>25</v>
      </c>
      <c r="F600" t="s">
        <v>85</v>
      </c>
      <c r="G600" t="s">
        <v>26</v>
      </c>
      <c r="H600" t="s">
        <v>82</v>
      </c>
      <c r="I600">
        <v>2065</v>
      </c>
      <c r="J600">
        <v>0.16644999999999999</v>
      </c>
      <c r="K600" t="s">
        <v>85</v>
      </c>
    </row>
    <row r="601" spans="1:11" x14ac:dyDescent="0.45">
      <c r="A601" t="s">
        <v>90</v>
      </c>
      <c r="B601" t="s">
        <v>5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2070</v>
      </c>
      <c r="J601">
        <v>0.17194999999999999</v>
      </c>
      <c r="K601" t="s">
        <v>85</v>
      </c>
    </row>
    <row r="602" spans="1:11" x14ac:dyDescent="0.45">
      <c r="A602" t="s">
        <v>90</v>
      </c>
      <c r="B602" t="s">
        <v>5</v>
      </c>
      <c r="C602" t="s">
        <v>84</v>
      </c>
      <c r="D602" t="s">
        <v>85</v>
      </c>
      <c r="E602" t="s">
        <v>25</v>
      </c>
      <c r="F602" t="s">
        <v>85</v>
      </c>
      <c r="G602" t="s">
        <v>26</v>
      </c>
      <c r="H602" t="s">
        <v>82</v>
      </c>
      <c r="I602">
        <v>2075</v>
      </c>
      <c r="J602">
        <v>0.16514999999999999</v>
      </c>
      <c r="K602" t="s">
        <v>85</v>
      </c>
    </row>
    <row r="603" spans="1:11" x14ac:dyDescent="0.45">
      <c r="A603" t="s">
        <v>90</v>
      </c>
      <c r="B603" t="s">
        <v>5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2080</v>
      </c>
      <c r="J603">
        <v>0.15755</v>
      </c>
      <c r="K603" t="s">
        <v>85</v>
      </c>
    </row>
    <row r="604" spans="1:11" x14ac:dyDescent="0.45">
      <c r="A604" t="s">
        <v>90</v>
      </c>
      <c r="B604" t="s">
        <v>5</v>
      </c>
      <c r="C604" t="s">
        <v>84</v>
      </c>
      <c r="D604" t="s">
        <v>85</v>
      </c>
      <c r="E604" t="s">
        <v>25</v>
      </c>
      <c r="F604" t="s">
        <v>85</v>
      </c>
      <c r="G604" t="s">
        <v>26</v>
      </c>
      <c r="H604" t="s">
        <v>82</v>
      </c>
      <c r="I604">
        <v>2085</v>
      </c>
      <c r="J604">
        <v>0.155</v>
      </c>
      <c r="K604" t="s">
        <v>85</v>
      </c>
    </row>
    <row r="605" spans="1:11" x14ac:dyDescent="0.45">
      <c r="A605" t="s">
        <v>90</v>
      </c>
      <c r="B605" t="s">
        <v>5</v>
      </c>
      <c r="C605" t="s">
        <v>84</v>
      </c>
      <c r="D605" t="s">
        <v>85</v>
      </c>
      <c r="E605" t="s">
        <v>25</v>
      </c>
      <c r="F605" t="s">
        <v>85</v>
      </c>
      <c r="G605" t="s">
        <v>26</v>
      </c>
      <c r="H605" t="s">
        <v>82</v>
      </c>
      <c r="I605">
        <v>2090</v>
      </c>
      <c r="J605">
        <v>0.15125</v>
      </c>
      <c r="K605" t="s">
        <v>85</v>
      </c>
    </row>
    <row r="606" spans="1:11" x14ac:dyDescent="0.45">
      <c r="A606" t="s">
        <v>90</v>
      </c>
      <c r="B606" t="s">
        <v>5</v>
      </c>
      <c r="C606" t="s">
        <v>84</v>
      </c>
      <c r="D606" t="s">
        <v>85</v>
      </c>
      <c r="E606" t="s">
        <v>25</v>
      </c>
      <c r="F606" t="s">
        <v>85</v>
      </c>
      <c r="G606" t="s">
        <v>26</v>
      </c>
      <c r="H606" t="s">
        <v>82</v>
      </c>
      <c r="I606">
        <v>2095</v>
      </c>
      <c r="J606">
        <v>0.15145</v>
      </c>
      <c r="K606" t="s">
        <v>85</v>
      </c>
    </row>
    <row r="607" spans="1:11" x14ac:dyDescent="0.45">
      <c r="A607" t="s">
        <v>90</v>
      </c>
      <c r="B607" t="s">
        <v>5</v>
      </c>
      <c r="C607" t="s">
        <v>84</v>
      </c>
      <c r="D607" t="s">
        <v>85</v>
      </c>
      <c r="E607" t="s">
        <v>25</v>
      </c>
      <c r="F607" t="s">
        <v>85</v>
      </c>
      <c r="G607" t="s">
        <v>26</v>
      </c>
      <c r="H607" t="s">
        <v>82</v>
      </c>
      <c r="I607">
        <v>2100</v>
      </c>
      <c r="J607">
        <v>0.15115000000000001</v>
      </c>
      <c r="K607" t="s">
        <v>85</v>
      </c>
    </row>
    <row r="608" spans="1:11" x14ac:dyDescent="0.45">
      <c r="A608" t="s">
        <v>90</v>
      </c>
      <c r="B608" t="s">
        <v>2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0.28105000000000002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0.30115000000000003</v>
      </c>
      <c r="K609" t="s">
        <v>24</v>
      </c>
    </row>
    <row r="610" spans="1:11" x14ac:dyDescent="0.45">
      <c r="A610" t="s">
        <v>90</v>
      </c>
      <c r="B610" t="s">
        <v>2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0.29679999999999995</v>
      </c>
      <c r="K610" t="s">
        <v>24</v>
      </c>
    </row>
    <row r="611" spans="1:11" x14ac:dyDescent="0.45">
      <c r="A611" t="s">
        <v>90</v>
      </c>
      <c r="B611" t="s">
        <v>2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0.30745</v>
      </c>
      <c r="K611" t="s">
        <v>24</v>
      </c>
    </row>
    <row r="612" spans="1:11" x14ac:dyDescent="0.45">
      <c r="A612" t="s">
        <v>90</v>
      </c>
      <c r="B612" t="s">
        <v>2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0.32374999999999998</v>
      </c>
      <c r="K612" t="s">
        <v>24</v>
      </c>
    </row>
    <row r="613" spans="1:11" x14ac:dyDescent="0.45">
      <c r="A613" t="s">
        <v>90</v>
      </c>
      <c r="B613" t="s">
        <v>2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0.33914999999999995</v>
      </c>
      <c r="K613" t="s">
        <v>24</v>
      </c>
    </row>
    <row r="614" spans="1:11" x14ac:dyDescent="0.45">
      <c r="A614" t="s">
        <v>90</v>
      </c>
      <c r="B614" t="s">
        <v>2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0.3382</v>
      </c>
      <c r="K614" t="s">
        <v>24</v>
      </c>
    </row>
    <row r="615" spans="1:11" x14ac:dyDescent="0.45">
      <c r="A615" t="s">
        <v>90</v>
      </c>
      <c r="B615" t="s">
        <v>2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0.33109999999999995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0.30720000000000003</v>
      </c>
      <c r="K616" t="s">
        <v>24</v>
      </c>
    </row>
    <row r="617" spans="1:11" x14ac:dyDescent="0.45">
      <c r="A617" t="s">
        <v>90</v>
      </c>
      <c r="B617" t="s">
        <v>2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0.30704999999999999</v>
      </c>
      <c r="K617" t="s">
        <v>24</v>
      </c>
    </row>
    <row r="618" spans="1:11" x14ac:dyDescent="0.45">
      <c r="A618" t="s">
        <v>90</v>
      </c>
      <c r="B618" t="s">
        <v>2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0.30735000000000001</v>
      </c>
      <c r="K618" t="s">
        <v>24</v>
      </c>
    </row>
    <row r="619" spans="1:11" x14ac:dyDescent="0.45">
      <c r="A619" t="s">
        <v>90</v>
      </c>
      <c r="B619" t="s">
        <v>2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0.30559999999999998</v>
      </c>
      <c r="K619" t="s">
        <v>24</v>
      </c>
    </row>
    <row r="620" spans="1:11" x14ac:dyDescent="0.45">
      <c r="A620" t="s">
        <v>90</v>
      </c>
      <c r="B620" t="s">
        <v>2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0.30030000000000001</v>
      </c>
      <c r="K620" t="s">
        <v>24</v>
      </c>
    </row>
    <row r="621" spans="1:11" x14ac:dyDescent="0.45">
      <c r="A621" t="s">
        <v>90</v>
      </c>
      <c r="B621" t="s">
        <v>2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0.29120000000000001</v>
      </c>
      <c r="K621" t="s">
        <v>24</v>
      </c>
    </row>
    <row r="622" spans="1:11" x14ac:dyDescent="0.45">
      <c r="A622" t="s">
        <v>90</v>
      </c>
      <c r="B622" t="s">
        <v>2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0.28065000000000001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0.26939999999999997</v>
      </c>
      <c r="K623" t="s">
        <v>24</v>
      </c>
    </row>
    <row r="624" spans="1:11" x14ac:dyDescent="0.45">
      <c r="A624" t="s">
        <v>90</v>
      </c>
      <c r="B624" t="s">
        <v>2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0.25744999999999996</v>
      </c>
      <c r="K624" t="s">
        <v>24</v>
      </c>
    </row>
    <row r="625" spans="1:11" x14ac:dyDescent="0.45">
      <c r="A625" t="s">
        <v>90</v>
      </c>
      <c r="B625" t="s">
        <v>2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0.65905000000000002</v>
      </c>
      <c r="K625" t="s">
        <v>28</v>
      </c>
    </row>
    <row r="626" spans="1:11" x14ac:dyDescent="0.45">
      <c r="A626" t="s">
        <v>90</v>
      </c>
      <c r="B626" t="s">
        <v>2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0.71914999999999996</v>
      </c>
      <c r="K626" t="s">
        <v>28</v>
      </c>
    </row>
    <row r="627" spans="1:11" x14ac:dyDescent="0.45">
      <c r="A627" t="s">
        <v>90</v>
      </c>
      <c r="B627" t="s">
        <v>2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0.73995</v>
      </c>
      <c r="K627" t="s">
        <v>28</v>
      </c>
    </row>
    <row r="628" spans="1:11" x14ac:dyDescent="0.45">
      <c r="A628" t="s">
        <v>90</v>
      </c>
      <c r="B628" t="s">
        <v>2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0.76885000000000003</v>
      </c>
      <c r="K628" t="s">
        <v>28</v>
      </c>
    </row>
    <row r="629" spans="1:11" x14ac:dyDescent="0.45">
      <c r="A629" t="s">
        <v>90</v>
      </c>
      <c r="B629" t="s">
        <v>2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0.76855000000000007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0.76400000000000001</v>
      </c>
      <c r="K630" t="s">
        <v>28</v>
      </c>
    </row>
    <row r="631" spans="1:11" x14ac:dyDescent="0.45">
      <c r="A631" t="s">
        <v>90</v>
      </c>
      <c r="B631" t="s">
        <v>2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0.76770000000000005</v>
      </c>
      <c r="K631" t="s">
        <v>28</v>
      </c>
    </row>
    <row r="632" spans="1:11" x14ac:dyDescent="0.45">
      <c r="A632" t="s">
        <v>90</v>
      </c>
      <c r="B632" t="s">
        <v>2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0.73504999999999998</v>
      </c>
      <c r="K632" t="s">
        <v>28</v>
      </c>
    </row>
    <row r="633" spans="1:11" x14ac:dyDescent="0.45">
      <c r="A633" t="s">
        <v>90</v>
      </c>
      <c r="B633" t="s">
        <v>2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0.75775000000000003</v>
      </c>
      <c r="K633" t="s">
        <v>28</v>
      </c>
    </row>
    <row r="634" spans="1:11" x14ac:dyDescent="0.45">
      <c r="A634" t="s">
        <v>90</v>
      </c>
      <c r="B634" t="s">
        <v>2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0.76370000000000005</v>
      </c>
      <c r="K634" t="s">
        <v>28</v>
      </c>
    </row>
    <row r="635" spans="1:11" x14ac:dyDescent="0.45">
      <c r="A635" t="s">
        <v>90</v>
      </c>
      <c r="B635" t="s">
        <v>2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0.77279999999999993</v>
      </c>
      <c r="K635" t="s">
        <v>28</v>
      </c>
    </row>
    <row r="636" spans="1:11" x14ac:dyDescent="0.45">
      <c r="A636" t="s">
        <v>90</v>
      </c>
      <c r="B636" t="s">
        <v>2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0.80889999999999995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0.83984999999999999</v>
      </c>
      <c r="K637" t="s">
        <v>28</v>
      </c>
    </row>
    <row r="638" spans="1:11" x14ac:dyDescent="0.45">
      <c r="A638" t="s">
        <v>90</v>
      </c>
      <c r="B638" t="s">
        <v>2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0.86555000000000004</v>
      </c>
      <c r="K638" t="s">
        <v>28</v>
      </c>
    </row>
    <row r="639" spans="1:11" x14ac:dyDescent="0.45">
      <c r="A639" t="s">
        <v>90</v>
      </c>
      <c r="B639" t="s">
        <v>2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0.88969999999999994</v>
      </c>
      <c r="K639" t="s">
        <v>28</v>
      </c>
    </row>
    <row r="640" spans="1:11" x14ac:dyDescent="0.45">
      <c r="A640" t="s">
        <v>90</v>
      </c>
      <c r="B640" t="s">
        <v>2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0.91294999999999993</v>
      </c>
      <c r="K640" t="s">
        <v>28</v>
      </c>
    </row>
    <row r="641" spans="1:11" x14ac:dyDescent="0.45">
      <c r="A641" t="s">
        <v>90</v>
      </c>
      <c r="B641" t="s">
        <v>2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0.93674999999999997</v>
      </c>
      <c r="K641" t="s">
        <v>28</v>
      </c>
    </row>
    <row r="642" spans="1:11" x14ac:dyDescent="0.45">
      <c r="A642" t="s">
        <v>90</v>
      </c>
      <c r="B642" t="s">
        <v>2</v>
      </c>
      <c r="C642" t="s">
        <v>84</v>
      </c>
      <c r="D642" t="s">
        <v>27</v>
      </c>
      <c r="E642" t="s">
        <v>25</v>
      </c>
      <c r="F642" t="s">
        <v>27</v>
      </c>
      <c r="G642" t="s">
        <v>26</v>
      </c>
      <c r="H642" t="s">
        <v>10</v>
      </c>
      <c r="I642">
        <v>2020</v>
      </c>
      <c r="J642">
        <v>2.3149999999999997E-2</v>
      </c>
      <c r="K642" t="s">
        <v>27</v>
      </c>
    </row>
    <row r="643" spans="1:11" x14ac:dyDescent="0.45">
      <c r="A643" t="s">
        <v>90</v>
      </c>
      <c r="B643" t="s">
        <v>2</v>
      </c>
      <c r="C643" t="s">
        <v>84</v>
      </c>
      <c r="D643" t="s">
        <v>27</v>
      </c>
      <c r="E643" t="s">
        <v>25</v>
      </c>
      <c r="F643" t="s">
        <v>27</v>
      </c>
      <c r="G643" t="s">
        <v>26</v>
      </c>
      <c r="H643" t="s">
        <v>10</v>
      </c>
      <c r="I643">
        <v>2025</v>
      </c>
      <c r="J643">
        <v>4.9250000000000002E-2</v>
      </c>
      <c r="K643" t="s">
        <v>27</v>
      </c>
    </row>
    <row r="644" spans="1:11" x14ac:dyDescent="0.45">
      <c r="A644" t="s">
        <v>90</v>
      </c>
      <c r="B644" t="s">
        <v>2</v>
      </c>
      <c r="C644" t="s">
        <v>84</v>
      </c>
      <c r="D644" t="s">
        <v>27</v>
      </c>
      <c r="E644" t="s">
        <v>25</v>
      </c>
      <c r="F644" t="s">
        <v>27</v>
      </c>
      <c r="G644" t="s">
        <v>26</v>
      </c>
      <c r="H644" t="s">
        <v>10</v>
      </c>
      <c r="I644">
        <v>2030</v>
      </c>
      <c r="J644">
        <v>8.1449999999999995E-2</v>
      </c>
      <c r="K644" t="s">
        <v>27</v>
      </c>
    </row>
    <row r="645" spans="1:11" x14ac:dyDescent="0.45">
      <c r="A645" t="s">
        <v>90</v>
      </c>
      <c r="B645" t="s">
        <v>2</v>
      </c>
      <c r="C645" t="s">
        <v>84</v>
      </c>
      <c r="D645" t="s">
        <v>27</v>
      </c>
      <c r="E645" t="s">
        <v>25</v>
      </c>
      <c r="F645" t="s">
        <v>27</v>
      </c>
      <c r="G645" t="s">
        <v>26</v>
      </c>
      <c r="H645" t="s">
        <v>10</v>
      </c>
      <c r="I645">
        <v>2035</v>
      </c>
      <c r="J645">
        <v>0.11335000000000001</v>
      </c>
      <c r="K645" t="s">
        <v>27</v>
      </c>
    </row>
    <row r="646" spans="1:11" x14ac:dyDescent="0.45">
      <c r="A646" t="s">
        <v>90</v>
      </c>
      <c r="B646" t="s">
        <v>2</v>
      </c>
      <c r="C646" t="s">
        <v>84</v>
      </c>
      <c r="D646" t="s">
        <v>27</v>
      </c>
      <c r="E646" t="s">
        <v>25</v>
      </c>
      <c r="F646" t="s">
        <v>27</v>
      </c>
      <c r="G646" t="s">
        <v>26</v>
      </c>
      <c r="H646" t="s">
        <v>10</v>
      </c>
      <c r="I646">
        <v>2040</v>
      </c>
      <c r="J646">
        <v>0.13305</v>
      </c>
      <c r="K646" t="s">
        <v>27</v>
      </c>
    </row>
    <row r="647" spans="1:11" x14ac:dyDescent="0.45">
      <c r="A647" t="s">
        <v>90</v>
      </c>
      <c r="B647" t="s">
        <v>2</v>
      </c>
      <c r="C647" t="s">
        <v>84</v>
      </c>
      <c r="D647" t="s">
        <v>27</v>
      </c>
      <c r="E647" t="s">
        <v>25</v>
      </c>
      <c r="F647" t="s">
        <v>27</v>
      </c>
      <c r="G647" t="s">
        <v>26</v>
      </c>
      <c r="H647" t="s">
        <v>10</v>
      </c>
      <c r="I647">
        <v>2045</v>
      </c>
      <c r="J647">
        <v>0.14150000000000001</v>
      </c>
      <c r="K647" t="s">
        <v>27</v>
      </c>
    </row>
    <row r="648" spans="1:11" x14ac:dyDescent="0.45">
      <c r="A648" t="s">
        <v>90</v>
      </c>
      <c r="B648" t="s">
        <v>2</v>
      </c>
      <c r="C648" t="s">
        <v>84</v>
      </c>
      <c r="D648" t="s">
        <v>27</v>
      </c>
      <c r="E648" t="s">
        <v>25</v>
      </c>
      <c r="F648" t="s">
        <v>27</v>
      </c>
      <c r="G648" t="s">
        <v>26</v>
      </c>
      <c r="H648" t="s">
        <v>10</v>
      </c>
      <c r="I648">
        <v>2050</v>
      </c>
      <c r="J648">
        <v>0.1477</v>
      </c>
      <c r="K648" t="s">
        <v>27</v>
      </c>
    </row>
    <row r="649" spans="1:11" x14ac:dyDescent="0.45">
      <c r="A649" t="s">
        <v>90</v>
      </c>
      <c r="B649" t="s">
        <v>2</v>
      </c>
      <c r="C649" t="s">
        <v>84</v>
      </c>
      <c r="D649" t="s">
        <v>27</v>
      </c>
      <c r="E649" t="s">
        <v>25</v>
      </c>
      <c r="F649" t="s">
        <v>27</v>
      </c>
      <c r="G649" t="s">
        <v>26</v>
      </c>
      <c r="H649" t="s">
        <v>10</v>
      </c>
      <c r="I649">
        <v>2055</v>
      </c>
      <c r="J649">
        <v>0.153</v>
      </c>
      <c r="K649" t="s">
        <v>27</v>
      </c>
    </row>
    <row r="650" spans="1:11" x14ac:dyDescent="0.45">
      <c r="A650" t="s">
        <v>90</v>
      </c>
      <c r="B650" t="s">
        <v>2</v>
      </c>
      <c r="C650" t="s">
        <v>84</v>
      </c>
      <c r="D650" t="s">
        <v>27</v>
      </c>
      <c r="E650" t="s">
        <v>25</v>
      </c>
      <c r="F650" t="s">
        <v>27</v>
      </c>
      <c r="G650" t="s">
        <v>26</v>
      </c>
      <c r="H650" t="s">
        <v>10</v>
      </c>
      <c r="I650">
        <v>2060</v>
      </c>
      <c r="J650">
        <v>0.15944999999999998</v>
      </c>
      <c r="K650" t="s">
        <v>27</v>
      </c>
    </row>
    <row r="651" spans="1:11" x14ac:dyDescent="0.45">
      <c r="A651" t="s">
        <v>90</v>
      </c>
      <c r="B651" t="s">
        <v>2</v>
      </c>
      <c r="C651" t="s">
        <v>84</v>
      </c>
      <c r="D651" t="s">
        <v>27</v>
      </c>
      <c r="E651" t="s">
        <v>25</v>
      </c>
      <c r="F651" t="s">
        <v>27</v>
      </c>
      <c r="G651" t="s">
        <v>26</v>
      </c>
      <c r="H651" t="s">
        <v>10</v>
      </c>
      <c r="I651">
        <v>2065</v>
      </c>
      <c r="J651">
        <v>0.16799999999999998</v>
      </c>
      <c r="K651" t="s">
        <v>27</v>
      </c>
    </row>
    <row r="652" spans="1:11" x14ac:dyDescent="0.45">
      <c r="A652" t="s">
        <v>90</v>
      </c>
      <c r="B652" t="s">
        <v>2</v>
      </c>
      <c r="C652" t="s">
        <v>84</v>
      </c>
      <c r="D652" t="s">
        <v>27</v>
      </c>
      <c r="E652" t="s">
        <v>25</v>
      </c>
      <c r="F652" t="s">
        <v>27</v>
      </c>
      <c r="G652" t="s">
        <v>26</v>
      </c>
      <c r="H652" t="s">
        <v>10</v>
      </c>
      <c r="I652">
        <v>2070</v>
      </c>
      <c r="J652">
        <v>0.17565</v>
      </c>
      <c r="K652" t="s">
        <v>27</v>
      </c>
    </row>
    <row r="653" spans="1:11" x14ac:dyDescent="0.45">
      <c r="A653" t="s">
        <v>90</v>
      </c>
      <c r="B653" t="s">
        <v>2</v>
      </c>
      <c r="C653" t="s">
        <v>84</v>
      </c>
      <c r="D653" t="s">
        <v>27</v>
      </c>
      <c r="E653" t="s">
        <v>25</v>
      </c>
      <c r="F653" t="s">
        <v>27</v>
      </c>
      <c r="G653" t="s">
        <v>26</v>
      </c>
      <c r="H653" t="s">
        <v>10</v>
      </c>
      <c r="I653">
        <v>2075</v>
      </c>
      <c r="J653">
        <v>0.18409999999999999</v>
      </c>
      <c r="K653" t="s">
        <v>27</v>
      </c>
    </row>
    <row r="654" spans="1:11" x14ac:dyDescent="0.45">
      <c r="A654" t="s">
        <v>90</v>
      </c>
      <c r="B654" t="s">
        <v>2</v>
      </c>
      <c r="C654" t="s">
        <v>84</v>
      </c>
      <c r="D654" t="s">
        <v>27</v>
      </c>
      <c r="E654" t="s">
        <v>25</v>
      </c>
      <c r="F654" t="s">
        <v>27</v>
      </c>
      <c r="G654" t="s">
        <v>26</v>
      </c>
      <c r="H654" t="s">
        <v>10</v>
      </c>
      <c r="I654">
        <v>2080</v>
      </c>
      <c r="J654">
        <v>0.192</v>
      </c>
      <c r="K654" t="s">
        <v>27</v>
      </c>
    </row>
    <row r="655" spans="1:11" x14ac:dyDescent="0.45">
      <c r="A655" t="s">
        <v>90</v>
      </c>
      <c r="B655" t="s">
        <v>2</v>
      </c>
      <c r="C655" t="s">
        <v>84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2085</v>
      </c>
      <c r="J655">
        <v>0.1986</v>
      </c>
      <c r="K655" t="s">
        <v>27</v>
      </c>
    </row>
    <row r="656" spans="1:11" x14ac:dyDescent="0.45">
      <c r="A656" t="s">
        <v>90</v>
      </c>
      <c r="B656" t="s">
        <v>2</v>
      </c>
      <c r="C656" t="s">
        <v>84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2090</v>
      </c>
      <c r="J656">
        <v>0.20615</v>
      </c>
      <c r="K656" t="s">
        <v>27</v>
      </c>
    </row>
    <row r="657" spans="1:11" x14ac:dyDescent="0.45">
      <c r="A657" t="s">
        <v>90</v>
      </c>
      <c r="B657" t="s">
        <v>2</v>
      </c>
      <c r="C657" t="s">
        <v>84</v>
      </c>
      <c r="D657" t="s">
        <v>27</v>
      </c>
      <c r="E657" t="s">
        <v>25</v>
      </c>
      <c r="F657" t="s">
        <v>27</v>
      </c>
      <c r="G657" t="s">
        <v>26</v>
      </c>
      <c r="H657" t="s">
        <v>10</v>
      </c>
      <c r="I657">
        <v>2095</v>
      </c>
      <c r="J657">
        <v>0.21299999999999999</v>
      </c>
      <c r="K657" t="s">
        <v>27</v>
      </c>
    </row>
    <row r="658" spans="1:11" x14ac:dyDescent="0.45">
      <c r="A658" t="s">
        <v>90</v>
      </c>
      <c r="B658" t="s">
        <v>2</v>
      </c>
      <c r="C658" t="s">
        <v>84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2100</v>
      </c>
      <c r="J658">
        <v>0.21925</v>
      </c>
      <c r="K658" t="s">
        <v>27</v>
      </c>
    </row>
    <row r="659" spans="1:11" x14ac:dyDescent="0.45">
      <c r="A659" t="s">
        <v>90</v>
      </c>
      <c r="B659" t="s">
        <v>2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2020</v>
      </c>
      <c r="J659">
        <v>5.8999999999999999E-3</v>
      </c>
      <c r="K659" t="s">
        <v>85</v>
      </c>
    </row>
    <row r="660" spans="1:11" x14ac:dyDescent="0.45">
      <c r="A660" t="s">
        <v>90</v>
      </c>
      <c r="B660" t="s">
        <v>2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2025</v>
      </c>
      <c r="J660">
        <v>2.5899999999999999E-2</v>
      </c>
      <c r="K660" t="s">
        <v>85</v>
      </c>
    </row>
    <row r="661" spans="1:11" x14ac:dyDescent="0.45">
      <c r="A661" t="s">
        <v>90</v>
      </c>
      <c r="B661" t="s">
        <v>2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2030</v>
      </c>
      <c r="J661">
        <v>4.7350000000000003E-2</v>
      </c>
      <c r="K661" t="s">
        <v>85</v>
      </c>
    </row>
    <row r="662" spans="1:11" x14ac:dyDescent="0.45">
      <c r="A662" t="s">
        <v>90</v>
      </c>
      <c r="B662" t="s">
        <v>2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2035</v>
      </c>
      <c r="J662">
        <v>6.88E-2</v>
      </c>
      <c r="K662" t="s">
        <v>85</v>
      </c>
    </row>
    <row r="663" spans="1:11" x14ac:dyDescent="0.45">
      <c r="A663" t="s">
        <v>90</v>
      </c>
      <c r="B663" t="s">
        <v>2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2040</v>
      </c>
      <c r="J663">
        <v>0.1099</v>
      </c>
      <c r="K663" t="s">
        <v>85</v>
      </c>
    </row>
    <row r="664" spans="1:11" x14ac:dyDescent="0.45">
      <c r="A664" t="s">
        <v>90</v>
      </c>
      <c r="B664" t="s">
        <v>2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0.1835</v>
      </c>
      <c r="K664" t="s">
        <v>85</v>
      </c>
    </row>
    <row r="665" spans="1:11" x14ac:dyDescent="0.45">
      <c r="A665" t="s">
        <v>90</v>
      </c>
      <c r="B665" t="s">
        <v>2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2050</v>
      </c>
      <c r="J665">
        <v>0.26085000000000003</v>
      </c>
      <c r="K665" t="s">
        <v>85</v>
      </c>
    </row>
    <row r="666" spans="1:11" x14ac:dyDescent="0.45">
      <c r="A666" t="s">
        <v>90</v>
      </c>
      <c r="B666" t="s">
        <v>2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2055</v>
      </c>
      <c r="J666">
        <v>0.31695000000000001</v>
      </c>
      <c r="K666" t="s">
        <v>85</v>
      </c>
    </row>
    <row r="667" spans="1:11" x14ac:dyDescent="0.45">
      <c r="A667" t="s">
        <v>90</v>
      </c>
      <c r="B667" t="s">
        <v>2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2060</v>
      </c>
      <c r="J667">
        <v>0.36754999999999999</v>
      </c>
      <c r="K667" t="s">
        <v>85</v>
      </c>
    </row>
    <row r="668" spans="1:11" x14ac:dyDescent="0.45">
      <c r="A668" t="s">
        <v>90</v>
      </c>
      <c r="B668" t="s">
        <v>2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2065</v>
      </c>
      <c r="J668">
        <v>0.35849999999999999</v>
      </c>
      <c r="K668" t="s">
        <v>85</v>
      </c>
    </row>
    <row r="669" spans="1:11" x14ac:dyDescent="0.45">
      <c r="A669" t="s">
        <v>90</v>
      </c>
      <c r="B669" t="s">
        <v>2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2070</v>
      </c>
      <c r="J669">
        <v>0.34155000000000002</v>
      </c>
      <c r="K669" t="s">
        <v>85</v>
      </c>
    </row>
    <row r="670" spans="1:11" x14ac:dyDescent="0.45">
      <c r="A670" t="s">
        <v>90</v>
      </c>
      <c r="B670" t="s">
        <v>2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2075</v>
      </c>
      <c r="J670">
        <v>0.33015</v>
      </c>
      <c r="K670" t="s">
        <v>85</v>
      </c>
    </row>
    <row r="671" spans="1:11" x14ac:dyDescent="0.45">
      <c r="A671" t="s">
        <v>90</v>
      </c>
      <c r="B671" t="s">
        <v>2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2080</v>
      </c>
      <c r="J671">
        <v>0.31630000000000003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2085</v>
      </c>
      <c r="J672">
        <v>0.316</v>
      </c>
      <c r="K672" t="s">
        <v>85</v>
      </c>
    </row>
    <row r="673" spans="1:11" x14ac:dyDescent="0.45">
      <c r="A673" t="s">
        <v>90</v>
      </c>
      <c r="B673" t="s">
        <v>2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2090</v>
      </c>
      <c r="J673">
        <v>0.31435000000000002</v>
      </c>
      <c r="K673" t="s">
        <v>85</v>
      </c>
    </row>
    <row r="674" spans="1:11" x14ac:dyDescent="0.45">
      <c r="A674" t="s">
        <v>90</v>
      </c>
      <c r="B674" t="s">
        <v>2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2095</v>
      </c>
      <c r="J674">
        <v>0.30474999999999997</v>
      </c>
      <c r="K674" t="s">
        <v>85</v>
      </c>
    </row>
    <row r="675" spans="1:11" x14ac:dyDescent="0.45">
      <c r="A675" t="s">
        <v>90</v>
      </c>
      <c r="B675" t="s">
        <v>2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2100</v>
      </c>
      <c r="J675">
        <v>0.29564999999999997</v>
      </c>
      <c r="K675" t="s">
        <v>85</v>
      </c>
    </row>
    <row r="676" spans="1:11" x14ac:dyDescent="0.45">
      <c r="A676" t="s">
        <v>90</v>
      </c>
      <c r="B676" t="s">
        <v>1</v>
      </c>
      <c r="C676" t="s">
        <v>84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2020</v>
      </c>
      <c r="J676">
        <v>0.28405000000000002</v>
      </c>
      <c r="K676" t="s">
        <v>24</v>
      </c>
    </row>
    <row r="677" spans="1:11" x14ac:dyDescent="0.45">
      <c r="A677" t="s">
        <v>90</v>
      </c>
      <c r="B677" t="s">
        <v>1</v>
      </c>
      <c r="C677" t="s">
        <v>84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2025</v>
      </c>
      <c r="J677">
        <v>0.30484999999999995</v>
      </c>
      <c r="K677" t="s">
        <v>24</v>
      </c>
    </row>
    <row r="678" spans="1:11" x14ac:dyDescent="0.45">
      <c r="A678" t="s">
        <v>90</v>
      </c>
      <c r="B678" t="s">
        <v>1</v>
      </c>
      <c r="C678" t="s">
        <v>84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2030</v>
      </c>
      <c r="J678">
        <v>0.29549999999999998</v>
      </c>
      <c r="K678" t="s">
        <v>24</v>
      </c>
    </row>
    <row r="679" spans="1:11" x14ac:dyDescent="0.45">
      <c r="A679" t="s">
        <v>90</v>
      </c>
      <c r="B679" t="s">
        <v>1</v>
      </c>
      <c r="C679" t="s">
        <v>84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2035</v>
      </c>
      <c r="J679">
        <v>0.34194999999999998</v>
      </c>
      <c r="K679" t="s">
        <v>24</v>
      </c>
    </row>
    <row r="680" spans="1:11" x14ac:dyDescent="0.45">
      <c r="A680" t="s">
        <v>90</v>
      </c>
      <c r="B680" t="s">
        <v>1</v>
      </c>
      <c r="C680" t="s">
        <v>84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2040</v>
      </c>
      <c r="J680">
        <v>0.4073</v>
      </c>
      <c r="K680" t="s">
        <v>24</v>
      </c>
    </row>
    <row r="681" spans="1:11" x14ac:dyDescent="0.45">
      <c r="A681" t="s">
        <v>90</v>
      </c>
      <c r="B681" t="s">
        <v>1</v>
      </c>
      <c r="C681" t="s">
        <v>84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0.41930000000000001</v>
      </c>
      <c r="K681" t="s">
        <v>24</v>
      </c>
    </row>
    <row r="682" spans="1:11" x14ac:dyDescent="0.45">
      <c r="A682" t="s">
        <v>90</v>
      </c>
      <c r="B682" t="s">
        <v>1</v>
      </c>
      <c r="C682" t="s">
        <v>84</v>
      </c>
      <c r="D682" t="s">
        <v>24</v>
      </c>
      <c r="E682" t="s">
        <v>25</v>
      </c>
      <c r="F682" t="s">
        <v>24</v>
      </c>
      <c r="G682" t="s">
        <v>26</v>
      </c>
      <c r="H682" t="s">
        <v>13</v>
      </c>
      <c r="I682">
        <v>2050</v>
      </c>
      <c r="J682">
        <v>0.41444999999999999</v>
      </c>
      <c r="K682" t="s">
        <v>24</v>
      </c>
    </row>
    <row r="683" spans="1:11" x14ac:dyDescent="0.45">
      <c r="A683" t="s">
        <v>90</v>
      </c>
      <c r="B683" t="s">
        <v>1</v>
      </c>
      <c r="C683" t="s">
        <v>84</v>
      </c>
      <c r="D683" t="s">
        <v>24</v>
      </c>
      <c r="E683" t="s">
        <v>25</v>
      </c>
      <c r="F683" t="s">
        <v>24</v>
      </c>
      <c r="G683" t="s">
        <v>26</v>
      </c>
      <c r="H683" t="s">
        <v>13</v>
      </c>
      <c r="I683">
        <v>2055</v>
      </c>
      <c r="J683">
        <v>0.40715000000000001</v>
      </c>
      <c r="K683" t="s">
        <v>24</v>
      </c>
    </row>
    <row r="684" spans="1:11" x14ac:dyDescent="0.45">
      <c r="A684" t="s">
        <v>90</v>
      </c>
      <c r="B684" t="s">
        <v>1</v>
      </c>
      <c r="C684" t="s">
        <v>84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2060</v>
      </c>
      <c r="J684">
        <v>0.38895000000000002</v>
      </c>
      <c r="K684" t="s">
        <v>24</v>
      </c>
    </row>
    <row r="685" spans="1:11" x14ac:dyDescent="0.45">
      <c r="A685" t="s">
        <v>90</v>
      </c>
      <c r="B685" t="s">
        <v>1</v>
      </c>
      <c r="C685" t="s">
        <v>84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2065</v>
      </c>
      <c r="J685">
        <v>0.38874999999999998</v>
      </c>
      <c r="K685" t="s">
        <v>24</v>
      </c>
    </row>
    <row r="686" spans="1:11" x14ac:dyDescent="0.45">
      <c r="A686" t="s">
        <v>90</v>
      </c>
      <c r="B686" t="s">
        <v>1</v>
      </c>
      <c r="C686" t="s">
        <v>84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2070</v>
      </c>
      <c r="J686">
        <v>0.38785000000000003</v>
      </c>
      <c r="K686" t="s">
        <v>24</v>
      </c>
    </row>
    <row r="687" spans="1:11" x14ac:dyDescent="0.45">
      <c r="A687" t="s">
        <v>90</v>
      </c>
      <c r="B687" t="s">
        <v>1</v>
      </c>
      <c r="C687" t="s">
        <v>84</v>
      </c>
      <c r="D687" t="s">
        <v>24</v>
      </c>
      <c r="E687" t="s">
        <v>25</v>
      </c>
      <c r="F687" t="s">
        <v>24</v>
      </c>
      <c r="G687" t="s">
        <v>26</v>
      </c>
      <c r="H687" t="s">
        <v>13</v>
      </c>
      <c r="I687">
        <v>2075</v>
      </c>
      <c r="J687">
        <v>0.38590000000000002</v>
      </c>
      <c r="K687" t="s">
        <v>24</v>
      </c>
    </row>
    <row r="688" spans="1:11" x14ac:dyDescent="0.45">
      <c r="A688" t="s">
        <v>90</v>
      </c>
      <c r="B688" t="s">
        <v>1</v>
      </c>
      <c r="C688" t="s">
        <v>84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2080</v>
      </c>
      <c r="J688">
        <v>0.38229999999999997</v>
      </c>
      <c r="K688" t="s">
        <v>24</v>
      </c>
    </row>
    <row r="689" spans="1:11" x14ac:dyDescent="0.45">
      <c r="A689" t="s">
        <v>90</v>
      </c>
      <c r="B689" t="s">
        <v>1</v>
      </c>
      <c r="C689" t="s">
        <v>84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2085</v>
      </c>
      <c r="J689">
        <v>0.37675000000000003</v>
      </c>
      <c r="K689" t="s">
        <v>24</v>
      </c>
    </row>
    <row r="690" spans="1:11" x14ac:dyDescent="0.45">
      <c r="A690" t="s">
        <v>90</v>
      </c>
      <c r="B690" t="s">
        <v>1</v>
      </c>
      <c r="C690" t="s">
        <v>84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2090</v>
      </c>
      <c r="J690">
        <v>0.36875000000000002</v>
      </c>
      <c r="K690" t="s">
        <v>24</v>
      </c>
    </row>
    <row r="691" spans="1:11" x14ac:dyDescent="0.45">
      <c r="A691" t="s">
        <v>90</v>
      </c>
      <c r="B691" t="s">
        <v>1</v>
      </c>
      <c r="C691" t="s">
        <v>84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0.34970000000000001</v>
      </c>
      <c r="K691" t="s">
        <v>24</v>
      </c>
    </row>
    <row r="692" spans="1:11" x14ac:dyDescent="0.45">
      <c r="A692" t="s">
        <v>90</v>
      </c>
      <c r="B692" t="s">
        <v>1</v>
      </c>
      <c r="C692" t="s">
        <v>84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2100</v>
      </c>
      <c r="J692">
        <v>0.32940000000000003</v>
      </c>
      <c r="K692" t="s">
        <v>24</v>
      </c>
    </row>
    <row r="693" spans="1:11" x14ac:dyDescent="0.45">
      <c r="A693" t="s">
        <v>90</v>
      </c>
      <c r="B693" t="s">
        <v>1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0.65295000000000003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0.71309999999999996</v>
      </c>
      <c r="K694" t="s">
        <v>28</v>
      </c>
    </row>
    <row r="695" spans="1:11" x14ac:dyDescent="0.45">
      <c r="A695" t="s">
        <v>90</v>
      </c>
      <c r="B695" t="s">
        <v>1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0.72504999999999997</v>
      </c>
      <c r="K695" t="s">
        <v>28</v>
      </c>
    </row>
    <row r="696" spans="1:11" x14ac:dyDescent="0.45">
      <c r="A696" t="s">
        <v>90</v>
      </c>
      <c r="B696" t="s">
        <v>1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0.82424999999999993</v>
      </c>
      <c r="K696" t="s">
        <v>28</v>
      </c>
    </row>
    <row r="697" spans="1:11" x14ac:dyDescent="0.45">
      <c r="A697" t="s">
        <v>90</v>
      </c>
      <c r="B697" t="s">
        <v>1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0.8809499999999999</v>
      </c>
      <c r="K697" t="s">
        <v>28</v>
      </c>
    </row>
    <row r="698" spans="1:11" x14ac:dyDescent="0.45">
      <c r="A698" t="s">
        <v>90</v>
      </c>
      <c r="B698" t="s">
        <v>1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0.88959999999999995</v>
      </c>
      <c r="K698" t="s">
        <v>28</v>
      </c>
    </row>
    <row r="699" spans="1:11" x14ac:dyDescent="0.45">
      <c r="A699" t="s">
        <v>90</v>
      </c>
      <c r="B699" t="s">
        <v>1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0.89064999999999994</v>
      </c>
      <c r="K699" t="s">
        <v>28</v>
      </c>
    </row>
    <row r="700" spans="1:11" x14ac:dyDescent="0.45">
      <c r="A700" t="s">
        <v>90</v>
      </c>
      <c r="B700" t="s">
        <v>1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0.84125000000000005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0.86985000000000001</v>
      </c>
      <c r="K701" t="s">
        <v>28</v>
      </c>
    </row>
    <row r="702" spans="1:11" x14ac:dyDescent="0.45">
      <c r="A702" t="s">
        <v>90</v>
      </c>
      <c r="B702" t="s">
        <v>1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0.86704999999999999</v>
      </c>
      <c r="K702" t="s">
        <v>28</v>
      </c>
    </row>
    <row r="703" spans="1:11" x14ac:dyDescent="0.45">
      <c r="A703" t="s">
        <v>90</v>
      </c>
      <c r="B703" t="s">
        <v>1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0.86644999999999994</v>
      </c>
      <c r="K703" t="s">
        <v>28</v>
      </c>
    </row>
    <row r="704" spans="1:11" x14ac:dyDescent="0.45">
      <c r="A704" t="s">
        <v>90</v>
      </c>
      <c r="B704" t="s">
        <v>1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0.90205000000000002</v>
      </c>
      <c r="K704" t="s">
        <v>28</v>
      </c>
    </row>
    <row r="705" spans="1:11" x14ac:dyDescent="0.45">
      <c r="A705" t="s">
        <v>90</v>
      </c>
      <c r="B705" t="s">
        <v>1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0.93574999999999997</v>
      </c>
      <c r="K705" t="s">
        <v>28</v>
      </c>
    </row>
    <row r="706" spans="1:11" x14ac:dyDescent="0.45">
      <c r="A706" t="s">
        <v>90</v>
      </c>
      <c r="B706" t="s">
        <v>1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0.96914999999999996</v>
      </c>
      <c r="K706" t="s">
        <v>28</v>
      </c>
    </row>
    <row r="707" spans="1:11" x14ac:dyDescent="0.45">
      <c r="A707" t="s">
        <v>90</v>
      </c>
      <c r="B707" t="s">
        <v>1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1.0004999999999999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1.02935</v>
      </c>
      <c r="K708" t="s">
        <v>28</v>
      </c>
    </row>
    <row r="709" spans="1:11" x14ac:dyDescent="0.45">
      <c r="A709" t="s">
        <v>90</v>
      </c>
      <c r="B709" t="s">
        <v>1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1.0587499999999999</v>
      </c>
      <c r="K709" t="s">
        <v>28</v>
      </c>
    </row>
    <row r="710" spans="1:11" x14ac:dyDescent="0.45">
      <c r="A710" t="s">
        <v>90</v>
      </c>
      <c r="B710" t="s">
        <v>1</v>
      </c>
      <c r="C710" t="s">
        <v>84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2020</v>
      </c>
      <c r="J710">
        <v>2.3149999999999997E-2</v>
      </c>
      <c r="K710" t="s">
        <v>27</v>
      </c>
    </row>
    <row r="711" spans="1:11" x14ac:dyDescent="0.45">
      <c r="A711" t="s">
        <v>90</v>
      </c>
      <c r="B711" t="s">
        <v>1</v>
      </c>
      <c r="C711" t="s">
        <v>84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2025</v>
      </c>
      <c r="J711">
        <v>5.1150000000000001E-2</v>
      </c>
      <c r="K711" t="s">
        <v>27</v>
      </c>
    </row>
    <row r="712" spans="1:11" x14ac:dyDescent="0.45">
      <c r="A712" t="s">
        <v>90</v>
      </c>
      <c r="B712" t="s">
        <v>1</v>
      </c>
      <c r="C712" t="s">
        <v>84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2030</v>
      </c>
      <c r="J712">
        <v>8.9450000000000002E-2</v>
      </c>
      <c r="K712" t="s">
        <v>27</v>
      </c>
    </row>
    <row r="713" spans="1:11" x14ac:dyDescent="0.45">
      <c r="A713" t="s">
        <v>90</v>
      </c>
      <c r="B713" t="s">
        <v>1</v>
      </c>
      <c r="C713" t="s">
        <v>84</v>
      </c>
      <c r="D713" t="s">
        <v>27</v>
      </c>
      <c r="E713" t="s">
        <v>25</v>
      </c>
      <c r="F713" t="s">
        <v>27</v>
      </c>
      <c r="G713" t="s">
        <v>26</v>
      </c>
      <c r="H713" t="s">
        <v>10</v>
      </c>
      <c r="I713">
        <v>2035</v>
      </c>
      <c r="J713">
        <v>0.15175</v>
      </c>
      <c r="K713" t="s">
        <v>27</v>
      </c>
    </row>
    <row r="714" spans="1:11" x14ac:dyDescent="0.45">
      <c r="A714" t="s">
        <v>90</v>
      </c>
      <c r="B714" t="s">
        <v>1</v>
      </c>
      <c r="C714" t="s">
        <v>84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2040</v>
      </c>
      <c r="J714">
        <v>0.20224999999999999</v>
      </c>
      <c r="K714" t="s">
        <v>27</v>
      </c>
    </row>
    <row r="715" spans="1:11" x14ac:dyDescent="0.45">
      <c r="A715" t="s">
        <v>90</v>
      </c>
      <c r="B715" t="s">
        <v>1</v>
      </c>
      <c r="C715" t="s">
        <v>84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2045</v>
      </c>
      <c r="J715">
        <v>0.21540000000000001</v>
      </c>
      <c r="K715" t="s">
        <v>27</v>
      </c>
    </row>
    <row r="716" spans="1:11" x14ac:dyDescent="0.45">
      <c r="A716" t="s">
        <v>90</v>
      </c>
      <c r="B716" t="s">
        <v>1</v>
      </c>
      <c r="C716" t="s">
        <v>84</v>
      </c>
      <c r="D716" t="s">
        <v>27</v>
      </c>
      <c r="E716" t="s">
        <v>25</v>
      </c>
      <c r="F716" t="s">
        <v>27</v>
      </c>
      <c r="G716" t="s">
        <v>26</v>
      </c>
      <c r="H716" t="s">
        <v>10</v>
      </c>
      <c r="I716">
        <v>2050</v>
      </c>
      <c r="J716">
        <v>0.21684999999999999</v>
      </c>
      <c r="K716" t="s">
        <v>27</v>
      </c>
    </row>
    <row r="717" spans="1:11" x14ac:dyDescent="0.45">
      <c r="A717" t="s">
        <v>90</v>
      </c>
      <c r="B717" t="s">
        <v>1</v>
      </c>
      <c r="C717" t="s">
        <v>84</v>
      </c>
      <c r="D717" t="s">
        <v>27</v>
      </c>
      <c r="E717" t="s">
        <v>25</v>
      </c>
      <c r="F717" t="s">
        <v>27</v>
      </c>
      <c r="G717" t="s">
        <v>26</v>
      </c>
      <c r="H717" t="s">
        <v>10</v>
      </c>
      <c r="I717">
        <v>2055</v>
      </c>
      <c r="J717">
        <v>0.2208</v>
      </c>
      <c r="K717" t="s">
        <v>27</v>
      </c>
    </row>
    <row r="718" spans="1:11" x14ac:dyDescent="0.45">
      <c r="A718" t="s">
        <v>90</v>
      </c>
      <c r="B718" t="s">
        <v>1</v>
      </c>
      <c r="C718" t="s">
        <v>84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2060</v>
      </c>
      <c r="J718">
        <v>0.22550000000000001</v>
      </c>
      <c r="K718" t="s">
        <v>27</v>
      </c>
    </row>
    <row r="719" spans="1:11" x14ac:dyDescent="0.45">
      <c r="A719" t="s">
        <v>90</v>
      </c>
      <c r="B719" t="s">
        <v>1</v>
      </c>
      <c r="C719" t="s">
        <v>84</v>
      </c>
      <c r="D719" t="s">
        <v>27</v>
      </c>
      <c r="E719" t="s">
        <v>25</v>
      </c>
      <c r="F719" t="s">
        <v>27</v>
      </c>
      <c r="G719" t="s">
        <v>26</v>
      </c>
      <c r="H719" t="s">
        <v>10</v>
      </c>
      <c r="I719">
        <v>2065</v>
      </c>
      <c r="J719">
        <v>0.23294999999999999</v>
      </c>
      <c r="K719" t="s">
        <v>27</v>
      </c>
    </row>
    <row r="720" spans="1:11" x14ac:dyDescent="0.45">
      <c r="A720" t="s">
        <v>90</v>
      </c>
      <c r="B720" t="s">
        <v>1</v>
      </c>
      <c r="C720" t="s">
        <v>84</v>
      </c>
      <c r="D720" t="s">
        <v>27</v>
      </c>
      <c r="E720" t="s">
        <v>25</v>
      </c>
      <c r="F720" t="s">
        <v>27</v>
      </c>
      <c r="G720" t="s">
        <v>26</v>
      </c>
      <c r="H720" t="s">
        <v>10</v>
      </c>
      <c r="I720">
        <v>2070</v>
      </c>
      <c r="J720">
        <v>0.23900000000000002</v>
      </c>
      <c r="K720" t="s">
        <v>27</v>
      </c>
    </row>
    <row r="721" spans="1:11" x14ac:dyDescent="0.45">
      <c r="A721" t="s">
        <v>90</v>
      </c>
      <c r="B721" t="s">
        <v>1</v>
      </c>
      <c r="C721" t="s">
        <v>84</v>
      </c>
      <c r="D721" t="s">
        <v>27</v>
      </c>
      <c r="E721" t="s">
        <v>25</v>
      </c>
      <c r="F721" t="s">
        <v>27</v>
      </c>
      <c r="G721" t="s">
        <v>26</v>
      </c>
      <c r="H721" t="s">
        <v>10</v>
      </c>
      <c r="I721">
        <v>2075</v>
      </c>
      <c r="J721">
        <v>0.2472</v>
      </c>
      <c r="K721" t="s">
        <v>27</v>
      </c>
    </row>
    <row r="722" spans="1:11" x14ac:dyDescent="0.45">
      <c r="A722" t="s">
        <v>90</v>
      </c>
      <c r="B722" t="s">
        <v>1</v>
      </c>
      <c r="C722" t="s">
        <v>84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2080</v>
      </c>
      <c r="J722">
        <v>0.25655</v>
      </c>
      <c r="K722" t="s">
        <v>27</v>
      </c>
    </row>
    <row r="723" spans="1:11" x14ac:dyDescent="0.45">
      <c r="A723" t="s">
        <v>90</v>
      </c>
      <c r="B723" t="s">
        <v>1</v>
      </c>
      <c r="C723" t="s">
        <v>84</v>
      </c>
      <c r="D723" t="s">
        <v>27</v>
      </c>
      <c r="E723" t="s">
        <v>25</v>
      </c>
      <c r="F723" t="s">
        <v>27</v>
      </c>
      <c r="G723" t="s">
        <v>26</v>
      </c>
      <c r="H723" t="s">
        <v>10</v>
      </c>
      <c r="I723">
        <v>2085</v>
      </c>
      <c r="J723">
        <v>0.26605000000000001</v>
      </c>
      <c r="K723" t="s">
        <v>27</v>
      </c>
    </row>
    <row r="724" spans="1:11" x14ac:dyDescent="0.45">
      <c r="A724" t="s">
        <v>90</v>
      </c>
      <c r="B724" t="s">
        <v>1</v>
      </c>
      <c r="C724" t="s">
        <v>84</v>
      </c>
      <c r="D724" t="s">
        <v>27</v>
      </c>
      <c r="E724" t="s">
        <v>25</v>
      </c>
      <c r="F724" t="s">
        <v>27</v>
      </c>
      <c r="G724" t="s">
        <v>26</v>
      </c>
      <c r="H724" t="s">
        <v>10</v>
      </c>
      <c r="I724">
        <v>2090</v>
      </c>
      <c r="J724">
        <v>0.27664999999999995</v>
      </c>
      <c r="K724" t="s">
        <v>27</v>
      </c>
    </row>
    <row r="725" spans="1:11" x14ac:dyDescent="0.45">
      <c r="A725" t="s">
        <v>90</v>
      </c>
      <c r="B725" t="s">
        <v>1</v>
      </c>
      <c r="C725" t="s">
        <v>84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2095</v>
      </c>
      <c r="J725">
        <v>0.28434999999999999</v>
      </c>
      <c r="K725" t="s">
        <v>27</v>
      </c>
    </row>
    <row r="726" spans="1:11" x14ac:dyDescent="0.45">
      <c r="A726" t="s">
        <v>90</v>
      </c>
      <c r="B726" t="s">
        <v>1</v>
      </c>
      <c r="C726" t="s">
        <v>84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0.29095000000000004</v>
      </c>
      <c r="K726" t="s">
        <v>27</v>
      </c>
    </row>
    <row r="727" spans="1:11" x14ac:dyDescent="0.45">
      <c r="A727" t="s">
        <v>90</v>
      </c>
      <c r="B727" t="s">
        <v>1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2020</v>
      </c>
      <c r="J727">
        <v>6.0000000000000001E-3</v>
      </c>
      <c r="K727" t="s">
        <v>85</v>
      </c>
    </row>
    <row r="728" spans="1:11" x14ac:dyDescent="0.45">
      <c r="A728" t="s">
        <v>90</v>
      </c>
      <c r="B728" t="s">
        <v>1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2025</v>
      </c>
      <c r="J728">
        <v>2.665E-2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2030</v>
      </c>
      <c r="J729">
        <v>6.4250000000000002E-2</v>
      </c>
      <c r="K729" t="s">
        <v>85</v>
      </c>
    </row>
    <row r="730" spans="1:11" x14ac:dyDescent="0.45">
      <c r="A730" t="s">
        <v>90</v>
      </c>
      <c r="B730" t="s">
        <v>1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2035</v>
      </c>
      <c r="J730">
        <v>0.12820000000000001</v>
      </c>
      <c r="K730" t="s">
        <v>85</v>
      </c>
    </row>
    <row r="731" spans="1:11" x14ac:dyDescent="0.45">
      <c r="A731" t="s">
        <v>90</v>
      </c>
      <c r="B731" t="s">
        <v>1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2040</v>
      </c>
      <c r="J731">
        <v>0.2074</v>
      </c>
      <c r="K731" t="s">
        <v>85</v>
      </c>
    </row>
    <row r="732" spans="1:11" x14ac:dyDescent="0.45">
      <c r="A732" t="s">
        <v>90</v>
      </c>
      <c r="B732" t="s">
        <v>1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0.2918</v>
      </c>
      <c r="K732" t="s">
        <v>85</v>
      </c>
    </row>
    <row r="733" spans="1:11" x14ac:dyDescent="0.45">
      <c r="A733" t="s">
        <v>90</v>
      </c>
      <c r="B733" t="s">
        <v>1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2050</v>
      </c>
      <c r="J733">
        <v>0.35830000000000001</v>
      </c>
      <c r="K733" t="s">
        <v>85</v>
      </c>
    </row>
    <row r="734" spans="1:11" x14ac:dyDescent="0.45">
      <c r="A734" t="s">
        <v>90</v>
      </c>
      <c r="B734" t="s">
        <v>1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2055</v>
      </c>
      <c r="J734">
        <v>0.3901</v>
      </c>
      <c r="K734" t="s">
        <v>85</v>
      </c>
    </row>
    <row r="735" spans="1:11" x14ac:dyDescent="0.45">
      <c r="A735" t="s">
        <v>90</v>
      </c>
      <c r="B735" t="s">
        <v>1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2060</v>
      </c>
      <c r="J735">
        <v>0.40944999999999998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2065</v>
      </c>
      <c r="J736">
        <v>0.38919999999999999</v>
      </c>
      <c r="K736" t="s">
        <v>85</v>
      </c>
    </row>
    <row r="737" spans="1:12" x14ac:dyDescent="0.45">
      <c r="A737" t="s">
        <v>90</v>
      </c>
      <c r="B737" t="s">
        <v>1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2070</v>
      </c>
      <c r="J737">
        <v>0.36235000000000001</v>
      </c>
      <c r="K737" t="s">
        <v>85</v>
      </c>
    </row>
    <row r="738" spans="1:12" x14ac:dyDescent="0.45">
      <c r="A738" t="s">
        <v>90</v>
      </c>
      <c r="B738" t="s">
        <v>1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2075</v>
      </c>
      <c r="J738">
        <v>0.35824999999999996</v>
      </c>
      <c r="K738" t="s">
        <v>85</v>
      </c>
    </row>
    <row r="739" spans="1:12" x14ac:dyDescent="0.45">
      <c r="A739" t="s">
        <v>90</v>
      </c>
      <c r="B739" t="s">
        <v>1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2080</v>
      </c>
      <c r="J739">
        <v>0.35220000000000001</v>
      </c>
      <c r="K739" t="s">
        <v>85</v>
      </c>
    </row>
    <row r="740" spans="1:12" x14ac:dyDescent="0.45">
      <c r="A740" t="s">
        <v>90</v>
      </c>
      <c r="B740" t="s">
        <v>1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2085</v>
      </c>
      <c r="J740">
        <v>0.3619</v>
      </c>
      <c r="K740" t="s">
        <v>85</v>
      </c>
    </row>
    <row r="741" spans="1:12" x14ac:dyDescent="0.45">
      <c r="A741" t="s">
        <v>90</v>
      </c>
      <c r="B741" t="s">
        <v>1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2090</v>
      </c>
      <c r="J741">
        <v>0.37140000000000001</v>
      </c>
      <c r="K741" t="s">
        <v>85</v>
      </c>
    </row>
    <row r="742" spans="1:12" x14ac:dyDescent="0.45">
      <c r="A742" t="s">
        <v>90</v>
      </c>
      <c r="B742" t="s">
        <v>1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2095</v>
      </c>
      <c r="J742">
        <v>0.36335000000000001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0.35639999999999999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8.6999999999999994E-2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2025</v>
      </c>
      <c r="J745">
        <v>2.5899999999999999E-2</v>
      </c>
      <c r="K745" t="s">
        <v>52</v>
      </c>
      <c r="L745">
        <v>94</v>
      </c>
    </row>
    <row r="746" spans="1:12" x14ac:dyDescent="0.45">
      <c r="A746" t="s">
        <v>90</v>
      </c>
      <c r="B746" t="s">
        <v>3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2030</v>
      </c>
      <c r="J746">
        <v>2.7000000000000001E-3</v>
      </c>
      <c r="K746" t="s">
        <v>52</v>
      </c>
      <c r="L746">
        <v>94</v>
      </c>
    </row>
    <row r="747" spans="1:12" x14ac:dyDescent="0.45">
      <c r="A747" t="s">
        <v>90</v>
      </c>
      <c r="B747" t="s">
        <v>3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2035</v>
      </c>
      <c r="J747">
        <v>0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2040</v>
      </c>
      <c r="J748">
        <v>0</v>
      </c>
      <c r="K748" t="s">
        <v>52</v>
      </c>
      <c r="L748">
        <v>94</v>
      </c>
    </row>
    <row r="749" spans="1:12" x14ac:dyDescent="0.45">
      <c r="A749" t="s">
        <v>90</v>
      </c>
      <c r="B749" t="s">
        <v>3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2045</v>
      </c>
      <c r="J749">
        <v>0</v>
      </c>
      <c r="K749" t="s">
        <v>52</v>
      </c>
      <c r="L749">
        <v>94</v>
      </c>
    </row>
    <row r="750" spans="1:12" x14ac:dyDescent="0.45">
      <c r="A750" t="s">
        <v>90</v>
      </c>
      <c r="B750" t="s">
        <v>3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2050</v>
      </c>
      <c r="J750">
        <v>0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2055</v>
      </c>
      <c r="J751">
        <v>0</v>
      </c>
      <c r="K751" t="s">
        <v>52</v>
      </c>
      <c r="L751">
        <v>94</v>
      </c>
    </row>
    <row r="752" spans="1:12" x14ac:dyDescent="0.45">
      <c r="A752" t="s">
        <v>90</v>
      </c>
      <c r="B752" t="s">
        <v>3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2060</v>
      </c>
      <c r="J752">
        <v>0</v>
      </c>
      <c r="K752" t="s">
        <v>52</v>
      </c>
      <c r="L752">
        <v>94</v>
      </c>
    </row>
    <row r="753" spans="1:12" x14ac:dyDescent="0.45">
      <c r="A753" t="s">
        <v>90</v>
      </c>
      <c r="B753" t="s">
        <v>3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2065</v>
      </c>
      <c r="J753">
        <v>0</v>
      </c>
      <c r="K753" t="s">
        <v>52</v>
      </c>
      <c r="L753">
        <v>94</v>
      </c>
    </row>
    <row r="754" spans="1:12" x14ac:dyDescent="0.45">
      <c r="A754" t="s">
        <v>90</v>
      </c>
      <c r="B754" t="s">
        <v>3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2070</v>
      </c>
      <c r="J754">
        <v>0</v>
      </c>
      <c r="K754" t="s">
        <v>52</v>
      </c>
      <c r="L754">
        <v>94</v>
      </c>
    </row>
    <row r="755" spans="1:12" x14ac:dyDescent="0.45">
      <c r="A755" t="s">
        <v>90</v>
      </c>
      <c r="B755" t="s">
        <v>3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2075</v>
      </c>
      <c r="J755">
        <v>0</v>
      </c>
      <c r="K755" t="s">
        <v>52</v>
      </c>
      <c r="L755">
        <v>94</v>
      </c>
    </row>
    <row r="756" spans="1:12" x14ac:dyDescent="0.45">
      <c r="A756" t="s">
        <v>90</v>
      </c>
      <c r="B756" t="s">
        <v>3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2080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3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2085</v>
      </c>
      <c r="J757">
        <v>0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2090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3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2095</v>
      </c>
      <c r="J759">
        <v>0</v>
      </c>
      <c r="K759" t="s">
        <v>52</v>
      </c>
      <c r="L759">
        <v>94</v>
      </c>
    </row>
    <row r="760" spans="1:12" x14ac:dyDescent="0.45">
      <c r="A760" t="s">
        <v>90</v>
      </c>
      <c r="B760" t="s">
        <v>3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2100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3</v>
      </c>
      <c r="C761" t="s">
        <v>84</v>
      </c>
      <c r="D761" t="s">
        <v>53</v>
      </c>
      <c r="E761" t="s">
        <v>25</v>
      </c>
      <c r="F761" t="s">
        <v>53</v>
      </c>
      <c r="G761" t="s">
        <v>71</v>
      </c>
      <c r="H761" t="s">
        <v>89</v>
      </c>
      <c r="I761">
        <v>2020</v>
      </c>
      <c r="J761">
        <v>0.25609999999999999</v>
      </c>
      <c r="K761" t="s">
        <v>53</v>
      </c>
      <c r="L761">
        <v>55</v>
      </c>
    </row>
    <row r="762" spans="1:12" x14ac:dyDescent="0.45">
      <c r="A762" t="s">
        <v>90</v>
      </c>
      <c r="B762" t="s">
        <v>3</v>
      </c>
      <c r="C762" t="s">
        <v>84</v>
      </c>
      <c r="D762" t="s">
        <v>53</v>
      </c>
      <c r="E762" t="s">
        <v>25</v>
      </c>
      <c r="F762" t="s">
        <v>53</v>
      </c>
      <c r="G762" t="s">
        <v>71</v>
      </c>
      <c r="H762" t="s">
        <v>89</v>
      </c>
      <c r="I762">
        <v>2025</v>
      </c>
      <c r="J762">
        <v>0.25180000000000002</v>
      </c>
      <c r="K762" t="s">
        <v>53</v>
      </c>
      <c r="L762">
        <v>55</v>
      </c>
    </row>
    <row r="763" spans="1:12" x14ac:dyDescent="0.45">
      <c r="A763" t="s">
        <v>90</v>
      </c>
      <c r="B763" t="s">
        <v>3</v>
      </c>
      <c r="C763" t="s">
        <v>84</v>
      </c>
      <c r="D763" t="s">
        <v>53</v>
      </c>
      <c r="E763" t="s">
        <v>25</v>
      </c>
      <c r="F763" t="s">
        <v>53</v>
      </c>
      <c r="G763" t="s">
        <v>71</v>
      </c>
      <c r="H763" t="s">
        <v>89</v>
      </c>
      <c r="I763">
        <v>2030</v>
      </c>
      <c r="J763">
        <v>8.2500000000000004E-2</v>
      </c>
      <c r="K763" t="s">
        <v>53</v>
      </c>
      <c r="L763">
        <v>55</v>
      </c>
    </row>
    <row r="764" spans="1:12" x14ac:dyDescent="0.45">
      <c r="A764" t="s">
        <v>90</v>
      </c>
      <c r="B764" t="s">
        <v>3</v>
      </c>
      <c r="C764" t="s">
        <v>84</v>
      </c>
      <c r="D764" t="s">
        <v>53</v>
      </c>
      <c r="E764" t="s">
        <v>25</v>
      </c>
      <c r="F764" t="s">
        <v>53</v>
      </c>
      <c r="G764" t="s">
        <v>71</v>
      </c>
      <c r="H764" t="s">
        <v>89</v>
      </c>
      <c r="I764">
        <v>2035</v>
      </c>
      <c r="J764">
        <v>1.1599999999999999E-2</v>
      </c>
      <c r="K764" t="s">
        <v>53</v>
      </c>
      <c r="L764">
        <v>55</v>
      </c>
    </row>
    <row r="765" spans="1:12" x14ac:dyDescent="0.45">
      <c r="A765" t="s">
        <v>90</v>
      </c>
      <c r="B765" t="s">
        <v>3</v>
      </c>
      <c r="C765" t="s">
        <v>84</v>
      </c>
      <c r="D765" t="s">
        <v>53</v>
      </c>
      <c r="E765" t="s">
        <v>25</v>
      </c>
      <c r="F765" t="s">
        <v>53</v>
      </c>
      <c r="G765" t="s">
        <v>71</v>
      </c>
      <c r="H765" t="s">
        <v>89</v>
      </c>
      <c r="I765">
        <v>2040</v>
      </c>
      <c r="J765">
        <v>1.4E-3</v>
      </c>
      <c r="K765" t="s">
        <v>53</v>
      </c>
      <c r="L765">
        <v>55</v>
      </c>
    </row>
    <row r="766" spans="1:12" x14ac:dyDescent="0.45">
      <c r="A766" t="s">
        <v>90</v>
      </c>
      <c r="B766" t="s">
        <v>3</v>
      </c>
      <c r="C766" t="s">
        <v>84</v>
      </c>
      <c r="D766" t="s">
        <v>53</v>
      </c>
      <c r="E766" t="s">
        <v>25</v>
      </c>
      <c r="F766" t="s">
        <v>53</v>
      </c>
      <c r="G766" t="s">
        <v>71</v>
      </c>
      <c r="H766" t="s">
        <v>89</v>
      </c>
      <c r="I766">
        <v>2045</v>
      </c>
      <c r="J766">
        <v>1.4E-3</v>
      </c>
      <c r="K766" t="s">
        <v>53</v>
      </c>
      <c r="L766">
        <v>55</v>
      </c>
    </row>
    <row r="767" spans="1:12" x14ac:dyDescent="0.45">
      <c r="A767" t="s">
        <v>90</v>
      </c>
      <c r="B767" t="s">
        <v>3</v>
      </c>
      <c r="C767" t="s">
        <v>84</v>
      </c>
      <c r="D767" t="s">
        <v>53</v>
      </c>
      <c r="E767" t="s">
        <v>25</v>
      </c>
      <c r="F767" t="s">
        <v>53</v>
      </c>
      <c r="G767" t="s">
        <v>71</v>
      </c>
      <c r="H767" t="s">
        <v>89</v>
      </c>
      <c r="I767">
        <v>2050</v>
      </c>
      <c r="J767">
        <v>1.2999999999999999E-3</v>
      </c>
      <c r="K767" t="s">
        <v>53</v>
      </c>
      <c r="L767">
        <v>55</v>
      </c>
    </row>
    <row r="768" spans="1:12" x14ac:dyDescent="0.45">
      <c r="A768" t="s">
        <v>90</v>
      </c>
      <c r="B768" t="s">
        <v>3</v>
      </c>
      <c r="C768" t="s">
        <v>84</v>
      </c>
      <c r="D768" t="s">
        <v>53</v>
      </c>
      <c r="E768" t="s">
        <v>25</v>
      </c>
      <c r="F768" t="s">
        <v>53</v>
      </c>
      <c r="G768" t="s">
        <v>71</v>
      </c>
      <c r="H768" t="s">
        <v>89</v>
      </c>
      <c r="I768">
        <v>2055</v>
      </c>
      <c r="J768">
        <v>1.2999999999999999E-3</v>
      </c>
      <c r="K768" t="s">
        <v>53</v>
      </c>
      <c r="L768">
        <v>55</v>
      </c>
    </row>
    <row r="769" spans="1:12" x14ac:dyDescent="0.45">
      <c r="A769" t="s">
        <v>90</v>
      </c>
      <c r="B769" t="s">
        <v>3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2060</v>
      </c>
      <c r="J769">
        <v>7.9999999999999993E-4</v>
      </c>
      <c r="K769" t="s">
        <v>53</v>
      </c>
      <c r="L769">
        <v>55</v>
      </c>
    </row>
    <row r="770" spans="1:12" x14ac:dyDescent="0.45">
      <c r="A770" t="s">
        <v>90</v>
      </c>
      <c r="B770" t="s">
        <v>3</v>
      </c>
      <c r="C770" t="s">
        <v>84</v>
      </c>
      <c r="D770" t="s">
        <v>53</v>
      </c>
      <c r="E770" t="s">
        <v>25</v>
      </c>
      <c r="F770" t="s">
        <v>53</v>
      </c>
      <c r="G770" t="s">
        <v>71</v>
      </c>
      <c r="H770" t="s">
        <v>89</v>
      </c>
      <c r="I770">
        <v>2065</v>
      </c>
      <c r="J770">
        <v>4.4999999999999999E-4</v>
      </c>
      <c r="K770" t="s">
        <v>53</v>
      </c>
      <c r="L770">
        <v>55</v>
      </c>
    </row>
    <row r="771" spans="1:12" x14ac:dyDescent="0.45">
      <c r="A771" t="s">
        <v>90</v>
      </c>
      <c r="B771" t="s">
        <v>3</v>
      </c>
      <c r="C771" t="s">
        <v>84</v>
      </c>
      <c r="D771" t="s">
        <v>53</v>
      </c>
      <c r="E771" t="s">
        <v>25</v>
      </c>
      <c r="F771" t="s">
        <v>53</v>
      </c>
      <c r="G771" t="s">
        <v>71</v>
      </c>
      <c r="H771" t="s">
        <v>89</v>
      </c>
      <c r="I771">
        <v>2070</v>
      </c>
      <c r="J771">
        <v>1E-4</v>
      </c>
      <c r="K771" t="s">
        <v>53</v>
      </c>
      <c r="L771">
        <v>55</v>
      </c>
    </row>
    <row r="772" spans="1:12" x14ac:dyDescent="0.45">
      <c r="A772" t="s">
        <v>90</v>
      </c>
      <c r="B772" t="s">
        <v>3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2075</v>
      </c>
      <c r="J772">
        <v>5.0000000000000002E-5</v>
      </c>
      <c r="K772" t="s">
        <v>53</v>
      </c>
      <c r="L772">
        <v>55</v>
      </c>
    </row>
    <row r="773" spans="1:12" x14ac:dyDescent="0.45">
      <c r="A773" t="s">
        <v>90</v>
      </c>
      <c r="B773" t="s">
        <v>3</v>
      </c>
      <c r="C773" t="s">
        <v>84</v>
      </c>
      <c r="D773" t="s">
        <v>53</v>
      </c>
      <c r="E773" t="s">
        <v>25</v>
      </c>
      <c r="F773" t="s">
        <v>53</v>
      </c>
      <c r="G773" t="s">
        <v>71</v>
      </c>
      <c r="H773" t="s">
        <v>89</v>
      </c>
      <c r="I773">
        <v>2080</v>
      </c>
      <c r="J773">
        <v>0</v>
      </c>
      <c r="K773" t="s">
        <v>53</v>
      </c>
      <c r="L773">
        <v>55</v>
      </c>
    </row>
    <row r="774" spans="1:12" x14ac:dyDescent="0.45">
      <c r="A774" t="s">
        <v>90</v>
      </c>
      <c r="B774" t="s">
        <v>3</v>
      </c>
      <c r="C774" t="s">
        <v>84</v>
      </c>
      <c r="D774" t="s">
        <v>53</v>
      </c>
      <c r="E774" t="s">
        <v>25</v>
      </c>
      <c r="F774" t="s">
        <v>53</v>
      </c>
      <c r="G774" t="s">
        <v>71</v>
      </c>
      <c r="H774" t="s">
        <v>89</v>
      </c>
      <c r="I774">
        <v>2085</v>
      </c>
      <c r="J774">
        <v>0</v>
      </c>
      <c r="K774" t="s">
        <v>53</v>
      </c>
      <c r="L774">
        <v>55</v>
      </c>
    </row>
    <row r="775" spans="1:12" x14ac:dyDescent="0.45">
      <c r="A775" t="s">
        <v>90</v>
      </c>
      <c r="B775" t="s">
        <v>3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2090</v>
      </c>
      <c r="J775">
        <v>0</v>
      </c>
      <c r="K775" t="s">
        <v>53</v>
      </c>
      <c r="L775">
        <v>55</v>
      </c>
    </row>
    <row r="776" spans="1:12" x14ac:dyDescent="0.45">
      <c r="A776" t="s">
        <v>90</v>
      </c>
      <c r="B776" t="s">
        <v>3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2095</v>
      </c>
      <c r="J776">
        <v>0</v>
      </c>
      <c r="K776" t="s">
        <v>53</v>
      </c>
      <c r="L776">
        <v>55</v>
      </c>
    </row>
    <row r="777" spans="1:12" x14ac:dyDescent="0.45">
      <c r="A777" t="s">
        <v>90</v>
      </c>
      <c r="B777" t="s">
        <v>3</v>
      </c>
      <c r="C777" t="s">
        <v>84</v>
      </c>
      <c r="D777" t="s">
        <v>53</v>
      </c>
      <c r="E777" t="s">
        <v>25</v>
      </c>
      <c r="F777" t="s">
        <v>53</v>
      </c>
      <c r="G777" t="s">
        <v>71</v>
      </c>
      <c r="H777" t="s">
        <v>89</v>
      </c>
      <c r="I777">
        <v>2100</v>
      </c>
      <c r="J777">
        <v>0</v>
      </c>
      <c r="K777" t="s">
        <v>53</v>
      </c>
      <c r="L777">
        <v>55</v>
      </c>
    </row>
    <row r="778" spans="1:12" x14ac:dyDescent="0.45">
      <c r="A778" t="s">
        <v>90</v>
      </c>
      <c r="B778" t="s">
        <v>3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2020</v>
      </c>
      <c r="J778">
        <v>4.19E-2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2.6499999999999999E-2</v>
      </c>
      <c r="K779" t="s">
        <v>54</v>
      </c>
      <c r="L779">
        <v>70</v>
      </c>
    </row>
    <row r="780" spans="1:12" x14ac:dyDescent="0.45">
      <c r="A780" t="s">
        <v>90</v>
      </c>
      <c r="B780" t="s">
        <v>3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2030</v>
      </c>
      <c r="J780">
        <v>1.1599999999999999E-2</v>
      </c>
      <c r="K780" t="s">
        <v>54</v>
      </c>
      <c r="L780">
        <v>70</v>
      </c>
    </row>
    <row r="781" spans="1:12" x14ac:dyDescent="0.45">
      <c r="A781" t="s">
        <v>90</v>
      </c>
      <c r="B781" t="s">
        <v>3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3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3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3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3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3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3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3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3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3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3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3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4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8.7400000000000005E-2</v>
      </c>
      <c r="K795" t="s">
        <v>52</v>
      </c>
      <c r="L795">
        <v>94</v>
      </c>
    </row>
    <row r="796" spans="1:12" x14ac:dyDescent="0.45">
      <c r="A796" t="s">
        <v>90</v>
      </c>
      <c r="B796" t="s">
        <v>4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3.0300000000000001E-2</v>
      </c>
      <c r="K796" t="s">
        <v>52</v>
      </c>
      <c r="L796">
        <v>94</v>
      </c>
    </row>
    <row r="797" spans="1:12" x14ac:dyDescent="0.45">
      <c r="A797" t="s">
        <v>90</v>
      </c>
      <c r="B797" t="s">
        <v>4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1.2699999999999999E-2</v>
      </c>
      <c r="K797" t="s">
        <v>52</v>
      </c>
      <c r="L797">
        <v>94</v>
      </c>
    </row>
    <row r="798" spans="1:12" x14ac:dyDescent="0.45">
      <c r="A798" t="s">
        <v>90</v>
      </c>
      <c r="B798" t="s">
        <v>4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9.7999999999999997E-3</v>
      </c>
      <c r="K798" t="s">
        <v>52</v>
      </c>
      <c r="L798">
        <v>94</v>
      </c>
    </row>
    <row r="799" spans="1:12" x14ac:dyDescent="0.45">
      <c r="A799" t="s">
        <v>90</v>
      </c>
      <c r="B799" t="s">
        <v>4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4.7999999999999996E-3</v>
      </c>
      <c r="K799" t="s">
        <v>52</v>
      </c>
      <c r="L799">
        <v>94</v>
      </c>
    </row>
    <row r="800" spans="1:12" x14ac:dyDescent="0.45">
      <c r="A800" t="s">
        <v>90</v>
      </c>
      <c r="B800" t="s">
        <v>4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2.0000000000000001E-4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1E-4</v>
      </c>
      <c r="K801" t="s">
        <v>52</v>
      </c>
      <c r="L801">
        <v>94</v>
      </c>
    </row>
    <row r="802" spans="1:12" x14ac:dyDescent="0.45">
      <c r="A802" t="s">
        <v>90</v>
      </c>
      <c r="B802" t="s">
        <v>4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4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2.0000000000000001E-4</v>
      </c>
      <c r="K803" t="s">
        <v>52</v>
      </c>
      <c r="L803">
        <v>94</v>
      </c>
    </row>
    <row r="804" spans="1:12" x14ac:dyDescent="0.45">
      <c r="A804" t="s">
        <v>90</v>
      </c>
      <c r="B804" t="s">
        <v>4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2.3500000000000001E-3</v>
      </c>
      <c r="K804" t="s">
        <v>52</v>
      </c>
      <c r="L804">
        <v>94</v>
      </c>
    </row>
    <row r="805" spans="1:12" x14ac:dyDescent="0.45">
      <c r="A805" t="s">
        <v>90</v>
      </c>
      <c r="B805" t="s">
        <v>4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4.5500000000000002E-3</v>
      </c>
      <c r="K805" t="s">
        <v>52</v>
      </c>
      <c r="L805">
        <v>94</v>
      </c>
    </row>
    <row r="806" spans="1:12" x14ac:dyDescent="0.45">
      <c r="A806" t="s">
        <v>90</v>
      </c>
      <c r="B806" t="s">
        <v>4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8.6999999999999994E-3</v>
      </c>
      <c r="K806" t="s">
        <v>52</v>
      </c>
      <c r="L806">
        <v>94</v>
      </c>
    </row>
    <row r="807" spans="1:12" x14ac:dyDescent="0.45">
      <c r="A807" t="s">
        <v>90</v>
      </c>
      <c r="B807" t="s">
        <v>4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1.295E-2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1.72E-2</v>
      </c>
      <c r="K808" t="s">
        <v>52</v>
      </c>
      <c r="L808">
        <v>94</v>
      </c>
    </row>
    <row r="809" spans="1:12" x14ac:dyDescent="0.45">
      <c r="A809" t="s">
        <v>90</v>
      </c>
      <c r="B809" t="s">
        <v>4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2.155E-2</v>
      </c>
      <c r="K809" t="s">
        <v>52</v>
      </c>
      <c r="L809">
        <v>94</v>
      </c>
    </row>
    <row r="810" spans="1:12" x14ac:dyDescent="0.45">
      <c r="A810" t="s">
        <v>90</v>
      </c>
      <c r="B810" t="s">
        <v>4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2.1399999999999999E-2</v>
      </c>
      <c r="K810" t="s">
        <v>52</v>
      </c>
      <c r="L810">
        <v>94</v>
      </c>
    </row>
    <row r="811" spans="1:12" x14ac:dyDescent="0.45">
      <c r="A811" t="s">
        <v>90</v>
      </c>
      <c r="B811" t="s">
        <v>4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2.1250000000000002E-2</v>
      </c>
      <c r="K811" t="s">
        <v>52</v>
      </c>
      <c r="L811">
        <v>94</v>
      </c>
    </row>
    <row r="812" spans="1:12" x14ac:dyDescent="0.45">
      <c r="A812" t="s">
        <v>90</v>
      </c>
      <c r="B812" t="s">
        <v>4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2020</v>
      </c>
      <c r="J812">
        <v>0.25580000000000003</v>
      </c>
      <c r="K812" t="s">
        <v>53</v>
      </c>
      <c r="L812">
        <v>55</v>
      </c>
    </row>
    <row r="813" spans="1:12" x14ac:dyDescent="0.45">
      <c r="A813" t="s">
        <v>90</v>
      </c>
      <c r="B813" t="s">
        <v>4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2025</v>
      </c>
      <c r="J813">
        <v>0.26729999999999998</v>
      </c>
      <c r="K813" t="s">
        <v>53</v>
      </c>
      <c r="L813">
        <v>55</v>
      </c>
    </row>
    <row r="814" spans="1:12" x14ac:dyDescent="0.45">
      <c r="A814" t="s">
        <v>90</v>
      </c>
      <c r="B814" t="s">
        <v>4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2030</v>
      </c>
      <c r="J814">
        <v>0.1908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8.0699999999999994E-2</v>
      </c>
      <c r="K815" t="s">
        <v>53</v>
      </c>
      <c r="L815">
        <v>55</v>
      </c>
    </row>
    <row r="816" spans="1:12" x14ac:dyDescent="0.45">
      <c r="A816" t="s">
        <v>90</v>
      </c>
      <c r="B816" t="s">
        <v>4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2040</v>
      </c>
      <c r="J816">
        <v>2.0299999999999999E-2</v>
      </c>
      <c r="K816" t="s">
        <v>53</v>
      </c>
      <c r="L816">
        <v>55</v>
      </c>
    </row>
    <row r="817" spans="1:12" x14ac:dyDescent="0.45">
      <c r="A817" t="s">
        <v>90</v>
      </c>
      <c r="B817" t="s">
        <v>4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2045</v>
      </c>
      <c r="J817">
        <v>2E-3</v>
      </c>
      <c r="K817" t="s">
        <v>53</v>
      </c>
      <c r="L817">
        <v>55</v>
      </c>
    </row>
    <row r="818" spans="1:12" x14ac:dyDescent="0.45">
      <c r="A818" t="s">
        <v>90</v>
      </c>
      <c r="B818" t="s">
        <v>4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2.5999999999999999E-3</v>
      </c>
      <c r="K818" t="s">
        <v>53</v>
      </c>
      <c r="L818">
        <v>55</v>
      </c>
    </row>
    <row r="819" spans="1:12" x14ac:dyDescent="0.45">
      <c r="A819" t="s">
        <v>90</v>
      </c>
      <c r="B819" t="s">
        <v>4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2055</v>
      </c>
      <c r="J819">
        <v>2.8E-3</v>
      </c>
      <c r="K819" t="s">
        <v>53</v>
      </c>
      <c r="L819">
        <v>55</v>
      </c>
    </row>
    <row r="820" spans="1:12" x14ac:dyDescent="0.45">
      <c r="A820" t="s">
        <v>90</v>
      </c>
      <c r="B820" t="s">
        <v>4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3.15E-3</v>
      </c>
      <c r="K820" t="s">
        <v>53</v>
      </c>
      <c r="L820">
        <v>55</v>
      </c>
    </row>
    <row r="821" spans="1:12" x14ac:dyDescent="0.45">
      <c r="A821" t="s">
        <v>90</v>
      </c>
      <c r="B821" t="s">
        <v>4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3.5999999999999999E-3</v>
      </c>
      <c r="K821" t="s">
        <v>53</v>
      </c>
      <c r="L821">
        <v>55</v>
      </c>
    </row>
    <row r="822" spans="1:12" x14ac:dyDescent="0.45">
      <c r="A822" t="s">
        <v>90</v>
      </c>
      <c r="B822" t="s">
        <v>4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2070</v>
      </c>
      <c r="J822">
        <v>4.2000000000000006E-3</v>
      </c>
      <c r="K822" t="s">
        <v>53</v>
      </c>
      <c r="L822">
        <v>55</v>
      </c>
    </row>
    <row r="823" spans="1:12" x14ac:dyDescent="0.45">
      <c r="A823" t="s">
        <v>90</v>
      </c>
      <c r="B823" t="s">
        <v>4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4.5000000000000005E-3</v>
      </c>
      <c r="K823" t="s">
        <v>53</v>
      </c>
      <c r="L823">
        <v>55</v>
      </c>
    </row>
    <row r="824" spans="1:12" x14ac:dyDescent="0.45">
      <c r="A824" t="s">
        <v>90</v>
      </c>
      <c r="B824" t="s">
        <v>4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2080</v>
      </c>
      <c r="J824">
        <v>4.7499999999999999E-3</v>
      </c>
      <c r="K824" t="s">
        <v>53</v>
      </c>
      <c r="L824">
        <v>55</v>
      </c>
    </row>
    <row r="825" spans="1:12" x14ac:dyDescent="0.45">
      <c r="A825" t="s">
        <v>90</v>
      </c>
      <c r="B825" t="s">
        <v>4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4.1999999999999997E-3</v>
      </c>
      <c r="K825" t="s">
        <v>53</v>
      </c>
      <c r="L825">
        <v>55</v>
      </c>
    </row>
    <row r="826" spans="1:12" x14ac:dyDescent="0.45">
      <c r="A826" t="s">
        <v>90</v>
      </c>
      <c r="B826" t="s">
        <v>4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2090</v>
      </c>
      <c r="J826">
        <v>3.8999999999999998E-3</v>
      </c>
      <c r="K826" t="s">
        <v>53</v>
      </c>
      <c r="L826">
        <v>55</v>
      </c>
    </row>
    <row r="827" spans="1:12" x14ac:dyDescent="0.45">
      <c r="A827" t="s">
        <v>90</v>
      </c>
      <c r="B827" t="s">
        <v>4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2095</v>
      </c>
      <c r="J827">
        <v>3.3E-3</v>
      </c>
      <c r="K827" t="s">
        <v>53</v>
      </c>
      <c r="L827">
        <v>55</v>
      </c>
    </row>
    <row r="828" spans="1:12" x14ac:dyDescent="0.45">
      <c r="A828" t="s">
        <v>90</v>
      </c>
      <c r="B828" t="s">
        <v>4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2100</v>
      </c>
      <c r="J828">
        <v>2.7499999999999998E-3</v>
      </c>
      <c r="K828" t="s">
        <v>53</v>
      </c>
      <c r="L828">
        <v>55</v>
      </c>
    </row>
    <row r="829" spans="1:12" x14ac:dyDescent="0.45">
      <c r="A829" t="s">
        <v>90</v>
      </c>
      <c r="B829" t="s">
        <v>4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4.19E-2</v>
      </c>
      <c r="K829" t="s">
        <v>54</v>
      </c>
      <c r="L829">
        <v>70</v>
      </c>
    </row>
    <row r="830" spans="1:12" x14ac:dyDescent="0.45">
      <c r="A830" t="s">
        <v>90</v>
      </c>
      <c r="B830" t="s">
        <v>4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2.64E-2</v>
      </c>
      <c r="K830" t="s">
        <v>54</v>
      </c>
      <c r="L830">
        <v>70</v>
      </c>
    </row>
    <row r="831" spans="1:12" x14ac:dyDescent="0.45">
      <c r="A831" t="s">
        <v>90</v>
      </c>
      <c r="B831" t="s">
        <v>4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1.14E-2</v>
      </c>
      <c r="K831" t="s">
        <v>54</v>
      </c>
      <c r="L831">
        <v>70</v>
      </c>
    </row>
    <row r="832" spans="1:12" x14ac:dyDescent="0.45">
      <c r="A832" t="s">
        <v>90</v>
      </c>
      <c r="B832" t="s">
        <v>4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4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4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4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4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4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4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4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4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4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4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4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4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2020</v>
      </c>
      <c r="J846">
        <v>8.7499999999999994E-2</v>
      </c>
      <c r="K846" t="s">
        <v>52</v>
      </c>
      <c r="L846">
        <v>94</v>
      </c>
    </row>
    <row r="847" spans="1:12" x14ac:dyDescent="0.45">
      <c r="A847" t="s">
        <v>90</v>
      </c>
      <c r="B847" t="s">
        <v>0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2025</v>
      </c>
      <c r="J847">
        <v>0.03</v>
      </c>
      <c r="K847" t="s">
        <v>52</v>
      </c>
      <c r="L847">
        <v>94</v>
      </c>
    </row>
    <row r="848" spans="1:12" x14ac:dyDescent="0.45">
      <c r="A848" t="s">
        <v>90</v>
      </c>
      <c r="B848" t="s">
        <v>0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2030</v>
      </c>
      <c r="J848">
        <v>1.2500000000000001E-2</v>
      </c>
      <c r="K848" t="s">
        <v>52</v>
      </c>
      <c r="L848">
        <v>94</v>
      </c>
    </row>
    <row r="849" spans="1:12" x14ac:dyDescent="0.45">
      <c r="A849" t="s">
        <v>90</v>
      </c>
      <c r="B849" t="s">
        <v>0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2035</v>
      </c>
      <c r="J849">
        <v>3.8E-3</v>
      </c>
      <c r="K849" t="s">
        <v>52</v>
      </c>
      <c r="L849">
        <v>94</v>
      </c>
    </row>
    <row r="850" spans="1:12" x14ac:dyDescent="0.45">
      <c r="A850" t="s">
        <v>90</v>
      </c>
      <c r="B850" t="s">
        <v>0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2040</v>
      </c>
      <c r="J850">
        <v>0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2045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0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2050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0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2055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0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2060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0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2065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0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2070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0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2075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2080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0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2085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0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2090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0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2095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0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0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0.2581</v>
      </c>
      <c r="K863" t="s">
        <v>53</v>
      </c>
      <c r="L863">
        <v>55</v>
      </c>
    </row>
    <row r="864" spans="1:12" x14ac:dyDescent="0.45">
      <c r="A864" t="s">
        <v>90</v>
      </c>
      <c r="B864" t="s">
        <v>0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2025</v>
      </c>
      <c r="J864">
        <v>0.27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2030</v>
      </c>
      <c r="J865">
        <v>0.19089999999999999</v>
      </c>
      <c r="K865" t="s">
        <v>53</v>
      </c>
      <c r="L865">
        <v>55</v>
      </c>
    </row>
    <row r="866" spans="1:12" x14ac:dyDescent="0.45">
      <c r="A866" t="s">
        <v>90</v>
      </c>
      <c r="B866" t="s">
        <v>0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2035</v>
      </c>
      <c r="J866">
        <v>6.1800000000000001E-2</v>
      </c>
      <c r="K866" t="s">
        <v>53</v>
      </c>
      <c r="L866">
        <v>55</v>
      </c>
    </row>
    <row r="867" spans="1:12" x14ac:dyDescent="0.45">
      <c r="A867" t="s">
        <v>90</v>
      </c>
      <c r="B867" t="s">
        <v>0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2040</v>
      </c>
      <c r="J867">
        <v>8.0000000000000004E-4</v>
      </c>
      <c r="K867" t="s">
        <v>53</v>
      </c>
      <c r="L867">
        <v>55</v>
      </c>
    </row>
    <row r="868" spans="1:12" x14ac:dyDescent="0.45">
      <c r="A868" t="s">
        <v>90</v>
      </c>
      <c r="B868" t="s">
        <v>0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2045</v>
      </c>
      <c r="J868">
        <v>5.9999999999999995E-4</v>
      </c>
      <c r="K868" t="s">
        <v>53</v>
      </c>
      <c r="L868">
        <v>55</v>
      </c>
    </row>
    <row r="869" spans="1:12" x14ac:dyDescent="0.45">
      <c r="A869" t="s">
        <v>90</v>
      </c>
      <c r="B869" t="s">
        <v>0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2050</v>
      </c>
      <c r="J869">
        <v>2.9999999999999997E-4</v>
      </c>
      <c r="K869" t="s">
        <v>53</v>
      </c>
      <c r="L869">
        <v>55</v>
      </c>
    </row>
    <row r="870" spans="1:12" x14ac:dyDescent="0.45">
      <c r="A870" t="s">
        <v>90</v>
      </c>
      <c r="B870" t="s">
        <v>0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2055</v>
      </c>
      <c r="J870">
        <v>1E-4</v>
      </c>
      <c r="K870" t="s">
        <v>53</v>
      </c>
      <c r="L870">
        <v>55</v>
      </c>
    </row>
    <row r="871" spans="1:12" x14ac:dyDescent="0.45">
      <c r="A871" t="s">
        <v>90</v>
      </c>
      <c r="B871" t="s">
        <v>0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2060</v>
      </c>
      <c r="J871">
        <v>0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2065</v>
      </c>
      <c r="J872">
        <v>0</v>
      </c>
      <c r="K872" t="s">
        <v>53</v>
      </c>
      <c r="L872">
        <v>55</v>
      </c>
    </row>
    <row r="873" spans="1:12" x14ac:dyDescent="0.45">
      <c r="A873" t="s">
        <v>90</v>
      </c>
      <c r="B873" t="s">
        <v>0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2070</v>
      </c>
      <c r="J873">
        <v>0</v>
      </c>
      <c r="K873" t="s">
        <v>53</v>
      </c>
      <c r="L873">
        <v>55</v>
      </c>
    </row>
    <row r="874" spans="1:12" x14ac:dyDescent="0.45">
      <c r="A874" t="s">
        <v>90</v>
      </c>
      <c r="B874" t="s">
        <v>0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2075</v>
      </c>
      <c r="J874">
        <v>0</v>
      </c>
      <c r="K874" t="s">
        <v>53</v>
      </c>
      <c r="L874">
        <v>55</v>
      </c>
    </row>
    <row r="875" spans="1:12" x14ac:dyDescent="0.45">
      <c r="A875" t="s">
        <v>90</v>
      </c>
      <c r="B875" t="s">
        <v>0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2080</v>
      </c>
      <c r="J875">
        <v>0</v>
      </c>
      <c r="K875" t="s">
        <v>53</v>
      </c>
      <c r="L875">
        <v>55</v>
      </c>
    </row>
    <row r="876" spans="1:12" x14ac:dyDescent="0.45">
      <c r="A876" t="s">
        <v>90</v>
      </c>
      <c r="B876" t="s">
        <v>0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2085</v>
      </c>
      <c r="J876">
        <v>0</v>
      </c>
      <c r="K876" t="s">
        <v>53</v>
      </c>
      <c r="L876">
        <v>55</v>
      </c>
    </row>
    <row r="877" spans="1:12" x14ac:dyDescent="0.45">
      <c r="A877" t="s">
        <v>90</v>
      </c>
      <c r="B877" t="s">
        <v>0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2090</v>
      </c>
      <c r="J877">
        <v>0</v>
      </c>
      <c r="K877" t="s">
        <v>53</v>
      </c>
      <c r="L877">
        <v>55</v>
      </c>
    </row>
    <row r="878" spans="1:12" x14ac:dyDescent="0.45">
      <c r="A878" t="s">
        <v>90</v>
      </c>
      <c r="B878" t="s">
        <v>0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2095</v>
      </c>
      <c r="J878">
        <v>0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2100</v>
      </c>
      <c r="J879">
        <v>0</v>
      </c>
      <c r="K879" t="s">
        <v>53</v>
      </c>
      <c r="L879">
        <v>55</v>
      </c>
    </row>
    <row r="880" spans="1:12" x14ac:dyDescent="0.45">
      <c r="A880" t="s">
        <v>90</v>
      </c>
      <c r="B880" t="s">
        <v>0</v>
      </c>
      <c r="C880" t="s">
        <v>84</v>
      </c>
      <c r="D880" t="s">
        <v>54</v>
      </c>
      <c r="E880" t="s">
        <v>25</v>
      </c>
      <c r="F880" t="s">
        <v>54</v>
      </c>
      <c r="G880" t="s">
        <v>71</v>
      </c>
      <c r="H880" t="s">
        <v>89</v>
      </c>
      <c r="I880">
        <v>2020</v>
      </c>
      <c r="J880">
        <v>4.2099999999999999E-2</v>
      </c>
      <c r="K880" t="s">
        <v>54</v>
      </c>
      <c r="L880">
        <v>70</v>
      </c>
    </row>
    <row r="881" spans="1:12" x14ac:dyDescent="0.45">
      <c r="A881" t="s">
        <v>90</v>
      </c>
      <c r="B881" t="s">
        <v>0</v>
      </c>
      <c r="C881" t="s">
        <v>84</v>
      </c>
      <c r="D881" t="s">
        <v>54</v>
      </c>
      <c r="E881" t="s">
        <v>25</v>
      </c>
      <c r="F881" t="s">
        <v>54</v>
      </c>
      <c r="G881" t="s">
        <v>71</v>
      </c>
      <c r="H881" t="s">
        <v>89</v>
      </c>
      <c r="I881">
        <v>2025</v>
      </c>
      <c r="J881">
        <v>2.6700000000000002E-2</v>
      </c>
      <c r="K881" t="s">
        <v>54</v>
      </c>
      <c r="L881">
        <v>70</v>
      </c>
    </row>
    <row r="882" spans="1:12" x14ac:dyDescent="0.45">
      <c r="A882" t="s">
        <v>90</v>
      </c>
      <c r="B882" t="s">
        <v>0</v>
      </c>
      <c r="C882" t="s">
        <v>84</v>
      </c>
      <c r="D882" t="s">
        <v>54</v>
      </c>
      <c r="E882" t="s">
        <v>25</v>
      </c>
      <c r="F882" t="s">
        <v>54</v>
      </c>
      <c r="G882" t="s">
        <v>71</v>
      </c>
      <c r="H882" t="s">
        <v>89</v>
      </c>
      <c r="I882">
        <v>2030</v>
      </c>
      <c r="J882">
        <v>1.15E-2</v>
      </c>
      <c r="K882" t="s">
        <v>54</v>
      </c>
      <c r="L882">
        <v>70</v>
      </c>
    </row>
    <row r="883" spans="1:12" x14ac:dyDescent="0.45">
      <c r="A883" t="s">
        <v>90</v>
      </c>
      <c r="B883" t="s">
        <v>0</v>
      </c>
      <c r="C883" t="s">
        <v>84</v>
      </c>
      <c r="D883" t="s">
        <v>54</v>
      </c>
      <c r="E883" t="s">
        <v>25</v>
      </c>
      <c r="F883" t="s">
        <v>54</v>
      </c>
      <c r="G883" t="s">
        <v>71</v>
      </c>
      <c r="H883" t="s">
        <v>89</v>
      </c>
      <c r="I883">
        <v>2035</v>
      </c>
      <c r="J883">
        <v>0</v>
      </c>
      <c r="K883" t="s">
        <v>54</v>
      </c>
      <c r="L883">
        <v>70</v>
      </c>
    </row>
    <row r="884" spans="1:12" x14ac:dyDescent="0.45">
      <c r="A884" t="s">
        <v>90</v>
      </c>
      <c r="B884" t="s">
        <v>0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2040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0</v>
      </c>
      <c r="C885" t="s">
        <v>84</v>
      </c>
      <c r="D885" t="s">
        <v>54</v>
      </c>
      <c r="E885" t="s">
        <v>25</v>
      </c>
      <c r="F885" t="s">
        <v>54</v>
      </c>
      <c r="G885" t="s">
        <v>71</v>
      </c>
      <c r="H885" t="s">
        <v>89</v>
      </c>
      <c r="I885">
        <v>2045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84</v>
      </c>
      <c r="D886" t="s">
        <v>54</v>
      </c>
      <c r="E886" t="s">
        <v>25</v>
      </c>
      <c r="F886" t="s">
        <v>54</v>
      </c>
      <c r="G886" t="s">
        <v>71</v>
      </c>
      <c r="H886" t="s">
        <v>89</v>
      </c>
      <c r="I886">
        <v>2050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0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2055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0</v>
      </c>
      <c r="C888" t="s">
        <v>84</v>
      </c>
      <c r="D888" t="s">
        <v>54</v>
      </c>
      <c r="E888" t="s">
        <v>25</v>
      </c>
      <c r="F888" t="s">
        <v>54</v>
      </c>
      <c r="G888" t="s">
        <v>71</v>
      </c>
      <c r="H888" t="s">
        <v>89</v>
      </c>
      <c r="I888">
        <v>2060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0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2065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0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2070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0</v>
      </c>
      <c r="C891" t="s">
        <v>84</v>
      </c>
      <c r="D891" t="s">
        <v>54</v>
      </c>
      <c r="E891" t="s">
        <v>25</v>
      </c>
      <c r="F891" t="s">
        <v>54</v>
      </c>
      <c r="G891" t="s">
        <v>71</v>
      </c>
      <c r="H891" t="s">
        <v>89</v>
      </c>
      <c r="I891">
        <v>2075</v>
      </c>
      <c r="J891">
        <v>0</v>
      </c>
      <c r="K891" t="s">
        <v>54</v>
      </c>
      <c r="L891">
        <v>70</v>
      </c>
    </row>
    <row r="892" spans="1:12" x14ac:dyDescent="0.45">
      <c r="A892" t="s">
        <v>90</v>
      </c>
      <c r="B892" t="s">
        <v>0</v>
      </c>
      <c r="C892" t="s">
        <v>84</v>
      </c>
      <c r="D892" t="s">
        <v>54</v>
      </c>
      <c r="E892" t="s">
        <v>25</v>
      </c>
      <c r="F892" t="s">
        <v>54</v>
      </c>
      <c r="G892" t="s">
        <v>71</v>
      </c>
      <c r="H892" t="s">
        <v>89</v>
      </c>
      <c r="I892">
        <v>2080</v>
      </c>
      <c r="J892">
        <v>0</v>
      </c>
      <c r="K892" t="s">
        <v>54</v>
      </c>
      <c r="L892">
        <v>70</v>
      </c>
    </row>
    <row r="893" spans="1:12" x14ac:dyDescent="0.45">
      <c r="A893" t="s">
        <v>90</v>
      </c>
      <c r="B893" t="s">
        <v>0</v>
      </c>
      <c r="C893" t="s">
        <v>84</v>
      </c>
      <c r="D893" t="s">
        <v>54</v>
      </c>
      <c r="E893" t="s">
        <v>25</v>
      </c>
      <c r="F893" t="s">
        <v>54</v>
      </c>
      <c r="G893" t="s">
        <v>71</v>
      </c>
      <c r="H893" t="s">
        <v>89</v>
      </c>
      <c r="I893">
        <v>2085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0</v>
      </c>
      <c r="C894" t="s">
        <v>84</v>
      </c>
      <c r="D894" t="s">
        <v>54</v>
      </c>
      <c r="E894" t="s">
        <v>25</v>
      </c>
      <c r="F894" t="s">
        <v>54</v>
      </c>
      <c r="G894" t="s">
        <v>71</v>
      </c>
      <c r="H894" t="s">
        <v>89</v>
      </c>
      <c r="I894">
        <v>2090</v>
      </c>
      <c r="J894">
        <v>0</v>
      </c>
      <c r="K894" t="s">
        <v>54</v>
      </c>
      <c r="L894">
        <v>70</v>
      </c>
    </row>
    <row r="895" spans="1:12" x14ac:dyDescent="0.45">
      <c r="A895" t="s">
        <v>90</v>
      </c>
      <c r="B895" t="s">
        <v>0</v>
      </c>
      <c r="C895" t="s">
        <v>84</v>
      </c>
      <c r="D895" t="s">
        <v>54</v>
      </c>
      <c r="E895" t="s">
        <v>25</v>
      </c>
      <c r="F895" t="s">
        <v>54</v>
      </c>
      <c r="G895" t="s">
        <v>71</v>
      </c>
      <c r="H895" t="s">
        <v>89</v>
      </c>
      <c r="I895">
        <v>2095</v>
      </c>
      <c r="J895">
        <v>0</v>
      </c>
      <c r="K895" t="s">
        <v>54</v>
      </c>
      <c r="L895">
        <v>70</v>
      </c>
    </row>
    <row r="896" spans="1:12" x14ac:dyDescent="0.45">
      <c r="A896" t="s">
        <v>90</v>
      </c>
      <c r="B896" t="s">
        <v>0</v>
      </c>
      <c r="C896" t="s">
        <v>84</v>
      </c>
      <c r="D896" t="s">
        <v>54</v>
      </c>
      <c r="E896" t="s">
        <v>25</v>
      </c>
      <c r="F896" t="s">
        <v>54</v>
      </c>
      <c r="G896" t="s">
        <v>71</v>
      </c>
      <c r="H896" t="s">
        <v>89</v>
      </c>
      <c r="I896">
        <v>2100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6</v>
      </c>
      <c r="C897" t="s">
        <v>84</v>
      </c>
      <c r="D897" t="s">
        <v>52</v>
      </c>
      <c r="E897" t="s">
        <v>25</v>
      </c>
      <c r="F897" t="s">
        <v>52</v>
      </c>
      <c r="G897" t="s">
        <v>71</v>
      </c>
      <c r="H897" t="s">
        <v>89</v>
      </c>
      <c r="I897">
        <v>2020</v>
      </c>
      <c r="J897">
        <v>8.7300000000000003E-2</v>
      </c>
      <c r="K897" t="s">
        <v>52</v>
      </c>
      <c r="L897">
        <v>94</v>
      </c>
    </row>
    <row r="898" spans="1:12" x14ac:dyDescent="0.45">
      <c r="A898" t="s">
        <v>90</v>
      </c>
      <c r="B898" t="s">
        <v>6</v>
      </c>
      <c r="C898" t="s">
        <v>84</v>
      </c>
      <c r="D898" t="s">
        <v>52</v>
      </c>
      <c r="E898" t="s">
        <v>25</v>
      </c>
      <c r="F898" t="s">
        <v>52</v>
      </c>
      <c r="G898" t="s">
        <v>71</v>
      </c>
      <c r="H898" t="s">
        <v>89</v>
      </c>
      <c r="I898">
        <v>2025</v>
      </c>
      <c r="J898">
        <v>2.9899999999999999E-2</v>
      </c>
      <c r="K898" t="s">
        <v>52</v>
      </c>
      <c r="L898">
        <v>94</v>
      </c>
    </row>
    <row r="899" spans="1:12" x14ac:dyDescent="0.45">
      <c r="A899" t="s">
        <v>90</v>
      </c>
      <c r="B899" t="s">
        <v>6</v>
      </c>
      <c r="C899" t="s">
        <v>84</v>
      </c>
      <c r="D899" t="s">
        <v>52</v>
      </c>
      <c r="E899" t="s">
        <v>25</v>
      </c>
      <c r="F899" t="s">
        <v>52</v>
      </c>
      <c r="G899" t="s">
        <v>71</v>
      </c>
      <c r="H899" t="s">
        <v>89</v>
      </c>
      <c r="I899">
        <v>2030</v>
      </c>
      <c r="J899">
        <v>1.2500000000000001E-2</v>
      </c>
      <c r="K899" t="s">
        <v>52</v>
      </c>
      <c r="L899">
        <v>94</v>
      </c>
    </row>
    <row r="900" spans="1:12" x14ac:dyDescent="0.45">
      <c r="A900" t="s">
        <v>90</v>
      </c>
      <c r="B900" t="s">
        <v>6</v>
      </c>
      <c r="C900" t="s">
        <v>84</v>
      </c>
      <c r="D900" t="s">
        <v>52</v>
      </c>
      <c r="E900" t="s">
        <v>25</v>
      </c>
      <c r="F900" t="s">
        <v>52</v>
      </c>
      <c r="G900" t="s">
        <v>71</v>
      </c>
      <c r="H900" t="s">
        <v>89</v>
      </c>
      <c r="I900">
        <v>2035</v>
      </c>
      <c r="J900">
        <v>4.7999999999999996E-3</v>
      </c>
      <c r="K900" t="s">
        <v>52</v>
      </c>
      <c r="L900">
        <v>94</v>
      </c>
    </row>
    <row r="901" spans="1:12" x14ac:dyDescent="0.45">
      <c r="A901" t="s">
        <v>90</v>
      </c>
      <c r="B901" t="s">
        <v>6</v>
      </c>
      <c r="C901" t="s">
        <v>84</v>
      </c>
      <c r="D901" t="s">
        <v>52</v>
      </c>
      <c r="E901" t="s">
        <v>25</v>
      </c>
      <c r="F901" t="s">
        <v>52</v>
      </c>
      <c r="G901" t="s">
        <v>71</v>
      </c>
      <c r="H901" t="s">
        <v>89</v>
      </c>
      <c r="I901">
        <v>2040</v>
      </c>
      <c r="J901">
        <v>0</v>
      </c>
      <c r="K901" t="s">
        <v>52</v>
      </c>
      <c r="L901">
        <v>94</v>
      </c>
    </row>
    <row r="902" spans="1:12" x14ac:dyDescent="0.45">
      <c r="A902" t="s">
        <v>90</v>
      </c>
      <c r="B902" t="s">
        <v>6</v>
      </c>
      <c r="C902" t="s">
        <v>84</v>
      </c>
      <c r="D902" t="s">
        <v>52</v>
      </c>
      <c r="E902" t="s">
        <v>25</v>
      </c>
      <c r="F902" t="s">
        <v>52</v>
      </c>
      <c r="G902" t="s">
        <v>71</v>
      </c>
      <c r="H902" t="s">
        <v>89</v>
      </c>
      <c r="I902">
        <v>2045</v>
      </c>
      <c r="J902">
        <v>0</v>
      </c>
      <c r="K902" t="s">
        <v>52</v>
      </c>
      <c r="L902">
        <v>94</v>
      </c>
    </row>
    <row r="903" spans="1:12" x14ac:dyDescent="0.45">
      <c r="A903" t="s">
        <v>90</v>
      </c>
      <c r="B903" t="s">
        <v>6</v>
      </c>
      <c r="C903" t="s">
        <v>84</v>
      </c>
      <c r="D903" t="s">
        <v>52</v>
      </c>
      <c r="E903" t="s">
        <v>25</v>
      </c>
      <c r="F903" t="s">
        <v>52</v>
      </c>
      <c r="G903" t="s">
        <v>71</v>
      </c>
      <c r="H903" t="s">
        <v>89</v>
      </c>
      <c r="I903">
        <v>2050</v>
      </c>
      <c r="J903">
        <v>0</v>
      </c>
      <c r="K903" t="s">
        <v>52</v>
      </c>
      <c r="L903">
        <v>94</v>
      </c>
    </row>
    <row r="904" spans="1:12" x14ac:dyDescent="0.45">
      <c r="A904" t="s">
        <v>90</v>
      </c>
      <c r="B904" t="s">
        <v>6</v>
      </c>
      <c r="C904" t="s">
        <v>84</v>
      </c>
      <c r="D904" t="s">
        <v>52</v>
      </c>
      <c r="E904" t="s">
        <v>25</v>
      </c>
      <c r="F904" t="s">
        <v>52</v>
      </c>
      <c r="G904" t="s">
        <v>71</v>
      </c>
      <c r="H904" t="s">
        <v>89</v>
      </c>
      <c r="I904">
        <v>2055</v>
      </c>
      <c r="J904">
        <v>0</v>
      </c>
      <c r="K904" t="s">
        <v>52</v>
      </c>
      <c r="L904">
        <v>94</v>
      </c>
    </row>
    <row r="905" spans="1:12" x14ac:dyDescent="0.45">
      <c r="A905" t="s">
        <v>90</v>
      </c>
      <c r="B905" t="s">
        <v>6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2060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6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2065</v>
      </c>
      <c r="J906">
        <v>0</v>
      </c>
      <c r="K906" t="s">
        <v>52</v>
      </c>
      <c r="L906">
        <v>94</v>
      </c>
    </row>
    <row r="907" spans="1:12" x14ac:dyDescent="0.45">
      <c r="A907" t="s">
        <v>90</v>
      </c>
      <c r="B907" t="s">
        <v>6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2070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2075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6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2080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6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2085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6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2090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6</v>
      </c>
      <c r="C912" t="s">
        <v>84</v>
      </c>
      <c r="D912" t="s">
        <v>52</v>
      </c>
      <c r="E912" t="s">
        <v>25</v>
      </c>
      <c r="F912" t="s">
        <v>52</v>
      </c>
      <c r="G912" t="s">
        <v>71</v>
      </c>
      <c r="H912" t="s">
        <v>89</v>
      </c>
      <c r="I912">
        <v>2095</v>
      </c>
      <c r="J912">
        <v>0</v>
      </c>
      <c r="K912" t="s">
        <v>52</v>
      </c>
      <c r="L912">
        <v>94</v>
      </c>
    </row>
    <row r="913" spans="1:12" x14ac:dyDescent="0.45">
      <c r="A913" t="s">
        <v>90</v>
      </c>
      <c r="B913" t="s">
        <v>6</v>
      </c>
      <c r="C913" t="s">
        <v>84</v>
      </c>
      <c r="D913" t="s">
        <v>52</v>
      </c>
      <c r="E913" t="s">
        <v>25</v>
      </c>
      <c r="F913" t="s">
        <v>52</v>
      </c>
      <c r="G913" t="s">
        <v>71</v>
      </c>
      <c r="H913" t="s">
        <v>89</v>
      </c>
      <c r="I913">
        <v>2100</v>
      </c>
      <c r="J913">
        <v>0</v>
      </c>
      <c r="K913" t="s">
        <v>52</v>
      </c>
      <c r="L913">
        <v>94</v>
      </c>
    </row>
    <row r="914" spans="1:12" x14ac:dyDescent="0.45">
      <c r="A914" t="s">
        <v>90</v>
      </c>
      <c r="B914" t="s">
        <v>6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2020</v>
      </c>
      <c r="J914">
        <v>0.25669999999999998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2025</v>
      </c>
      <c r="J915">
        <v>0.26700000000000002</v>
      </c>
      <c r="K915" t="s">
        <v>53</v>
      </c>
      <c r="L915">
        <v>55</v>
      </c>
    </row>
    <row r="916" spans="1:12" x14ac:dyDescent="0.45">
      <c r="A916" t="s">
        <v>90</v>
      </c>
      <c r="B916" t="s">
        <v>6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2030</v>
      </c>
      <c r="J916">
        <v>0.19040000000000001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2035</v>
      </c>
      <c r="J917">
        <v>7.0800000000000002E-2</v>
      </c>
      <c r="K917" t="s">
        <v>53</v>
      </c>
      <c r="L917">
        <v>55</v>
      </c>
    </row>
    <row r="918" spans="1:12" x14ac:dyDescent="0.45">
      <c r="A918" t="s">
        <v>90</v>
      </c>
      <c r="B918" t="s">
        <v>6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2040</v>
      </c>
      <c r="J918">
        <v>1.8E-3</v>
      </c>
      <c r="K918" t="s">
        <v>53</v>
      </c>
      <c r="L918">
        <v>55</v>
      </c>
    </row>
    <row r="919" spans="1:12" x14ac:dyDescent="0.45">
      <c r="A919" t="s">
        <v>90</v>
      </c>
      <c r="B919" t="s">
        <v>6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2045</v>
      </c>
      <c r="J919">
        <v>2.2000000000000001E-3</v>
      </c>
      <c r="K919" t="s">
        <v>53</v>
      </c>
      <c r="L919">
        <v>55</v>
      </c>
    </row>
    <row r="920" spans="1:12" x14ac:dyDescent="0.45">
      <c r="A920" t="s">
        <v>90</v>
      </c>
      <c r="B920" t="s">
        <v>6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2050</v>
      </c>
      <c r="J920">
        <v>2.3E-3</v>
      </c>
      <c r="K920" t="s">
        <v>53</v>
      </c>
      <c r="L920">
        <v>55</v>
      </c>
    </row>
    <row r="921" spans="1:12" x14ac:dyDescent="0.45">
      <c r="A921" t="s">
        <v>90</v>
      </c>
      <c r="B921" t="s">
        <v>6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2055</v>
      </c>
      <c r="J921">
        <v>2.3499999999999997E-3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1.65E-3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2065</v>
      </c>
      <c r="J923">
        <v>1.2499999999999998E-3</v>
      </c>
      <c r="K923" t="s">
        <v>53</v>
      </c>
      <c r="L923">
        <v>55</v>
      </c>
    </row>
    <row r="924" spans="1:12" x14ac:dyDescent="0.45">
      <c r="A924" t="s">
        <v>90</v>
      </c>
      <c r="B924" t="s">
        <v>6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2070</v>
      </c>
      <c r="J924">
        <v>7.5000000000000002E-4</v>
      </c>
      <c r="K924" t="s">
        <v>53</v>
      </c>
      <c r="L924">
        <v>55</v>
      </c>
    </row>
    <row r="925" spans="1:12" x14ac:dyDescent="0.45">
      <c r="A925" t="s">
        <v>90</v>
      </c>
      <c r="B925" t="s">
        <v>6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2075</v>
      </c>
      <c r="J925">
        <v>4.0000000000000002E-4</v>
      </c>
      <c r="K925" t="s">
        <v>53</v>
      </c>
      <c r="L925">
        <v>55</v>
      </c>
    </row>
    <row r="926" spans="1:12" x14ac:dyDescent="0.45">
      <c r="A926" t="s">
        <v>90</v>
      </c>
      <c r="B926" t="s">
        <v>6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2080</v>
      </c>
      <c r="J926">
        <v>0</v>
      </c>
      <c r="K926" t="s">
        <v>53</v>
      </c>
      <c r="L926">
        <v>55</v>
      </c>
    </row>
    <row r="927" spans="1:12" x14ac:dyDescent="0.45">
      <c r="A927" t="s">
        <v>90</v>
      </c>
      <c r="B927" t="s">
        <v>6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2085</v>
      </c>
      <c r="J927">
        <v>0</v>
      </c>
      <c r="K927" t="s">
        <v>53</v>
      </c>
      <c r="L927">
        <v>55</v>
      </c>
    </row>
    <row r="928" spans="1:12" x14ac:dyDescent="0.45">
      <c r="A928" t="s">
        <v>90</v>
      </c>
      <c r="B928" t="s">
        <v>6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2090</v>
      </c>
      <c r="J928">
        <v>0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2095</v>
      </c>
      <c r="J929">
        <v>0</v>
      </c>
      <c r="K929" t="s">
        <v>53</v>
      </c>
      <c r="L929">
        <v>55</v>
      </c>
    </row>
    <row r="930" spans="1:12" x14ac:dyDescent="0.45">
      <c r="A930" t="s">
        <v>90</v>
      </c>
      <c r="B930" t="s">
        <v>6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2100</v>
      </c>
      <c r="J930">
        <v>0</v>
      </c>
      <c r="K930" t="s">
        <v>53</v>
      </c>
      <c r="L930">
        <v>55</v>
      </c>
    </row>
    <row r="931" spans="1:12" x14ac:dyDescent="0.45">
      <c r="A931" t="s">
        <v>90</v>
      </c>
      <c r="B931" t="s">
        <v>6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2020</v>
      </c>
      <c r="J931">
        <v>4.2000000000000003E-2</v>
      </c>
      <c r="K931" t="s">
        <v>54</v>
      </c>
      <c r="L931">
        <v>70</v>
      </c>
    </row>
    <row r="932" spans="1:12" x14ac:dyDescent="0.45">
      <c r="A932" t="s">
        <v>90</v>
      </c>
      <c r="B932" t="s">
        <v>6</v>
      </c>
      <c r="C932" t="s">
        <v>84</v>
      </c>
      <c r="D932" t="s">
        <v>54</v>
      </c>
      <c r="E932" t="s">
        <v>25</v>
      </c>
      <c r="F932" t="s">
        <v>54</v>
      </c>
      <c r="G932" t="s">
        <v>71</v>
      </c>
      <c r="H932" t="s">
        <v>89</v>
      </c>
      <c r="I932">
        <v>2025</v>
      </c>
      <c r="J932">
        <v>2.6599999999999999E-2</v>
      </c>
      <c r="K932" t="s">
        <v>54</v>
      </c>
      <c r="L932">
        <v>70</v>
      </c>
    </row>
    <row r="933" spans="1:12" x14ac:dyDescent="0.45">
      <c r="A933" t="s">
        <v>90</v>
      </c>
      <c r="B933" t="s">
        <v>6</v>
      </c>
      <c r="C933" t="s">
        <v>84</v>
      </c>
      <c r="D933" t="s">
        <v>54</v>
      </c>
      <c r="E933" t="s">
        <v>25</v>
      </c>
      <c r="F933" t="s">
        <v>54</v>
      </c>
      <c r="G933" t="s">
        <v>71</v>
      </c>
      <c r="H933" t="s">
        <v>89</v>
      </c>
      <c r="I933">
        <v>2030</v>
      </c>
      <c r="J933">
        <v>1.1599999999999999E-2</v>
      </c>
      <c r="K933" t="s">
        <v>54</v>
      </c>
      <c r="L933">
        <v>70</v>
      </c>
    </row>
    <row r="934" spans="1:12" x14ac:dyDescent="0.45">
      <c r="A934" t="s">
        <v>90</v>
      </c>
      <c r="B934" t="s">
        <v>6</v>
      </c>
      <c r="C934" t="s">
        <v>84</v>
      </c>
      <c r="D934" t="s">
        <v>54</v>
      </c>
      <c r="E934" t="s">
        <v>25</v>
      </c>
      <c r="F934" t="s">
        <v>54</v>
      </c>
      <c r="G934" t="s">
        <v>71</v>
      </c>
      <c r="H934" t="s">
        <v>89</v>
      </c>
      <c r="I934">
        <v>2035</v>
      </c>
      <c r="J934">
        <v>0</v>
      </c>
      <c r="K934" t="s">
        <v>54</v>
      </c>
      <c r="L934">
        <v>70</v>
      </c>
    </row>
    <row r="935" spans="1:12" x14ac:dyDescent="0.45">
      <c r="A935" t="s">
        <v>90</v>
      </c>
      <c r="B935" t="s">
        <v>6</v>
      </c>
      <c r="C935" t="s">
        <v>84</v>
      </c>
      <c r="D935" t="s">
        <v>54</v>
      </c>
      <c r="E935" t="s">
        <v>25</v>
      </c>
      <c r="F935" t="s">
        <v>54</v>
      </c>
      <c r="G935" t="s">
        <v>71</v>
      </c>
      <c r="H935" t="s">
        <v>89</v>
      </c>
      <c r="I935">
        <v>2040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6</v>
      </c>
      <c r="C936" t="s">
        <v>84</v>
      </c>
      <c r="D936" t="s">
        <v>54</v>
      </c>
      <c r="E936" t="s">
        <v>25</v>
      </c>
      <c r="F936" t="s">
        <v>54</v>
      </c>
      <c r="G936" t="s">
        <v>71</v>
      </c>
      <c r="H936" t="s">
        <v>89</v>
      </c>
      <c r="I936">
        <v>2045</v>
      </c>
      <c r="J936">
        <v>0</v>
      </c>
      <c r="K936" t="s">
        <v>54</v>
      </c>
      <c r="L936">
        <v>70</v>
      </c>
    </row>
    <row r="937" spans="1:12" x14ac:dyDescent="0.45">
      <c r="A937" t="s">
        <v>90</v>
      </c>
      <c r="B937" t="s">
        <v>6</v>
      </c>
      <c r="C937" t="s">
        <v>84</v>
      </c>
      <c r="D937" t="s">
        <v>54</v>
      </c>
      <c r="E937" t="s">
        <v>25</v>
      </c>
      <c r="F937" t="s">
        <v>54</v>
      </c>
      <c r="G937" t="s">
        <v>71</v>
      </c>
      <c r="H937" t="s">
        <v>89</v>
      </c>
      <c r="I937">
        <v>2050</v>
      </c>
      <c r="J937">
        <v>0</v>
      </c>
      <c r="K937" t="s">
        <v>54</v>
      </c>
      <c r="L937">
        <v>70</v>
      </c>
    </row>
    <row r="938" spans="1:12" x14ac:dyDescent="0.45">
      <c r="A938" t="s">
        <v>90</v>
      </c>
      <c r="B938" t="s">
        <v>6</v>
      </c>
      <c r="C938" t="s">
        <v>84</v>
      </c>
      <c r="D938" t="s">
        <v>54</v>
      </c>
      <c r="E938" t="s">
        <v>25</v>
      </c>
      <c r="F938" t="s">
        <v>54</v>
      </c>
      <c r="G938" t="s">
        <v>71</v>
      </c>
      <c r="H938" t="s">
        <v>89</v>
      </c>
      <c r="I938">
        <v>2055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6</v>
      </c>
      <c r="C939" t="s">
        <v>84</v>
      </c>
      <c r="D939" t="s">
        <v>54</v>
      </c>
      <c r="E939" t="s">
        <v>25</v>
      </c>
      <c r="F939" t="s">
        <v>54</v>
      </c>
      <c r="G939" t="s">
        <v>71</v>
      </c>
      <c r="H939" t="s">
        <v>89</v>
      </c>
      <c r="I939">
        <v>2060</v>
      </c>
      <c r="J939">
        <v>0</v>
      </c>
      <c r="K939" t="s">
        <v>54</v>
      </c>
      <c r="L939">
        <v>70</v>
      </c>
    </row>
    <row r="940" spans="1:12" x14ac:dyDescent="0.45">
      <c r="A940" t="s">
        <v>90</v>
      </c>
      <c r="B940" t="s">
        <v>6</v>
      </c>
      <c r="C940" t="s">
        <v>84</v>
      </c>
      <c r="D940" t="s">
        <v>54</v>
      </c>
      <c r="E940" t="s">
        <v>25</v>
      </c>
      <c r="F940" t="s">
        <v>54</v>
      </c>
      <c r="G940" t="s">
        <v>71</v>
      </c>
      <c r="H940" t="s">
        <v>89</v>
      </c>
      <c r="I940">
        <v>2065</v>
      </c>
      <c r="J940">
        <v>0</v>
      </c>
      <c r="K940" t="s">
        <v>54</v>
      </c>
      <c r="L940">
        <v>70</v>
      </c>
    </row>
    <row r="941" spans="1:12" x14ac:dyDescent="0.45">
      <c r="A941" t="s">
        <v>90</v>
      </c>
      <c r="B941" t="s">
        <v>6</v>
      </c>
      <c r="C941" t="s">
        <v>84</v>
      </c>
      <c r="D941" t="s">
        <v>54</v>
      </c>
      <c r="E941" t="s">
        <v>25</v>
      </c>
      <c r="F941" t="s">
        <v>54</v>
      </c>
      <c r="G941" t="s">
        <v>71</v>
      </c>
      <c r="H941" t="s">
        <v>89</v>
      </c>
      <c r="I941">
        <v>2070</v>
      </c>
      <c r="J941">
        <v>0</v>
      </c>
      <c r="K941" t="s">
        <v>54</v>
      </c>
      <c r="L941">
        <v>70</v>
      </c>
    </row>
    <row r="942" spans="1:12" x14ac:dyDescent="0.45">
      <c r="A942" t="s">
        <v>90</v>
      </c>
      <c r="B942" t="s">
        <v>6</v>
      </c>
      <c r="C942" t="s">
        <v>84</v>
      </c>
      <c r="D942" t="s">
        <v>54</v>
      </c>
      <c r="E942" t="s">
        <v>25</v>
      </c>
      <c r="F942" t="s">
        <v>54</v>
      </c>
      <c r="G942" t="s">
        <v>71</v>
      </c>
      <c r="H942" t="s">
        <v>89</v>
      </c>
      <c r="I942">
        <v>2075</v>
      </c>
      <c r="J942">
        <v>0</v>
      </c>
      <c r="K942" t="s">
        <v>54</v>
      </c>
      <c r="L942">
        <v>70</v>
      </c>
    </row>
    <row r="943" spans="1:12" x14ac:dyDescent="0.45">
      <c r="A943" t="s">
        <v>90</v>
      </c>
      <c r="B943" t="s">
        <v>6</v>
      </c>
      <c r="C943" t="s">
        <v>84</v>
      </c>
      <c r="D943" t="s">
        <v>54</v>
      </c>
      <c r="E943" t="s">
        <v>25</v>
      </c>
      <c r="F943" t="s">
        <v>54</v>
      </c>
      <c r="G943" t="s">
        <v>71</v>
      </c>
      <c r="H943" t="s">
        <v>89</v>
      </c>
      <c r="I943">
        <v>2080</v>
      </c>
      <c r="J943">
        <v>0</v>
      </c>
      <c r="K943" t="s">
        <v>54</v>
      </c>
      <c r="L943">
        <v>70</v>
      </c>
    </row>
    <row r="944" spans="1:12" x14ac:dyDescent="0.45">
      <c r="A944" t="s">
        <v>90</v>
      </c>
      <c r="B944" t="s">
        <v>6</v>
      </c>
      <c r="C944" t="s">
        <v>84</v>
      </c>
      <c r="D944" t="s">
        <v>54</v>
      </c>
      <c r="E944" t="s">
        <v>25</v>
      </c>
      <c r="F944" t="s">
        <v>54</v>
      </c>
      <c r="G944" t="s">
        <v>71</v>
      </c>
      <c r="H944" t="s">
        <v>89</v>
      </c>
      <c r="I944">
        <v>2085</v>
      </c>
      <c r="J944">
        <v>0</v>
      </c>
      <c r="K944" t="s">
        <v>54</v>
      </c>
      <c r="L944">
        <v>70</v>
      </c>
    </row>
    <row r="945" spans="1:12" x14ac:dyDescent="0.45">
      <c r="A945" t="s">
        <v>90</v>
      </c>
      <c r="B945" t="s">
        <v>6</v>
      </c>
      <c r="C945" t="s">
        <v>84</v>
      </c>
      <c r="D945" t="s">
        <v>54</v>
      </c>
      <c r="E945" t="s">
        <v>25</v>
      </c>
      <c r="F945" t="s">
        <v>54</v>
      </c>
      <c r="G945" t="s">
        <v>71</v>
      </c>
      <c r="H945" t="s">
        <v>89</v>
      </c>
      <c r="I945">
        <v>2090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6</v>
      </c>
      <c r="C946" t="s">
        <v>84</v>
      </c>
      <c r="D946" t="s">
        <v>54</v>
      </c>
      <c r="E946" t="s">
        <v>25</v>
      </c>
      <c r="F946" t="s">
        <v>54</v>
      </c>
      <c r="G946" t="s">
        <v>71</v>
      </c>
      <c r="H946" t="s">
        <v>89</v>
      </c>
      <c r="I946">
        <v>2095</v>
      </c>
      <c r="J946">
        <v>0</v>
      </c>
      <c r="K946" t="s">
        <v>54</v>
      </c>
      <c r="L946">
        <v>70</v>
      </c>
    </row>
    <row r="947" spans="1:12" x14ac:dyDescent="0.45">
      <c r="A947" t="s">
        <v>90</v>
      </c>
      <c r="B947" t="s">
        <v>6</v>
      </c>
      <c r="C947" t="s">
        <v>84</v>
      </c>
      <c r="D947" t="s">
        <v>54</v>
      </c>
      <c r="E947" t="s">
        <v>25</v>
      </c>
      <c r="F947" t="s">
        <v>54</v>
      </c>
      <c r="G947" t="s">
        <v>71</v>
      </c>
      <c r="H947" t="s">
        <v>89</v>
      </c>
      <c r="I947">
        <v>2100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5</v>
      </c>
      <c r="C948" t="s">
        <v>84</v>
      </c>
      <c r="D948" t="s">
        <v>52</v>
      </c>
      <c r="E948" t="s">
        <v>25</v>
      </c>
      <c r="F948" t="s">
        <v>52</v>
      </c>
      <c r="G948" t="s">
        <v>71</v>
      </c>
      <c r="H948" t="s">
        <v>89</v>
      </c>
      <c r="I948">
        <v>2020</v>
      </c>
      <c r="J948">
        <v>8.7099999999999997E-2</v>
      </c>
      <c r="K948" t="s">
        <v>52</v>
      </c>
      <c r="L948">
        <v>94</v>
      </c>
    </row>
    <row r="949" spans="1:12" x14ac:dyDescent="0.45">
      <c r="A949" t="s">
        <v>90</v>
      </c>
      <c r="B949" t="s">
        <v>5</v>
      </c>
      <c r="C949" t="s">
        <v>84</v>
      </c>
      <c r="D949" t="s">
        <v>52</v>
      </c>
      <c r="E949" t="s">
        <v>25</v>
      </c>
      <c r="F949" t="s">
        <v>52</v>
      </c>
      <c r="G949" t="s">
        <v>71</v>
      </c>
      <c r="H949" t="s">
        <v>89</v>
      </c>
      <c r="I949">
        <v>2025</v>
      </c>
      <c r="J949">
        <v>2.3800000000000002E-2</v>
      </c>
      <c r="K949" t="s">
        <v>52</v>
      </c>
      <c r="L949">
        <v>94</v>
      </c>
    </row>
    <row r="950" spans="1:12" x14ac:dyDescent="0.45">
      <c r="A950" t="s">
        <v>90</v>
      </c>
      <c r="B950" t="s">
        <v>5</v>
      </c>
      <c r="C950" t="s">
        <v>84</v>
      </c>
      <c r="D950" t="s">
        <v>52</v>
      </c>
      <c r="E950" t="s">
        <v>25</v>
      </c>
      <c r="F950" t="s">
        <v>52</v>
      </c>
      <c r="G950" t="s">
        <v>71</v>
      </c>
      <c r="H950" t="s">
        <v>89</v>
      </c>
      <c r="I950">
        <v>2030</v>
      </c>
      <c r="J950">
        <v>0</v>
      </c>
      <c r="K950" t="s">
        <v>52</v>
      </c>
      <c r="L950">
        <v>94</v>
      </c>
    </row>
    <row r="951" spans="1:12" x14ac:dyDescent="0.45">
      <c r="A951" t="s">
        <v>90</v>
      </c>
      <c r="B951" t="s">
        <v>5</v>
      </c>
      <c r="C951" t="s">
        <v>84</v>
      </c>
      <c r="D951" t="s">
        <v>52</v>
      </c>
      <c r="E951" t="s">
        <v>25</v>
      </c>
      <c r="F951" t="s">
        <v>52</v>
      </c>
      <c r="G951" t="s">
        <v>71</v>
      </c>
      <c r="H951" t="s">
        <v>89</v>
      </c>
      <c r="I951">
        <v>2035</v>
      </c>
      <c r="J951">
        <v>0</v>
      </c>
      <c r="K951" t="s">
        <v>52</v>
      </c>
      <c r="L951">
        <v>94</v>
      </c>
    </row>
    <row r="952" spans="1:12" x14ac:dyDescent="0.45">
      <c r="A952" t="s">
        <v>90</v>
      </c>
      <c r="B952" t="s">
        <v>5</v>
      </c>
      <c r="C952" t="s">
        <v>84</v>
      </c>
      <c r="D952" t="s">
        <v>52</v>
      </c>
      <c r="E952" t="s">
        <v>25</v>
      </c>
      <c r="F952" t="s">
        <v>52</v>
      </c>
      <c r="G952" t="s">
        <v>71</v>
      </c>
      <c r="H952" t="s">
        <v>89</v>
      </c>
      <c r="I952">
        <v>2040</v>
      </c>
      <c r="J952">
        <v>0</v>
      </c>
      <c r="K952" t="s">
        <v>52</v>
      </c>
      <c r="L952">
        <v>94</v>
      </c>
    </row>
    <row r="953" spans="1:12" x14ac:dyDescent="0.45">
      <c r="A953" t="s">
        <v>90</v>
      </c>
      <c r="B953" t="s">
        <v>5</v>
      </c>
      <c r="C953" t="s">
        <v>84</v>
      </c>
      <c r="D953" t="s">
        <v>52</v>
      </c>
      <c r="E953" t="s">
        <v>25</v>
      </c>
      <c r="F953" t="s">
        <v>52</v>
      </c>
      <c r="G953" t="s">
        <v>71</v>
      </c>
      <c r="H953" t="s">
        <v>89</v>
      </c>
      <c r="I953">
        <v>2045</v>
      </c>
      <c r="J953">
        <v>0</v>
      </c>
      <c r="K953" t="s">
        <v>52</v>
      </c>
      <c r="L953">
        <v>94</v>
      </c>
    </row>
    <row r="954" spans="1:12" x14ac:dyDescent="0.45">
      <c r="A954" t="s">
        <v>90</v>
      </c>
      <c r="B954" t="s">
        <v>5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2050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5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2055</v>
      </c>
      <c r="J955">
        <v>0</v>
      </c>
      <c r="K955" t="s">
        <v>52</v>
      </c>
      <c r="L955">
        <v>94</v>
      </c>
    </row>
    <row r="956" spans="1:12" x14ac:dyDescent="0.45">
      <c r="A956" t="s">
        <v>90</v>
      </c>
      <c r="B956" t="s">
        <v>5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2060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5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2065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2070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5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2075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5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2080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5</v>
      </c>
      <c r="C961" t="s">
        <v>84</v>
      </c>
      <c r="D961" t="s">
        <v>52</v>
      </c>
      <c r="E961" t="s">
        <v>25</v>
      </c>
      <c r="F961" t="s">
        <v>52</v>
      </c>
      <c r="G961" t="s">
        <v>71</v>
      </c>
      <c r="H961" t="s">
        <v>89</v>
      </c>
      <c r="I961">
        <v>2085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5</v>
      </c>
      <c r="C962" t="s">
        <v>84</v>
      </c>
      <c r="D962" t="s">
        <v>52</v>
      </c>
      <c r="E962" t="s">
        <v>25</v>
      </c>
      <c r="F962" t="s">
        <v>52</v>
      </c>
      <c r="G962" t="s">
        <v>71</v>
      </c>
      <c r="H962" t="s">
        <v>89</v>
      </c>
      <c r="I962">
        <v>2090</v>
      </c>
      <c r="J962">
        <v>0</v>
      </c>
      <c r="K962" t="s">
        <v>52</v>
      </c>
      <c r="L962">
        <v>94</v>
      </c>
    </row>
    <row r="963" spans="1:12" x14ac:dyDescent="0.45">
      <c r="A963" t="s">
        <v>90</v>
      </c>
      <c r="B963" t="s">
        <v>5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2095</v>
      </c>
      <c r="J963">
        <v>0</v>
      </c>
      <c r="K963" t="s">
        <v>52</v>
      </c>
      <c r="L963">
        <v>94</v>
      </c>
    </row>
    <row r="964" spans="1:12" x14ac:dyDescent="0.45">
      <c r="A964" t="s">
        <v>90</v>
      </c>
      <c r="B964" t="s">
        <v>5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2100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2020</v>
      </c>
      <c r="J965">
        <v>0.25969999999999999</v>
      </c>
      <c r="K965" t="s">
        <v>53</v>
      </c>
      <c r="L965">
        <v>55</v>
      </c>
    </row>
    <row r="966" spans="1:12" x14ac:dyDescent="0.45">
      <c r="A966" t="s">
        <v>90</v>
      </c>
      <c r="B966" t="s">
        <v>5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2025</v>
      </c>
      <c r="J966">
        <v>0.23369999999999999</v>
      </c>
      <c r="K966" t="s">
        <v>53</v>
      </c>
      <c r="L966">
        <v>55</v>
      </c>
    </row>
    <row r="967" spans="1:12" x14ac:dyDescent="0.45">
      <c r="A967" t="s">
        <v>90</v>
      </c>
      <c r="B967" t="s">
        <v>5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2030</v>
      </c>
      <c r="J967">
        <v>4.4999999999999997E-3</v>
      </c>
      <c r="K967" t="s">
        <v>53</v>
      </c>
      <c r="L967">
        <v>55</v>
      </c>
    </row>
    <row r="968" spans="1:12" x14ac:dyDescent="0.45">
      <c r="A968" t="s">
        <v>90</v>
      </c>
      <c r="B968" t="s">
        <v>5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2035</v>
      </c>
      <c r="J968">
        <v>8.9999999999999998E-4</v>
      </c>
      <c r="K968" t="s">
        <v>53</v>
      </c>
      <c r="L968">
        <v>55</v>
      </c>
    </row>
    <row r="969" spans="1:12" x14ac:dyDescent="0.45">
      <c r="A969" t="s">
        <v>90</v>
      </c>
      <c r="B969" t="s">
        <v>5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2040</v>
      </c>
      <c r="J969">
        <v>5.9999999999999995E-4</v>
      </c>
      <c r="K969" t="s">
        <v>53</v>
      </c>
      <c r="L969">
        <v>55</v>
      </c>
    </row>
    <row r="970" spans="1:12" x14ac:dyDescent="0.45">
      <c r="A970" t="s">
        <v>90</v>
      </c>
      <c r="B970" t="s">
        <v>5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2045</v>
      </c>
      <c r="J970">
        <v>5.0000000000000001E-4</v>
      </c>
      <c r="K970" t="s">
        <v>53</v>
      </c>
      <c r="L970">
        <v>55</v>
      </c>
    </row>
    <row r="971" spans="1:12" x14ac:dyDescent="0.45">
      <c r="A971" t="s">
        <v>90</v>
      </c>
      <c r="B971" t="s">
        <v>5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2050</v>
      </c>
      <c r="J971">
        <v>2.9999999999999997E-4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2.5000000000000001E-4</v>
      </c>
      <c r="K972" t="s">
        <v>53</v>
      </c>
      <c r="L972">
        <v>55</v>
      </c>
    </row>
    <row r="973" spans="1:12" x14ac:dyDescent="0.45">
      <c r="A973" t="s">
        <v>90</v>
      </c>
      <c r="B973" t="s">
        <v>5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2060</v>
      </c>
      <c r="J973">
        <v>1.5000000000000001E-4</v>
      </c>
      <c r="K973" t="s">
        <v>53</v>
      </c>
      <c r="L973">
        <v>55</v>
      </c>
    </row>
    <row r="974" spans="1:12" x14ac:dyDescent="0.45">
      <c r="A974" t="s">
        <v>90</v>
      </c>
      <c r="B974" t="s">
        <v>5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2065</v>
      </c>
      <c r="J974">
        <v>1E-4</v>
      </c>
      <c r="K974" t="s">
        <v>53</v>
      </c>
      <c r="L974">
        <v>55</v>
      </c>
    </row>
    <row r="975" spans="1:12" x14ac:dyDescent="0.45">
      <c r="A975" t="s">
        <v>90</v>
      </c>
      <c r="B975" t="s">
        <v>5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2070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5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0</v>
      </c>
      <c r="K976" t="s">
        <v>53</v>
      </c>
      <c r="L976">
        <v>55</v>
      </c>
    </row>
    <row r="977" spans="1:12" x14ac:dyDescent="0.45">
      <c r="A977" t="s">
        <v>90</v>
      </c>
      <c r="B977" t="s">
        <v>5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2080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5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2085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2090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5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2095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5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5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4.2299999999999997E-2</v>
      </c>
      <c r="K982" t="s">
        <v>54</v>
      </c>
      <c r="L982">
        <v>70</v>
      </c>
    </row>
    <row r="983" spans="1:12" x14ac:dyDescent="0.45">
      <c r="A983" t="s">
        <v>90</v>
      </c>
      <c r="B983" t="s">
        <v>5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2025</v>
      </c>
      <c r="J983">
        <v>2.69E-2</v>
      </c>
      <c r="K983" t="s">
        <v>54</v>
      </c>
      <c r="L983">
        <v>70</v>
      </c>
    </row>
    <row r="984" spans="1:12" x14ac:dyDescent="0.45">
      <c r="A984" t="s">
        <v>90</v>
      </c>
      <c r="B984" t="s">
        <v>5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2030</v>
      </c>
      <c r="J984">
        <v>1.0999999999999999E-2</v>
      </c>
      <c r="K984" t="s">
        <v>54</v>
      </c>
      <c r="L984">
        <v>70</v>
      </c>
    </row>
    <row r="985" spans="1:12" x14ac:dyDescent="0.45">
      <c r="A985" t="s">
        <v>90</v>
      </c>
      <c r="B985" t="s">
        <v>5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5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5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5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5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5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5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5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5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5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5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5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2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2020</v>
      </c>
      <c r="J999">
        <v>8.7400000000000005E-2</v>
      </c>
      <c r="K999" t="s">
        <v>52</v>
      </c>
      <c r="L999">
        <v>94</v>
      </c>
    </row>
    <row r="1000" spans="1:12" x14ac:dyDescent="0.45">
      <c r="A1000" t="s">
        <v>90</v>
      </c>
      <c r="B1000" t="s">
        <v>2</v>
      </c>
      <c r="C1000" t="s">
        <v>84</v>
      </c>
      <c r="D1000" t="s">
        <v>52</v>
      </c>
      <c r="E1000" t="s">
        <v>25</v>
      </c>
      <c r="F1000" t="s">
        <v>52</v>
      </c>
      <c r="G1000" t="s">
        <v>71</v>
      </c>
      <c r="H1000" t="s">
        <v>89</v>
      </c>
      <c r="I1000">
        <v>2025</v>
      </c>
      <c r="J1000">
        <v>2.3099999999999999E-2</v>
      </c>
      <c r="K1000" t="s">
        <v>52</v>
      </c>
      <c r="L1000">
        <v>94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52</v>
      </c>
      <c r="E1001" t="s">
        <v>25</v>
      </c>
      <c r="F1001" t="s">
        <v>52</v>
      </c>
      <c r="G1001" t="s">
        <v>71</v>
      </c>
      <c r="H1001" t="s">
        <v>89</v>
      </c>
      <c r="I1001">
        <v>2030</v>
      </c>
      <c r="J1001">
        <v>1E-4</v>
      </c>
      <c r="K1001" t="s">
        <v>52</v>
      </c>
      <c r="L1001">
        <v>94</v>
      </c>
    </row>
    <row r="1002" spans="1:12" x14ac:dyDescent="0.45">
      <c r="A1002" t="s">
        <v>90</v>
      </c>
      <c r="B1002" t="s">
        <v>2</v>
      </c>
      <c r="C1002" t="s">
        <v>84</v>
      </c>
      <c r="D1002" t="s">
        <v>52</v>
      </c>
      <c r="E1002" t="s">
        <v>25</v>
      </c>
      <c r="F1002" t="s">
        <v>52</v>
      </c>
      <c r="G1002" t="s">
        <v>71</v>
      </c>
      <c r="H1002" t="s">
        <v>89</v>
      </c>
      <c r="I1002">
        <v>2035</v>
      </c>
      <c r="J1002">
        <v>0</v>
      </c>
      <c r="K1002" t="s">
        <v>52</v>
      </c>
      <c r="L1002">
        <v>94</v>
      </c>
    </row>
    <row r="1003" spans="1:12" x14ac:dyDescent="0.45">
      <c r="A1003" t="s">
        <v>90</v>
      </c>
      <c r="B1003" t="s">
        <v>2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2040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2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2045</v>
      </c>
      <c r="J1004">
        <v>0</v>
      </c>
      <c r="K1004" t="s">
        <v>52</v>
      </c>
      <c r="L1004">
        <v>94</v>
      </c>
    </row>
    <row r="1005" spans="1:12" x14ac:dyDescent="0.45">
      <c r="A1005" t="s">
        <v>90</v>
      </c>
      <c r="B1005" t="s">
        <v>2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2050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2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2055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2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2065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2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2070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2</v>
      </c>
      <c r="C1010" t="s">
        <v>84</v>
      </c>
      <c r="D1010" t="s">
        <v>52</v>
      </c>
      <c r="E1010" t="s">
        <v>25</v>
      </c>
      <c r="F1010" t="s">
        <v>52</v>
      </c>
      <c r="G1010" t="s">
        <v>71</v>
      </c>
      <c r="H1010" t="s">
        <v>89</v>
      </c>
      <c r="I1010">
        <v>2075</v>
      </c>
      <c r="J1010">
        <v>0</v>
      </c>
      <c r="K1010" t="s">
        <v>52</v>
      </c>
      <c r="L1010">
        <v>94</v>
      </c>
    </row>
    <row r="1011" spans="1:12" x14ac:dyDescent="0.45">
      <c r="A1011" t="s">
        <v>90</v>
      </c>
      <c r="B1011" t="s">
        <v>2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H1011" t="s">
        <v>89</v>
      </c>
      <c r="I1011">
        <v>2080</v>
      </c>
      <c r="J1011">
        <v>0</v>
      </c>
      <c r="K1011" t="s">
        <v>52</v>
      </c>
      <c r="L1011">
        <v>94</v>
      </c>
    </row>
    <row r="1012" spans="1:12" x14ac:dyDescent="0.45">
      <c r="A1012" t="s">
        <v>90</v>
      </c>
      <c r="B1012" t="s">
        <v>2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H1012" t="s">
        <v>89</v>
      </c>
      <c r="I1012">
        <v>2085</v>
      </c>
      <c r="J1012">
        <v>0</v>
      </c>
      <c r="K1012" t="s">
        <v>52</v>
      </c>
      <c r="L1012">
        <v>94</v>
      </c>
    </row>
    <row r="1013" spans="1:12" x14ac:dyDescent="0.45">
      <c r="A1013" t="s">
        <v>90</v>
      </c>
      <c r="B1013" t="s">
        <v>2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H1013" t="s">
        <v>89</v>
      </c>
      <c r="I1013">
        <v>2090</v>
      </c>
      <c r="J1013">
        <v>0</v>
      </c>
      <c r="K1013" t="s">
        <v>52</v>
      </c>
      <c r="L1013">
        <v>94</v>
      </c>
    </row>
    <row r="1014" spans="1:12" x14ac:dyDescent="0.45">
      <c r="A1014" t="s">
        <v>90</v>
      </c>
      <c r="B1014" t="s">
        <v>2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H1014" t="s">
        <v>89</v>
      </c>
      <c r="I1014">
        <v>2095</v>
      </c>
      <c r="J1014">
        <v>0</v>
      </c>
      <c r="K1014" t="s">
        <v>52</v>
      </c>
      <c r="L1014">
        <v>94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H1015" t="s">
        <v>89</v>
      </c>
      <c r="I1015">
        <v>2100</v>
      </c>
      <c r="J1015">
        <v>0</v>
      </c>
      <c r="K1015" t="s">
        <v>52</v>
      </c>
      <c r="L1015">
        <v>94</v>
      </c>
    </row>
    <row r="1016" spans="1:12" x14ac:dyDescent="0.45">
      <c r="A1016" t="s">
        <v>90</v>
      </c>
      <c r="B1016" t="s">
        <v>2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2020</v>
      </c>
      <c r="J1016">
        <v>0.25619999999999998</v>
      </c>
      <c r="K1016" t="s">
        <v>53</v>
      </c>
      <c r="L1016">
        <v>55</v>
      </c>
    </row>
    <row r="1017" spans="1:12" x14ac:dyDescent="0.45">
      <c r="A1017" t="s">
        <v>90</v>
      </c>
      <c r="B1017" t="s">
        <v>2</v>
      </c>
      <c r="C1017" t="s">
        <v>84</v>
      </c>
      <c r="D1017" t="s">
        <v>53</v>
      </c>
      <c r="E1017" t="s">
        <v>25</v>
      </c>
      <c r="F1017" t="s">
        <v>53</v>
      </c>
      <c r="G1017" t="s">
        <v>71</v>
      </c>
      <c r="H1017" t="s">
        <v>89</v>
      </c>
      <c r="I1017">
        <v>2025</v>
      </c>
      <c r="J1017">
        <v>0.2485</v>
      </c>
      <c r="K1017" t="s">
        <v>53</v>
      </c>
      <c r="L1017">
        <v>55</v>
      </c>
    </row>
    <row r="1018" spans="1:12" x14ac:dyDescent="0.45">
      <c r="A1018" t="s">
        <v>90</v>
      </c>
      <c r="B1018" t="s">
        <v>2</v>
      </c>
      <c r="C1018" t="s">
        <v>84</v>
      </c>
      <c r="D1018" t="s">
        <v>53</v>
      </c>
      <c r="E1018" t="s">
        <v>25</v>
      </c>
      <c r="F1018" t="s">
        <v>53</v>
      </c>
      <c r="G1018" t="s">
        <v>71</v>
      </c>
      <c r="H1018" t="s">
        <v>89</v>
      </c>
      <c r="I1018">
        <v>2030</v>
      </c>
      <c r="J1018">
        <v>4.6800000000000001E-2</v>
      </c>
      <c r="K1018" t="s">
        <v>53</v>
      </c>
      <c r="L1018">
        <v>55</v>
      </c>
    </row>
    <row r="1019" spans="1:12" x14ac:dyDescent="0.45">
      <c r="A1019" t="s">
        <v>90</v>
      </c>
      <c r="B1019" t="s">
        <v>2</v>
      </c>
      <c r="C1019" t="s">
        <v>84</v>
      </c>
      <c r="D1019" t="s">
        <v>53</v>
      </c>
      <c r="E1019" t="s">
        <v>25</v>
      </c>
      <c r="F1019" t="s">
        <v>53</v>
      </c>
      <c r="G1019" t="s">
        <v>71</v>
      </c>
      <c r="H1019" t="s">
        <v>89</v>
      </c>
      <c r="I1019">
        <v>2035</v>
      </c>
      <c r="J1019">
        <v>4.1999999999999997E-3</v>
      </c>
      <c r="K1019" t="s">
        <v>53</v>
      </c>
      <c r="L1019">
        <v>55</v>
      </c>
    </row>
    <row r="1020" spans="1:12" x14ac:dyDescent="0.45">
      <c r="A1020" t="s">
        <v>90</v>
      </c>
      <c r="B1020" t="s">
        <v>2</v>
      </c>
      <c r="C1020" t="s">
        <v>84</v>
      </c>
      <c r="D1020" t="s">
        <v>53</v>
      </c>
      <c r="E1020" t="s">
        <v>25</v>
      </c>
      <c r="F1020" t="s">
        <v>53</v>
      </c>
      <c r="G1020" t="s">
        <v>71</v>
      </c>
      <c r="H1020" t="s">
        <v>89</v>
      </c>
      <c r="I1020">
        <v>2040</v>
      </c>
      <c r="J1020">
        <v>1.4E-3</v>
      </c>
      <c r="K1020" t="s">
        <v>53</v>
      </c>
      <c r="L1020">
        <v>55</v>
      </c>
    </row>
    <row r="1021" spans="1:12" x14ac:dyDescent="0.45">
      <c r="A1021" t="s">
        <v>90</v>
      </c>
      <c r="B1021" t="s">
        <v>2</v>
      </c>
      <c r="C1021" t="s">
        <v>84</v>
      </c>
      <c r="D1021" t="s">
        <v>53</v>
      </c>
      <c r="E1021" t="s">
        <v>25</v>
      </c>
      <c r="F1021" t="s">
        <v>53</v>
      </c>
      <c r="G1021" t="s">
        <v>71</v>
      </c>
      <c r="H1021" t="s">
        <v>89</v>
      </c>
      <c r="I1021">
        <v>2045</v>
      </c>
      <c r="J1021">
        <v>1.5E-3</v>
      </c>
      <c r="K1021" t="s">
        <v>53</v>
      </c>
      <c r="L1021">
        <v>55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53</v>
      </c>
      <c r="E1022" t="s">
        <v>25</v>
      </c>
      <c r="F1022" t="s">
        <v>53</v>
      </c>
      <c r="G1022" t="s">
        <v>71</v>
      </c>
      <c r="H1022" t="s">
        <v>89</v>
      </c>
      <c r="I1022">
        <v>2050</v>
      </c>
      <c r="J1022">
        <v>1.4E-3</v>
      </c>
      <c r="K1022" t="s">
        <v>53</v>
      </c>
      <c r="L1022">
        <v>55</v>
      </c>
    </row>
    <row r="1023" spans="1:12" x14ac:dyDescent="0.45">
      <c r="A1023" t="s">
        <v>90</v>
      </c>
      <c r="B1023" t="s">
        <v>2</v>
      </c>
      <c r="C1023" t="s">
        <v>84</v>
      </c>
      <c r="D1023" t="s">
        <v>53</v>
      </c>
      <c r="E1023" t="s">
        <v>25</v>
      </c>
      <c r="F1023" t="s">
        <v>53</v>
      </c>
      <c r="G1023" t="s">
        <v>71</v>
      </c>
      <c r="H1023" t="s">
        <v>89</v>
      </c>
      <c r="I1023">
        <v>2055</v>
      </c>
      <c r="J1023">
        <v>1.3500000000000001E-3</v>
      </c>
      <c r="K1023" t="s">
        <v>53</v>
      </c>
      <c r="L1023">
        <v>55</v>
      </c>
    </row>
    <row r="1024" spans="1:12" x14ac:dyDescent="0.45">
      <c r="A1024" t="s">
        <v>90</v>
      </c>
      <c r="B1024" t="s">
        <v>2</v>
      </c>
      <c r="C1024" t="s">
        <v>84</v>
      </c>
      <c r="D1024" t="s">
        <v>53</v>
      </c>
      <c r="E1024" t="s">
        <v>25</v>
      </c>
      <c r="F1024" t="s">
        <v>53</v>
      </c>
      <c r="G1024" t="s">
        <v>71</v>
      </c>
      <c r="H1024" t="s">
        <v>89</v>
      </c>
      <c r="I1024">
        <v>2060</v>
      </c>
      <c r="J1024">
        <v>1.0999999999999998E-3</v>
      </c>
      <c r="K1024" t="s">
        <v>53</v>
      </c>
      <c r="L1024">
        <v>55</v>
      </c>
    </row>
    <row r="1025" spans="1:12" x14ac:dyDescent="0.45">
      <c r="A1025" t="s">
        <v>90</v>
      </c>
      <c r="B1025" t="s">
        <v>2</v>
      </c>
      <c r="C1025" t="s">
        <v>84</v>
      </c>
      <c r="D1025" t="s">
        <v>53</v>
      </c>
      <c r="E1025" t="s">
        <v>25</v>
      </c>
      <c r="F1025" t="s">
        <v>53</v>
      </c>
      <c r="G1025" t="s">
        <v>71</v>
      </c>
      <c r="H1025" t="s">
        <v>89</v>
      </c>
      <c r="I1025">
        <v>2065</v>
      </c>
      <c r="J1025">
        <v>6.4999999999999997E-4</v>
      </c>
      <c r="K1025" t="s">
        <v>53</v>
      </c>
      <c r="L1025">
        <v>55</v>
      </c>
    </row>
    <row r="1026" spans="1:12" x14ac:dyDescent="0.45">
      <c r="A1026" t="s">
        <v>90</v>
      </c>
      <c r="B1026" t="s">
        <v>2</v>
      </c>
      <c r="C1026" t="s">
        <v>84</v>
      </c>
      <c r="D1026" t="s">
        <v>53</v>
      </c>
      <c r="E1026" t="s">
        <v>25</v>
      </c>
      <c r="F1026" t="s">
        <v>53</v>
      </c>
      <c r="G1026" t="s">
        <v>71</v>
      </c>
      <c r="H1026" t="s">
        <v>89</v>
      </c>
      <c r="I1026">
        <v>2070</v>
      </c>
      <c r="J1026">
        <v>1.5000000000000001E-4</v>
      </c>
      <c r="K1026" t="s">
        <v>53</v>
      </c>
      <c r="L1026">
        <v>55</v>
      </c>
    </row>
    <row r="1027" spans="1:12" x14ac:dyDescent="0.45">
      <c r="A1027" t="s">
        <v>90</v>
      </c>
      <c r="B1027" t="s">
        <v>2</v>
      </c>
      <c r="C1027" t="s">
        <v>84</v>
      </c>
      <c r="D1027" t="s">
        <v>53</v>
      </c>
      <c r="E1027" t="s">
        <v>25</v>
      </c>
      <c r="F1027" t="s">
        <v>53</v>
      </c>
      <c r="G1027" t="s">
        <v>71</v>
      </c>
      <c r="H1027" t="s">
        <v>89</v>
      </c>
      <c r="I1027">
        <v>2075</v>
      </c>
      <c r="J1027">
        <v>1E-4</v>
      </c>
      <c r="K1027" t="s">
        <v>53</v>
      </c>
      <c r="L1027">
        <v>55</v>
      </c>
    </row>
    <row r="1028" spans="1:12" x14ac:dyDescent="0.45">
      <c r="A1028" t="s">
        <v>90</v>
      </c>
      <c r="B1028" t="s">
        <v>2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H1028" t="s">
        <v>89</v>
      </c>
      <c r="I1028">
        <v>2080</v>
      </c>
      <c r="J1028">
        <v>0</v>
      </c>
      <c r="K1028" t="s">
        <v>53</v>
      </c>
      <c r="L1028">
        <v>55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H1029" t="s">
        <v>89</v>
      </c>
      <c r="I1029">
        <v>2085</v>
      </c>
      <c r="J1029">
        <v>0</v>
      </c>
      <c r="K1029" t="s">
        <v>53</v>
      </c>
      <c r="L1029">
        <v>55</v>
      </c>
    </row>
    <row r="1030" spans="1:12" x14ac:dyDescent="0.45">
      <c r="A1030" t="s">
        <v>90</v>
      </c>
      <c r="B1030" t="s">
        <v>2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H1030" t="s">
        <v>89</v>
      </c>
      <c r="I1030">
        <v>2090</v>
      </c>
      <c r="J1030">
        <v>0</v>
      </c>
      <c r="K1030" t="s">
        <v>53</v>
      </c>
      <c r="L1030">
        <v>55</v>
      </c>
    </row>
    <row r="1031" spans="1:12" x14ac:dyDescent="0.45">
      <c r="A1031" t="s">
        <v>90</v>
      </c>
      <c r="B1031" t="s">
        <v>2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H1031" t="s">
        <v>89</v>
      </c>
      <c r="I1031">
        <v>2095</v>
      </c>
      <c r="J1031">
        <v>0</v>
      </c>
      <c r="K1031" t="s">
        <v>53</v>
      </c>
      <c r="L1031">
        <v>55</v>
      </c>
    </row>
    <row r="1032" spans="1:12" x14ac:dyDescent="0.45">
      <c r="A1032" t="s">
        <v>90</v>
      </c>
      <c r="B1032" t="s">
        <v>2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H1032" t="s">
        <v>89</v>
      </c>
      <c r="I1032">
        <v>2100</v>
      </c>
      <c r="J1032">
        <v>0</v>
      </c>
      <c r="K1032" t="s">
        <v>53</v>
      </c>
      <c r="L1032">
        <v>55</v>
      </c>
    </row>
    <row r="1033" spans="1:12" x14ac:dyDescent="0.45">
      <c r="A1033" t="s">
        <v>90</v>
      </c>
      <c r="B1033" t="s">
        <v>2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2020</v>
      </c>
      <c r="J1033">
        <v>4.19E-2</v>
      </c>
      <c r="K1033" t="s">
        <v>54</v>
      </c>
      <c r="L1033">
        <v>70</v>
      </c>
    </row>
    <row r="1034" spans="1:12" x14ac:dyDescent="0.45">
      <c r="A1034" t="s">
        <v>90</v>
      </c>
      <c r="B1034" t="s">
        <v>2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2025</v>
      </c>
      <c r="J1034">
        <v>2.64E-2</v>
      </c>
      <c r="K1034" t="s">
        <v>54</v>
      </c>
      <c r="L1034">
        <v>70</v>
      </c>
    </row>
    <row r="1035" spans="1:12" x14ac:dyDescent="0.45">
      <c r="A1035" t="s">
        <v>90</v>
      </c>
      <c r="B1035" t="s">
        <v>2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2030</v>
      </c>
      <c r="J1035">
        <v>1.15E-2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2035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2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2040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2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2045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2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2050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2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2055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2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2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2065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2070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2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2075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2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2080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2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2085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2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2090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2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2095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2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2100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1</v>
      </c>
      <c r="C1050" t="s">
        <v>84</v>
      </c>
      <c r="D1050" t="s">
        <v>52</v>
      </c>
      <c r="E1050" t="s">
        <v>25</v>
      </c>
      <c r="F1050" t="s">
        <v>52</v>
      </c>
      <c r="G1050" t="s">
        <v>71</v>
      </c>
      <c r="H1050" t="s">
        <v>89</v>
      </c>
      <c r="I1050">
        <v>2020</v>
      </c>
      <c r="J1050">
        <v>8.6800000000000002E-2</v>
      </c>
      <c r="K1050" t="s">
        <v>52</v>
      </c>
      <c r="L1050">
        <v>94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52</v>
      </c>
      <c r="E1051" t="s">
        <v>25</v>
      </c>
      <c r="F1051" t="s">
        <v>52</v>
      </c>
      <c r="G1051" t="s">
        <v>71</v>
      </c>
      <c r="H1051" t="s">
        <v>89</v>
      </c>
      <c r="I1051">
        <v>2025</v>
      </c>
      <c r="J1051">
        <v>2.3300000000000001E-2</v>
      </c>
      <c r="K1051" t="s">
        <v>52</v>
      </c>
      <c r="L1051">
        <v>94</v>
      </c>
    </row>
    <row r="1052" spans="1:12" x14ac:dyDescent="0.45">
      <c r="A1052" t="s">
        <v>90</v>
      </c>
      <c r="B1052" t="s">
        <v>1</v>
      </c>
      <c r="C1052" t="s">
        <v>84</v>
      </c>
      <c r="D1052" t="s">
        <v>52</v>
      </c>
      <c r="E1052" t="s">
        <v>25</v>
      </c>
      <c r="F1052" t="s">
        <v>52</v>
      </c>
      <c r="G1052" t="s">
        <v>71</v>
      </c>
      <c r="H1052" t="s">
        <v>89</v>
      </c>
      <c r="I1052">
        <v>2030</v>
      </c>
      <c r="J1052">
        <v>0</v>
      </c>
      <c r="K1052" t="s">
        <v>52</v>
      </c>
      <c r="L1052">
        <v>94</v>
      </c>
    </row>
    <row r="1053" spans="1:12" x14ac:dyDescent="0.45">
      <c r="A1053" t="s">
        <v>90</v>
      </c>
      <c r="B1053" t="s">
        <v>1</v>
      </c>
      <c r="C1053" t="s">
        <v>84</v>
      </c>
      <c r="D1053" t="s">
        <v>52</v>
      </c>
      <c r="E1053" t="s">
        <v>25</v>
      </c>
      <c r="F1053" t="s">
        <v>52</v>
      </c>
      <c r="G1053" t="s">
        <v>71</v>
      </c>
      <c r="H1053" t="s">
        <v>89</v>
      </c>
      <c r="I1053">
        <v>2035</v>
      </c>
      <c r="J1053">
        <v>0</v>
      </c>
      <c r="K1053" t="s">
        <v>52</v>
      </c>
      <c r="L1053">
        <v>94</v>
      </c>
    </row>
    <row r="1054" spans="1:12" x14ac:dyDescent="0.45">
      <c r="A1054" t="s">
        <v>90</v>
      </c>
      <c r="B1054" t="s">
        <v>1</v>
      </c>
      <c r="C1054" t="s">
        <v>84</v>
      </c>
      <c r="D1054" t="s">
        <v>52</v>
      </c>
      <c r="E1054" t="s">
        <v>25</v>
      </c>
      <c r="F1054" t="s">
        <v>52</v>
      </c>
      <c r="G1054" t="s">
        <v>71</v>
      </c>
      <c r="H1054" t="s">
        <v>89</v>
      </c>
      <c r="I1054">
        <v>2040</v>
      </c>
      <c r="J1054">
        <v>0</v>
      </c>
      <c r="K1054" t="s">
        <v>52</v>
      </c>
      <c r="L1054">
        <v>94</v>
      </c>
    </row>
    <row r="1055" spans="1:12" x14ac:dyDescent="0.45">
      <c r="A1055" t="s">
        <v>90</v>
      </c>
      <c r="B1055" t="s">
        <v>1</v>
      </c>
      <c r="C1055" t="s">
        <v>84</v>
      </c>
      <c r="D1055" t="s">
        <v>52</v>
      </c>
      <c r="E1055" t="s">
        <v>25</v>
      </c>
      <c r="F1055" t="s">
        <v>52</v>
      </c>
      <c r="G1055" t="s">
        <v>71</v>
      </c>
      <c r="H1055" t="s">
        <v>89</v>
      </c>
      <c r="I1055">
        <v>2045</v>
      </c>
      <c r="J1055">
        <v>0</v>
      </c>
      <c r="K1055" t="s">
        <v>52</v>
      </c>
      <c r="L1055">
        <v>94</v>
      </c>
    </row>
    <row r="1056" spans="1:12" x14ac:dyDescent="0.45">
      <c r="A1056" t="s">
        <v>90</v>
      </c>
      <c r="B1056" t="s">
        <v>1</v>
      </c>
      <c r="C1056" t="s">
        <v>84</v>
      </c>
      <c r="D1056" t="s">
        <v>52</v>
      </c>
      <c r="E1056" t="s">
        <v>25</v>
      </c>
      <c r="F1056" t="s">
        <v>52</v>
      </c>
      <c r="G1056" t="s">
        <v>71</v>
      </c>
      <c r="H1056" t="s">
        <v>89</v>
      </c>
      <c r="I1056">
        <v>2050</v>
      </c>
      <c r="J1056">
        <v>0</v>
      </c>
      <c r="K1056" t="s">
        <v>52</v>
      </c>
      <c r="L1056">
        <v>94</v>
      </c>
    </row>
    <row r="1057" spans="1:12" x14ac:dyDescent="0.45">
      <c r="A1057" t="s">
        <v>90</v>
      </c>
      <c r="B1057" t="s">
        <v>1</v>
      </c>
      <c r="C1057" t="s">
        <v>84</v>
      </c>
      <c r="D1057" t="s">
        <v>52</v>
      </c>
      <c r="E1057" t="s">
        <v>25</v>
      </c>
      <c r="F1057" t="s">
        <v>52</v>
      </c>
      <c r="G1057" t="s">
        <v>71</v>
      </c>
      <c r="H1057" t="s">
        <v>89</v>
      </c>
      <c r="I1057">
        <v>2055</v>
      </c>
      <c r="J1057">
        <v>0</v>
      </c>
      <c r="K1057" t="s">
        <v>52</v>
      </c>
      <c r="L1057">
        <v>94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52</v>
      </c>
      <c r="E1058" t="s">
        <v>25</v>
      </c>
      <c r="F1058" t="s">
        <v>52</v>
      </c>
      <c r="G1058" t="s">
        <v>71</v>
      </c>
      <c r="H1058" t="s">
        <v>89</v>
      </c>
      <c r="I1058">
        <v>2060</v>
      </c>
      <c r="J1058">
        <v>0</v>
      </c>
      <c r="K1058" t="s">
        <v>52</v>
      </c>
      <c r="L1058">
        <v>94</v>
      </c>
    </row>
    <row r="1059" spans="1:12" x14ac:dyDescent="0.45">
      <c r="A1059" t="s">
        <v>90</v>
      </c>
      <c r="B1059" t="s">
        <v>1</v>
      </c>
      <c r="C1059" t="s">
        <v>84</v>
      </c>
      <c r="D1059" t="s">
        <v>52</v>
      </c>
      <c r="E1059" t="s">
        <v>25</v>
      </c>
      <c r="F1059" t="s">
        <v>52</v>
      </c>
      <c r="G1059" t="s">
        <v>71</v>
      </c>
      <c r="H1059" t="s">
        <v>89</v>
      </c>
      <c r="I1059">
        <v>2065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1</v>
      </c>
      <c r="C1060" t="s">
        <v>84</v>
      </c>
      <c r="D1060" t="s">
        <v>52</v>
      </c>
      <c r="E1060" t="s">
        <v>25</v>
      </c>
      <c r="F1060" t="s">
        <v>52</v>
      </c>
      <c r="G1060" t="s">
        <v>71</v>
      </c>
      <c r="H1060" t="s">
        <v>89</v>
      </c>
      <c r="I1060">
        <v>2070</v>
      </c>
      <c r="J1060">
        <v>0</v>
      </c>
      <c r="K1060" t="s">
        <v>52</v>
      </c>
      <c r="L1060">
        <v>94</v>
      </c>
    </row>
    <row r="1061" spans="1:12" x14ac:dyDescent="0.45">
      <c r="A1061" t="s">
        <v>90</v>
      </c>
      <c r="B1061" t="s">
        <v>1</v>
      </c>
      <c r="C1061" t="s">
        <v>84</v>
      </c>
      <c r="D1061" t="s">
        <v>52</v>
      </c>
      <c r="E1061" t="s">
        <v>25</v>
      </c>
      <c r="F1061" t="s">
        <v>52</v>
      </c>
      <c r="G1061" t="s">
        <v>71</v>
      </c>
      <c r="H1061" t="s">
        <v>89</v>
      </c>
      <c r="I1061">
        <v>2075</v>
      </c>
      <c r="J1061">
        <v>0</v>
      </c>
      <c r="K1061" t="s">
        <v>52</v>
      </c>
      <c r="L1061">
        <v>94</v>
      </c>
    </row>
    <row r="1062" spans="1:12" x14ac:dyDescent="0.45">
      <c r="A1062" t="s">
        <v>90</v>
      </c>
      <c r="B1062" t="s">
        <v>1</v>
      </c>
      <c r="C1062" t="s">
        <v>84</v>
      </c>
      <c r="D1062" t="s">
        <v>52</v>
      </c>
      <c r="E1062" t="s">
        <v>25</v>
      </c>
      <c r="F1062" t="s">
        <v>52</v>
      </c>
      <c r="G1062" t="s">
        <v>71</v>
      </c>
      <c r="H1062" t="s">
        <v>89</v>
      </c>
      <c r="I1062">
        <v>2080</v>
      </c>
      <c r="J1062">
        <v>0</v>
      </c>
      <c r="K1062" t="s">
        <v>52</v>
      </c>
      <c r="L1062">
        <v>94</v>
      </c>
    </row>
    <row r="1063" spans="1:12" x14ac:dyDescent="0.45">
      <c r="A1063" t="s">
        <v>90</v>
      </c>
      <c r="B1063" t="s">
        <v>1</v>
      </c>
      <c r="C1063" t="s">
        <v>84</v>
      </c>
      <c r="D1063" t="s">
        <v>52</v>
      </c>
      <c r="E1063" t="s">
        <v>25</v>
      </c>
      <c r="F1063" t="s">
        <v>52</v>
      </c>
      <c r="G1063" t="s">
        <v>71</v>
      </c>
      <c r="H1063" t="s">
        <v>89</v>
      </c>
      <c r="I1063">
        <v>2085</v>
      </c>
      <c r="J1063">
        <v>0</v>
      </c>
      <c r="K1063" t="s">
        <v>52</v>
      </c>
      <c r="L1063">
        <v>94</v>
      </c>
    </row>
    <row r="1064" spans="1:12" x14ac:dyDescent="0.45">
      <c r="A1064" t="s">
        <v>90</v>
      </c>
      <c r="B1064" t="s">
        <v>1</v>
      </c>
      <c r="C1064" t="s">
        <v>84</v>
      </c>
      <c r="D1064" t="s">
        <v>52</v>
      </c>
      <c r="E1064" t="s">
        <v>25</v>
      </c>
      <c r="F1064" t="s">
        <v>52</v>
      </c>
      <c r="G1064" t="s">
        <v>71</v>
      </c>
      <c r="H1064" t="s">
        <v>89</v>
      </c>
      <c r="I1064">
        <v>2090</v>
      </c>
      <c r="J1064">
        <v>0</v>
      </c>
      <c r="K1064" t="s">
        <v>52</v>
      </c>
      <c r="L1064">
        <v>94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52</v>
      </c>
      <c r="E1065" t="s">
        <v>25</v>
      </c>
      <c r="F1065" t="s">
        <v>52</v>
      </c>
      <c r="G1065" t="s">
        <v>71</v>
      </c>
      <c r="H1065" t="s">
        <v>89</v>
      </c>
      <c r="I1065">
        <v>2095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1</v>
      </c>
      <c r="C1066" t="s">
        <v>84</v>
      </c>
      <c r="D1066" t="s">
        <v>52</v>
      </c>
      <c r="E1066" t="s">
        <v>25</v>
      </c>
      <c r="F1066" t="s">
        <v>52</v>
      </c>
      <c r="G1066" t="s">
        <v>71</v>
      </c>
      <c r="H1066" t="s">
        <v>89</v>
      </c>
      <c r="I1066">
        <v>2100</v>
      </c>
      <c r="J1066">
        <v>0</v>
      </c>
      <c r="K1066" t="s">
        <v>52</v>
      </c>
      <c r="L1066">
        <v>94</v>
      </c>
    </row>
    <row r="1067" spans="1:12" x14ac:dyDescent="0.45">
      <c r="A1067" t="s">
        <v>90</v>
      </c>
      <c r="B1067" t="s">
        <v>1</v>
      </c>
      <c r="C1067" t="s">
        <v>84</v>
      </c>
      <c r="D1067" t="s">
        <v>53</v>
      </c>
      <c r="E1067" t="s">
        <v>25</v>
      </c>
      <c r="F1067" t="s">
        <v>53</v>
      </c>
      <c r="G1067" t="s">
        <v>71</v>
      </c>
      <c r="H1067" t="s">
        <v>89</v>
      </c>
      <c r="I1067">
        <v>2020</v>
      </c>
      <c r="J1067">
        <v>0.25740000000000002</v>
      </c>
      <c r="K1067" t="s">
        <v>53</v>
      </c>
      <c r="L1067">
        <v>55</v>
      </c>
    </row>
    <row r="1068" spans="1:12" x14ac:dyDescent="0.45">
      <c r="A1068" t="s">
        <v>90</v>
      </c>
      <c r="B1068" t="s">
        <v>1</v>
      </c>
      <c r="C1068" t="s">
        <v>84</v>
      </c>
      <c r="D1068" t="s">
        <v>53</v>
      </c>
      <c r="E1068" t="s">
        <v>25</v>
      </c>
      <c r="F1068" t="s">
        <v>53</v>
      </c>
      <c r="G1068" t="s">
        <v>71</v>
      </c>
      <c r="H1068" t="s">
        <v>89</v>
      </c>
      <c r="I1068">
        <v>2025</v>
      </c>
      <c r="J1068">
        <v>0.23380000000000001</v>
      </c>
      <c r="K1068" t="s">
        <v>53</v>
      </c>
      <c r="L1068">
        <v>55</v>
      </c>
    </row>
    <row r="1069" spans="1:12" x14ac:dyDescent="0.45">
      <c r="A1069" t="s">
        <v>90</v>
      </c>
      <c r="B1069" t="s">
        <v>1</v>
      </c>
      <c r="C1069" t="s">
        <v>84</v>
      </c>
      <c r="D1069" t="s">
        <v>53</v>
      </c>
      <c r="E1069" t="s">
        <v>25</v>
      </c>
      <c r="F1069" t="s">
        <v>53</v>
      </c>
      <c r="G1069" t="s">
        <v>71</v>
      </c>
      <c r="H1069" t="s">
        <v>89</v>
      </c>
      <c r="I1069">
        <v>2030</v>
      </c>
      <c r="J1069">
        <v>1.29E-2</v>
      </c>
      <c r="K1069" t="s">
        <v>53</v>
      </c>
      <c r="L1069">
        <v>55</v>
      </c>
    </row>
    <row r="1070" spans="1:12" x14ac:dyDescent="0.45">
      <c r="A1070" t="s">
        <v>90</v>
      </c>
      <c r="B1070" t="s">
        <v>1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2035</v>
      </c>
      <c r="J1070">
        <v>5.9999999999999995E-4</v>
      </c>
      <c r="K1070" t="s">
        <v>53</v>
      </c>
      <c r="L1070">
        <v>55</v>
      </c>
    </row>
    <row r="1071" spans="1:12" x14ac:dyDescent="0.45">
      <c r="A1071" t="s">
        <v>90</v>
      </c>
      <c r="B1071" t="s">
        <v>1</v>
      </c>
      <c r="C1071" t="s">
        <v>84</v>
      </c>
      <c r="D1071" t="s">
        <v>53</v>
      </c>
      <c r="E1071" t="s">
        <v>25</v>
      </c>
      <c r="F1071" t="s">
        <v>53</v>
      </c>
      <c r="G1071" t="s">
        <v>71</v>
      </c>
      <c r="H1071" t="s">
        <v>89</v>
      </c>
      <c r="I1071">
        <v>2040</v>
      </c>
      <c r="J1071">
        <v>4.0000000000000002E-4</v>
      </c>
      <c r="K1071" t="s">
        <v>53</v>
      </c>
      <c r="L1071">
        <v>55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53</v>
      </c>
      <c r="E1072" t="s">
        <v>25</v>
      </c>
      <c r="F1072" t="s">
        <v>53</v>
      </c>
      <c r="G1072" t="s">
        <v>71</v>
      </c>
      <c r="H1072" t="s">
        <v>89</v>
      </c>
      <c r="I1072">
        <v>2045</v>
      </c>
      <c r="J1072">
        <v>2.0000000000000001E-4</v>
      </c>
      <c r="K1072" t="s">
        <v>53</v>
      </c>
      <c r="L1072">
        <v>55</v>
      </c>
    </row>
    <row r="1073" spans="1:12" x14ac:dyDescent="0.45">
      <c r="A1073" t="s">
        <v>90</v>
      </c>
      <c r="B1073" t="s">
        <v>1</v>
      </c>
      <c r="C1073" t="s">
        <v>84</v>
      </c>
      <c r="D1073" t="s">
        <v>53</v>
      </c>
      <c r="E1073" t="s">
        <v>25</v>
      </c>
      <c r="F1073" t="s">
        <v>53</v>
      </c>
      <c r="G1073" t="s">
        <v>71</v>
      </c>
      <c r="H1073" t="s">
        <v>89</v>
      </c>
      <c r="I1073">
        <v>2050</v>
      </c>
      <c r="J1073">
        <v>0</v>
      </c>
      <c r="K1073" t="s">
        <v>53</v>
      </c>
      <c r="L1073">
        <v>55</v>
      </c>
    </row>
    <row r="1074" spans="1:12" x14ac:dyDescent="0.45">
      <c r="A1074" t="s">
        <v>90</v>
      </c>
      <c r="B1074" t="s">
        <v>1</v>
      </c>
      <c r="C1074" t="s">
        <v>84</v>
      </c>
      <c r="D1074" t="s">
        <v>53</v>
      </c>
      <c r="E1074" t="s">
        <v>25</v>
      </c>
      <c r="F1074" t="s">
        <v>53</v>
      </c>
      <c r="G1074" t="s">
        <v>71</v>
      </c>
      <c r="H1074" t="s">
        <v>89</v>
      </c>
      <c r="I1074">
        <v>2055</v>
      </c>
      <c r="J1074">
        <v>0</v>
      </c>
      <c r="K1074" t="s">
        <v>53</v>
      </c>
      <c r="L1074">
        <v>55</v>
      </c>
    </row>
    <row r="1075" spans="1:12" x14ac:dyDescent="0.45">
      <c r="A1075" t="s">
        <v>90</v>
      </c>
      <c r="B1075" t="s">
        <v>1</v>
      </c>
      <c r="C1075" t="s">
        <v>84</v>
      </c>
      <c r="D1075" t="s">
        <v>53</v>
      </c>
      <c r="E1075" t="s">
        <v>25</v>
      </c>
      <c r="F1075" t="s">
        <v>53</v>
      </c>
      <c r="G1075" t="s">
        <v>71</v>
      </c>
      <c r="H1075" t="s">
        <v>89</v>
      </c>
      <c r="I1075">
        <v>2060</v>
      </c>
      <c r="J1075">
        <v>0</v>
      </c>
      <c r="K1075" t="s">
        <v>53</v>
      </c>
      <c r="L1075">
        <v>55</v>
      </c>
    </row>
    <row r="1076" spans="1:12" x14ac:dyDescent="0.45">
      <c r="A1076" t="s">
        <v>90</v>
      </c>
      <c r="B1076" t="s">
        <v>1</v>
      </c>
      <c r="C1076" t="s">
        <v>84</v>
      </c>
      <c r="D1076" t="s">
        <v>53</v>
      </c>
      <c r="E1076" t="s">
        <v>25</v>
      </c>
      <c r="F1076" t="s">
        <v>53</v>
      </c>
      <c r="G1076" t="s">
        <v>71</v>
      </c>
      <c r="H1076" t="s">
        <v>89</v>
      </c>
      <c r="I1076">
        <v>2065</v>
      </c>
      <c r="J1076">
        <v>0</v>
      </c>
      <c r="K1076" t="s">
        <v>53</v>
      </c>
      <c r="L1076">
        <v>55</v>
      </c>
    </row>
    <row r="1077" spans="1:12" x14ac:dyDescent="0.45">
      <c r="A1077" t="s">
        <v>90</v>
      </c>
      <c r="B1077" t="s">
        <v>1</v>
      </c>
      <c r="C1077" t="s">
        <v>84</v>
      </c>
      <c r="D1077" t="s">
        <v>53</v>
      </c>
      <c r="E1077" t="s">
        <v>25</v>
      </c>
      <c r="F1077" t="s">
        <v>53</v>
      </c>
      <c r="G1077" t="s">
        <v>71</v>
      </c>
      <c r="H1077" t="s">
        <v>89</v>
      </c>
      <c r="I1077">
        <v>2070</v>
      </c>
      <c r="J1077">
        <v>0</v>
      </c>
      <c r="K1077" t="s">
        <v>53</v>
      </c>
      <c r="L1077">
        <v>55</v>
      </c>
    </row>
    <row r="1078" spans="1:12" x14ac:dyDescent="0.45">
      <c r="A1078" t="s">
        <v>90</v>
      </c>
      <c r="B1078" t="s">
        <v>1</v>
      </c>
      <c r="C1078" t="s">
        <v>84</v>
      </c>
      <c r="D1078" t="s">
        <v>53</v>
      </c>
      <c r="E1078" t="s">
        <v>25</v>
      </c>
      <c r="F1078" t="s">
        <v>53</v>
      </c>
      <c r="G1078" t="s">
        <v>71</v>
      </c>
      <c r="H1078" t="s">
        <v>89</v>
      </c>
      <c r="I1078">
        <v>2075</v>
      </c>
      <c r="J1078">
        <v>0</v>
      </c>
      <c r="K1078" t="s">
        <v>53</v>
      </c>
      <c r="L1078">
        <v>55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53</v>
      </c>
      <c r="E1079" t="s">
        <v>25</v>
      </c>
      <c r="F1079" t="s">
        <v>53</v>
      </c>
      <c r="G1079" t="s">
        <v>71</v>
      </c>
      <c r="H1079" t="s">
        <v>89</v>
      </c>
      <c r="I1079">
        <v>2080</v>
      </c>
      <c r="J1079">
        <v>0</v>
      </c>
      <c r="K1079" t="s">
        <v>53</v>
      </c>
      <c r="L1079">
        <v>55</v>
      </c>
    </row>
    <row r="1080" spans="1:12" x14ac:dyDescent="0.45">
      <c r="A1080" t="s">
        <v>90</v>
      </c>
      <c r="B1080" t="s">
        <v>1</v>
      </c>
      <c r="C1080" t="s">
        <v>84</v>
      </c>
      <c r="D1080" t="s">
        <v>53</v>
      </c>
      <c r="E1080" t="s">
        <v>25</v>
      </c>
      <c r="F1080" t="s">
        <v>53</v>
      </c>
      <c r="G1080" t="s">
        <v>71</v>
      </c>
      <c r="H1080" t="s">
        <v>89</v>
      </c>
      <c r="I1080">
        <v>2085</v>
      </c>
      <c r="J1080">
        <v>0</v>
      </c>
      <c r="K1080" t="s">
        <v>53</v>
      </c>
      <c r="L1080">
        <v>55</v>
      </c>
    </row>
    <row r="1081" spans="1:12" x14ac:dyDescent="0.45">
      <c r="A1081" t="s">
        <v>90</v>
      </c>
      <c r="B1081" t="s">
        <v>1</v>
      </c>
      <c r="C1081" t="s">
        <v>84</v>
      </c>
      <c r="D1081" t="s">
        <v>53</v>
      </c>
      <c r="E1081" t="s">
        <v>25</v>
      </c>
      <c r="F1081" t="s">
        <v>53</v>
      </c>
      <c r="G1081" t="s">
        <v>71</v>
      </c>
      <c r="H1081" t="s">
        <v>89</v>
      </c>
      <c r="I1081">
        <v>2090</v>
      </c>
      <c r="J1081">
        <v>0</v>
      </c>
      <c r="K1081" t="s">
        <v>53</v>
      </c>
      <c r="L1081">
        <v>55</v>
      </c>
    </row>
    <row r="1082" spans="1:12" x14ac:dyDescent="0.45">
      <c r="A1082" t="s">
        <v>90</v>
      </c>
      <c r="B1082" t="s">
        <v>1</v>
      </c>
      <c r="C1082" t="s">
        <v>84</v>
      </c>
      <c r="D1082" t="s">
        <v>53</v>
      </c>
      <c r="E1082" t="s">
        <v>25</v>
      </c>
      <c r="F1082" t="s">
        <v>53</v>
      </c>
      <c r="G1082" t="s">
        <v>71</v>
      </c>
      <c r="H1082" t="s">
        <v>89</v>
      </c>
      <c r="I1082">
        <v>2095</v>
      </c>
      <c r="J1082">
        <v>0</v>
      </c>
      <c r="K1082" t="s">
        <v>53</v>
      </c>
      <c r="L1082">
        <v>55</v>
      </c>
    </row>
    <row r="1083" spans="1:12" x14ac:dyDescent="0.45">
      <c r="A1083" t="s">
        <v>90</v>
      </c>
      <c r="B1083" t="s">
        <v>1</v>
      </c>
      <c r="C1083" t="s">
        <v>84</v>
      </c>
      <c r="D1083" t="s">
        <v>53</v>
      </c>
      <c r="E1083" t="s">
        <v>25</v>
      </c>
      <c r="F1083" t="s">
        <v>53</v>
      </c>
      <c r="G1083" t="s">
        <v>71</v>
      </c>
      <c r="H1083" t="s">
        <v>89</v>
      </c>
      <c r="I1083">
        <v>2100</v>
      </c>
      <c r="J1083">
        <v>0</v>
      </c>
      <c r="K1083" t="s">
        <v>53</v>
      </c>
      <c r="L1083">
        <v>55</v>
      </c>
    </row>
    <row r="1084" spans="1:12" x14ac:dyDescent="0.45">
      <c r="A1084" t="s">
        <v>90</v>
      </c>
      <c r="B1084" t="s">
        <v>1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2020</v>
      </c>
      <c r="J1084">
        <v>4.1799999999999997E-2</v>
      </c>
      <c r="K1084" t="s">
        <v>54</v>
      </c>
      <c r="L1084">
        <v>70</v>
      </c>
    </row>
    <row r="1085" spans="1:12" x14ac:dyDescent="0.45">
      <c r="A1085" t="s">
        <v>90</v>
      </c>
      <c r="B1085" t="s">
        <v>1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2025</v>
      </c>
      <c r="J1085">
        <v>2.63E-2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2030</v>
      </c>
      <c r="J1086">
        <v>1.11E-2</v>
      </c>
      <c r="K1086" t="s">
        <v>54</v>
      </c>
      <c r="L1086">
        <v>70</v>
      </c>
    </row>
    <row r="1087" spans="1:12" x14ac:dyDescent="0.45">
      <c r="A1087" t="s">
        <v>90</v>
      </c>
      <c r="B1087" t="s">
        <v>1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2035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1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2040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1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2045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1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2050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1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2055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1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2060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2065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1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2070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1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2075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1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2080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1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2085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2090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1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2095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3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2025</v>
      </c>
      <c r="J1102">
        <v>5.6314500000000001</v>
      </c>
      <c r="K1102" t="s">
        <v>29</v>
      </c>
    </row>
    <row r="1103" spans="1:12" x14ac:dyDescent="0.45">
      <c r="A1103" t="s">
        <v>90</v>
      </c>
      <c r="B1103" t="s">
        <v>3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2030</v>
      </c>
      <c r="J1103">
        <v>5.5214499999999997</v>
      </c>
      <c r="K1103" t="s">
        <v>29</v>
      </c>
    </row>
    <row r="1104" spans="1:12" x14ac:dyDescent="0.45">
      <c r="A1104" t="s">
        <v>90</v>
      </c>
      <c r="B1104" t="s">
        <v>3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2035</v>
      </c>
      <c r="J1104">
        <v>5.7596500000000006</v>
      </c>
      <c r="K1104" t="s">
        <v>29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2040</v>
      </c>
      <c r="J1105">
        <v>6.8430499999999999</v>
      </c>
      <c r="K1105" t="s">
        <v>29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2045</v>
      </c>
      <c r="J1106">
        <v>6.9108000000000001</v>
      </c>
      <c r="K1106" t="s">
        <v>29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2050</v>
      </c>
      <c r="J1107">
        <v>7.9924499999999998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2055</v>
      </c>
      <c r="J1108">
        <v>8.6547000000000001</v>
      </c>
      <c r="K1108" t="s">
        <v>29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2060</v>
      </c>
      <c r="J1109">
        <v>12.725249999999999</v>
      </c>
      <c r="K1109" t="s">
        <v>29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2065</v>
      </c>
      <c r="J1110">
        <v>12.6111</v>
      </c>
      <c r="K1110" t="s">
        <v>29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2070</v>
      </c>
      <c r="J1111">
        <v>12.497</v>
      </c>
      <c r="K1111" t="s">
        <v>29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2075</v>
      </c>
      <c r="J1112">
        <v>13.562349999999999</v>
      </c>
      <c r="K1112" t="s">
        <v>29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2080</v>
      </c>
      <c r="J1113">
        <v>14.627700000000001</v>
      </c>
      <c r="K1113" t="s">
        <v>29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2085</v>
      </c>
      <c r="J1114">
        <v>15.284700000000001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2090</v>
      </c>
      <c r="J1115">
        <v>15.941649999999999</v>
      </c>
      <c r="K1115" t="s">
        <v>29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2095</v>
      </c>
      <c r="J1116">
        <v>15.99475</v>
      </c>
      <c r="K1116" t="s">
        <v>29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2100</v>
      </c>
      <c r="J1117">
        <v>16.047899999999998</v>
      </c>
      <c r="K1117" t="s">
        <v>29</v>
      </c>
    </row>
    <row r="1118" spans="1:11" x14ac:dyDescent="0.45">
      <c r="A1118" t="s">
        <v>90</v>
      </c>
      <c r="B1118" t="s">
        <v>3</v>
      </c>
      <c r="C1118" t="s">
        <v>84</v>
      </c>
      <c r="D1118" t="s">
        <v>33</v>
      </c>
      <c r="E1118" t="s">
        <v>30</v>
      </c>
      <c r="F1118" t="s">
        <v>33</v>
      </c>
      <c r="G1118" t="s">
        <v>31</v>
      </c>
      <c r="H1118" t="s">
        <v>34</v>
      </c>
      <c r="I1118">
        <v>2020</v>
      </c>
      <c r="J1118">
        <v>2.0344000000000002</v>
      </c>
      <c r="K1118" t="s">
        <v>33</v>
      </c>
    </row>
    <row r="1119" spans="1:11" x14ac:dyDescent="0.45">
      <c r="A1119" t="s">
        <v>90</v>
      </c>
      <c r="B1119" t="s">
        <v>3</v>
      </c>
      <c r="C1119" t="s">
        <v>84</v>
      </c>
      <c r="D1119" t="s">
        <v>33</v>
      </c>
      <c r="E1119" t="s">
        <v>30</v>
      </c>
      <c r="F1119" t="s">
        <v>33</v>
      </c>
      <c r="G1119" t="s">
        <v>31</v>
      </c>
      <c r="H1119" t="s">
        <v>34</v>
      </c>
      <c r="I1119">
        <v>2025</v>
      </c>
      <c r="J1119">
        <v>2.1930000000000001</v>
      </c>
      <c r="K1119" t="s">
        <v>33</v>
      </c>
    </row>
    <row r="1120" spans="1:11" x14ac:dyDescent="0.45">
      <c r="A1120" t="s">
        <v>90</v>
      </c>
      <c r="B1120" t="s">
        <v>3</v>
      </c>
      <c r="C1120" t="s">
        <v>84</v>
      </c>
      <c r="D1120" t="s">
        <v>33</v>
      </c>
      <c r="E1120" t="s">
        <v>30</v>
      </c>
      <c r="F1120" t="s">
        <v>33</v>
      </c>
      <c r="G1120" t="s">
        <v>31</v>
      </c>
      <c r="H1120" t="s">
        <v>34</v>
      </c>
      <c r="I1120">
        <v>2030</v>
      </c>
      <c r="J1120">
        <v>1.6815500000000001</v>
      </c>
      <c r="K1120" t="s">
        <v>33</v>
      </c>
    </row>
    <row r="1121" spans="1:11" x14ac:dyDescent="0.45">
      <c r="A1121" t="s">
        <v>90</v>
      </c>
      <c r="B1121" t="s">
        <v>3</v>
      </c>
      <c r="C1121" t="s">
        <v>84</v>
      </c>
      <c r="D1121" t="s">
        <v>33</v>
      </c>
      <c r="E1121" t="s">
        <v>30</v>
      </c>
      <c r="F1121" t="s">
        <v>33</v>
      </c>
      <c r="G1121" t="s">
        <v>31</v>
      </c>
      <c r="H1121" t="s">
        <v>34</v>
      </c>
      <c r="I1121">
        <v>2035</v>
      </c>
      <c r="J1121">
        <v>1.4066000000000001</v>
      </c>
      <c r="K1121" t="s">
        <v>33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33</v>
      </c>
      <c r="E1122" t="s">
        <v>30</v>
      </c>
      <c r="F1122" t="s">
        <v>33</v>
      </c>
      <c r="G1122" t="s">
        <v>31</v>
      </c>
      <c r="H1122" t="s">
        <v>34</v>
      </c>
      <c r="I1122">
        <v>2040</v>
      </c>
      <c r="J1122">
        <v>1.3738000000000001</v>
      </c>
      <c r="K1122" t="s">
        <v>33</v>
      </c>
    </row>
    <row r="1123" spans="1:11" x14ac:dyDescent="0.45">
      <c r="A1123" t="s">
        <v>90</v>
      </c>
      <c r="B1123" t="s">
        <v>3</v>
      </c>
      <c r="C1123" t="s">
        <v>84</v>
      </c>
      <c r="D1123" t="s">
        <v>33</v>
      </c>
      <c r="E1123" t="s">
        <v>30</v>
      </c>
      <c r="F1123" t="s">
        <v>33</v>
      </c>
      <c r="G1123" t="s">
        <v>31</v>
      </c>
      <c r="H1123" t="s">
        <v>34</v>
      </c>
      <c r="I1123">
        <v>2045</v>
      </c>
      <c r="J1123">
        <v>1.4182999999999999</v>
      </c>
      <c r="K1123" t="s">
        <v>33</v>
      </c>
    </row>
    <row r="1124" spans="1:11" x14ac:dyDescent="0.45">
      <c r="A1124" t="s">
        <v>90</v>
      </c>
      <c r="B1124" t="s">
        <v>3</v>
      </c>
      <c r="C1124" t="s">
        <v>84</v>
      </c>
      <c r="D1124" t="s">
        <v>33</v>
      </c>
      <c r="E1124" t="s">
        <v>30</v>
      </c>
      <c r="F1124" t="s">
        <v>33</v>
      </c>
      <c r="G1124" t="s">
        <v>31</v>
      </c>
      <c r="H1124" t="s">
        <v>34</v>
      </c>
      <c r="I1124">
        <v>2050</v>
      </c>
      <c r="J1124">
        <v>1.5704500000000001</v>
      </c>
      <c r="K1124" t="s">
        <v>33</v>
      </c>
    </row>
    <row r="1125" spans="1:11" x14ac:dyDescent="0.45">
      <c r="A1125" t="s">
        <v>90</v>
      </c>
      <c r="B1125" t="s">
        <v>3</v>
      </c>
      <c r="C1125" t="s">
        <v>84</v>
      </c>
      <c r="D1125" t="s">
        <v>33</v>
      </c>
      <c r="E1125" t="s">
        <v>30</v>
      </c>
      <c r="F1125" t="s">
        <v>33</v>
      </c>
      <c r="G1125" t="s">
        <v>31</v>
      </c>
      <c r="H1125" t="s">
        <v>34</v>
      </c>
      <c r="I1125">
        <v>2055</v>
      </c>
      <c r="J1125">
        <v>1.3464499999999999</v>
      </c>
      <c r="K1125" t="s">
        <v>33</v>
      </c>
    </row>
    <row r="1126" spans="1:11" x14ac:dyDescent="0.45">
      <c r="A1126" t="s">
        <v>90</v>
      </c>
      <c r="B1126" t="s">
        <v>3</v>
      </c>
      <c r="C1126" t="s">
        <v>84</v>
      </c>
      <c r="D1126" t="s">
        <v>33</v>
      </c>
      <c r="E1126" t="s">
        <v>30</v>
      </c>
      <c r="F1126" t="s">
        <v>33</v>
      </c>
      <c r="G1126" t="s">
        <v>31</v>
      </c>
      <c r="H1126" t="s">
        <v>34</v>
      </c>
      <c r="I1126">
        <v>2060</v>
      </c>
      <c r="J1126">
        <v>1.9051</v>
      </c>
      <c r="K1126" t="s">
        <v>33</v>
      </c>
    </row>
    <row r="1127" spans="1:11" x14ac:dyDescent="0.45">
      <c r="A1127" t="s">
        <v>90</v>
      </c>
      <c r="B1127" t="s">
        <v>3</v>
      </c>
      <c r="C1127" t="s">
        <v>84</v>
      </c>
      <c r="D1127" t="s">
        <v>33</v>
      </c>
      <c r="E1127" t="s">
        <v>30</v>
      </c>
      <c r="F1127" t="s">
        <v>33</v>
      </c>
      <c r="G1127" t="s">
        <v>31</v>
      </c>
      <c r="H1127" t="s">
        <v>34</v>
      </c>
      <c r="I1127">
        <v>2065</v>
      </c>
      <c r="J1127">
        <v>1.8803999999999998</v>
      </c>
      <c r="K1127" t="s">
        <v>33</v>
      </c>
    </row>
    <row r="1128" spans="1:11" x14ac:dyDescent="0.45">
      <c r="A1128" t="s">
        <v>90</v>
      </c>
      <c r="B1128" t="s">
        <v>3</v>
      </c>
      <c r="C1128" t="s">
        <v>84</v>
      </c>
      <c r="D1128" t="s">
        <v>33</v>
      </c>
      <c r="E1128" t="s">
        <v>30</v>
      </c>
      <c r="F1128" t="s">
        <v>33</v>
      </c>
      <c r="G1128" t="s">
        <v>31</v>
      </c>
      <c r="H1128" t="s">
        <v>34</v>
      </c>
      <c r="I1128">
        <v>2070</v>
      </c>
      <c r="J1128">
        <v>1.8557000000000001</v>
      </c>
      <c r="K1128" t="s">
        <v>33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33</v>
      </c>
      <c r="E1129" t="s">
        <v>30</v>
      </c>
      <c r="F1129" t="s">
        <v>33</v>
      </c>
      <c r="G1129" t="s">
        <v>31</v>
      </c>
      <c r="H1129" t="s">
        <v>34</v>
      </c>
      <c r="I1129">
        <v>2075</v>
      </c>
      <c r="J1129">
        <v>1.85775</v>
      </c>
      <c r="K1129" t="s">
        <v>33</v>
      </c>
    </row>
    <row r="1130" spans="1:11" x14ac:dyDescent="0.45">
      <c r="A1130" t="s">
        <v>90</v>
      </c>
      <c r="B1130" t="s">
        <v>3</v>
      </c>
      <c r="C1130" t="s">
        <v>84</v>
      </c>
      <c r="D1130" t="s">
        <v>33</v>
      </c>
      <c r="E1130" t="s">
        <v>30</v>
      </c>
      <c r="F1130" t="s">
        <v>33</v>
      </c>
      <c r="G1130" t="s">
        <v>31</v>
      </c>
      <c r="H1130" t="s">
        <v>34</v>
      </c>
      <c r="I1130">
        <v>2080</v>
      </c>
      <c r="J1130">
        <v>1.8597999999999999</v>
      </c>
      <c r="K1130" t="s">
        <v>33</v>
      </c>
    </row>
    <row r="1131" spans="1:11" x14ac:dyDescent="0.45">
      <c r="A1131" t="s">
        <v>90</v>
      </c>
      <c r="B1131" t="s">
        <v>3</v>
      </c>
      <c r="C1131" t="s">
        <v>84</v>
      </c>
      <c r="D1131" t="s">
        <v>33</v>
      </c>
      <c r="E1131" t="s">
        <v>30</v>
      </c>
      <c r="F1131" t="s">
        <v>33</v>
      </c>
      <c r="G1131" t="s">
        <v>31</v>
      </c>
      <c r="H1131" t="s">
        <v>34</v>
      </c>
      <c r="I1131">
        <v>2085</v>
      </c>
      <c r="J1131">
        <v>1.8835500000000001</v>
      </c>
      <c r="K1131" t="s">
        <v>33</v>
      </c>
    </row>
    <row r="1132" spans="1:11" x14ac:dyDescent="0.45">
      <c r="A1132" t="s">
        <v>90</v>
      </c>
      <c r="B1132" t="s">
        <v>3</v>
      </c>
      <c r="C1132" t="s">
        <v>84</v>
      </c>
      <c r="D1132" t="s">
        <v>33</v>
      </c>
      <c r="E1132" t="s">
        <v>30</v>
      </c>
      <c r="F1132" t="s">
        <v>33</v>
      </c>
      <c r="G1132" t="s">
        <v>31</v>
      </c>
      <c r="H1132" t="s">
        <v>34</v>
      </c>
      <c r="I1132">
        <v>2090</v>
      </c>
      <c r="J1132">
        <v>1.9073500000000001</v>
      </c>
      <c r="K1132" t="s">
        <v>33</v>
      </c>
    </row>
    <row r="1133" spans="1:11" x14ac:dyDescent="0.45">
      <c r="A1133" t="s">
        <v>90</v>
      </c>
      <c r="B1133" t="s">
        <v>3</v>
      </c>
      <c r="C1133" t="s">
        <v>84</v>
      </c>
      <c r="D1133" t="s">
        <v>33</v>
      </c>
      <c r="E1133" t="s">
        <v>30</v>
      </c>
      <c r="F1133" t="s">
        <v>33</v>
      </c>
      <c r="G1133" t="s">
        <v>31</v>
      </c>
      <c r="H1133" t="s">
        <v>34</v>
      </c>
      <c r="I1133">
        <v>2095</v>
      </c>
      <c r="J1133">
        <v>1.81115</v>
      </c>
      <c r="K1133" t="s">
        <v>33</v>
      </c>
    </row>
    <row r="1134" spans="1:11" x14ac:dyDescent="0.45">
      <c r="A1134" t="s">
        <v>90</v>
      </c>
      <c r="B1134" t="s">
        <v>3</v>
      </c>
      <c r="C1134" t="s">
        <v>84</v>
      </c>
      <c r="D1134" t="s">
        <v>33</v>
      </c>
      <c r="E1134" t="s">
        <v>30</v>
      </c>
      <c r="F1134" t="s">
        <v>33</v>
      </c>
      <c r="G1134" t="s">
        <v>31</v>
      </c>
      <c r="H1134" t="s">
        <v>34</v>
      </c>
      <c r="I1134">
        <v>2100</v>
      </c>
      <c r="J1134">
        <v>1.7150500000000002</v>
      </c>
      <c r="K1134" t="s">
        <v>33</v>
      </c>
    </row>
    <row r="1135" spans="1:11" x14ac:dyDescent="0.45">
      <c r="A1135" t="s">
        <v>90</v>
      </c>
      <c r="B1135" t="s">
        <v>3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4.6235499999999998</v>
      </c>
      <c r="K1136" t="s">
        <v>35</v>
      </c>
    </row>
    <row r="1137" spans="1:11" x14ac:dyDescent="0.45">
      <c r="A1137" t="s">
        <v>90</v>
      </c>
      <c r="B1137" t="s">
        <v>3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4.5418000000000003</v>
      </c>
      <c r="K1137" t="s">
        <v>35</v>
      </c>
    </row>
    <row r="1138" spans="1:11" x14ac:dyDescent="0.45">
      <c r="A1138" t="s">
        <v>90</v>
      </c>
      <c r="B1138" t="s">
        <v>3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5.2363</v>
      </c>
      <c r="K1138" t="s">
        <v>35</v>
      </c>
    </row>
    <row r="1139" spans="1:11" x14ac:dyDescent="0.45">
      <c r="A1139" t="s">
        <v>90</v>
      </c>
      <c r="B1139" t="s">
        <v>3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5.0498499999999993</v>
      </c>
      <c r="K1139" t="s">
        <v>35</v>
      </c>
    </row>
    <row r="1140" spans="1:11" x14ac:dyDescent="0.45">
      <c r="A1140" t="s">
        <v>90</v>
      </c>
      <c r="B1140" t="s">
        <v>3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4.7785500000000001</v>
      </c>
      <c r="K1140" t="s">
        <v>35</v>
      </c>
    </row>
    <row r="1141" spans="1:11" x14ac:dyDescent="0.45">
      <c r="A1141" t="s">
        <v>90</v>
      </c>
      <c r="B1141" t="s">
        <v>3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4.8227500000000001</v>
      </c>
      <c r="K1141" t="s">
        <v>35</v>
      </c>
    </row>
    <row r="1142" spans="1:11" x14ac:dyDescent="0.45">
      <c r="A1142" t="s">
        <v>90</v>
      </c>
      <c r="B1142" t="s">
        <v>3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4.5329499999999996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5.8452000000000002</v>
      </c>
      <c r="K1143" t="s">
        <v>35</v>
      </c>
    </row>
    <row r="1144" spans="1:11" x14ac:dyDescent="0.45">
      <c r="A1144" t="s">
        <v>90</v>
      </c>
      <c r="B1144" t="s">
        <v>3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5.5266999999999999</v>
      </c>
      <c r="K1144" t="s">
        <v>35</v>
      </c>
    </row>
    <row r="1145" spans="1:11" x14ac:dyDescent="0.45">
      <c r="A1145" t="s">
        <v>90</v>
      </c>
      <c r="B1145" t="s">
        <v>3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5.2081999999999997</v>
      </c>
      <c r="K1145" t="s">
        <v>35</v>
      </c>
    </row>
    <row r="1146" spans="1:11" x14ac:dyDescent="0.45">
      <c r="A1146" t="s">
        <v>90</v>
      </c>
      <c r="B1146" t="s">
        <v>3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5.0817499999999995</v>
      </c>
      <c r="K1146" t="s">
        <v>35</v>
      </c>
    </row>
    <row r="1147" spans="1:11" x14ac:dyDescent="0.45">
      <c r="A1147" t="s">
        <v>90</v>
      </c>
      <c r="B1147" t="s">
        <v>3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4.9551999999999996</v>
      </c>
      <c r="K1147" t="s">
        <v>35</v>
      </c>
    </row>
    <row r="1148" spans="1:11" x14ac:dyDescent="0.45">
      <c r="A1148" t="s">
        <v>90</v>
      </c>
      <c r="B1148" t="s">
        <v>3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5.0263999999999998</v>
      </c>
      <c r="K1148" t="s">
        <v>35</v>
      </c>
    </row>
    <row r="1149" spans="1:11" x14ac:dyDescent="0.45">
      <c r="A1149" t="s">
        <v>90</v>
      </c>
      <c r="B1149" t="s">
        <v>3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5.0976499999999998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5.0595999999999997</v>
      </c>
      <c r="K1150" t="s">
        <v>35</v>
      </c>
    </row>
    <row r="1151" spans="1:11" x14ac:dyDescent="0.45">
      <c r="A1151" t="s">
        <v>90</v>
      </c>
      <c r="B1151" t="s">
        <v>3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5.0215499999999995</v>
      </c>
      <c r="K1151" t="s">
        <v>35</v>
      </c>
    </row>
    <row r="1152" spans="1:11" x14ac:dyDescent="0.45">
      <c r="A1152" t="s">
        <v>90</v>
      </c>
      <c r="B1152" t="s">
        <v>3</v>
      </c>
      <c r="C1152" t="s">
        <v>84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2020</v>
      </c>
      <c r="J1152">
        <v>82.284700000000001</v>
      </c>
      <c r="K1152" t="s">
        <v>37</v>
      </c>
    </row>
    <row r="1153" spans="1:11" x14ac:dyDescent="0.45">
      <c r="A1153" t="s">
        <v>90</v>
      </c>
      <c r="B1153" t="s">
        <v>3</v>
      </c>
      <c r="C1153" t="s">
        <v>84</v>
      </c>
      <c r="D1153" t="s">
        <v>37</v>
      </c>
      <c r="E1153" t="s">
        <v>30</v>
      </c>
      <c r="F1153" t="s">
        <v>37</v>
      </c>
      <c r="G1153" t="s">
        <v>31</v>
      </c>
      <c r="H1153" t="s">
        <v>38</v>
      </c>
      <c r="I1153">
        <v>2025</v>
      </c>
      <c r="J1153">
        <v>89.96575</v>
      </c>
      <c r="K1153" t="s">
        <v>37</v>
      </c>
    </row>
    <row r="1154" spans="1:11" x14ac:dyDescent="0.45">
      <c r="A1154" t="s">
        <v>90</v>
      </c>
      <c r="B1154" t="s">
        <v>3</v>
      </c>
      <c r="C1154" t="s">
        <v>84</v>
      </c>
      <c r="D1154" t="s">
        <v>37</v>
      </c>
      <c r="E1154" t="s">
        <v>30</v>
      </c>
      <c r="F1154" t="s">
        <v>37</v>
      </c>
      <c r="G1154" t="s">
        <v>31</v>
      </c>
      <c r="H1154" t="s">
        <v>38</v>
      </c>
      <c r="I1154">
        <v>2030</v>
      </c>
      <c r="J1154">
        <v>91.722499999999997</v>
      </c>
      <c r="K1154" t="s">
        <v>37</v>
      </c>
    </row>
    <row r="1155" spans="1:11" x14ac:dyDescent="0.45">
      <c r="A1155" t="s">
        <v>90</v>
      </c>
      <c r="B1155" t="s">
        <v>3</v>
      </c>
      <c r="C1155" t="s">
        <v>84</v>
      </c>
      <c r="D1155" t="s">
        <v>37</v>
      </c>
      <c r="E1155" t="s">
        <v>30</v>
      </c>
      <c r="F1155" t="s">
        <v>37</v>
      </c>
      <c r="G1155" t="s">
        <v>31</v>
      </c>
      <c r="H1155" t="s">
        <v>38</v>
      </c>
      <c r="I1155">
        <v>2035</v>
      </c>
      <c r="J1155">
        <v>80.866849999999999</v>
      </c>
      <c r="K1155" t="s">
        <v>37</v>
      </c>
    </row>
    <row r="1156" spans="1:11" x14ac:dyDescent="0.45">
      <c r="A1156" t="s">
        <v>90</v>
      </c>
      <c r="B1156" t="s">
        <v>3</v>
      </c>
      <c r="C1156" t="s">
        <v>84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2040</v>
      </c>
      <c r="J1156">
        <v>94.775350000000003</v>
      </c>
      <c r="K1156" t="s">
        <v>37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37</v>
      </c>
      <c r="E1157" t="s">
        <v>30</v>
      </c>
      <c r="F1157" t="s">
        <v>37</v>
      </c>
      <c r="G1157" t="s">
        <v>31</v>
      </c>
      <c r="H1157" t="s">
        <v>38</v>
      </c>
      <c r="I1157">
        <v>2045</v>
      </c>
      <c r="J1157">
        <v>109.4058</v>
      </c>
      <c r="K1157" t="s">
        <v>37</v>
      </c>
    </row>
    <row r="1158" spans="1:11" x14ac:dyDescent="0.45">
      <c r="A1158" t="s">
        <v>90</v>
      </c>
      <c r="B1158" t="s">
        <v>3</v>
      </c>
      <c r="C1158" t="s">
        <v>84</v>
      </c>
      <c r="D1158" t="s">
        <v>37</v>
      </c>
      <c r="E1158" t="s">
        <v>30</v>
      </c>
      <c r="F1158" t="s">
        <v>37</v>
      </c>
      <c r="G1158" t="s">
        <v>31</v>
      </c>
      <c r="H1158" t="s">
        <v>38</v>
      </c>
      <c r="I1158">
        <v>2050</v>
      </c>
      <c r="J1158">
        <v>127.68880000000001</v>
      </c>
      <c r="K1158" t="s">
        <v>37</v>
      </c>
    </row>
    <row r="1159" spans="1:11" x14ac:dyDescent="0.45">
      <c r="A1159" t="s">
        <v>90</v>
      </c>
      <c r="B1159" t="s">
        <v>3</v>
      </c>
      <c r="C1159" t="s">
        <v>84</v>
      </c>
      <c r="D1159" t="s">
        <v>37</v>
      </c>
      <c r="E1159" t="s">
        <v>30</v>
      </c>
      <c r="F1159" t="s">
        <v>37</v>
      </c>
      <c r="G1159" t="s">
        <v>31</v>
      </c>
      <c r="H1159" t="s">
        <v>38</v>
      </c>
      <c r="I1159">
        <v>2055</v>
      </c>
      <c r="J1159">
        <v>138.68365</v>
      </c>
      <c r="K1159" t="s">
        <v>37</v>
      </c>
    </row>
    <row r="1160" spans="1:11" x14ac:dyDescent="0.45">
      <c r="A1160" t="s">
        <v>90</v>
      </c>
      <c r="B1160" t="s">
        <v>3</v>
      </c>
      <c r="C1160" t="s">
        <v>84</v>
      </c>
      <c r="D1160" t="s">
        <v>37</v>
      </c>
      <c r="E1160" t="s">
        <v>30</v>
      </c>
      <c r="F1160" t="s">
        <v>37</v>
      </c>
      <c r="G1160" t="s">
        <v>31</v>
      </c>
      <c r="H1160" t="s">
        <v>38</v>
      </c>
      <c r="I1160">
        <v>2060</v>
      </c>
      <c r="J1160">
        <v>231.57419999999999</v>
      </c>
      <c r="K1160" t="s">
        <v>37</v>
      </c>
    </row>
    <row r="1161" spans="1:11" x14ac:dyDescent="0.45">
      <c r="A1161" t="s">
        <v>90</v>
      </c>
      <c r="B1161" t="s">
        <v>3</v>
      </c>
      <c r="C1161" t="s">
        <v>84</v>
      </c>
      <c r="D1161" t="s">
        <v>37</v>
      </c>
      <c r="E1161" t="s">
        <v>30</v>
      </c>
      <c r="F1161" t="s">
        <v>37</v>
      </c>
      <c r="G1161" t="s">
        <v>31</v>
      </c>
      <c r="H1161" t="s">
        <v>38</v>
      </c>
      <c r="I1161">
        <v>2065</v>
      </c>
      <c r="J1161">
        <v>276.86974999999995</v>
      </c>
      <c r="K1161" t="s">
        <v>37</v>
      </c>
    </row>
    <row r="1162" spans="1:11" x14ac:dyDescent="0.45">
      <c r="A1162" t="s">
        <v>90</v>
      </c>
      <c r="B1162" t="s">
        <v>3</v>
      </c>
      <c r="C1162" t="s">
        <v>84</v>
      </c>
      <c r="D1162" t="s">
        <v>37</v>
      </c>
      <c r="E1162" t="s">
        <v>30</v>
      </c>
      <c r="F1162" t="s">
        <v>37</v>
      </c>
      <c r="G1162" t="s">
        <v>31</v>
      </c>
      <c r="H1162" t="s">
        <v>38</v>
      </c>
      <c r="I1162">
        <v>2070</v>
      </c>
      <c r="J1162">
        <v>322.16525000000001</v>
      </c>
      <c r="K1162" t="s">
        <v>37</v>
      </c>
    </row>
    <row r="1163" spans="1:11" x14ac:dyDescent="0.45">
      <c r="A1163" t="s">
        <v>90</v>
      </c>
      <c r="B1163" t="s">
        <v>3</v>
      </c>
      <c r="C1163" t="s">
        <v>84</v>
      </c>
      <c r="D1163" t="s">
        <v>37</v>
      </c>
      <c r="E1163" t="s">
        <v>30</v>
      </c>
      <c r="F1163" t="s">
        <v>37</v>
      </c>
      <c r="G1163" t="s">
        <v>31</v>
      </c>
      <c r="H1163" t="s">
        <v>38</v>
      </c>
      <c r="I1163">
        <v>2075</v>
      </c>
      <c r="J1163">
        <v>329.49990000000003</v>
      </c>
      <c r="K1163" t="s">
        <v>37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37</v>
      </c>
      <c r="E1164" t="s">
        <v>30</v>
      </c>
      <c r="F1164" t="s">
        <v>37</v>
      </c>
      <c r="G1164" t="s">
        <v>31</v>
      </c>
      <c r="H1164" t="s">
        <v>38</v>
      </c>
      <c r="I1164">
        <v>2080</v>
      </c>
      <c r="J1164">
        <v>336.83455000000004</v>
      </c>
      <c r="K1164" t="s">
        <v>37</v>
      </c>
    </row>
    <row r="1165" spans="1:11" x14ac:dyDescent="0.45">
      <c r="A1165" t="s">
        <v>90</v>
      </c>
      <c r="B1165" t="s">
        <v>3</v>
      </c>
      <c r="C1165" t="s">
        <v>84</v>
      </c>
      <c r="D1165" t="s">
        <v>37</v>
      </c>
      <c r="E1165" t="s">
        <v>30</v>
      </c>
      <c r="F1165" t="s">
        <v>37</v>
      </c>
      <c r="G1165" t="s">
        <v>31</v>
      </c>
      <c r="H1165" t="s">
        <v>38</v>
      </c>
      <c r="I1165">
        <v>2085</v>
      </c>
      <c r="J1165">
        <v>339.76205000000004</v>
      </c>
      <c r="K1165" t="s">
        <v>37</v>
      </c>
    </row>
    <row r="1166" spans="1:11" x14ac:dyDescent="0.45">
      <c r="A1166" t="s">
        <v>90</v>
      </c>
      <c r="B1166" t="s">
        <v>3</v>
      </c>
      <c r="C1166" t="s">
        <v>84</v>
      </c>
      <c r="D1166" t="s">
        <v>37</v>
      </c>
      <c r="E1166" t="s">
        <v>30</v>
      </c>
      <c r="F1166" t="s">
        <v>37</v>
      </c>
      <c r="G1166" t="s">
        <v>31</v>
      </c>
      <c r="H1166" t="s">
        <v>38</v>
      </c>
      <c r="I1166">
        <v>2090</v>
      </c>
      <c r="J1166">
        <v>342.68944999999997</v>
      </c>
      <c r="K1166" t="s">
        <v>37</v>
      </c>
    </row>
    <row r="1167" spans="1:11" x14ac:dyDescent="0.45">
      <c r="A1167" t="s">
        <v>90</v>
      </c>
      <c r="B1167" t="s">
        <v>3</v>
      </c>
      <c r="C1167" t="s">
        <v>84</v>
      </c>
      <c r="D1167" t="s">
        <v>37</v>
      </c>
      <c r="E1167" t="s">
        <v>30</v>
      </c>
      <c r="F1167" t="s">
        <v>37</v>
      </c>
      <c r="G1167" t="s">
        <v>31</v>
      </c>
      <c r="H1167" t="s">
        <v>38</v>
      </c>
      <c r="I1167">
        <v>2095</v>
      </c>
      <c r="J1167">
        <v>348.86220000000003</v>
      </c>
      <c r="K1167" t="s">
        <v>37</v>
      </c>
    </row>
    <row r="1168" spans="1:11" x14ac:dyDescent="0.45">
      <c r="A1168" t="s">
        <v>90</v>
      </c>
      <c r="B1168" t="s">
        <v>3</v>
      </c>
      <c r="C1168" t="s">
        <v>84</v>
      </c>
      <c r="D1168" t="s">
        <v>37</v>
      </c>
      <c r="E1168" t="s">
        <v>30</v>
      </c>
      <c r="F1168" t="s">
        <v>37</v>
      </c>
      <c r="G1168" t="s">
        <v>31</v>
      </c>
      <c r="H1168" t="s">
        <v>38</v>
      </c>
      <c r="I1168">
        <v>2100</v>
      </c>
      <c r="J1168">
        <v>355.03494999999998</v>
      </c>
      <c r="K1168" t="s">
        <v>37</v>
      </c>
    </row>
    <row r="1169" spans="1:11" x14ac:dyDescent="0.45">
      <c r="A1169" t="s">
        <v>90</v>
      </c>
      <c r="B1169" t="s">
        <v>4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2020</v>
      </c>
      <c r="J1169">
        <v>5.3799000000000001</v>
      </c>
      <c r="K1169" t="s">
        <v>29</v>
      </c>
    </row>
    <row r="1170" spans="1:11" x14ac:dyDescent="0.45">
      <c r="A1170" t="s">
        <v>90</v>
      </c>
      <c r="B1170" t="s">
        <v>4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2025</v>
      </c>
      <c r="J1170">
        <v>5.7637999999999998</v>
      </c>
      <c r="K1170" t="s">
        <v>29</v>
      </c>
    </row>
    <row r="1171" spans="1:11" x14ac:dyDescent="0.45">
      <c r="A1171" t="s">
        <v>90</v>
      </c>
      <c r="B1171" t="s">
        <v>4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2030</v>
      </c>
      <c r="J1171">
        <v>5.3145500000000006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2035</v>
      </c>
      <c r="J1172">
        <v>4.5601500000000001</v>
      </c>
      <c r="K1172" t="s">
        <v>29</v>
      </c>
    </row>
    <row r="1173" spans="1:11" x14ac:dyDescent="0.45">
      <c r="A1173" t="s">
        <v>90</v>
      </c>
      <c r="B1173" t="s">
        <v>4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2040</v>
      </c>
      <c r="J1173">
        <v>2.1816000000000004</v>
      </c>
      <c r="K1173" t="s">
        <v>29</v>
      </c>
    </row>
    <row r="1174" spans="1:11" x14ac:dyDescent="0.45">
      <c r="A1174" t="s">
        <v>90</v>
      </c>
      <c r="B1174" t="s">
        <v>4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2045</v>
      </c>
      <c r="J1174">
        <v>2.3449</v>
      </c>
      <c r="K1174" t="s">
        <v>29</v>
      </c>
    </row>
    <row r="1175" spans="1:11" x14ac:dyDescent="0.45">
      <c r="A1175" t="s">
        <v>90</v>
      </c>
      <c r="B1175" t="s">
        <v>4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2050</v>
      </c>
      <c r="J1175">
        <v>3.6767000000000003</v>
      </c>
      <c r="K1175" t="s">
        <v>29</v>
      </c>
    </row>
    <row r="1176" spans="1:11" x14ac:dyDescent="0.45">
      <c r="A1176" t="s">
        <v>90</v>
      </c>
      <c r="B1176" t="s">
        <v>4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2055</v>
      </c>
      <c r="J1176">
        <v>4.1312499999999996</v>
      </c>
      <c r="K1176" t="s">
        <v>29</v>
      </c>
    </row>
    <row r="1177" spans="1:11" x14ac:dyDescent="0.45">
      <c r="A1177" t="s">
        <v>90</v>
      </c>
      <c r="B1177" t="s">
        <v>4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2060</v>
      </c>
      <c r="J1177">
        <v>5.2963500000000003</v>
      </c>
      <c r="K1177" t="s">
        <v>29</v>
      </c>
    </row>
    <row r="1178" spans="1:11" x14ac:dyDescent="0.45">
      <c r="A1178" t="s">
        <v>90</v>
      </c>
      <c r="B1178" t="s">
        <v>4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2065</v>
      </c>
      <c r="J1178">
        <v>6.2115499999999999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2070</v>
      </c>
      <c r="J1179">
        <v>7.1266999999999996</v>
      </c>
      <c r="K1179" t="s">
        <v>29</v>
      </c>
    </row>
    <row r="1180" spans="1:11" x14ac:dyDescent="0.45">
      <c r="A1180" t="s">
        <v>90</v>
      </c>
      <c r="B1180" t="s">
        <v>4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7.1797500000000003</v>
      </c>
      <c r="K1180" t="s">
        <v>29</v>
      </c>
    </row>
    <row r="1181" spans="1:11" x14ac:dyDescent="0.45">
      <c r="A1181" t="s">
        <v>90</v>
      </c>
      <c r="B1181" t="s">
        <v>4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2080</v>
      </c>
      <c r="J1181">
        <v>7.2326999999999995</v>
      </c>
      <c r="K1181" t="s">
        <v>29</v>
      </c>
    </row>
    <row r="1182" spans="1:11" x14ac:dyDescent="0.45">
      <c r="A1182" t="s">
        <v>90</v>
      </c>
      <c r="B1182" t="s">
        <v>4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2085</v>
      </c>
      <c r="J1182">
        <v>7.1741000000000001</v>
      </c>
      <c r="K1182" t="s">
        <v>29</v>
      </c>
    </row>
    <row r="1183" spans="1:11" x14ac:dyDescent="0.45">
      <c r="A1183" t="s">
        <v>90</v>
      </c>
      <c r="B1183" t="s">
        <v>4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2090</v>
      </c>
      <c r="J1183">
        <v>7.1154500000000001</v>
      </c>
      <c r="K1183" t="s">
        <v>29</v>
      </c>
    </row>
    <row r="1184" spans="1:11" x14ac:dyDescent="0.45">
      <c r="A1184" t="s">
        <v>90</v>
      </c>
      <c r="B1184" t="s">
        <v>4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2095</v>
      </c>
      <c r="J1184">
        <v>7.3076499999999998</v>
      </c>
      <c r="K1184" t="s">
        <v>29</v>
      </c>
    </row>
    <row r="1185" spans="1:11" x14ac:dyDescent="0.45">
      <c r="A1185" t="s">
        <v>90</v>
      </c>
      <c r="B1185" t="s">
        <v>4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2100</v>
      </c>
      <c r="J1185">
        <v>7.4998000000000005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33</v>
      </c>
      <c r="E1186" t="s">
        <v>30</v>
      </c>
      <c r="F1186" t="s">
        <v>33</v>
      </c>
      <c r="G1186" t="s">
        <v>31</v>
      </c>
      <c r="H1186" t="s">
        <v>34</v>
      </c>
      <c r="I1186">
        <v>2020</v>
      </c>
      <c r="J1186">
        <v>2.0344000000000002</v>
      </c>
      <c r="K1186" t="s">
        <v>33</v>
      </c>
    </row>
    <row r="1187" spans="1:11" x14ac:dyDescent="0.45">
      <c r="A1187" t="s">
        <v>90</v>
      </c>
      <c r="B1187" t="s">
        <v>4</v>
      </c>
      <c r="C1187" t="s">
        <v>84</v>
      </c>
      <c r="D1187" t="s">
        <v>33</v>
      </c>
      <c r="E1187" t="s">
        <v>30</v>
      </c>
      <c r="F1187" t="s">
        <v>33</v>
      </c>
      <c r="G1187" t="s">
        <v>31</v>
      </c>
      <c r="H1187" t="s">
        <v>34</v>
      </c>
      <c r="I1187">
        <v>2025</v>
      </c>
      <c r="J1187">
        <v>2.2243500000000003</v>
      </c>
      <c r="K1187" t="s">
        <v>33</v>
      </c>
    </row>
    <row r="1188" spans="1:11" x14ac:dyDescent="0.45">
      <c r="A1188" t="s">
        <v>90</v>
      </c>
      <c r="B1188" t="s">
        <v>4</v>
      </c>
      <c r="C1188" t="s">
        <v>84</v>
      </c>
      <c r="D1188" t="s">
        <v>33</v>
      </c>
      <c r="E1188" t="s">
        <v>30</v>
      </c>
      <c r="F1188" t="s">
        <v>33</v>
      </c>
      <c r="G1188" t="s">
        <v>31</v>
      </c>
      <c r="H1188" t="s">
        <v>34</v>
      </c>
      <c r="I1188">
        <v>2030</v>
      </c>
      <c r="J1188">
        <v>2.2640500000000001</v>
      </c>
      <c r="K1188" t="s">
        <v>33</v>
      </c>
    </row>
    <row r="1189" spans="1:11" x14ac:dyDescent="0.45">
      <c r="A1189" t="s">
        <v>90</v>
      </c>
      <c r="B1189" t="s">
        <v>4</v>
      </c>
      <c r="C1189" t="s">
        <v>84</v>
      </c>
      <c r="D1189" t="s">
        <v>33</v>
      </c>
      <c r="E1189" t="s">
        <v>30</v>
      </c>
      <c r="F1189" t="s">
        <v>33</v>
      </c>
      <c r="G1189" t="s">
        <v>31</v>
      </c>
      <c r="H1189" t="s">
        <v>34</v>
      </c>
      <c r="I1189">
        <v>2035</v>
      </c>
      <c r="J1189">
        <v>2.3101000000000003</v>
      </c>
      <c r="K1189" t="s">
        <v>33</v>
      </c>
    </row>
    <row r="1190" spans="1:11" x14ac:dyDescent="0.45">
      <c r="A1190" t="s">
        <v>90</v>
      </c>
      <c r="B1190" t="s">
        <v>4</v>
      </c>
      <c r="C1190" t="s">
        <v>84</v>
      </c>
      <c r="D1190" t="s">
        <v>33</v>
      </c>
      <c r="E1190" t="s">
        <v>30</v>
      </c>
      <c r="F1190" t="s">
        <v>33</v>
      </c>
      <c r="G1190" t="s">
        <v>31</v>
      </c>
      <c r="H1190" t="s">
        <v>34</v>
      </c>
      <c r="I1190">
        <v>2040</v>
      </c>
      <c r="J1190">
        <v>2.37805</v>
      </c>
      <c r="K1190" t="s">
        <v>33</v>
      </c>
    </row>
    <row r="1191" spans="1:11" x14ac:dyDescent="0.45">
      <c r="A1191" t="s">
        <v>90</v>
      </c>
      <c r="B1191" t="s">
        <v>4</v>
      </c>
      <c r="C1191" t="s">
        <v>84</v>
      </c>
      <c r="D1191" t="s">
        <v>33</v>
      </c>
      <c r="E1191" t="s">
        <v>30</v>
      </c>
      <c r="F1191" t="s">
        <v>33</v>
      </c>
      <c r="G1191" t="s">
        <v>31</v>
      </c>
      <c r="H1191" t="s">
        <v>34</v>
      </c>
      <c r="I1191">
        <v>2045</v>
      </c>
      <c r="J1191">
        <v>2.4756</v>
      </c>
      <c r="K1191" t="s">
        <v>33</v>
      </c>
    </row>
    <row r="1192" spans="1:11" x14ac:dyDescent="0.45">
      <c r="A1192" t="s">
        <v>90</v>
      </c>
      <c r="B1192" t="s">
        <v>4</v>
      </c>
      <c r="C1192" t="s">
        <v>84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2050</v>
      </c>
      <c r="J1192">
        <v>2.7322500000000001</v>
      </c>
      <c r="K1192" t="s">
        <v>33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33</v>
      </c>
      <c r="E1193" t="s">
        <v>30</v>
      </c>
      <c r="F1193" t="s">
        <v>33</v>
      </c>
      <c r="G1193" t="s">
        <v>31</v>
      </c>
      <c r="H1193" t="s">
        <v>34</v>
      </c>
      <c r="I1193">
        <v>2055</v>
      </c>
      <c r="J1193">
        <v>2.6589499999999999</v>
      </c>
      <c r="K1193" t="s">
        <v>33</v>
      </c>
    </row>
    <row r="1194" spans="1:11" x14ac:dyDescent="0.45">
      <c r="A1194" t="s">
        <v>90</v>
      </c>
      <c r="B1194" t="s">
        <v>4</v>
      </c>
      <c r="C1194" t="s">
        <v>84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2060</v>
      </c>
      <c r="J1194">
        <v>3.4098000000000002</v>
      </c>
      <c r="K1194" t="s">
        <v>33</v>
      </c>
    </row>
    <row r="1195" spans="1:11" x14ac:dyDescent="0.45">
      <c r="A1195" t="s">
        <v>90</v>
      </c>
      <c r="B1195" t="s">
        <v>4</v>
      </c>
      <c r="C1195" t="s">
        <v>84</v>
      </c>
      <c r="D1195" t="s">
        <v>33</v>
      </c>
      <c r="E1195" t="s">
        <v>30</v>
      </c>
      <c r="F1195" t="s">
        <v>33</v>
      </c>
      <c r="G1195" t="s">
        <v>31</v>
      </c>
      <c r="H1195" t="s">
        <v>34</v>
      </c>
      <c r="I1195">
        <v>2065</v>
      </c>
      <c r="J1195">
        <v>3.5568999999999997</v>
      </c>
      <c r="K1195" t="s">
        <v>33</v>
      </c>
    </row>
    <row r="1196" spans="1:11" x14ac:dyDescent="0.45">
      <c r="A1196" t="s">
        <v>90</v>
      </c>
      <c r="B1196" t="s">
        <v>4</v>
      </c>
      <c r="C1196" t="s">
        <v>84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2070</v>
      </c>
      <c r="J1196">
        <v>3.7039</v>
      </c>
      <c r="K1196" t="s">
        <v>33</v>
      </c>
    </row>
    <row r="1197" spans="1:11" x14ac:dyDescent="0.45">
      <c r="A1197" t="s">
        <v>90</v>
      </c>
      <c r="B1197" t="s">
        <v>4</v>
      </c>
      <c r="C1197" t="s">
        <v>84</v>
      </c>
      <c r="D1197" t="s">
        <v>33</v>
      </c>
      <c r="E1197" t="s">
        <v>30</v>
      </c>
      <c r="F1197" t="s">
        <v>33</v>
      </c>
      <c r="G1197" t="s">
        <v>31</v>
      </c>
      <c r="H1197" t="s">
        <v>34</v>
      </c>
      <c r="I1197">
        <v>2075</v>
      </c>
      <c r="J1197">
        <v>3.8219000000000003</v>
      </c>
      <c r="K1197" t="s">
        <v>33</v>
      </c>
    </row>
    <row r="1198" spans="1:11" x14ac:dyDescent="0.45">
      <c r="A1198" t="s">
        <v>90</v>
      </c>
      <c r="B1198" t="s">
        <v>4</v>
      </c>
      <c r="C1198" t="s">
        <v>84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2080</v>
      </c>
      <c r="J1198">
        <v>3.9399000000000002</v>
      </c>
      <c r="K1198" t="s">
        <v>33</v>
      </c>
    </row>
    <row r="1199" spans="1:11" x14ac:dyDescent="0.45">
      <c r="A1199" t="s">
        <v>90</v>
      </c>
      <c r="B1199" t="s">
        <v>4</v>
      </c>
      <c r="C1199" t="s">
        <v>84</v>
      </c>
      <c r="D1199" t="s">
        <v>33</v>
      </c>
      <c r="E1199" t="s">
        <v>30</v>
      </c>
      <c r="F1199" t="s">
        <v>33</v>
      </c>
      <c r="G1199" t="s">
        <v>31</v>
      </c>
      <c r="H1199" t="s">
        <v>34</v>
      </c>
      <c r="I1199">
        <v>2085</v>
      </c>
      <c r="J1199">
        <v>4.0999499999999998</v>
      </c>
      <c r="K1199" t="s">
        <v>33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33</v>
      </c>
      <c r="E1200" t="s">
        <v>30</v>
      </c>
      <c r="F1200" t="s">
        <v>33</v>
      </c>
      <c r="G1200" t="s">
        <v>31</v>
      </c>
      <c r="H1200" t="s">
        <v>34</v>
      </c>
      <c r="I1200">
        <v>2090</v>
      </c>
      <c r="J1200">
        <v>4.2600999999999996</v>
      </c>
      <c r="K1200" t="s">
        <v>33</v>
      </c>
    </row>
    <row r="1201" spans="1:11" x14ac:dyDescent="0.45">
      <c r="A1201" t="s">
        <v>90</v>
      </c>
      <c r="B1201" t="s">
        <v>4</v>
      </c>
      <c r="C1201" t="s">
        <v>84</v>
      </c>
      <c r="D1201" t="s">
        <v>33</v>
      </c>
      <c r="E1201" t="s">
        <v>30</v>
      </c>
      <c r="F1201" t="s">
        <v>33</v>
      </c>
      <c r="G1201" t="s">
        <v>31</v>
      </c>
      <c r="H1201" t="s">
        <v>34</v>
      </c>
      <c r="I1201">
        <v>2095</v>
      </c>
      <c r="J1201">
        <v>4.2486499999999996</v>
      </c>
      <c r="K1201" t="s">
        <v>33</v>
      </c>
    </row>
    <row r="1202" spans="1:11" x14ac:dyDescent="0.45">
      <c r="A1202" t="s">
        <v>90</v>
      </c>
      <c r="B1202" t="s">
        <v>4</v>
      </c>
      <c r="C1202" t="s">
        <v>84</v>
      </c>
      <c r="D1202" t="s">
        <v>33</v>
      </c>
      <c r="E1202" t="s">
        <v>30</v>
      </c>
      <c r="F1202" t="s">
        <v>33</v>
      </c>
      <c r="G1202" t="s">
        <v>31</v>
      </c>
      <c r="H1202" t="s">
        <v>34</v>
      </c>
      <c r="I1202">
        <v>2100</v>
      </c>
      <c r="J1202">
        <v>4.2371499999999997</v>
      </c>
      <c r="K1202" t="s">
        <v>33</v>
      </c>
    </row>
    <row r="1203" spans="1:11" x14ac:dyDescent="0.45">
      <c r="A1203" t="s">
        <v>90</v>
      </c>
      <c r="B1203" t="s">
        <v>4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4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4.6684000000000001</v>
      </c>
      <c r="K1204" t="s">
        <v>35</v>
      </c>
    </row>
    <row r="1205" spans="1:11" x14ac:dyDescent="0.45">
      <c r="A1205" t="s">
        <v>90</v>
      </c>
      <c r="B1205" t="s">
        <v>4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4.6227999999999998</v>
      </c>
      <c r="K1205" t="s">
        <v>35</v>
      </c>
    </row>
    <row r="1206" spans="1:11" x14ac:dyDescent="0.45">
      <c r="A1206" t="s">
        <v>90</v>
      </c>
      <c r="B1206" t="s">
        <v>4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4.9910999999999994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5.2395999999999994</v>
      </c>
      <c r="K1207" t="s">
        <v>35</v>
      </c>
    </row>
    <row r="1208" spans="1:11" x14ac:dyDescent="0.45">
      <c r="A1208" t="s">
        <v>90</v>
      </c>
      <c r="B1208" t="s">
        <v>4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5.4906499999999996</v>
      </c>
      <c r="K1208" t="s">
        <v>35</v>
      </c>
    </row>
    <row r="1209" spans="1:11" x14ac:dyDescent="0.45">
      <c r="A1209" t="s">
        <v>90</v>
      </c>
      <c r="B1209" t="s">
        <v>4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5.6541999999999994</v>
      </c>
      <c r="K1209" t="s">
        <v>35</v>
      </c>
    </row>
    <row r="1210" spans="1:11" x14ac:dyDescent="0.45">
      <c r="A1210" t="s">
        <v>90</v>
      </c>
      <c r="B1210" t="s">
        <v>4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5.6654</v>
      </c>
      <c r="K1210" t="s">
        <v>35</v>
      </c>
    </row>
    <row r="1211" spans="1:11" x14ac:dyDescent="0.45">
      <c r="A1211" t="s">
        <v>90</v>
      </c>
      <c r="B1211" t="s">
        <v>4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6.6663999999999994</v>
      </c>
      <c r="K1211" t="s">
        <v>35</v>
      </c>
    </row>
    <row r="1212" spans="1:11" x14ac:dyDescent="0.45">
      <c r="A1212" t="s">
        <v>90</v>
      </c>
      <c r="B1212" t="s">
        <v>4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6.5385</v>
      </c>
      <c r="K1212" t="s">
        <v>35</v>
      </c>
    </row>
    <row r="1213" spans="1:11" x14ac:dyDescent="0.45">
      <c r="A1213" t="s">
        <v>90</v>
      </c>
      <c r="B1213" t="s">
        <v>4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6.4105500000000006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6.6208</v>
      </c>
      <c r="K1214" t="s">
        <v>35</v>
      </c>
    </row>
    <row r="1215" spans="1:11" x14ac:dyDescent="0.45">
      <c r="A1215" t="s">
        <v>90</v>
      </c>
      <c r="B1215" t="s">
        <v>4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6.8310500000000003</v>
      </c>
      <c r="K1215" t="s">
        <v>35</v>
      </c>
    </row>
    <row r="1216" spans="1:11" x14ac:dyDescent="0.45">
      <c r="A1216" t="s">
        <v>90</v>
      </c>
      <c r="B1216" t="s">
        <v>4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7.0742500000000001</v>
      </c>
      <c r="K1216" t="s">
        <v>35</v>
      </c>
    </row>
    <row r="1217" spans="1:11" x14ac:dyDescent="0.45">
      <c r="A1217" t="s">
        <v>90</v>
      </c>
      <c r="B1217" t="s">
        <v>4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7.31745</v>
      </c>
      <c r="K1217" t="s">
        <v>35</v>
      </c>
    </row>
    <row r="1218" spans="1:11" x14ac:dyDescent="0.45">
      <c r="A1218" t="s">
        <v>90</v>
      </c>
      <c r="B1218" t="s">
        <v>4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7.4690499999999993</v>
      </c>
      <c r="K1218" t="s">
        <v>35</v>
      </c>
    </row>
    <row r="1219" spans="1:11" x14ac:dyDescent="0.45">
      <c r="A1219" t="s">
        <v>90</v>
      </c>
      <c r="B1219" t="s">
        <v>4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7.6207000000000003</v>
      </c>
      <c r="K1219" t="s">
        <v>35</v>
      </c>
    </row>
    <row r="1220" spans="1:11" x14ac:dyDescent="0.45">
      <c r="A1220" t="s">
        <v>90</v>
      </c>
      <c r="B1220" t="s">
        <v>4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95.1999</v>
      </c>
      <c r="K1221" t="s">
        <v>37</v>
      </c>
    </row>
    <row r="1222" spans="1:11" x14ac:dyDescent="0.45">
      <c r="A1222" t="s">
        <v>90</v>
      </c>
      <c r="B1222" t="s">
        <v>4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85.915099999999995</v>
      </c>
      <c r="K1222" t="s">
        <v>37</v>
      </c>
    </row>
    <row r="1223" spans="1:11" x14ac:dyDescent="0.45">
      <c r="A1223" t="s">
        <v>90</v>
      </c>
      <c r="B1223" t="s">
        <v>4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88.236950000000007</v>
      </c>
      <c r="K1223" t="s">
        <v>37</v>
      </c>
    </row>
    <row r="1224" spans="1:11" x14ac:dyDescent="0.45">
      <c r="A1224" t="s">
        <v>90</v>
      </c>
      <c r="B1224" t="s">
        <v>4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98.972450000000009</v>
      </c>
      <c r="K1224" t="s">
        <v>37</v>
      </c>
    </row>
    <row r="1225" spans="1:11" x14ac:dyDescent="0.45">
      <c r="A1225" t="s">
        <v>90</v>
      </c>
      <c r="B1225" t="s">
        <v>4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109.85804999999999</v>
      </c>
      <c r="K1225" t="s">
        <v>37</v>
      </c>
    </row>
    <row r="1226" spans="1:11" x14ac:dyDescent="0.45">
      <c r="A1226" t="s">
        <v>90</v>
      </c>
      <c r="B1226" t="s">
        <v>4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118.9221</v>
      </c>
      <c r="K1226" t="s">
        <v>37</v>
      </c>
    </row>
    <row r="1227" spans="1:11" x14ac:dyDescent="0.45">
      <c r="A1227" t="s">
        <v>90</v>
      </c>
      <c r="B1227" t="s">
        <v>4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132.76395000000002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202.08070000000001</v>
      </c>
      <c r="K1228" t="s">
        <v>37</v>
      </c>
    </row>
    <row r="1229" spans="1:11" x14ac:dyDescent="0.45">
      <c r="A1229" t="s">
        <v>90</v>
      </c>
      <c r="B1229" t="s">
        <v>4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247.37195</v>
      </c>
      <c r="K1229" t="s">
        <v>37</v>
      </c>
    </row>
    <row r="1230" spans="1:11" x14ac:dyDescent="0.45">
      <c r="A1230" t="s">
        <v>90</v>
      </c>
      <c r="B1230" t="s">
        <v>4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292.66325000000001</v>
      </c>
      <c r="K1230" t="s">
        <v>37</v>
      </c>
    </row>
    <row r="1231" spans="1:11" x14ac:dyDescent="0.45">
      <c r="A1231" t="s">
        <v>90</v>
      </c>
      <c r="B1231" t="s">
        <v>4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289.27425000000005</v>
      </c>
      <c r="K1231" t="s">
        <v>37</v>
      </c>
    </row>
    <row r="1232" spans="1:11" x14ac:dyDescent="0.45">
      <c r="A1232" t="s">
        <v>90</v>
      </c>
      <c r="B1232" t="s">
        <v>4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285.88525000000004</v>
      </c>
      <c r="K1232" t="s">
        <v>37</v>
      </c>
    </row>
    <row r="1233" spans="1:11" x14ac:dyDescent="0.45">
      <c r="A1233" t="s">
        <v>90</v>
      </c>
      <c r="B1233" t="s">
        <v>4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283.90915000000001</v>
      </c>
      <c r="K1233" t="s">
        <v>37</v>
      </c>
    </row>
    <row r="1234" spans="1:11" x14ac:dyDescent="0.45">
      <c r="A1234" t="s">
        <v>90</v>
      </c>
      <c r="B1234" t="s">
        <v>4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281.93314999999996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274.43950000000001</v>
      </c>
      <c r="K1235" t="s">
        <v>37</v>
      </c>
    </row>
    <row r="1236" spans="1:11" x14ac:dyDescent="0.45">
      <c r="A1236" t="s">
        <v>90</v>
      </c>
      <c r="B1236" t="s">
        <v>4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266.94579999999996</v>
      </c>
      <c r="K1236" t="s">
        <v>37</v>
      </c>
    </row>
    <row r="1237" spans="1:11" x14ac:dyDescent="0.45">
      <c r="A1237" t="s">
        <v>90</v>
      </c>
      <c r="B1237" t="s">
        <v>0</v>
      </c>
      <c r="C1237" t="s">
        <v>84</v>
      </c>
      <c r="D1237" t="s">
        <v>29</v>
      </c>
      <c r="E1237" t="s">
        <v>30</v>
      </c>
      <c r="F1237" t="s">
        <v>29</v>
      </c>
      <c r="G1237" t="s">
        <v>31</v>
      </c>
      <c r="H1237" t="s">
        <v>32</v>
      </c>
      <c r="I1237">
        <v>2020</v>
      </c>
      <c r="J1237">
        <v>5.3799000000000001</v>
      </c>
      <c r="K1237" t="s">
        <v>29</v>
      </c>
    </row>
    <row r="1238" spans="1:11" x14ac:dyDescent="0.45">
      <c r="A1238" t="s">
        <v>90</v>
      </c>
      <c r="B1238" t="s">
        <v>0</v>
      </c>
      <c r="C1238" t="s">
        <v>84</v>
      </c>
      <c r="D1238" t="s">
        <v>29</v>
      </c>
      <c r="E1238" t="s">
        <v>30</v>
      </c>
      <c r="F1238" t="s">
        <v>29</v>
      </c>
      <c r="G1238" t="s">
        <v>31</v>
      </c>
      <c r="H1238" t="s">
        <v>32</v>
      </c>
      <c r="I1238">
        <v>2025</v>
      </c>
      <c r="J1238">
        <v>5.7637999999999998</v>
      </c>
      <c r="K1238" t="s">
        <v>29</v>
      </c>
    </row>
    <row r="1239" spans="1:11" x14ac:dyDescent="0.45">
      <c r="A1239" t="s">
        <v>90</v>
      </c>
      <c r="B1239" t="s">
        <v>0</v>
      </c>
      <c r="C1239" t="s">
        <v>84</v>
      </c>
      <c r="D1239" t="s">
        <v>29</v>
      </c>
      <c r="E1239" t="s">
        <v>30</v>
      </c>
      <c r="F1239" t="s">
        <v>29</v>
      </c>
      <c r="G1239" t="s">
        <v>31</v>
      </c>
      <c r="H1239" t="s">
        <v>32</v>
      </c>
      <c r="I1239">
        <v>2030</v>
      </c>
      <c r="J1239">
        <v>5.3145500000000006</v>
      </c>
      <c r="K1239" t="s">
        <v>29</v>
      </c>
    </row>
    <row r="1240" spans="1:11" x14ac:dyDescent="0.45">
      <c r="A1240" t="s">
        <v>90</v>
      </c>
      <c r="B1240" t="s">
        <v>0</v>
      </c>
      <c r="C1240" t="s">
        <v>84</v>
      </c>
      <c r="D1240" t="s">
        <v>29</v>
      </c>
      <c r="E1240" t="s">
        <v>30</v>
      </c>
      <c r="F1240" t="s">
        <v>29</v>
      </c>
      <c r="G1240" t="s">
        <v>31</v>
      </c>
      <c r="H1240" t="s">
        <v>32</v>
      </c>
      <c r="I1240">
        <v>2035</v>
      </c>
      <c r="J1240">
        <v>2.1764999999999999</v>
      </c>
      <c r="K1240" t="s">
        <v>29</v>
      </c>
    </row>
    <row r="1241" spans="1:11" x14ac:dyDescent="0.45">
      <c r="A1241" t="s">
        <v>90</v>
      </c>
      <c r="B1241" t="s">
        <v>0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2040</v>
      </c>
      <c r="J1241">
        <v>5.5442</v>
      </c>
      <c r="K1241" t="s">
        <v>29</v>
      </c>
    </row>
    <row r="1242" spans="1:11" x14ac:dyDescent="0.45">
      <c r="A1242" t="s">
        <v>90</v>
      </c>
      <c r="B1242" t="s">
        <v>0</v>
      </c>
      <c r="C1242" t="s">
        <v>84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9.3986999999999998</v>
      </c>
      <c r="K1242" t="s">
        <v>29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2050</v>
      </c>
      <c r="J1243">
        <v>17.657350000000001</v>
      </c>
      <c r="K1243" t="s">
        <v>29</v>
      </c>
    </row>
    <row r="1244" spans="1:11" x14ac:dyDescent="0.45">
      <c r="A1244" t="s">
        <v>90</v>
      </c>
      <c r="B1244" t="s">
        <v>0</v>
      </c>
      <c r="C1244" t="s">
        <v>84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2055</v>
      </c>
      <c r="J1244">
        <v>20.9406</v>
      </c>
      <c r="K1244" t="s">
        <v>29</v>
      </c>
    </row>
    <row r="1245" spans="1:11" x14ac:dyDescent="0.45">
      <c r="A1245" t="s">
        <v>90</v>
      </c>
      <c r="B1245" t="s">
        <v>0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2060</v>
      </c>
      <c r="J1245">
        <v>28.955849999999998</v>
      </c>
      <c r="K1245" t="s">
        <v>29</v>
      </c>
    </row>
    <row r="1246" spans="1:11" x14ac:dyDescent="0.45">
      <c r="A1246" t="s">
        <v>90</v>
      </c>
      <c r="B1246" t="s">
        <v>0</v>
      </c>
      <c r="C1246" t="s">
        <v>84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2065</v>
      </c>
      <c r="J1246">
        <v>25.764299999999999</v>
      </c>
      <c r="K1246" t="s">
        <v>29</v>
      </c>
    </row>
    <row r="1247" spans="1:11" x14ac:dyDescent="0.45">
      <c r="A1247" t="s">
        <v>90</v>
      </c>
      <c r="B1247" t="s">
        <v>0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2070</v>
      </c>
      <c r="J1247">
        <v>22.572700000000001</v>
      </c>
      <c r="K1247" t="s">
        <v>29</v>
      </c>
    </row>
    <row r="1248" spans="1:11" x14ac:dyDescent="0.45">
      <c r="A1248" t="s">
        <v>90</v>
      </c>
      <c r="B1248" t="s">
        <v>0</v>
      </c>
      <c r="C1248" t="s">
        <v>84</v>
      </c>
      <c r="D1248" t="s">
        <v>29</v>
      </c>
      <c r="E1248" t="s">
        <v>30</v>
      </c>
      <c r="F1248" t="s">
        <v>29</v>
      </c>
      <c r="G1248" t="s">
        <v>31</v>
      </c>
      <c r="H1248" t="s">
        <v>32</v>
      </c>
      <c r="I1248">
        <v>2075</v>
      </c>
      <c r="J1248">
        <v>23.83595</v>
      </c>
      <c r="K1248" t="s">
        <v>29</v>
      </c>
    </row>
    <row r="1249" spans="1:11" x14ac:dyDescent="0.45">
      <c r="A1249" t="s">
        <v>90</v>
      </c>
      <c r="B1249" t="s">
        <v>0</v>
      </c>
      <c r="C1249" t="s">
        <v>84</v>
      </c>
      <c r="D1249" t="s">
        <v>29</v>
      </c>
      <c r="E1249" t="s">
        <v>30</v>
      </c>
      <c r="F1249" t="s">
        <v>29</v>
      </c>
      <c r="G1249" t="s">
        <v>31</v>
      </c>
      <c r="H1249" t="s">
        <v>32</v>
      </c>
      <c r="I1249">
        <v>2080</v>
      </c>
      <c r="J1249">
        <v>25.099249999999998</v>
      </c>
      <c r="K1249" t="s">
        <v>29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29</v>
      </c>
      <c r="E1250" t="s">
        <v>30</v>
      </c>
      <c r="F1250" t="s">
        <v>29</v>
      </c>
      <c r="G1250" t="s">
        <v>31</v>
      </c>
      <c r="H1250" t="s">
        <v>32</v>
      </c>
      <c r="I1250">
        <v>2085</v>
      </c>
      <c r="J1250">
        <v>23.323250000000002</v>
      </c>
      <c r="K1250" t="s">
        <v>29</v>
      </c>
    </row>
    <row r="1251" spans="1:11" x14ac:dyDescent="0.45">
      <c r="A1251" t="s">
        <v>90</v>
      </c>
      <c r="B1251" t="s">
        <v>0</v>
      </c>
      <c r="C1251" t="s">
        <v>84</v>
      </c>
      <c r="D1251" t="s">
        <v>29</v>
      </c>
      <c r="E1251" t="s">
        <v>30</v>
      </c>
      <c r="F1251" t="s">
        <v>29</v>
      </c>
      <c r="G1251" t="s">
        <v>31</v>
      </c>
      <c r="H1251" t="s">
        <v>32</v>
      </c>
      <c r="I1251">
        <v>2090</v>
      </c>
      <c r="J1251">
        <v>21.547249999999998</v>
      </c>
      <c r="K1251" t="s">
        <v>29</v>
      </c>
    </row>
    <row r="1252" spans="1:11" x14ac:dyDescent="0.45">
      <c r="A1252" t="s">
        <v>90</v>
      </c>
      <c r="B1252" t="s">
        <v>0</v>
      </c>
      <c r="C1252" t="s">
        <v>84</v>
      </c>
      <c r="D1252" t="s">
        <v>29</v>
      </c>
      <c r="E1252" t="s">
        <v>30</v>
      </c>
      <c r="F1252" t="s">
        <v>29</v>
      </c>
      <c r="G1252" t="s">
        <v>31</v>
      </c>
      <c r="H1252" t="s">
        <v>32</v>
      </c>
      <c r="I1252">
        <v>2095</v>
      </c>
      <c r="J1252">
        <v>22.268699999999999</v>
      </c>
      <c r="K1252" t="s">
        <v>29</v>
      </c>
    </row>
    <row r="1253" spans="1:11" x14ac:dyDescent="0.45">
      <c r="A1253" t="s">
        <v>90</v>
      </c>
      <c r="B1253" t="s">
        <v>0</v>
      </c>
      <c r="C1253" t="s">
        <v>84</v>
      </c>
      <c r="D1253" t="s">
        <v>29</v>
      </c>
      <c r="E1253" t="s">
        <v>30</v>
      </c>
      <c r="F1253" t="s">
        <v>29</v>
      </c>
      <c r="G1253" t="s">
        <v>31</v>
      </c>
      <c r="H1253" t="s">
        <v>32</v>
      </c>
      <c r="I1253">
        <v>2100</v>
      </c>
      <c r="J1253">
        <v>22.99005</v>
      </c>
      <c r="K1253" t="s">
        <v>29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2.2243500000000003</v>
      </c>
      <c r="K1255" t="s">
        <v>33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2.2640500000000001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2.2969999999999997</v>
      </c>
      <c r="K1257" t="s">
        <v>33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1.8371</v>
      </c>
      <c r="K1258" t="s">
        <v>33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1.4248000000000001</v>
      </c>
      <c r="K1259" t="s">
        <v>33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1.53165</v>
      </c>
      <c r="K1260" t="s">
        <v>33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1.57935</v>
      </c>
      <c r="K1261" t="s">
        <v>33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2.1811500000000001</v>
      </c>
      <c r="K1262" t="s">
        <v>33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2.1503000000000001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2.1193999999999997</v>
      </c>
      <c r="K1264" t="s">
        <v>33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2.0685000000000002</v>
      </c>
      <c r="K1265" t="s">
        <v>33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2.0176500000000002</v>
      </c>
      <c r="K1266" t="s">
        <v>33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2.0796000000000001</v>
      </c>
      <c r="K1267" t="s">
        <v>33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2.1415499999999996</v>
      </c>
      <c r="K1268" t="s">
        <v>33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1.9457</v>
      </c>
      <c r="K1269" t="s">
        <v>33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1.7498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35</v>
      </c>
      <c r="E1271" t="s">
        <v>30</v>
      </c>
      <c r="F1271" t="s">
        <v>35</v>
      </c>
      <c r="G1271" t="s">
        <v>31</v>
      </c>
      <c r="H1271" t="s">
        <v>36</v>
      </c>
      <c r="I1271">
        <v>2020</v>
      </c>
      <c r="J1271">
        <v>3.9710999999999999</v>
      </c>
      <c r="K1271" t="s">
        <v>35</v>
      </c>
    </row>
    <row r="1272" spans="1:11" x14ac:dyDescent="0.45">
      <c r="A1272" t="s">
        <v>90</v>
      </c>
      <c r="B1272" t="s">
        <v>0</v>
      </c>
      <c r="C1272" t="s">
        <v>84</v>
      </c>
      <c r="D1272" t="s">
        <v>35</v>
      </c>
      <c r="E1272" t="s">
        <v>30</v>
      </c>
      <c r="F1272" t="s">
        <v>35</v>
      </c>
      <c r="G1272" t="s">
        <v>31</v>
      </c>
      <c r="H1272" t="s">
        <v>36</v>
      </c>
      <c r="I1272">
        <v>2025</v>
      </c>
      <c r="J1272">
        <v>4.6684000000000001</v>
      </c>
      <c r="K1272" t="s">
        <v>35</v>
      </c>
    </row>
    <row r="1273" spans="1:11" x14ac:dyDescent="0.45">
      <c r="A1273" t="s">
        <v>90</v>
      </c>
      <c r="B1273" t="s">
        <v>0</v>
      </c>
      <c r="C1273" t="s">
        <v>84</v>
      </c>
      <c r="D1273" t="s">
        <v>35</v>
      </c>
      <c r="E1273" t="s">
        <v>30</v>
      </c>
      <c r="F1273" t="s">
        <v>35</v>
      </c>
      <c r="G1273" t="s">
        <v>31</v>
      </c>
      <c r="H1273" t="s">
        <v>36</v>
      </c>
      <c r="I1273">
        <v>2030</v>
      </c>
      <c r="J1273">
        <v>4.6227999999999998</v>
      </c>
      <c r="K1273" t="s">
        <v>35</v>
      </c>
    </row>
    <row r="1274" spans="1:11" x14ac:dyDescent="0.45">
      <c r="A1274" t="s">
        <v>90</v>
      </c>
      <c r="B1274" t="s">
        <v>0</v>
      </c>
      <c r="C1274" t="s">
        <v>84</v>
      </c>
      <c r="D1274" t="s">
        <v>35</v>
      </c>
      <c r="E1274" t="s">
        <v>30</v>
      </c>
      <c r="F1274" t="s">
        <v>35</v>
      </c>
      <c r="G1274" t="s">
        <v>31</v>
      </c>
      <c r="H1274" t="s">
        <v>36</v>
      </c>
      <c r="I1274">
        <v>2035</v>
      </c>
      <c r="J1274">
        <v>5.7273500000000004</v>
      </c>
      <c r="K1274" t="s">
        <v>35</v>
      </c>
    </row>
    <row r="1275" spans="1:11" x14ac:dyDescent="0.45">
      <c r="A1275" t="s">
        <v>90</v>
      </c>
      <c r="B1275" t="s">
        <v>0</v>
      </c>
      <c r="C1275" t="s">
        <v>84</v>
      </c>
      <c r="D1275" t="s">
        <v>35</v>
      </c>
      <c r="E1275" t="s">
        <v>30</v>
      </c>
      <c r="F1275" t="s">
        <v>35</v>
      </c>
      <c r="G1275" t="s">
        <v>31</v>
      </c>
      <c r="H1275" t="s">
        <v>36</v>
      </c>
      <c r="I1275">
        <v>2040</v>
      </c>
      <c r="J1275">
        <v>5.2990500000000003</v>
      </c>
      <c r="K1275" t="s">
        <v>35</v>
      </c>
    </row>
    <row r="1276" spans="1:11" x14ac:dyDescent="0.45">
      <c r="A1276" t="s">
        <v>90</v>
      </c>
      <c r="B1276" t="s">
        <v>0</v>
      </c>
      <c r="C1276" t="s">
        <v>84</v>
      </c>
      <c r="D1276" t="s">
        <v>35</v>
      </c>
      <c r="E1276" t="s">
        <v>30</v>
      </c>
      <c r="F1276" t="s">
        <v>35</v>
      </c>
      <c r="G1276" t="s">
        <v>31</v>
      </c>
      <c r="H1276" t="s">
        <v>36</v>
      </c>
      <c r="I1276">
        <v>2045</v>
      </c>
      <c r="J1276">
        <v>4.6289499999999997</v>
      </c>
      <c r="K1276" t="s">
        <v>35</v>
      </c>
    </row>
    <row r="1277" spans="1:11" x14ac:dyDescent="0.45">
      <c r="A1277" t="s">
        <v>90</v>
      </c>
      <c r="B1277" t="s">
        <v>0</v>
      </c>
      <c r="C1277" t="s">
        <v>84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2050</v>
      </c>
      <c r="J1277">
        <v>4.1950500000000002</v>
      </c>
      <c r="K1277" t="s">
        <v>35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35</v>
      </c>
      <c r="E1278" t="s">
        <v>30</v>
      </c>
      <c r="F1278" t="s">
        <v>35</v>
      </c>
      <c r="G1278" t="s">
        <v>31</v>
      </c>
      <c r="H1278" t="s">
        <v>36</v>
      </c>
      <c r="I1278">
        <v>2055</v>
      </c>
      <c r="J1278">
        <v>4.3904499999999995</v>
      </c>
      <c r="K1278" t="s">
        <v>35</v>
      </c>
    </row>
    <row r="1279" spans="1:11" x14ac:dyDescent="0.45">
      <c r="A1279" t="s">
        <v>90</v>
      </c>
      <c r="B1279" t="s">
        <v>0</v>
      </c>
      <c r="C1279" t="s">
        <v>84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2060</v>
      </c>
      <c r="J1279">
        <v>5.1861999999999995</v>
      </c>
      <c r="K1279" t="s">
        <v>35</v>
      </c>
    </row>
    <row r="1280" spans="1:11" x14ac:dyDescent="0.45">
      <c r="A1280" t="s">
        <v>90</v>
      </c>
      <c r="B1280" t="s">
        <v>0</v>
      </c>
      <c r="C1280" t="s">
        <v>84</v>
      </c>
      <c r="D1280" t="s">
        <v>35</v>
      </c>
      <c r="E1280" t="s">
        <v>30</v>
      </c>
      <c r="F1280" t="s">
        <v>35</v>
      </c>
      <c r="G1280" t="s">
        <v>31</v>
      </c>
      <c r="H1280" t="s">
        <v>36</v>
      </c>
      <c r="I1280">
        <v>2065</v>
      </c>
      <c r="J1280">
        <v>5.0748999999999995</v>
      </c>
      <c r="K1280" t="s">
        <v>35</v>
      </c>
    </row>
    <row r="1281" spans="1:11" x14ac:dyDescent="0.45">
      <c r="A1281" t="s">
        <v>90</v>
      </c>
      <c r="B1281" t="s">
        <v>0</v>
      </c>
      <c r="C1281" t="s">
        <v>84</v>
      </c>
      <c r="D1281" t="s">
        <v>35</v>
      </c>
      <c r="E1281" t="s">
        <v>30</v>
      </c>
      <c r="F1281" t="s">
        <v>35</v>
      </c>
      <c r="G1281" t="s">
        <v>31</v>
      </c>
      <c r="H1281" t="s">
        <v>36</v>
      </c>
      <c r="I1281">
        <v>2070</v>
      </c>
      <c r="J1281">
        <v>4.9635999999999996</v>
      </c>
      <c r="K1281" t="s">
        <v>35</v>
      </c>
    </row>
    <row r="1282" spans="1:11" x14ac:dyDescent="0.45">
      <c r="A1282" t="s">
        <v>90</v>
      </c>
      <c r="B1282" t="s">
        <v>0</v>
      </c>
      <c r="C1282" t="s">
        <v>84</v>
      </c>
      <c r="D1282" t="s">
        <v>35</v>
      </c>
      <c r="E1282" t="s">
        <v>30</v>
      </c>
      <c r="F1282" t="s">
        <v>35</v>
      </c>
      <c r="G1282" t="s">
        <v>31</v>
      </c>
      <c r="H1282" t="s">
        <v>36</v>
      </c>
      <c r="I1282">
        <v>2075</v>
      </c>
      <c r="J1282">
        <v>5.0854999999999997</v>
      </c>
      <c r="K1282" t="s">
        <v>35</v>
      </c>
    </row>
    <row r="1283" spans="1:11" x14ac:dyDescent="0.45">
      <c r="A1283" t="s">
        <v>90</v>
      </c>
      <c r="B1283" t="s">
        <v>0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2080</v>
      </c>
      <c r="J1283">
        <v>5.2074499999999997</v>
      </c>
      <c r="K1283" t="s">
        <v>35</v>
      </c>
    </row>
    <row r="1284" spans="1:11" x14ac:dyDescent="0.45">
      <c r="A1284" t="s">
        <v>90</v>
      </c>
      <c r="B1284" t="s">
        <v>0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2085</v>
      </c>
      <c r="J1284">
        <v>5.1766000000000005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2090</v>
      </c>
      <c r="J1285">
        <v>5.1458000000000004</v>
      </c>
      <c r="K1285" t="s">
        <v>35</v>
      </c>
    </row>
    <row r="1286" spans="1:11" x14ac:dyDescent="0.45">
      <c r="A1286" t="s">
        <v>90</v>
      </c>
      <c r="B1286" t="s">
        <v>0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2095</v>
      </c>
      <c r="J1286">
        <v>5.0733999999999995</v>
      </c>
      <c r="K1286" t="s">
        <v>35</v>
      </c>
    </row>
    <row r="1287" spans="1:11" x14ac:dyDescent="0.45">
      <c r="A1287" t="s">
        <v>90</v>
      </c>
      <c r="B1287" t="s">
        <v>0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2100</v>
      </c>
      <c r="J1287">
        <v>5.0011000000000001</v>
      </c>
      <c r="K1287" t="s">
        <v>35</v>
      </c>
    </row>
    <row r="1288" spans="1:11" x14ac:dyDescent="0.45">
      <c r="A1288" t="s">
        <v>90</v>
      </c>
      <c r="B1288" t="s">
        <v>0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0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95.1999</v>
      </c>
      <c r="K1289" t="s">
        <v>37</v>
      </c>
    </row>
    <row r="1290" spans="1:11" x14ac:dyDescent="0.45">
      <c r="A1290" t="s">
        <v>90</v>
      </c>
      <c r="B1290" t="s">
        <v>0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85.915099999999995</v>
      </c>
      <c r="K1290" t="s">
        <v>37</v>
      </c>
    </row>
    <row r="1291" spans="1:11" x14ac:dyDescent="0.45">
      <c r="A1291" t="s">
        <v>90</v>
      </c>
      <c r="B1291" t="s">
        <v>0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67.341350000000006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120.63204999999999</v>
      </c>
      <c r="K1292" t="s">
        <v>37</v>
      </c>
    </row>
    <row r="1293" spans="1:11" x14ac:dyDescent="0.45">
      <c r="A1293" t="s">
        <v>90</v>
      </c>
      <c r="B1293" t="s">
        <v>0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160.59660000000002</v>
      </c>
      <c r="K1293" t="s">
        <v>37</v>
      </c>
    </row>
    <row r="1294" spans="1:11" x14ac:dyDescent="0.45">
      <c r="A1294" t="s">
        <v>90</v>
      </c>
      <c r="B1294" t="s">
        <v>0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161.64535000000001</v>
      </c>
      <c r="K1294" t="s">
        <v>37</v>
      </c>
    </row>
    <row r="1295" spans="1:11" x14ac:dyDescent="0.45">
      <c r="A1295" t="s">
        <v>90</v>
      </c>
      <c r="B1295" t="s">
        <v>0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174.55090000000001</v>
      </c>
      <c r="K1295" t="s">
        <v>37</v>
      </c>
    </row>
    <row r="1296" spans="1:11" x14ac:dyDescent="0.45">
      <c r="A1296" t="s">
        <v>90</v>
      </c>
      <c r="B1296" t="s">
        <v>0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296.1721</v>
      </c>
      <c r="K1296" t="s">
        <v>37</v>
      </c>
    </row>
    <row r="1297" spans="1:11" x14ac:dyDescent="0.45">
      <c r="A1297" t="s">
        <v>90</v>
      </c>
      <c r="B1297" t="s">
        <v>0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359.3349</v>
      </c>
      <c r="K1297" t="s">
        <v>37</v>
      </c>
    </row>
    <row r="1298" spans="1:11" x14ac:dyDescent="0.45">
      <c r="A1298" t="s">
        <v>90</v>
      </c>
      <c r="B1298" t="s">
        <v>0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422.49770000000001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0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440.95359999999999</v>
      </c>
      <c r="K1300" t="s">
        <v>37</v>
      </c>
    </row>
    <row r="1301" spans="1:11" x14ac:dyDescent="0.45">
      <c r="A1301" t="s">
        <v>90</v>
      </c>
      <c r="B1301" t="s">
        <v>0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441.67345</v>
      </c>
      <c r="K1301" t="s">
        <v>37</v>
      </c>
    </row>
    <row r="1302" spans="1:11" x14ac:dyDescent="0.45">
      <c r="A1302" t="s">
        <v>90</v>
      </c>
      <c r="B1302" t="s">
        <v>0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442.39335</v>
      </c>
      <c r="K1302" t="s">
        <v>37</v>
      </c>
    </row>
    <row r="1303" spans="1:11" x14ac:dyDescent="0.45">
      <c r="A1303" t="s">
        <v>90</v>
      </c>
      <c r="B1303" t="s">
        <v>0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450.49324999999999</v>
      </c>
      <c r="K1303" t="s">
        <v>37</v>
      </c>
    </row>
    <row r="1304" spans="1:11" x14ac:dyDescent="0.45">
      <c r="A1304" t="s">
        <v>90</v>
      </c>
      <c r="B1304" t="s">
        <v>0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458.59320000000002</v>
      </c>
      <c r="K1304" t="s">
        <v>37</v>
      </c>
    </row>
    <row r="1305" spans="1:11" x14ac:dyDescent="0.45">
      <c r="A1305" t="s">
        <v>90</v>
      </c>
      <c r="B1305" t="s">
        <v>6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2020</v>
      </c>
      <c r="J1305">
        <v>5.3799000000000001</v>
      </c>
      <c r="K1305" t="s">
        <v>29</v>
      </c>
    </row>
    <row r="1306" spans="1:11" x14ac:dyDescent="0.45">
      <c r="A1306" t="s">
        <v>90</v>
      </c>
      <c r="B1306" t="s">
        <v>6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2025</v>
      </c>
      <c r="J1306">
        <v>5.7637999999999998</v>
      </c>
      <c r="K1306" t="s">
        <v>29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2030</v>
      </c>
      <c r="J1307">
        <v>5.3145500000000006</v>
      </c>
      <c r="K1307" t="s">
        <v>29</v>
      </c>
    </row>
    <row r="1308" spans="1:11" x14ac:dyDescent="0.45">
      <c r="A1308" t="s">
        <v>90</v>
      </c>
      <c r="B1308" t="s">
        <v>6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2035</v>
      </c>
      <c r="J1308">
        <v>4.7282500000000001</v>
      </c>
      <c r="K1308" t="s">
        <v>29</v>
      </c>
    </row>
    <row r="1309" spans="1:11" x14ac:dyDescent="0.45">
      <c r="A1309" t="s">
        <v>90</v>
      </c>
      <c r="B1309" t="s">
        <v>6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2040</v>
      </c>
      <c r="J1309">
        <v>5.6577500000000001</v>
      </c>
      <c r="K1309" t="s">
        <v>29</v>
      </c>
    </row>
    <row r="1310" spans="1:11" x14ac:dyDescent="0.45">
      <c r="A1310" t="s">
        <v>90</v>
      </c>
      <c r="B1310" t="s">
        <v>6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2045</v>
      </c>
      <c r="J1310">
        <v>6.7579000000000002</v>
      </c>
      <c r="K1310" t="s">
        <v>29</v>
      </c>
    </row>
    <row r="1311" spans="1:11" x14ac:dyDescent="0.45">
      <c r="A1311" t="s">
        <v>90</v>
      </c>
      <c r="B1311" t="s">
        <v>6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2050</v>
      </c>
      <c r="J1311">
        <v>8.1373999999999995</v>
      </c>
      <c r="K1311" t="s">
        <v>29</v>
      </c>
    </row>
    <row r="1312" spans="1:11" x14ac:dyDescent="0.45">
      <c r="A1312" t="s">
        <v>90</v>
      </c>
      <c r="B1312" t="s">
        <v>6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2055</v>
      </c>
      <c r="J1312">
        <v>9.2483499999999985</v>
      </c>
      <c r="K1312" t="s">
        <v>29</v>
      </c>
    </row>
    <row r="1313" spans="1:11" x14ac:dyDescent="0.45">
      <c r="A1313" t="s">
        <v>90</v>
      </c>
      <c r="B1313" t="s">
        <v>6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2060</v>
      </c>
      <c r="J1313">
        <v>14.686199999999999</v>
      </c>
      <c r="K1313" t="s">
        <v>29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2065</v>
      </c>
      <c r="J1314">
        <v>15.117049999999999</v>
      </c>
      <c r="K1314" t="s">
        <v>29</v>
      </c>
    </row>
    <row r="1315" spans="1:11" x14ac:dyDescent="0.45">
      <c r="A1315" t="s">
        <v>90</v>
      </c>
      <c r="B1315" t="s">
        <v>6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2070</v>
      </c>
      <c r="J1315">
        <v>15.547899999999998</v>
      </c>
      <c r="K1315" t="s">
        <v>29</v>
      </c>
    </row>
    <row r="1316" spans="1:11" x14ac:dyDescent="0.45">
      <c r="A1316" t="s">
        <v>90</v>
      </c>
      <c r="B1316" t="s">
        <v>6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2075</v>
      </c>
      <c r="J1316">
        <v>15.43695</v>
      </c>
      <c r="K1316" t="s">
        <v>29</v>
      </c>
    </row>
    <row r="1317" spans="1:11" x14ac:dyDescent="0.45">
      <c r="A1317" t="s">
        <v>90</v>
      </c>
      <c r="B1317" t="s">
        <v>6</v>
      </c>
      <c r="C1317" t="s">
        <v>84</v>
      </c>
      <c r="D1317" t="s">
        <v>29</v>
      </c>
      <c r="E1317" t="s">
        <v>30</v>
      </c>
      <c r="F1317" t="s">
        <v>29</v>
      </c>
      <c r="G1317" t="s">
        <v>31</v>
      </c>
      <c r="H1317" t="s">
        <v>32</v>
      </c>
      <c r="I1317">
        <v>2080</v>
      </c>
      <c r="J1317">
        <v>15.325950000000001</v>
      </c>
      <c r="K1317" t="s">
        <v>29</v>
      </c>
    </row>
    <row r="1318" spans="1:11" x14ac:dyDescent="0.45">
      <c r="A1318" t="s">
        <v>90</v>
      </c>
      <c r="B1318" t="s">
        <v>6</v>
      </c>
      <c r="C1318" t="s">
        <v>84</v>
      </c>
      <c r="D1318" t="s">
        <v>29</v>
      </c>
      <c r="E1318" t="s">
        <v>30</v>
      </c>
      <c r="F1318" t="s">
        <v>29</v>
      </c>
      <c r="G1318" t="s">
        <v>31</v>
      </c>
      <c r="H1318" t="s">
        <v>32</v>
      </c>
      <c r="I1318">
        <v>2085</v>
      </c>
      <c r="J1318">
        <v>15.232099999999999</v>
      </c>
      <c r="K1318" t="s">
        <v>29</v>
      </c>
    </row>
    <row r="1319" spans="1:11" x14ac:dyDescent="0.45">
      <c r="A1319" t="s">
        <v>90</v>
      </c>
      <c r="B1319" t="s">
        <v>6</v>
      </c>
      <c r="C1319" t="s">
        <v>84</v>
      </c>
      <c r="D1319" t="s">
        <v>29</v>
      </c>
      <c r="E1319" t="s">
        <v>30</v>
      </c>
      <c r="F1319" t="s">
        <v>29</v>
      </c>
      <c r="G1319" t="s">
        <v>31</v>
      </c>
      <c r="H1319" t="s">
        <v>32</v>
      </c>
      <c r="I1319">
        <v>2090</v>
      </c>
      <c r="J1319">
        <v>15.138300000000001</v>
      </c>
      <c r="K1319" t="s">
        <v>29</v>
      </c>
    </row>
    <row r="1320" spans="1:11" x14ac:dyDescent="0.45">
      <c r="A1320" t="s">
        <v>90</v>
      </c>
      <c r="B1320" t="s">
        <v>6</v>
      </c>
      <c r="C1320" t="s">
        <v>84</v>
      </c>
      <c r="D1320" t="s">
        <v>29</v>
      </c>
      <c r="E1320" t="s">
        <v>30</v>
      </c>
      <c r="F1320" t="s">
        <v>29</v>
      </c>
      <c r="G1320" t="s">
        <v>31</v>
      </c>
      <c r="H1320" t="s">
        <v>32</v>
      </c>
      <c r="I1320">
        <v>2095</v>
      </c>
      <c r="J1320">
        <v>15.0703</v>
      </c>
      <c r="K1320" t="s">
        <v>29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29</v>
      </c>
      <c r="E1321" t="s">
        <v>30</v>
      </c>
      <c r="F1321" t="s">
        <v>29</v>
      </c>
      <c r="G1321" t="s">
        <v>31</v>
      </c>
      <c r="H1321" t="s">
        <v>32</v>
      </c>
      <c r="I1321">
        <v>2100</v>
      </c>
      <c r="J1321">
        <v>15.00235</v>
      </c>
      <c r="K1321" t="s">
        <v>29</v>
      </c>
    </row>
    <row r="1322" spans="1:11" x14ac:dyDescent="0.45">
      <c r="A1322" t="s">
        <v>90</v>
      </c>
      <c r="B1322" t="s">
        <v>6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2020</v>
      </c>
      <c r="J1322">
        <v>2.0344000000000002</v>
      </c>
      <c r="K1322" t="s">
        <v>33</v>
      </c>
    </row>
    <row r="1323" spans="1:11" x14ac:dyDescent="0.45">
      <c r="A1323" t="s">
        <v>90</v>
      </c>
      <c r="B1323" t="s">
        <v>6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2025</v>
      </c>
      <c r="J1323">
        <v>2.2243500000000003</v>
      </c>
      <c r="K1323" t="s">
        <v>33</v>
      </c>
    </row>
    <row r="1324" spans="1:11" x14ac:dyDescent="0.45">
      <c r="A1324" t="s">
        <v>90</v>
      </c>
      <c r="B1324" t="s">
        <v>6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2030</v>
      </c>
      <c r="J1324">
        <v>2.2640500000000001</v>
      </c>
      <c r="K1324" t="s">
        <v>33</v>
      </c>
    </row>
    <row r="1325" spans="1:11" x14ac:dyDescent="0.45">
      <c r="A1325" t="s">
        <v>90</v>
      </c>
      <c r="B1325" t="s">
        <v>6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2035</v>
      </c>
      <c r="J1325">
        <v>2.2448999999999999</v>
      </c>
      <c r="K1325" t="s">
        <v>33</v>
      </c>
    </row>
    <row r="1326" spans="1:11" x14ac:dyDescent="0.45">
      <c r="A1326" t="s">
        <v>90</v>
      </c>
      <c r="B1326" t="s">
        <v>6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2040</v>
      </c>
      <c r="J1326">
        <v>1.7654000000000001</v>
      </c>
      <c r="K1326" t="s">
        <v>33</v>
      </c>
    </row>
    <row r="1327" spans="1:11" x14ac:dyDescent="0.45">
      <c r="A1327" t="s">
        <v>90</v>
      </c>
      <c r="B1327" t="s">
        <v>6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2045</v>
      </c>
      <c r="J1327">
        <v>1.82115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2050</v>
      </c>
      <c r="J1328">
        <v>2.1814</v>
      </c>
      <c r="K1328" t="s">
        <v>33</v>
      </c>
    </row>
    <row r="1329" spans="1:11" x14ac:dyDescent="0.45">
      <c r="A1329" t="s">
        <v>90</v>
      </c>
      <c r="B1329" t="s">
        <v>6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2055</v>
      </c>
      <c r="J1329">
        <v>1.5321500000000001</v>
      </c>
      <c r="K1329" t="s">
        <v>33</v>
      </c>
    </row>
    <row r="1330" spans="1:11" x14ac:dyDescent="0.45">
      <c r="A1330" t="s">
        <v>90</v>
      </c>
      <c r="B1330" t="s">
        <v>6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2060</v>
      </c>
      <c r="J1330">
        <v>2.2842500000000001</v>
      </c>
      <c r="K1330" t="s">
        <v>33</v>
      </c>
    </row>
    <row r="1331" spans="1:11" x14ac:dyDescent="0.45">
      <c r="A1331" t="s">
        <v>90</v>
      </c>
      <c r="B1331" t="s">
        <v>6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2065</v>
      </c>
      <c r="J1331">
        <v>2.2705000000000002</v>
      </c>
      <c r="K1331" t="s">
        <v>33</v>
      </c>
    </row>
    <row r="1332" spans="1:11" x14ac:dyDescent="0.45">
      <c r="A1332" t="s">
        <v>90</v>
      </c>
      <c r="B1332" t="s">
        <v>6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2070</v>
      </c>
      <c r="J1332">
        <v>2.2568000000000001</v>
      </c>
      <c r="K1332" t="s">
        <v>33</v>
      </c>
    </row>
    <row r="1333" spans="1:11" x14ac:dyDescent="0.45">
      <c r="A1333" t="s">
        <v>90</v>
      </c>
      <c r="B1333" t="s">
        <v>6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2075</v>
      </c>
      <c r="J1333">
        <v>2.2270000000000003</v>
      </c>
      <c r="K1333" t="s">
        <v>33</v>
      </c>
    </row>
    <row r="1334" spans="1:11" x14ac:dyDescent="0.45">
      <c r="A1334" t="s">
        <v>90</v>
      </c>
      <c r="B1334" t="s">
        <v>6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2080</v>
      </c>
      <c r="J1334">
        <v>2.1972499999999999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2085</v>
      </c>
      <c r="J1335">
        <v>2.1886000000000001</v>
      </c>
      <c r="K1335" t="s">
        <v>33</v>
      </c>
    </row>
    <row r="1336" spans="1:11" x14ac:dyDescent="0.45">
      <c r="A1336" t="s">
        <v>90</v>
      </c>
      <c r="B1336" t="s">
        <v>6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2090</v>
      </c>
      <c r="J1336">
        <v>2.1798999999999999</v>
      </c>
      <c r="K1336" t="s">
        <v>33</v>
      </c>
    </row>
    <row r="1337" spans="1:11" x14ac:dyDescent="0.45">
      <c r="A1337" t="s">
        <v>90</v>
      </c>
      <c r="B1337" t="s">
        <v>6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2095</v>
      </c>
      <c r="J1337">
        <v>2.117</v>
      </c>
      <c r="K1337" t="s">
        <v>33</v>
      </c>
    </row>
    <row r="1338" spans="1:11" x14ac:dyDescent="0.45">
      <c r="A1338" t="s">
        <v>90</v>
      </c>
      <c r="B1338" t="s">
        <v>6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2.0540000000000003</v>
      </c>
      <c r="K1338" t="s">
        <v>33</v>
      </c>
    </row>
    <row r="1339" spans="1:11" x14ac:dyDescent="0.45">
      <c r="A1339" t="s">
        <v>90</v>
      </c>
      <c r="B1339" t="s">
        <v>6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6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2025</v>
      </c>
      <c r="J1340">
        <v>4.6684000000000001</v>
      </c>
      <c r="K1340" t="s">
        <v>35</v>
      </c>
    </row>
    <row r="1341" spans="1:11" x14ac:dyDescent="0.45">
      <c r="A1341" t="s">
        <v>90</v>
      </c>
      <c r="B1341" t="s">
        <v>6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2030</v>
      </c>
      <c r="J1341">
        <v>4.6227999999999998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2035</v>
      </c>
      <c r="J1342">
        <v>5.0059500000000003</v>
      </c>
      <c r="K1342" t="s">
        <v>35</v>
      </c>
    </row>
    <row r="1343" spans="1:11" x14ac:dyDescent="0.45">
      <c r="A1343" t="s">
        <v>90</v>
      </c>
      <c r="B1343" t="s">
        <v>6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2040</v>
      </c>
      <c r="J1343">
        <v>4.9135</v>
      </c>
      <c r="K1343" t="s">
        <v>35</v>
      </c>
    </row>
    <row r="1344" spans="1:11" x14ac:dyDescent="0.45">
      <c r="A1344" t="s">
        <v>90</v>
      </c>
      <c r="B1344" t="s">
        <v>6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2045</v>
      </c>
      <c r="J1344">
        <v>5.3256499999999996</v>
      </c>
      <c r="K1344" t="s">
        <v>35</v>
      </c>
    </row>
    <row r="1345" spans="1:11" x14ac:dyDescent="0.45">
      <c r="A1345" t="s">
        <v>90</v>
      </c>
      <c r="B1345" t="s">
        <v>6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2050</v>
      </c>
      <c r="J1345">
        <v>5.0952500000000001</v>
      </c>
      <c r="K1345" t="s">
        <v>35</v>
      </c>
    </row>
    <row r="1346" spans="1:11" x14ac:dyDescent="0.45">
      <c r="A1346" t="s">
        <v>90</v>
      </c>
      <c r="B1346" t="s">
        <v>6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2055</v>
      </c>
      <c r="J1346">
        <v>4.8427000000000007</v>
      </c>
      <c r="K1346" t="s">
        <v>35</v>
      </c>
    </row>
    <row r="1347" spans="1:11" x14ac:dyDescent="0.45">
      <c r="A1347" t="s">
        <v>90</v>
      </c>
      <c r="B1347" t="s">
        <v>6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2060</v>
      </c>
      <c r="J1347">
        <v>5.8754</v>
      </c>
      <c r="K1347" t="s">
        <v>35</v>
      </c>
    </row>
    <row r="1348" spans="1:11" x14ac:dyDescent="0.45">
      <c r="A1348" t="s">
        <v>90</v>
      </c>
      <c r="B1348" t="s">
        <v>6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2065</v>
      </c>
      <c r="J1348">
        <v>5.65855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2070</v>
      </c>
      <c r="J1349">
        <v>5.4417</v>
      </c>
      <c r="K1349" t="s">
        <v>35</v>
      </c>
    </row>
    <row r="1350" spans="1:11" x14ac:dyDescent="0.45">
      <c r="A1350" t="s">
        <v>90</v>
      </c>
      <c r="B1350" t="s">
        <v>6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2075</v>
      </c>
      <c r="J1350">
        <v>5.4064499999999995</v>
      </c>
      <c r="K1350" t="s">
        <v>35</v>
      </c>
    </row>
    <row r="1351" spans="1:11" x14ac:dyDescent="0.45">
      <c r="A1351" t="s">
        <v>90</v>
      </c>
      <c r="B1351" t="s">
        <v>6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2080</v>
      </c>
      <c r="J1351">
        <v>5.3712499999999999</v>
      </c>
      <c r="K1351" t="s">
        <v>35</v>
      </c>
    </row>
    <row r="1352" spans="1:11" x14ac:dyDescent="0.45">
      <c r="A1352" t="s">
        <v>90</v>
      </c>
      <c r="B1352" t="s">
        <v>6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2085</v>
      </c>
      <c r="J1352">
        <v>5.36965</v>
      </c>
      <c r="K1352" t="s">
        <v>35</v>
      </c>
    </row>
    <row r="1353" spans="1:11" x14ac:dyDescent="0.45">
      <c r="A1353" t="s">
        <v>90</v>
      </c>
      <c r="B1353" t="s">
        <v>6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2090</v>
      </c>
      <c r="J1353">
        <v>5.3680500000000002</v>
      </c>
      <c r="K1353" t="s">
        <v>35</v>
      </c>
    </row>
    <row r="1354" spans="1:11" x14ac:dyDescent="0.45">
      <c r="A1354" t="s">
        <v>90</v>
      </c>
      <c r="B1354" t="s">
        <v>6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2095</v>
      </c>
      <c r="J1354">
        <v>5.4055999999999997</v>
      </c>
      <c r="K1354" t="s">
        <v>35</v>
      </c>
    </row>
    <row r="1355" spans="1:11" x14ac:dyDescent="0.45">
      <c r="A1355" t="s">
        <v>90</v>
      </c>
      <c r="B1355" t="s">
        <v>6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2100</v>
      </c>
      <c r="J1355">
        <v>5.4432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2020</v>
      </c>
      <c r="J1356">
        <v>82.284700000000001</v>
      </c>
      <c r="K1356" t="s">
        <v>37</v>
      </c>
    </row>
    <row r="1357" spans="1:11" x14ac:dyDescent="0.45">
      <c r="A1357" t="s">
        <v>90</v>
      </c>
      <c r="B1357" t="s">
        <v>6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2025</v>
      </c>
      <c r="J1357">
        <v>95.1999</v>
      </c>
      <c r="K1357" t="s">
        <v>37</v>
      </c>
    </row>
    <row r="1358" spans="1:11" x14ac:dyDescent="0.45">
      <c r="A1358" t="s">
        <v>90</v>
      </c>
      <c r="B1358" t="s">
        <v>6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2030</v>
      </c>
      <c r="J1358">
        <v>85.915099999999995</v>
      </c>
      <c r="K1358" t="s">
        <v>37</v>
      </c>
    </row>
    <row r="1359" spans="1:11" x14ac:dyDescent="0.45">
      <c r="A1359" t="s">
        <v>90</v>
      </c>
      <c r="B1359" t="s">
        <v>6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2035</v>
      </c>
      <c r="J1359">
        <v>70.272050000000007</v>
      </c>
      <c r="K1359" t="s">
        <v>37</v>
      </c>
    </row>
    <row r="1360" spans="1:11" x14ac:dyDescent="0.45">
      <c r="A1360" t="s">
        <v>90</v>
      </c>
      <c r="B1360" t="s">
        <v>6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2040</v>
      </c>
      <c r="J1360">
        <v>99.064899999999994</v>
      </c>
      <c r="K1360" t="s">
        <v>37</v>
      </c>
    </row>
    <row r="1361" spans="1:11" x14ac:dyDescent="0.45">
      <c r="A1361" t="s">
        <v>90</v>
      </c>
      <c r="B1361" t="s">
        <v>6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2045</v>
      </c>
      <c r="J1361">
        <v>125.70115</v>
      </c>
      <c r="K1361" t="s">
        <v>37</v>
      </c>
    </row>
    <row r="1362" spans="1:11" x14ac:dyDescent="0.45">
      <c r="A1362" t="s">
        <v>90</v>
      </c>
      <c r="B1362" t="s">
        <v>6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2050</v>
      </c>
      <c r="J1362">
        <v>127.8946</v>
      </c>
      <c r="K1362" t="s">
        <v>37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2055</v>
      </c>
      <c r="J1363">
        <v>139.0829</v>
      </c>
      <c r="K1363" t="s">
        <v>37</v>
      </c>
    </row>
    <row r="1364" spans="1:11" x14ac:dyDescent="0.45">
      <c r="A1364" t="s">
        <v>90</v>
      </c>
      <c r="B1364" t="s">
        <v>6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2060</v>
      </c>
      <c r="J1364">
        <v>220.98079999999999</v>
      </c>
      <c r="K1364" t="s">
        <v>37</v>
      </c>
    </row>
    <row r="1365" spans="1:11" x14ac:dyDescent="0.45">
      <c r="A1365" t="s">
        <v>90</v>
      </c>
      <c r="B1365" t="s">
        <v>6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2065</v>
      </c>
      <c r="J1365">
        <v>277.65129999999999</v>
      </c>
      <c r="K1365" t="s">
        <v>37</v>
      </c>
    </row>
    <row r="1366" spans="1:11" x14ac:dyDescent="0.45">
      <c r="A1366" t="s">
        <v>90</v>
      </c>
      <c r="B1366" t="s">
        <v>6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2070</v>
      </c>
      <c r="J1366">
        <v>334.3218</v>
      </c>
      <c r="K1366" t="s">
        <v>37</v>
      </c>
    </row>
    <row r="1367" spans="1:11" x14ac:dyDescent="0.45">
      <c r="A1367" t="s">
        <v>90</v>
      </c>
      <c r="B1367" t="s">
        <v>6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2075</v>
      </c>
      <c r="J1367">
        <v>336.99554999999998</v>
      </c>
      <c r="K1367" t="s">
        <v>37</v>
      </c>
    </row>
    <row r="1368" spans="1:11" x14ac:dyDescent="0.45">
      <c r="A1368" t="s">
        <v>90</v>
      </c>
      <c r="B1368" t="s">
        <v>6</v>
      </c>
      <c r="C1368" t="s">
        <v>84</v>
      </c>
      <c r="D1368" t="s">
        <v>37</v>
      </c>
      <c r="E1368" t="s">
        <v>30</v>
      </c>
      <c r="F1368" t="s">
        <v>37</v>
      </c>
      <c r="G1368" t="s">
        <v>31</v>
      </c>
      <c r="H1368" t="s">
        <v>38</v>
      </c>
      <c r="I1368">
        <v>2080</v>
      </c>
      <c r="J1368">
        <v>339.66935000000001</v>
      </c>
      <c r="K1368" t="s">
        <v>37</v>
      </c>
    </row>
    <row r="1369" spans="1:11" x14ac:dyDescent="0.45">
      <c r="A1369" t="s">
        <v>90</v>
      </c>
      <c r="B1369" t="s">
        <v>6</v>
      </c>
      <c r="C1369" t="s">
        <v>84</v>
      </c>
      <c r="D1369" t="s">
        <v>37</v>
      </c>
      <c r="E1369" t="s">
        <v>30</v>
      </c>
      <c r="F1369" t="s">
        <v>37</v>
      </c>
      <c r="G1369" t="s">
        <v>31</v>
      </c>
      <c r="H1369" t="s">
        <v>38</v>
      </c>
      <c r="I1369">
        <v>2085</v>
      </c>
      <c r="J1369">
        <v>332.01355000000001</v>
      </c>
      <c r="K1369" t="s">
        <v>37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37</v>
      </c>
      <c r="E1370" t="s">
        <v>30</v>
      </c>
      <c r="F1370" t="s">
        <v>37</v>
      </c>
      <c r="G1370" t="s">
        <v>31</v>
      </c>
      <c r="H1370" t="s">
        <v>38</v>
      </c>
      <c r="I1370">
        <v>2090</v>
      </c>
      <c r="J1370">
        <v>324.35770000000002</v>
      </c>
      <c r="K1370" t="s">
        <v>37</v>
      </c>
    </row>
    <row r="1371" spans="1:11" x14ac:dyDescent="0.45">
      <c r="A1371" t="s">
        <v>90</v>
      </c>
      <c r="B1371" t="s">
        <v>6</v>
      </c>
      <c r="C1371" t="s">
        <v>84</v>
      </c>
      <c r="D1371" t="s">
        <v>37</v>
      </c>
      <c r="E1371" t="s">
        <v>30</v>
      </c>
      <c r="F1371" t="s">
        <v>37</v>
      </c>
      <c r="G1371" t="s">
        <v>31</v>
      </c>
      <c r="H1371" t="s">
        <v>38</v>
      </c>
      <c r="I1371">
        <v>2095</v>
      </c>
      <c r="J1371">
        <v>338.12104999999997</v>
      </c>
      <c r="K1371" t="s">
        <v>37</v>
      </c>
    </row>
    <row r="1372" spans="1:11" x14ac:dyDescent="0.45">
      <c r="A1372" t="s">
        <v>90</v>
      </c>
      <c r="B1372" t="s">
        <v>6</v>
      </c>
      <c r="C1372" t="s">
        <v>84</v>
      </c>
      <c r="D1372" t="s">
        <v>37</v>
      </c>
      <c r="E1372" t="s">
        <v>30</v>
      </c>
      <c r="F1372" t="s">
        <v>37</v>
      </c>
      <c r="G1372" t="s">
        <v>31</v>
      </c>
      <c r="H1372" t="s">
        <v>38</v>
      </c>
      <c r="I1372">
        <v>2100</v>
      </c>
      <c r="J1372">
        <v>351.88430000000005</v>
      </c>
      <c r="K1372" t="s">
        <v>37</v>
      </c>
    </row>
    <row r="1373" spans="1:11" x14ac:dyDescent="0.45">
      <c r="A1373" t="s">
        <v>90</v>
      </c>
      <c r="B1373" t="s">
        <v>5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5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5.3708</v>
      </c>
      <c r="K1374" t="s">
        <v>29</v>
      </c>
    </row>
    <row r="1375" spans="1:11" x14ac:dyDescent="0.45">
      <c r="A1375" t="s">
        <v>90</v>
      </c>
      <c r="B1375" t="s">
        <v>5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5.2363499999999998</v>
      </c>
      <c r="K1375" t="s">
        <v>29</v>
      </c>
    </row>
    <row r="1376" spans="1:11" x14ac:dyDescent="0.45">
      <c r="A1376" t="s">
        <v>90</v>
      </c>
      <c r="B1376" t="s">
        <v>5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7.54115</v>
      </c>
      <c r="K1376" t="s">
        <v>29</v>
      </c>
    </row>
    <row r="1377" spans="1:11" x14ac:dyDescent="0.45">
      <c r="A1377" t="s">
        <v>90</v>
      </c>
      <c r="B1377" t="s">
        <v>5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8.9328500000000002</v>
      </c>
      <c r="K1377" t="s">
        <v>29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10.32155</v>
      </c>
      <c r="K1378" t="s">
        <v>29</v>
      </c>
    </row>
    <row r="1379" spans="1:11" x14ac:dyDescent="0.45">
      <c r="A1379" t="s">
        <v>90</v>
      </c>
      <c r="B1379" t="s">
        <v>5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12.79175</v>
      </c>
      <c r="K1379" t="s">
        <v>29</v>
      </c>
    </row>
    <row r="1380" spans="1:11" x14ac:dyDescent="0.45">
      <c r="A1380" t="s">
        <v>90</v>
      </c>
      <c r="B1380" t="s">
        <v>5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10.578399999999998</v>
      </c>
      <c r="K1380" t="s">
        <v>29</v>
      </c>
    </row>
    <row r="1381" spans="1:11" x14ac:dyDescent="0.45">
      <c r="A1381" t="s">
        <v>90</v>
      </c>
      <c r="B1381" t="s">
        <v>5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21.462600000000002</v>
      </c>
      <c r="K1381" t="s">
        <v>29</v>
      </c>
    </row>
    <row r="1382" spans="1:11" x14ac:dyDescent="0.45">
      <c r="A1382" t="s">
        <v>90</v>
      </c>
      <c r="B1382" t="s">
        <v>5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19.187899999999999</v>
      </c>
      <c r="K1382" t="s">
        <v>29</v>
      </c>
    </row>
    <row r="1383" spans="1:11" x14ac:dyDescent="0.45">
      <c r="A1383" t="s">
        <v>90</v>
      </c>
      <c r="B1383" t="s">
        <v>5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16.913249999999998</v>
      </c>
      <c r="K1383" t="s">
        <v>29</v>
      </c>
    </row>
    <row r="1384" spans="1:11" x14ac:dyDescent="0.45">
      <c r="A1384" t="s">
        <v>90</v>
      </c>
      <c r="B1384" t="s">
        <v>5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16.574300000000001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16.235250000000001</v>
      </c>
      <c r="K1385" t="s">
        <v>29</v>
      </c>
    </row>
    <row r="1386" spans="1:11" x14ac:dyDescent="0.45">
      <c r="A1386" t="s">
        <v>90</v>
      </c>
      <c r="B1386" t="s">
        <v>5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16.323450000000001</v>
      </c>
      <c r="K1386" t="s">
        <v>29</v>
      </c>
    </row>
    <row r="1387" spans="1:11" x14ac:dyDescent="0.45">
      <c r="A1387" t="s">
        <v>90</v>
      </c>
      <c r="B1387" t="s">
        <v>5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16.411549999999998</v>
      </c>
      <c r="K1387" t="s">
        <v>29</v>
      </c>
    </row>
    <row r="1388" spans="1:11" x14ac:dyDescent="0.45">
      <c r="A1388" t="s">
        <v>90</v>
      </c>
      <c r="B1388" t="s">
        <v>5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16.4863</v>
      </c>
      <c r="K1388" t="s">
        <v>29</v>
      </c>
    </row>
    <row r="1389" spans="1:11" x14ac:dyDescent="0.45">
      <c r="A1389" t="s">
        <v>90</v>
      </c>
      <c r="B1389" t="s">
        <v>5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16.561</v>
      </c>
      <c r="K1389" t="s">
        <v>29</v>
      </c>
    </row>
    <row r="1390" spans="1:11" x14ac:dyDescent="0.45">
      <c r="A1390" t="s">
        <v>90</v>
      </c>
      <c r="B1390" t="s">
        <v>5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2020</v>
      </c>
      <c r="J1390">
        <v>2.0344000000000002</v>
      </c>
      <c r="K1390" t="s">
        <v>33</v>
      </c>
    </row>
    <row r="1391" spans="1:11" x14ac:dyDescent="0.45">
      <c r="A1391" t="s">
        <v>90</v>
      </c>
      <c r="B1391" t="s">
        <v>5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2025</v>
      </c>
      <c r="J1391">
        <v>2.3414999999999999</v>
      </c>
      <c r="K1391" t="s">
        <v>33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2030</v>
      </c>
      <c r="J1392">
        <v>1.6132</v>
      </c>
      <c r="K1392" t="s">
        <v>33</v>
      </c>
    </row>
    <row r="1393" spans="1:11" x14ac:dyDescent="0.45">
      <c r="A1393" t="s">
        <v>90</v>
      </c>
      <c r="B1393" t="s">
        <v>5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2035</v>
      </c>
      <c r="J1393">
        <v>1.1793999999999998</v>
      </c>
      <c r="K1393" t="s">
        <v>33</v>
      </c>
    </row>
    <row r="1394" spans="1:11" x14ac:dyDescent="0.45">
      <c r="A1394" t="s">
        <v>90</v>
      </c>
      <c r="B1394" t="s">
        <v>5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2040</v>
      </c>
      <c r="J1394">
        <v>1.2764500000000001</v>
      </c>
      <c r="K1394" t="s">
        <v>33</v>
      </c>
    </row>
    <row r="1395" spans="1:11" x14ac:dyDescent="0.45">
      <c r="A1395" t="s">
        <v>90</v>
      </c>
      <c r="B1395" t="s">
        <v>5</v>
      </c>
      <c r="C1395" t="s">
        <v>84</v>
      </c>
      <c r="D1395" t="s">
        <v>33</v>
      </c>
      <c r="E1395" t="s">
        <v>30</v>
      </c>
      <c r="F1395" t="s">
        <v>33</v>
      </c>
      <c r="G1395" t="s">
        <v>31</v>
      </c>
      <c r="H1395" t="s">
        <v>34</v>
      </c>
      <c r="I1395">
        <v>2045</v>
      </c>
      <c r="J1395">
        <v>1.2519499999999999</v>
      </c>
      <c r="K1395" t="s">
        <v>33</v>
      </c>
    </row>
    <row r="1396" spans="1:11" x14ac:dyDescent="0.45">
      <c r="A1396" t="s">
        <v>90</v>
      </c>
      <c r="B1396" t="s">
        <v>5</v>
      </c>
      <c r="C1396" t="s">
        <v>84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2050</v>
      </c>
      <c r="J1396">
        <v>1.59405</v>
      </c>
      <c r="K1396" t="s">
        <v>33</v>
      </c>
    </row>
    <row r="1397" spans="1:11" x14ac:dyDescent="0.45">
      <c r="A1397" t="s">
        <v>90</v>
      </c>
      <c r="B1397" t="s">
        <v>5</v>
      </c>
      <c r="C1397" t="s">
        <v>84</v>
      </c>
      <c r="D1397" t="s">
        <v>33</v>
      </c>
      <c r="E1397" t="s">
        <v>30</v>
      </c>
      <c r="F1397" t="s">
        <v>33</v>
      </c>
      <c r="G1397" t="s">
        <v>31</v>
      </c>
      <c r="H1397" t="s">
        <v>34</v>
      </c>
      <c r="I1397">
        <v>2055</v>
      </c>
      <c r="J1397">
        <v>1.51485</v>
      </c>
      <c r="K1397" t="s">
        <v>33</v>
      </c>
    </row>
    <row r="1398" spans="1:11" x14ac:dyDescent="0.45">
      <c r="A1398" t="s">
        <v>90</v>
      </c>
      <c r="B1398" t="s">
        <v>5</v>
      </c>
      <c r="C1398" t="s">
        <v>84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2060</v>
      </c>
      <c r="J1398">
        <v>1.5146000000000002</v>
      </c>
      <c r="K1398" t="s">
        <v>33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33</v>
      </c>
      <c r="E1399" t="s">
        <v>30</v>
      </c>
      <c r="F1399" t="s">
        <v>33</v>
      </c>
      <c r="G1399" t="s">
        <v>31</v>
      </c>
      <c r="H1399" t="s">
        <v>34</v>
      </c>
      <c r="I1399">
        <v>2065</v>
      </c>
      <c r="J1399">
        <v>1.63405</v>
      </c>
      <c r="K1399" t="s">
        <v>33</v>
      </c>
    </row>
    <row r="1400" spans="1:11" x14ac:dyDescent="0.45">
      <c r="A1400" t="s">
        <v>90</v>
      </c>
      <c r="B1400" t="s">
        <v>5</v>
      </c>
      <c r="C1400" t="s">
        <v>84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2070</v>
      </c>
      <c r="J1400">
        <v>1.7535500000000002</v>
      </c>
      <c r="K1400" t="s">
        <v>33</v>
      </c>
    </row>
    <row r="1401" spans="1:11" x14ac:dyDescent="0.45">
      <c r="A1401" t="s">
        <v>90</v>
      </c>
      <c r="B1401" t="s">
        <v>5</v>
      </c>
      <c r="C1401" t="s">
        <v>84</v>
      </c>
      <c r="D1401" t="s">
        <v>33</v>
      </c>
      <c r="E1401" t="s">
        <v>30</v>
      </c>
      <c r="F1401" t="s">
        <v>33</v>
      </c>
      <c r="G1401" t="s">
        <v>31</v>
      </c>
      <c r="H1401" t="s">
        <v>34</v>
      </c>
      <c r="I1401">
        <v>2075</v>
      </c>
      <c r="J1401">
        <v>1.8342499999999999</v>
      </c>
      <c r="K1401" t="s">
        <v>33</v>
      </c>
    </row>
    <row r="1402" spans="1:11" x14ac:dyDescent="0.45">
      <c r="A1402" t="s">
        <v>90</v>
      </c>
      <c r="B1402" t="s">
        <v>5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1.9149500000000002</v>
      </c>
      <c r="K1402" t="s">
        <v>33</v>
      </c>
    </row>
    <row r="1403" spans="1:11" x14ac:dyDescent="0.45">
      <c r="A1403" t="s">
        <v>90</v>
      </c>
      <c r="B1403" t="s">
        <v>5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2085</v>
      </c>
      <c r="J1403">
        <v>1.8938000000000001</v>
      </c>
      <c r="K1403" t="s">
        <v>33</v>
      </c>
    </row>
    <row r="1404" spans="1:11" x14ac:dyDescent="0.45">
      <c r="A1404" t="s">
        <v>90</v>
      </c>
      <c r="B1404" t="s">
        <v>5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2090</v>
      </c>
      <c r="J1404">
        <v>1.8727</v>
      </c>
      <c r="K1404" t="s">
        <v>33</v>
      </c>
    </row>
    <row r="1405" spans="1:11" x14ac:dyDescent="0.45">
      <c r="A1405" t="s">
        <v>90</v>
      </c>
      <c r="B1405" t="s">
        <v>5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2095</v>
      </c>
      <c r="J1405">
        <v>1.7038500000000001</v>
      </c>
      <c r="K1405" t="s">
        <v>33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2100</v>
      </c>
      <c r="J1406">
        <v>1.53505</v>
      </c>
      <c r="K1406" t="s">
        <v>33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2020</v>
      </c>
      <c r="J1407">
        <v>3.9710999999999999</v>
      </c>
      <c r="K1407" t="s">
        <v>35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2025</v>
      </c>
      <c r="J1408">
        <v>4.6830999999999996</v>
      </c>
      <c r="K1408" t="s">
        <v>35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4.3525</v>
      </c>
      <c r="K1409" t="s">
        <v>35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2035</v>
      </c>
      <c r="J1410">
        <v>5.21875</v>
      </c>
      <c r="K1410" t="s">
        <v>35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2040</v>
      </c>
      <c r="J1411">
        <v>4.6133500000000005</v>
      </c>
      <c r="K1411" t="s">
        <v>35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2045</v>
      </c>
      <c r="J1412">
        <v>4.0944000000000003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2050</v>
      </c>
      <c r="J1413">
        <v>4.16275</v>
      </c>
      <c r="K1413" t="s">
        <v>35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2055</v>
      </c>
      <c r="J1414">
        <v>4.0207499999999996</v>
      </c>
      <c r="K1414" t="s">
        <v>35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2060</v>
      </c>
      <c r="J1415">
        <v>5.0639500000000002</v>
      </c>
      <c r="K1415" t="s">
        <v>35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2065</v>
      </c>
      <c r="J1416">
        <v>5.1820000000000004</v>
      </c>
      <c r="K1416" t="s">
        <v>35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2070</v>
      </c>
      <c r="J1417">
        <v>5.3000500000000006</v>
      </c>
      <c r="K1417" t="s">
        <v>35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5.1056999999999997</v>
      </c>
      <c r="K1418" t="s">
        <v>35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2080</v>
      </c>
      <c r="J1419">
        <v>4.9113500000000005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2085</v>
      </c>
      <c r="J1420">
        <v>4.8847000000000005</v>
      </c>
      <c r="K1420" t="s">
        <v>35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2090</v>
      </c>
      <c r="J1421">
        <v>4.8580500000000004</v>
      </c>
      <c r="K1421" t="s">
        <v>35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2095</v>
      </c>
      <c r="J1422">
        <v>4.3528500000000001</v>
      </c>
      <c r="K1422" t="s">
        <v>35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2100</v>
      </c>
      <c r="J1423">
        <v>3.8476499999999998</v>
      </c>
      <c r="K1423" t="s">
        <v>35</v>
      </c>
    </row>
    <row r="1424" spans="1:11" x14ac:dyDescent="0.45">
      <c r="A1424" t="s">
        <v>90</v>
      </c>
      <c r="B1424" t="s">
        <v>5</v>
      </c>
      <c r="C1424" t="s">
        <v>84</v>
      </c>
      <c r="D1424" t="s">
        <v>37</v>
      </c>
      <c r="E1424" t="s">
        <v>30</v>
      </c>
      <c r="F1424" t="s">
        <v>37</v>
      </c>
      <c r="G1424" t="s">
        <v>31</v>
      </c>
      <c r="H1424" t="s">
        <v>38</v>
      </c>
      <c r="I1424">
        <v>2020</v>
      </c>
      <c r="J1424">
        <v>82.284700000000001</v>
      </c>
      <c r="K1424" t="s">
        <v>37</v>
      </c>
    </row>
    <row r="1425" spans="1:11" x14ac:dyDescent="0.45">
      <c r="A1425" t="s">
        <v>90</v>
      </c>
      <c r="B1425" t="s">
        <v>5</v>
      </c>
      <c r="C1425" t="s">
        <v>84</v>
      </c>
      <c r="D1425" t="s">
        <v>37</v>
      </c>
      <c r="E1425" t="s">
        <v>30</v>
      </c>
      <c r="F1425" t="s">
        <v>37</v>
      </c>
      <c r="G1425" t="s">
        <v>31</v>
      </c>
      <c r="H1425" t="s">
        <v>38</v>
      </c>
      <c r="I1425">
        <v>2025</v>
      </c>
      <c r="J1425">
        <v>42.180800000000005</v>
      </c>
      <c r="K1425" t="s">
        <v>37</v>
      </c>
    </row>
    <row r="1426" spans="1:11" x14ac:dyDescent="0.45">
      <c r="A1426" t="s">
        <v>90</v>
      </c>
      <c r="B1426" t="s">
        <v>5</v>
      </c>
      <c r="C1426" t="s">
        <v>84</v>
      </c>
      <c r="D1426" t="s">
        <v>37</v>
      </c>
      <c r="E1426" t="s">
        <v>30</v>
      </c>
      <c r="F1426" t="s">
        <v>37</v>
      </c>
      <c r="G1426" t="s">
        <v>31</v>
      </c>
      <c r="H1426" t="s">
        <v>38</v>
      </c>
      <c r="I1426">
        <v>2030</v>
      </c>
      <c r="J1426">
        <v>79.161200000000008</v>
      </c>
      <c r="K1426" t="s">
        <v>37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37</v>
      </c>
      <c r="E1427" t="s">
        <v>30</v>
      </c>
      <c r="F1427" t="s">
        <v>37</v>
      </c>
      <c r="G1427" t="s">
        <v>31</v>
      </c>
      <c r="H1427" t="s">
        <v>38</v>
      </c>
      <c r="I1427">
        <v>2035</v>
      </c>
      <c r="J1427">
        <v>85.023949999999999</v>
      </c>
      <c r="K1427" t="s">
        <v>37</v>
      </c>
    </row>
    <row r="1428" spans="1:11" x14ac:dyDescent="0.45">
      <c r="A1428" t="s">
        <v>90</v>
      </c>
      <c r="B1428" t="s">
        <v>5</v>
      </c>
      <c r="C1428" t="s">
        <v>84</v>
      </c>
      <c r="D1428" t="s">
        <v>37</v>
      </c>
      <c r="E1428" t="s">
        <v>30</v>
      </c>
      <c r="F1428" t="s">
        <v>37</v>
      </c>
      <c r="G1428" t="s">
        <v>31</v>
      </c>
      <c r="H1428" t="s">
        <v>38</v>
      </c>
      <c r="I1428">
        <v>2040</v>
      </c>
      <c r="J1428">
        <v>98.771500000000003</v>
      </c>
      <c r="K1428" t="s">
        <v>37</v>
      </c>
    </row>
    <row r="1429" spans="1:11" x14ac:dyDescent="0.45">
      <c r="A1429" t="s">
        <v>90</v>
      </c>
      <c r="B1429" t="s">
        <v>5</v>
      </c>
      <c r="C1429" t="s">
        <v>84</v>
      </c>
      <c r="D1429" t="s">
        <v>37</v>
      </c>
      <c r="E1429" t="s">
        <v>30</v>
      </c>
      <c r="F1429" t="s">
        <v>37</v>
      </c>
      <c r="G1429" t="s">
        <v>31</v>
      </c>
      <c r="H1429" t="s">
        <v>38</v>
      </c>
      <c r="I1429">
        <v>2045</v>
      </c>
      <c r="J1429">
        <v>92.769149999999996</v>
      </c>
      <c r="K1429" t="s">
        <v>37</v>
      </c>
    </row>
    <row r="1430" spans="1:11" x14ac:dyDescent="0.45">
      <c r="A1430" t="s">
        <v>90</v>
      </c>
      <c r="B1430" t="s">
        <v>5</v>
      </c>
      <c r="C1430" t="s">
        <v>84</v>
      </c>
      <c r="D1430" t="s">
        <v>37</v>
      </c>
      <c r="E1430" t="s">
        <v>30</v>
      </c>
      <c r="F1430" t="s">
        <v>37</v>
      </c>
      <c r="G1430" t="s">
        <v>31</v>
      </c>
      <c r="H1430" t="s">
        <v>38</v>
      </c>
      <c r="I1430">
        <v>2050</v>
      </c>
      <c r="J1430">
        <v>123.6588</v>
      </c>
      <c r="K1430" t="s">
        <v>37</v>
      </c>
    </row>
    <row r="1431" spans="1:11" x14ac:dyDescent="0.45">
      <c r="A1431" t="s">
        <v>90</v>
      </c>
      <c r="B1431" t="s">
        <v>5</v>
      </c>
      <c r="C1431" t="s">
        <v>84</v>
      </c>
      <c r="D1431" t="s">
        <v>37</v>
      </c>
      <c r="E1431" t="s">
        <v>30</v>
      </c>
      <c r="F1431" t="s">
        <v>37</v>
      </c>
      <c r="G1431" t="s">
        <v>31</v>
      </c>
      <c r="H1431" t="s">
        <v>38</v>
      </c>
      <c r="I1431">
        <v>2055</v>
      </c>
      <c r="J1431">
        <v>138.9537</v>
      </c>
      <c r="K1431" t="s">
        <v>37</v>
      </c>
    </row>
    <row r="1432" spans="1:11" x14ac:dyDescent="0.45">
      <c r="A1432" t="s">
        <v>90</v>
      </c>
      <c r="B1432" t="s">
        <v>5</v>
      </c>
      <c r="C1432" t="s">
        <v>84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2060</v>
      </c>
      <c r="J1432">
        <v>209.56855000000002</v>
      </c>
      <c r="K1432" t="s">
        <v>37</v>
      </c>
    </row>
    <row r="1433" spans="1:11" x14ac:dyDescent="0.45">
      <c r="A1433" t="s">
        <v>90</v>
      </c>
      <c r="B1433" t="s">
        <v>5</v>
      </c>
      <c r="C1433" t="s">
        <v>84</v>
      </c>
      <c r="D1433" t="s">
        <v>37</v>
      </c>
      <c r="E1433" t="s">
        <v>30</v>
      </c>
      <c r="F1433" t="s">
        <v>37</v>
      </c>
      <c r="G1433" t="s">
        <v>31</v>
      </c>
      <c r="H1433" t="s">
        <v>38</v>
      </c>
      <c r="I1433">
        <v>2065</v>
      </c>
      <c r="J1433">
        <v>259.17174999999997</v>
      </c>
      <c r="K1433" t="s">
        <v>37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37</v>
      </c>
      <c r="E1434" t="s">
        <v>30</v>
      </c>
      <c r="F1434" t="s">
        <v>37</v>
      </c>
      <c r="G1434" t="s">
        <v>31</v>
      </c>
      <c r="H1434" t="s">
        <v>38</v>
      </c>
      <c r="I1434">
        <v>2070</v>
      </c>
      <c r="J1434">
        <v>308.77499999999998</v>
      </c>
      <c r="K1434" t="s">
        <v>37</v>
      </c>
    </row>
    <row r="1435" spans="1:11" x14ac:dyDescent="0.45">
      <c r="A1435" t="s">
        <v>90</v>
      </c>
      <c r="B1435" t="s">
        <v>5</v>
      </c>
      <c r="C1435" t="s">
        <v>84</v>
      </c>
      <c r="D1435" t="s">
        <v>37</v>
      </c>
      <c r="E1435" t="s">
        <v>30</v>
      </c>
      <c r="F1435" t="s">
        <v>37</v>
      </c>
      <c r="G1435" t="s">
        <v>31</v>
      </c>
      <c r="H1435" t="s">
        <v>38</v>
      </c>
      <c r="I1435">
        <v>2075</v>
      </c>
      <c r="J1435">
        <v>299.42885000000001</v>
      </c>
      <c r="K1435" t="s">
        <v>37</v>
      </c>
    </row>
    <row r="1436" spans="1:11" x14ac:dyDescent="0.45">
      <c r="A1436" t="s">
        <v>90</v>
      </c>
      <c r="B1436" t="s">
        <v>5</v>
      </c>
      <c r="C1436" t="s">
        <v>84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2080</v>
      </c>
      <c r="J1436">
        <v>290.08265</v>
      </c>
      <c r="K1436" t="s">
        <v>37</v>
      </c>
    </row>
    <row r="1437" spans="1:11" x14ac:dyDescent="0.45">
      <c r="A1437" t="s">
        <v>90</v>
      </c>
      <c r="B1437" t="s">
        <v>5</v>
      </c>
      <c r="C1437" t="s">
        <v>84</v>
      </c>
      <c r="D1437" t="s">
        <v>37</v>
      </c>
      <c r="E1437" t="s">
        <v>30</v>
      </c>
      <c r="F1437" t="s">
        <v>37</v>
      </c>
      <c r="G1437" t="s">
        <v>31</v>
      </c>
      <c r="H1437" t="s">
        <v>38</v>
      </c>
      <c r="I1437">
        <v>2085</v>
      </c>
      <c r="J1437">
        <v>283.4889</v>
      </c>
      <c r="K1437" t="s">
        <v>37</v>
      </c>
    </row>
    <row r="1438" spans="1:11" x14ac:dyDescent="0.45">
      <c r="A1438" t="s">
        <v>90</v>
      </c>
      <c r="B1438" t="s">
        <v>5</v>
      </c>
      <c r="C1438" t="s">
        <v>84</v>
      </c>
      <c r="D1438" t="s">
        <v>37</v>
      </c>
      <c r="E1438" t="s">
        <v>30</v>
      </c>
      <c r="F1438" t="s">
        <v>37</v>
      </c>
      <c r="G1438" t="s">
        <v>31</v>
      </c>
      <c r="H1438" t="s">
        <v>38</v>
      </c>
      <c r="I1438">
        <v>2090</v>
      </c>
      <c r="J1438">
        <v>276.89509999999996</v>
      </c>
      <c r="K1438" t="s">
        <v>37</v>
      </c>
    </row>
    <row r="1439" spans="1:11" x14ac:dyDescent="0.45">
      <c r="A1439" t="s">
        <v>90</v>
      </c>
      <c r="B1439" t="s">
        <v>5</v>
      </c>
      <c r="C1439" t="s">
        <v>84</v>
      </c>
      <c r="D1439" t="s">
        <v>37</v>
      </c>
      <c r="E1439" t="s">
        <v>30</v>
      </c>
      <c r="F1439" t="s">
        <v>37</v>
      </c>
      <c r="G1439" t="s">
        <v>31</v>
      </c>
      <c r="H1439" t="s">
        <v>38</v>
      </c>
      <c r="I1439">
        <v>2095</v>
      </c>
      <c r="J1439">
        <v>304.50725</v>
      </c>
      <c r="K1439" t="s">
        <v>37</v>
      </c>
    </row>
    <row r="1440" spans="1:11" x14ac:dyDescent="0.45">
      <c r="A1440" t="s">
        <v>90</v>
      </c>
      <c r="B1440" t="s">
        <v>5</v>
      </c>
      <c r="C1440" t="s">
        <v>84</v>
      </c>
      <c r="D1440" t="s">
        <v>37</v>
      </c>
      <c r="E1440" t="s">
        <v>30</v>
      </c>
      <c r="F1440" t="s">
        <v>37</v>
      </c>
      <c r="G1440" t="s">
        <v>31</v>
      </c>
      <c r="H1440" t="s">
        <v>38</v>
      </c>
      <c r="I1440">
        <v>2100</v>
      </c>
      <c r="J1440">
        <v>332.11930000000001</v>
      </c>
      <c r="K1440" t="s">
        <v>37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5.6462000000000003</v>
      </c>
      <c r="K1442" t="s">
        <v>29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5.6435499999999994</v>
      </c>
      <c r="K1443" t="s">
        <v>29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5.8456999999999999</v>
      </c>
      <c r="K1444" t="s">
        <v>29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5.91425</v>
      </c>
      <c r="K1445" t="s">
        <v>29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6.5330500000000002</v>
      </c>
      <c r="K1446" t="s">
        <v>29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7.6464999999999996</v>
      </c>
      <c r="K1447" t="s">
        <v>29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6.8690999999999995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13.05955</v>
      </c>
      <c r="K1449" t="s">
        <v>29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12.338899999999999</v>
      </c>
      <c r="K1450" t="s">
        <v>29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11.61825</v>
      </c>
      <c r="K1451" t="s">
        <v>29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11.212400000000001</v>
      </c>
      <c r="K1452" t="s">
        <v>29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10.8065</v>
      </c>
      <c r="K1453" t="s">
        <v>29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10.06185</v>
      </c>
      <c r="K1454" t="s">
        <v>29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9.3171999999999997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10.18595</v>
      </c>
      <c r="K1456" t="s">
        <v>29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11.05475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2.1197999999999997</v>
      </c>
      <c r="K1459" t="s">
        <v>33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2.0793499999999998</v>
      </c>
      <c r="K1460" t="s">
        <v>33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2.0613000000000001</v>
      </c>
      <c r="K1461" t="s">
        <v>33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1.9228499999999999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1.8263</v>
      </c>
      <c r="K1463" t="s">
        <v>33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1.9153500000000001</v>
      </c>
      <c r="K1464" t="s">
        <v>33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1.8517000000000001</v>
      </c>
      <c r="K1465" t="s">
        <v>33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2.3400499999999997</v>
      </c>
      <c r="K1466" t="s">
        <v>33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2.2040999999999999</v>
      </c>
      <c r="K1467" t="s">
        <v>33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2.0681500000000002</v>
      </c>
      <c r="K1468" t="s">
        <v>33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2.1757499999999999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2.28335</v>
      </c>
      <c r="K1470" t="s">
        <v>33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2.29</v>
      </c>
      <c r="K1471" t="s">
        <v>33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2.2967</v>
      </c>
      <c r="K1472" t="s">
        <v>33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2.3285</v>
      </c>
      <c r="K1473" t="s">
        <v>33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2.3602499999999997</v>
      </c>
      <c r="K1474" t="s">
        <v>33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2020</v>
      </c>
      <c r="J1475">
        <v>3.9710999999999999</v>
      </c>
      <c r="K1475" t="s">
        <v>35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2025</v>
      </c>
      <c r="J1476">
        <v>4.5302500000000006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2030</v>
      </c>
      <c r="J1477">
        <v>4.2876500000000002</v>
      </c>
      <c r="K1477" t="s">
        <v>35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2035</v>
      </c>
      <c r="J1478">
        <v>4.73515</v>
      </c>
      <c r="K1478" t="s">
        <v>35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2040</v>
      </c>
      <c r="J1479">
        <v>5.0349500000000003</v>
      </c>
      <c r="K1479" t="s">
        <v>35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2045</v>
      </c>
      <c r="J1480">
        <v>5.3595000000000006</v>
      </c>
      <c r="K1480" t="s">
        <v>35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2050</v>
      </c>
      <c r="J1481">
        <v>5.3207000000000004</v>
      </c>
      <c r="K1481" t="s">
        <v>35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2055</v>
      </c>
      <c r="J1482">
        <v>5.03695</v>
      </c>
      <c r="K1482" t="s">
        <v>35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2060</v>
      </c>
      <c r="J1483">
        <v>6.1361500000000007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2065</v>
      </c>
      <c r="J1484">
        <v>5.9593500000000006</v>
      </c>
      <c r="K1484" t="s">
        <v>35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2070</v>
      </c>
      <c r="J1485">
        <v>5.7826500000000003</v>
      </c>
      <c r="K1485" t="s">
        <v>35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2075</v>
      </c>
      <c r="J1486">
        <v>5.7862499999999999</v>
      </c>
      <c r="K1486" t="s">
        <v>35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2080</v>
      </c>
      <c r="J1487">
        <v>5.7898499999999995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35</v>
      </c>
      <c r="E1488" t="s">
        <v>30</v>
      </c>
      <c r="F1488" t="s">
        <v>35</v>
      </c>
      <c r="G1488" t="s">
        <v>31</v>
      </c>
      <c r="H1488" t="s">
        <v>36</v>
      </c>
      <c r="I1488">
        <v>2085</v>
      </c>
      <c r="J1488">
        <v>5.8544</v>
      </c>
      <c r="K1488" t="s">
        <v>35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2090</v>
      </c>
      <c r="J1489">
        <v>5.9189499999999997</v>
      </c>
      <c r="K1489" t="s">
        <v>35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35</v>
      </c>
      <c r="E1490" t="s">
        <v>30</v>
      </c>
      <c r="F1490" t="s">
        <v>35</v>
      </c>
      <c r="G1490" t="s">
        <v>31</v>
      </c>
      <c r="H1490" t="s">
        <v>36</v>
      </c>
      <c r="I1490">
        <v>2095</v>
      </c>
      <c r="J1490">
        <v>5.9424000000000001</v>
      </c>
      <c r="K1490" t="s">
        <v>35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2100</v>
      </c>
      <c r="J1491">
        <v>5.9658999999999995</v>
      </c>
      <c r="K1491" t="s">
        <v>35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82.284700000000001</v>
      </c>
      <c r="K1492" t="s">
        <v>37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90.086849999999998</v>
      </c>
      <c r="K1493" t="s">
        <v>37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91.933149999999998</v>
      </c>
      <c r="K1494" t="s">
        <v>37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84.959299999999999</v>
      </c>
      <c r="K1495" t="s">
        <v>37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101.9907</v>
      </c>
      <c r="K1496" t="s">
        <v>37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119.41069999999999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134.60120000000001</v>
      </c>
      <c r="K1498" t="s">
        <v>37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143.03975</v>
      </c>
      <c r="K1499" t="s">
        <v>37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231.95824999999999</v>
      </c>
      <c r="K1500" t="s">
        <v>37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275.41724999999997</v>
      </c>
      <c r="K1501" t="s">
        <v>37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318.87615</v>
      </c>
      <c r="K1502" t="s">
        <v>37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305.05365</v>
      </c>
      <c r="K1503" t="s">
        <v>37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291.23109999999997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276.61815000000001</v>
      </c>
      <c r="K1505" t="s">
        <v>37</v>
      </c>
    </row>
    <row r="1506" spans="1:11" x14ac:dyDescent="0.45">
      <c r="A1506" t="s">
        <v>90</v>
      </c>
      <c r="B1506" t="s">
        <v>2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262.00514999999996</v>
      </c>
      <c r="K1506" t="s">
        <v>37</v>
      </c>
    </row>
    <row r="1507" spans="1:11" x14ac:dyDescent="0.45">
      <c r="A1507" t="s">
        <v>90</v>
      </c>
      <c r="B1507" t="s">
        <v>2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277.25805000000003</v>
      </c>
      <c r="K1507" t="s">
        <v>37</v>
      </c>
    </row>
    <row r="1508" spans="1:11" x14ac:dyDescent="0.45">
      <c r="A1508" t="s">
        <v>90</v>
      </c>
      <c r="B1508" t="s">
        <v>2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292.51094999999998</v>
      </c>
      <c r="K1508" t="s">
        <v>37</v>
      </c>
    </row>
    <row r="1509" spans="1:11" x14ac:dyDescent="0.45">
      <c r="A1509" t="s">
        <v>90</v>
      </c>
      <c r="B1509" t="s">
        <v>1</v>
      </c>
      <c r="C1509" t="s">
        <v>84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2020</v>
      </c>
      <c r="J1509">
        <v>5.3799000000000001</v>
      </c>
      <c r="K1509" t="s">
        <v>29</v>
      </c>
    </row>
    <row r="1510" spans="1:11" x14ac:dyDescent="0.45">
      <c r="A1510" t="s">
        <v>90</v>
      </c>
      <c r="B1510" t="s">
        <v>1</v>
      </c>
      <c r="C1510" t="s">
        <v>84</v>
      </c>
      <c r="D1510" t="s">
        <v>29</v>
      </c>
      <c r="E1510" t="s">
        <v>30</v>
      </c>
      <c r="F1510" t="s">
        <v>29</v>
      </c>
      <c r="G1510" t="s">
        <v>31</v>
      </c>
      <c r="H1510" t="s">
        <v>32</v>
      </c>
      <c r="I1510">
        <v>2025</v>
      </c>
      <c r="J1510">
        <v>5.2343000000000002</v>
      </c>
      <c r="K1510" t="s">
        <v>29</v>
      </c>
    </row>
    <row r="1511" spans="1:11" x14ac:dyDescent="0.45">
      <c r="A1511" t="s">
        <v>90</v>
      </c>
      <c r="B1511" t="s">
        <v>1</v>
      </c>
      <c r="C1511" t="s">
        <v>84</v>
      </c>
      <c r="D1511" t="s">
        <v>29</v>
      </c>
      <c r="E1511" t="s">
        <v>30</v>
      </c>
      <c r="F1511" t="s">
        <v>29</v>
      </c>
      <c r="G1511" t="s">
        <v>31</v>
      </c>
      <c r="H1511" t="s">
        <v>32</v>
      </c>
      <c r="I1511">
        <v>2030</v>
      </c>
      <c r="J1511">
        <v>6.0677500000000002</v>
      </c>
      <c r="K1511" t="s">
        <v>29</v>
      </c>
    </row>
    <row r="1512" spans="1:11" x14ac:dyDescent="0.45">
      <c r="A1512" t="s">
        <v>90</v>
      </c>
      <c r="B1512" t="s">
        <v>1</v>
      </c>
      <c r="C1512" t="s">
        <v>84</v>
      </c>
      <c r="D1512" t="s">
        <v>29</v>
      </c>
      <c r="E1512" t="s">
        <v>30</v>
      </c>
      <c r="F1512" t="s">
        <v>29</v>
      </c>
      <c r="G1512" t="s">
        <v>31</v>
      </c>
      <c r="H1512" t="s">
        <v>32</v>
      </c>
      <c r="I1512">
        <v>2035</v>
      </c>
      <c r="J1512">
        <v>8.3306499999999986</v>
      </c>
      <c r="K1512" t="s">
        <v>29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2040</v>
      </c>
      <c r="J1513">
        <v>16.86035</v>
      </c>
      <c r="K1513" t="s">
        <v>29</v>
      </c>
    </row>
    <row r="1514" spans="1:11" x14ac:dyDescent="0.45">
      <c r="A1514" t="s">
        <v>90</v>
      </c>
      <c r="B1514" t="s">
        <v>1</v>
      </c>
      <c r="C1514" t="s">
        <v>84</v>
      </c>
      <c r="D1514" t="s">
        <v>29</v>
      </c>
      <c r="E1514" t="s">
        <v>30</v>
      </c>
      <c r="F1514" t="s">
        <v>29</v>
      </c>
      <c r="G1514" t="s">
        <v>31</v>
      </c>
      <c r="H1514" t="s">
        <v>32</v>
      </c>
      <c r="I1514">
        <v>2045</v>
      </c>
      <c r="J1514">
        <v>22.537300000000002</v>
      </c>
      <c r="K1514" t="s">
        <v>29</v>
      </c>
    </row>
    <row r="1515" spans="1:11" x14ac:dyDescent="0.45">
      <c r="A1515" t="s">
        <v>90</v>
      </c>
      <c r="B1515" t="s">
        <v>1</v>
      </c>
      <c r="C1515" t="s">
        <v>84</v>
      </c>
      <c r="D1515" t="s">
        <v>29</v>
      </c>
      <c r="E1515" t="s">
        <v>30</v>
      </c>
      <c r="F1515" t="s">
        <v>29</v>
      </c>
      <c r="G1515" t="s">
        <v>31</v>
      </c>
      <c r="H1515" t="s">
        <v>32</v>
      </c>
      <c r="I1515">
        <v>2050</v>
      </c>
      <c r="J1515">
        <v>21.625300000000003</v>
      </c>
      <c r="K1515" t="s">
        <v>29</v>
      </c>
    </row>
    <row r="1516" spans="1:11" x14ac:dyDescent="0.45">
      <c r="A1516" t="s">
        <v>90</v>
      </c>
      <c r="B1516" t="s">
        <v>1</v>
      </c>
      <c r="C1516" t="s">
        <v>84</v>
      </c>
      <c r="D1516" t="s">
        <v>29</v>
      </c>
      <c r="E1516" t="s">
        <v>30</v>
      </c>
      <c r="F1516" t="s">
        <v>29</v>
      </c>
      <c r="G1516" t="s">
        <v>31</v>
      </c>
      <c r="H1516" t="s">
        <v>32</v>
      </c>
      <c r="I1516">
        <v>2055</v>
      </c>
      <c r="J1516">
        <v>20.022300000000001</v>
      </c>
      <c r="K1516" t="s">
        <v>29</v>
      </c>
    </row>
    <row r="1517" spans="1:11" x14ac:dyDescent="0.45">
      <c r="A1517" t="s">
        <v>90</v>
      </c>
      <c r="B1517" t="s">
        <v>1</v>
      </c>
      <c r="C1517" t="s">
        <v>84</v>
      </c>
      <c r="D1517" t="s">
        <v>29</v>
      </c>
      <c r="E1517" t="s">
        <v>30</v>
      </c>
      <c r="F1517" t="s">
        <v>29</v>
      </c>
      <c r="G1517" t="s">
        <v>31</v>
      </c>
      <c r="H1517" t="s">
        <v>32</v>
      </c>
      <c r="I1517">
        <v>2060</v>
      </c>
      <c r="J1517">
        <v>34.522100000000002</v>
      </c>
      <c r="K1517" t="s">
        <v>29</v>
      </c>
    </row>
    <row r="1518" spans="1:11" x14ac:dyDescent="0.45">
      <c r="A1518" t="s">
        <v>90</v>
      </c>
      <c r="B1518" t="s">
        <v>1</v>
      </c>
      <c r="C1518" t="s">
        <v>84</v>
      </c>
      <c r="D1518" t="s">
        <v>29</v>
      </c>
      <c r="E1518" t="s">
        <v>30</v>
      </c>
      <c r="F1518" t="s">
        <v>29</v>
      </c>
      <c r="G1518" t="s">
        <v>31</v>
      </c>
      <c r="H1518" t="s">
        <v>32</v>
      </c>
      <c r="I1518">
        <v>2065</v>
      </c>
      <c r="J1518">
        <v>34.848349999999996</v>
      </c>
      <c r="K1518" t="s">
        <v>29</v>
      </c>
    </row>
    <row r="1519" spans="1:11" x14ac:dyDescent="0.45">
      <c r="A1519" t="s">
        <v>90</v>
      </c>
      <c r="B1519" t="s">
        <v>1</v>
      </c>
      <c r="C1519" t="s">
        <v>84</v>
      </c>
      <c r="D1519" t="s">
        <v>29</v>
      </c>
      <c r="E1519" t="s">
        <v>30</v>
      </c>
      <c r="F1519" t="s">
        <v>29</v>
      </c>
      <c r="G1519" t="s">
        <v>31</v>
      </c>
      <c r="H1519" t="s">
        <v>32</v>
      </c>
      <c r="I1519">
        <v>2070</v>
      </c>
      <c r="J1519">
        <v>35.174599999999998</v>
      </c>
      <c r="K1519" t="s">
        <v>29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29</v>
      </c>
      <c r="E1520" t="s">
        <v>30</v>
      </c>
      <c r="F1520" t="s">
        <v>29</v>
      </c>
      <c r="G1520" t="s">
        <v>31</v>
      </c>
      <c r="H1520" t="s">
        <v>32</v>
      </c>
      <c r="I1520">
        <v>2075</v>
      </c>
      <c r="J1520">
        <v>34.450149999999994</v>
      </c>
      <c r="K1520" t="s">
        <v>29</v>
      </c>
    </row>
    <row r="1521" spans="1:11" x14ac:dyDescent="0.45">
      <c r="A1521" t="s">
        <v>90</v>
      </c>
      <c r="B1521" t="s">
        <v>1</v>
      </c>
      <c r="C1521" t="s">
        <v>84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2080</v>
      </c>
      <c r="J1521">
        <v>33.725650000000002</v>
      </c>
      <c r="K1521" t="s">
        <v>29</v>
      </c>
    </row>
    <row r="1522" spans="1:11" x14ac:dyDescent="0.45">
      <c r="A1522" t="s">
        <v>90</v>
      </c>
      <c r="B1522" t="s">
        <v>1</v>
      </c>
      <c r="C1522" t="s">
        <v>84</v>
      </c>
      <c r="D1522" t="s">
        <v>29</v>
      </c>
      <c r="E1522" t="s">
        <v>30</v>
      </c>
      <c r="F1522" t="s">
        <v>29</v>
      </c>
      <c r="G1522" t="s">
        <v>31</v>
      </c>
      <c r="H1522" t="s">
        <v>32</v>
      </c>
      <c r="I1522">
        <v>2085</v>
      </c>
      <c r="J1522">
        <v>35.534049999999993</v>
      </c>
      <c r="K1522" t="s">
        <v>29</v>
      </c>
    </row>
    <row r="1523" spans="1:11" x14ac:dyDescent="0.45">
      <c r="A1523" t="s">
        <v>90</v>
      </c>
      <c r="B1523" t="s">
        <v>1</v>
      </c>
      <c r="C1523" t="s">
        <v>84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2090</v>
      </c>
      <c r="J1523">
        <v>37.342399999999998</v>
      </c>
      <c r="K1523" t="s">
        <v>29</v>
      </c>
    </row>
    <row r="1524" spans="1:11" x14ac:dyDescent="0.45">
      <c r="A1524" t="s">
        <v>90</v>
      </c>
      <c r="B1524" t="s">
        <v>1</v>
      </c>
      <c r="C1524" t="s">
        <v>84</v>
      </c>
      <c r="D1524" t="s">
        <v>29</v>
      </c>
      <c r="E1524" t="s">
        <v>30</v>
      </c>
      <c r="F1524" t="s">
        <v>29</v>
      </c>
      <c r="G1524" t="s">
        <v>31</v>
      </c>
      <c r="H1524" t="s">
        <v>32</v>
      </c>
      <c r="I1524">
        <v>2095</v>
      </c>
      <c r="J1524">
        <v>41.003249999999994</v>
      </c>
      <c r="K1524" t="s">
        <v>29</v>
      </c>
    </row>
    <row r="1525" spans="1:11" x14ac:dyDescent="0.45">
      <c r="A1525" t="s">
        <v>90</v>
      </c>
      <c r="B1525" t="s">
        <v>1</v>
      </c>
      <c r="C1525" t="s">
        <v>84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2100</v>
      </c>
      <c r="J1525">
        <v>44.664050000000003</v>
      </c>
      <c r="K1525" t="s">
        <v>29</v>
      </c>
    </row>
    <row r="1526" spans="1:11" x14ac:dyDescent="0.45">
      <c r="A1526" t="s">
        <v>90</v>
      </c>
      <c r="B1526" t="s">
        <v>1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2.6320999999999999</v>
      </c>
      <c r="K1527" t="s">
        <v>33</v>
      </c>
    </row>
    <row r="1528" spans="1:11" x14ac:dyDescent="0.45">
      <c r="A1528" t="s">
        <v>90</v>
      </c>
      <c r="B1528" t="s">
        <v>1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1.7513000000000001</v>
      </c>
      <c r="K1528" t="s">
        <v>33</v>
      </c>
    </row>
    <row r="1529" spans="1:11" x14ac:dyDescent="0.45">
      <c r="A1529" t="s">
        <v>90</v>
      </c>
      <c r="B1529" t="s">
        <v>1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1.4137</v>
      </c>
      <c r="K1529" t="s">
        <v>33</v>
      </c>
    </row>
    <row r="1530" spans="1:11" x14ac:dyDescent="0.45">
      <c r="A1530" t="s">
        <v>90</v>
      </c>
      <c r="B1530" t="s">
        <v>1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1.3690500000000001</v>
      </c>
      <c r="K1530" t="s">
        <v>33</v>
      </c>
    </row>
    <row r="1531" spans="1:11" x14ac:dyDescent="0.45">
      <c r="A1531" t="s">
        <v>90</v>
      </c>
      <c r="B1531" t="s">
        <v>1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1.4416</v>
      </c>
      <c r="K1531" t="s">
        <v>33</v>
      </c>
    </row>
    <row r="1532" spans="1:11" x14ac:dyDescent="0.45">
      <c r="A1532" t="s">
        <v>90</v>
      </c>
      <c r="B1532" t="s">
        <v>1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1.7387999999999999</v>
      </c>
      <c r="K1532" t="s">
        <v>33</v>
      </c>
    </row>
    <row r="1533" spans="1:11" x14ac:dyDescent="0.45">
      <c r="A1533" t="s">
        <v>90</v>
      </c>
      <c r="B1533" t="s">
        <v>1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1.66615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1.8959000000000001</v>
      </c>
      <c r="K1534" t="s">
        <v>33</v>
      </c>
    </row>
    <row r="1535" spans="1:11" x14ac:dyDescent="0.45">
      <c r="A1535" t="s">
        <v>90</v>
      </c>
      <c r="B1535" t="s">
        <v>1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1.9075500000000001</v>
      </c>
      <c r="K1535" t="s">
        <v>33</v>
      </c>
    </row>
    <row r="1536" spans="1:11" x14ac:dyDescent="0.45">
      <c r="A1536" t="s">
        <v>90</v>
      </c>
      <c r="B1536" t="s">
        <v>1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1.9191499999999999</v>
      </c>
      <c r="K1536" t="s">
        <v>33</v>
      </c>
    </row>
    <row r="1537" spans="1:11" x14ac:dyDescent="0.45">
      <c r="A1537" t="s">
        <v>90</v>
      </c>
      <c r="B1537" t="s">
        <v>1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2.0170500000000002</v>
      </c>
      <c r="K1537" t="s">
        <v>33</v>
      </c>
    </row>
    <row r="1538" spans="1:11" x14ac:dyDescent="0.45">
      <c r="A1538" t="s">
        <v>90</v>
      </c>
      <c r="B1538" t="s">
        <v>1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2.1149</v>
      </c>
      <c r="K1538" t="s">
        <v>33</v>
      </c>
    </row>
    <row r="1539" spans="1:11" x14ac:dyDescent="0.45">
      <c r="A1539" t="s">
        <v>90</v>
      </c>
      <c r="B1539" t="s">
        <v>1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2.0994000000000002</v>
      </c>
      <c r="K1539" t="s">
        <v>33</v>
      </c>
    </row>
    <row r="1540" spans="1:11" x14ac:dyDescent="0.45">
      <c r="A1540" t="s">
        <v>90</v>
      </c>
      <c r="B1540" t="s">
        <v>1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2.0839499999999997</v>
      </c>
      <c r="K1540" t="s">
        <v>33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1.94255</v>
      </c>
      <c r="K1541" t="s">
        <v>33</v>
      </c>
    </row>
    <row r="1542" spans="1:11" x14ac:dyDescent="0.45">
      <c r="A1542" t="s">
        <v>90</v>
      </c>
      <c r="B1542" t="s">
        <v>1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1.8012000000000001</v>
      </c>
      <c r="K1542" t="s">
        <v>33</v>
      </c>
    </row>
    <row r="1543" spans="1:11" x14ac:dyDescent="0.45">
      <c r="A1543" t="s">
        <v>90</v>
      </c>
      <c r="B1543" t="s">
        <v>1</v>
      </c>
      <c r="C1543" t="s">
        <v>84</v>
      </c>
      <c r="D1543" t="s">
        <v>35</v>
      </c>
      <c r="E1543" t="s">
        <v>30</v>
      </c>
      <c r="F1543" t="s">
        <v>35</v>
      </c>
      <c r="G1543" t="s">
        <v>31</v>
      </c>
      <c r="H1543" t="s">
        <v>36</v>
      </c>
      <c r="I1543">
        <v>2020</v>
      </c>
      <c r="J1543">
        <v>3.9710999999999999</v>
      </c>
      <c r="K1543" t="s">
        <v>35</v>
      </c>
    </row>
    <row r="1544" spans="1:11" x14ac:dyDescent="0.45">
      <c r="A1544" t="s">
        <v>90</v>
      </c>
      <c r="B1544" t="s">
        <v>1</v>
      </c>
      <c r="C1544" t="s">
        <v>84</v>
      </c>
      <c r="D1544" t="s">
        <v>35</v>
      </c>
      <c r="E1544" t="s">
        <v>30</v>
      </c>
      <c r="F1544" t="s">
        <v>35</v>
      </c>
      <c r="G1544" t="s">
        <v>31</v>
      </c>
      <c r="H1544" t="s">
        <v>36</v>
      </c>
      <c r="I1544">
        <v>2025</v>
      </c>
      <c r="J1544">
        <v>5.1760999999999999</v>
      </c>
      <c r="K1544" t="s">
        <v>35</v>
      </c>
    </row>
    <row r="1545" spans="1:11" x14ac:dyDescent="0.45">
      <c r="A1545" t="s">
        <v>90</v>
      </c>
      <c r="B1545" t="s">
        <v>1</v>
      </c>
      <c r="C1545" t="s">
        <v>84</v>
      </c>
      <c r="D1545" t="s">
        <v>35</v>
      </c>
      <c r="E1545" t="s">
        <v>30</v>
      </c>
      <c r="F1545" t="s">
        <v>35</v>
      </c>
      <c r="G1545" t="s">
        <v>31</v>
      </c>
      <c r="H1545" t="s">
        <v>36</v>
      </c>
      <c r="I1545">
        <v>2030</v>
      </c>
      <c r="J1545">
        <v>5.5630500000000005</v>
      </c>
      <c r="K1545" t="s">
        <v>35</v>
      </c>
    </row>
    <row r="1546" spans="1:11" x14ac:dyDescent="0.45">
      <c r="A1546" t="s">
        <v>90</v>
      </c>
      <c r="B1546" t="s">
        <v>1</v>
      </c>
      <c r="C1546" t="s">
        <v>84</v>
      </c>
      <c r="D1546" t="s">
        <v>35</v>
      </c>
      <c r="E1546" t="s">
        <v>30</v>
      </c>
      <c r="F1546" t="s">
        <v>35</v>
      </c>
      <c r="G1546" t="s">
        <v>31</v>
      </c>
      <c r="H1546" t="s">
        <v>36</v>
      </c>
      <c r="I1546">
        <v>2035</v>
      </c>
      <c r="J1546">
        <v>5.8599999999999994</v>
      </c>
      <c r="K1546" t="s">
        <v>35</v>
      </c>
    </row>
    <row r="1547" spans="1:11" x14ac:dyDescent="0.45">
      <c r="A1547" t="s">
        <v>90</v>
      </c>
      <c r="B1547" t="s">
        <v>1</v>
      </c>
      <c r="C1547" t="s">
        <v>84</v>
      </c>
      <c r="D1547" t="s">
        <v>35</v>
      </c>
      <c r="E1547" t="s">
        <v>30</v>
      </c>
      <c r="F1547" t="s">
        <v>35</v>
      </c>
      <c r="G1547" t="s">
        <v>31</v>
      </c>
      <c r="H1547" t="s">
        <v>36</v>
      </c>
      <c r="I1547">
        <v>2040</v>
      </c>
      <c r="J1547">
        <v>5.7446000000000002</v>
      </c>
      <c r="K1547" t="s">
        <v>35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35</v>
      </c>
      <c r="E1548" t="s">
        <v>30</v>
      </c>
      <c r="F1548" t="s">
        <v>35</v>
      </c>
      <c r="G1548" t="s">
        <v>31</v>
      </c>
      <c r="H1548" t="s">
        <v>36</v>
      </c>
      <c r="I1548">
        <v>2045</v>
      </c>
      <c r="J1548">
        <v>4.9245999999999999</v>
      </c>
      <c r="K1548" t="s">
        <v>35</v>
      </c>
    </row>
    <row r="1549" spans="1:11" x14ac:dyDescent="0.45">
      <c r="A1549" t="s">
        <v>90</v>
      </c>
      <c r="B1549" t="s">
        <v>1</v>
      </c>
      <c r="C1549" t="s">
        <v>84</v>
      </c>
      <c r="D1549" t="s">
        <v>35</v>
      </c>
      <c r="E1549" t="s">
        <v>30</v>
      </c>
      <c r="F1549" t="s">
        <v>35</v>
      </c>
      <c r="G1549" t="s">
        <v>31</v>
      </c>
      <c r="H1549" t="s">
        <v>36</v>
      </c>
      <c r="I1549">
        <v>2050</v>
      </c>
      <c r="J1549">
        <v>4.4139499999999998</v>
      </c>
      <c r="K1549" t="s">
        <v>35</v>
      </c>
    </row>
    <row r="1550" spans="1:11" x14ac:dyDescent="0.45">
      <c r="A1550" t="s">
        <v>90</v>
      </c>
      <c r="B1550" t="s">
        <v>1</v>
      </c>
      <c r="C1550" t="s">
        <v>84</v>
      </c>
      <c r="D1550" t="s">
        <v>35</v>
      </c>
      <c r="E1550" t="s">
        <v>30</v>
      </c>
      <c r="F1550" t="s">
        <v>35</v>
      </c>
      <c r="G1550" t="s">
        <v>31</v>
      </c>
      <c r="H1550" t="s">
        <v>36</v>
      </c>
      <c r="I1550">
        <v>2055</v>
      </c>
      <c r="J1550">
        <v>4.5674000000000001</v>
      </c>
      <c r="K1550" t="s">
        <v>35</v>
      </c>
    </row>
    <row r="1551" spans="1:11" x14ac:dyDescent="0.45">
      <c r="A1551" t="s">
        <v>90</v>
      </c>
      <c r="B1551" t="s">
        <v>1</v>
      </c>
      <c r="C1551" t="s">
        <v>84</v>
      </c>
      <c r="D1551" t="s">
        <v>35</v>
      </c>
      <c r="E1551" t="s">
        <v>30</v>
      </c>
      <c r="F1551" t="s">
        <v>35</v>
      </c>
      <c r="G1551" t="s">
        <v>31</v>
      </c>
      <c r="H1551" t="s">
        <v>36</v>
      </c>
      <c r="I1551">
        <v>2060</v>
      </c>
      <c r="J1551">
        <v>5.5579999999999998</v>
      </c>
      <c r="K1551" t="s">
        <v>35</v>
      </c>
    </row>
    <row r="1552" spans="1:11" x14ac:dyDescent="0.45">
      <c r="A1552" t="s">
        <v>90</v>
      </c>
      <c r="B1552" t="s">
        <v>1</v>
      </c>
      <c r="C1552" t="s">
        <v>84</v>
      </c>
      <c r="D1552" t="s">
        <v>35</v>
      </c>
      <c r="E1552" t="s">
        <v>30</v>
      </c>
      <c r="F1552" t="s">
        <v>35</v>
      </c>
      <c r="G1552" t="s">
        <v>31</v>
      </c>
      <c r="H1552" t="s">
        <v>36</v>
      </c>
      <c r="I1552">
        <v>2065</v>
      </c>
      <c r="J1552">
        <v>5.8658999999999999</v>
      </c>
      <c r="K1552" t="s">
        <v>35</v>
      </c>
    </row>
    <row r="1553" spans="1:11" x14ac:dyDescent="0.45">
      <c r="A1553" t="s">
        <v>90</v>
      </c>
      <c r="B1553" t="s">
        <v>1</v>
      </c>
      <c r="C1553" t="s">
        <v>84</v>
      </c>
      <c r="D1553" t="s">
        <v>35</v>
      </c>
      <c r="E1553" t="s">
        <v>30</v>
      </c>
      <c r="F1553" t="s">
        <v>35</v>
      </c>
      <c r="G1553" t="s">
        <v>31</v>
      </c>
      <c r="H1553" t="s">
        <v>36</v>
      </c>
      <c r="I1553">
        <v>2070</v>
      </c>
      <c r="J1553">
        <v>6.1738</v>
      </c>
      <c r="K1553" t="s">
        <v>35</v>
      </c>
    </row>
    <row r="1554" spans="1:11" x14ac:dyDescent="0.45">
      <c r="A1554" t="s">
        <v>90</v>
      </c>
      <c r="B1554" t="s">
        <v>1</v>
      </c>
      <c r="C1554" t="s">
        <v>84</v>
      </c>
      <c r="D1554" t="s">
        <v>35</v>
      </c>
      <c r="E1554" t="s">
        <v>30</v>
      </c>
      <c r="F1554" t="s">
        <v>35</v>
      </c>
      <c r="G1554" t="s">
        <v>31</v>
      </c>
      <c r="H1554" t="s">
        <v>36</v>
      </c>
      <c r="I1554">
        <v>2075</v>
      </c>
      <c r="J1554">
        <v>6.0717999999999996</v>
      </c>
      <c r="K1554" t="s">
        <v>35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35</v>
      </c>
      <c r="E1555" t="s">
        <v>30</v>
      </c>
      <c r="F1555" t="s">
        <v>35</v>
      </c>
      <c r="G1555" t="s">
        <v>31</v>
      </c>
      <c r="H1555" t="s">
        <v>36</v>
      </c>
      <c r="I1555">
        <v>2080</v>
      </c>
      <c r="J1555">
        <v>5.9697999999999993</v>
      </c>
      <c r="K1555" t="s">
        <v>35</v>
      </c>
    </row>
    <row r="1556" spans="1:11" x14ac:dyDescent="0.45">
      <c r="A1556" t="s">
        <v>90</v>
      </c>
      <c r="B1556" t="s">
        <v>1</v>
      </c>
      <c r="C1556" t="s">
        <v>84</v>
      </c>
      <c r="D1556" t="s">
        <v>35</v>
      </c>
      <c r="E1556" t="s">
        <v>30</v>
      </c>
      <c r="F1556" t="s">
        <v>35</v>
      </c>
      <c r="G1556" t="s">
        <v>31</v>
      </c>
      <c r="H1556" t="s">
        <v>36</v>
      </c>
      <c r="I1556">
        <v>2085</v>
      </c>
      <c r="J1556">
        <v>5.8603500000000004</v>
      </c>
      <c r="K1556" t="s">
        <v>35</v>
      </c>
    </row>
    <row r="1557" spans="1:11" x14ac:dyDescent="0.45">
      <c r="A1557" t="s">
        <v>90</v>
      </c>
      <c r="B1557" t="s">
        <v>1</v>
      </c>
      <c r="C1557" t="s">
        <v>84</v>
      </c>
      <c r="D1557" t="s">
        <v>35</v>
      </c>
      <c r="E1557" t="s">
        <v>30</v>
      </c>
      <c r="F1557" t="s">
        <v>35</v>
      </c>
      <c r="G1557" t="s">
        <v>31</v>
      </c>
      <c r="H1557" t="s">
        <v>36</v>
      </c>
      <c r="I1557">
        <v>2090</v>
      </c>
      <c r="J1557">
        <v>5.7508499999999998</v>
      </c>
      <c r="K1557" t="s">
        <v>35</v>
      </c>
    </row>
    <row r="1558" spans="1:11" x14ac:dyDescent="0.45">
      <c r="A1558" t="s">
        <v>90</v>
      </c>
      <c r="B1558" t="s">
        <v>1</v>
      </c>
      <c r="C1558" t="s">
        <v>84</v>
      </c>
      <c r="D1558" t="s">
        <v>35</v>
      </c>
      <c r="E1558" t="s">
        <v>30</v>
      </c>
      <c r="F1558" t="s">
        <v>35</v>
      </c>
      <c r="G1558" t="s">
        <v>31</v>
      </c>
      <c r="H1558" t="s">
        <v>36</v>
      </c>
      <c r="I1558">
        <v>2095</v>
      </c>
      <c r="J1558">
        <v>5.3330500000000001</v>
      </c>
      <c r="K1558" t="s">
        <v>35</v>
      </c>
    </row>
    <row r="1559" spans="1:11" x14ac:dyDescent="0.45">
      <c r="A1559" t="s">
        <v>90</v>
      </c>
      <c r="B1559" t="s">
        <v>1</v>
      </c>
      <c r="C1559" t="s">
        <v>84</v>
      </c>
      <c r="D1559" t="s">
        <v>35</v>
      </c>
      <c r="E1559" t="s">
        <v>30</v>
      </c>
      <c r="F1559" t="s">
        <v>35</v>
      </c>
      <c r="G1559" t="s">
        <v>31</v>
      </c>
      <c r="H1559" t="s">
        <v>36</v>
      </c>
      <c r="I1559">
        <v>2100</v>
      </c>
      <c r="J1559">
        <v>4.9152500000000003</v>
      </c>
      <c r="K1559" t="s">
        <v>35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82.284700000000001</v>
      </c>
      <c r="K1560" t="s">
        <v>37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82.312600000000003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93.561599999999999</v>
      </c>
      <c r="K1562" t="s">
        <v>37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105.96599999999999</v>
      </c>
      <c r="K1563" t="s">
        <v>37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133.94040000000001</v>
      </c>
      <c r="K1564" t="s">
        <v>37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142.2116</v>
      </c>
      <c r="K1565" t="s">
        <v>37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146.59960000000001</v>
      </c>
      <c r="K1566" t="s">
        <v>37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175.14765</v>
      </c>
      <c r="K1567" t="s">
        <v>37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294.91550000000001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396.57960000000003</v>
      </c>
      <c r="K1569" t="s">
        <v>37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498.24369999999999</v>
      </c>
      <c r="K1570" t="s">
        <v>37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516.12689999999998</v>
      </c>
      <c r="K1571" t="s">
        <v>37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534.01009999999997</v>
      </c>
      <c r="K1572" t="s">
        <v>37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540.76405</v>
      </c>
      <c r="K1573" t="s">
        <v>37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547.51790000000005</v>
      </c>
      <c r="K1574" t="s">
        <v>37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571.23070000000007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594.94344999999998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205.11689999999999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186.9736</v>
      </c>
      <c r="K1578" t="s">
        <v>48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140.40269999999998</v>
      </c>
      <c r="K1579" t="s">
        <v>48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83.964299999999994</v>
      </c>
      <c r="K1580" t="s">
        <v>48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35.456099999999999</v>
      </c>
      <c r="K1581" t="s">
        <v>48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-1.3952499999999999</v>
      </c>
      <c r="K1582" t="s">
        <v>48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-26.669750000000001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-37.849299999999999</v>
      </c>
      <c r="K1584" t="s">
        <v>48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-49.217100000000002</v>
      </c>
      <c r="K1585" t="s">
        <v>48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-51.505299999999998</v>
      </c>
      <c r="K1586" t="s">
        <v>48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-53.539699999999996</v>
      </c>
      <c r="K1587" t="s">
        <v>48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-54.545050000000003</v>
      </c>
      <c r="K1588" t="s">
        <v>48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-55.513199999999998</v>
      </c>
      <c r="K1589" t="s">
        <v>48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-56.698300000000003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-57.831000000000003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-55.953600000000002</v>
      </c>
      <c r="K1592" t="s">
        <v>48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-54.073700000000002</v>
      </c>
      <c r="K1593" t="s">
        <v>48</v>
      </c>
    </row>
    <row r="1594" spans="1:11" x14ac:dyDescent="0.45">
      <c r="A1594" t="s">
        <v>90</v>
      </c>
      <c r="B1594" t="s">
        <v>3</v>
      </c>
      <c r="C1594" t="s">
        <v>84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2020</v>
      </c>
      <c r="J1594">
        <v>261.34040000000005</v>
      </c>
      <c r="K1594" t="s">
        <v>51</v>
      </c>
    </row>
    <row r="1595" spans="1:11" x14ac:dyDescent="0.45">
      <c r="A1595" t="s">
        <v>90</v>
      </c>
      <c r="B1595" t="s">
        <v>3</v>
      </c>
      <c r="C1595" t="s">
        <v>84</v>
      </c>
      <c r="D1595" t="s">
        <v>51</v>
      </c>
      <c r="E1595" t="s">
        <v>46</v>
      </c>
      <c r="F1595" t="s">
        <v>51</v>
      </c>
      <c r="G1595" t="s">
        <v>49</v>
      </c>
      <c r="H1595" t="s">
        <v>50</v>
      </c>
      <c r="I1595">
        <v>2025</v>
      </c>
      <c r="J1595">
        <v>228.99170000000001</v>
      </c>
      <c r="K1595" t="s">
        <v>51</v>
      </c>
    </row>
    <row r="1596" spans="1:11" x14ac:dyDescent="0.45">
      <c r="A1596" t="s">
        <v>90</v>
      </c>
      <c r="B1596" t="s">
        <v>3</v>
      </c>
      <c r="C1596" t="s">
        <v>84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2030</v>
      </c>
      <c r="J1596">
        <v>183.75489999999999</v>
      </c>
      <c r="K1596" t="s">
        <v>51</v>
      </c>
    </row>
    <row r="1597" spans="1:11" x14ac:dyDescent="0.45">
      <c r="A1597" t="s">
        <v>90</v>
      </c>
      <c r="B1597" t="s">
        <v>3</v>
      </c>
      <c r="C1597" t="s">
        <v>84</v>
      </c>
      <c r="D1597" t="s">
        <v>51</v>
      </c>
      <c r="E1597" t="s">
        <v>46</v>
      </c>
      <c r="F1597" t="s">
        <v>51</v>
      </c>
      <c r="G1597" t="s">
        <v>49</v>
      </c>
      <c r="H1597" t="s">
        <v>50</v>
      </c>
      <c r="I1597">
        <v>2035</v>
      </c>
      <c r="J1597">
        <v>130.9393</v>
      </c>
      <c r="K1597" t="s">
        <v>51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2040</v>
      </c>
      <c r="J1598">
        <v>85.191900000000004</v>
      </c>
      <c r="K1598" t="s">
        <v>51</v>
      </c>
    </row>
    <row r="1599" spans="1:11" x14ac:dyDescent="0.45">
      <c r="A1599" t="s">
        <v>90</v>
      </c>
      <c r="B1599" t="s">
        <v>3</v>
      </c>
      <c r="C1599" t="s">
        <v>84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2045</v>
      </c>
      <c r="J1599">
        <v>49.614649999999997</v>
      </c>
      <c r="K1599" t="s">
        <v>51</v>
      </c>
    </row>
    <row r="1600" spans="1:11" x14ac:dyDescent="0.45">
      <c r="A1600" t="s">
        <v>90</v>
      </c>
      <c r="B1600" t="s">
        <v>3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2050</v>
      </c>
      <c r="J1600">
        <v>24.67915</v>
      </c>
      <c r="K1600" t="s">
        <v>51</v>
      </c>
    </row>
    <row r="1601" spans="1:11" x14ac:dyDescent="0.45">
      <c r="A1601" t="s">
        <v>90</v>
      </c>
      <c r="B1601" t="s">
        <v>3</v>
      </c>
      <c r="C1601" t="s">
        <v>84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2055</v>
      </c>
      <c r="J1601">
        <v>12.101099999999999</v>
      </c>
      <c r="K1601" t="s">
        <v>51</v>
      </c>
    </row>
    <row r="1602" spans="1:11" x14ac:dyDescent="0.45">
      <c r="A1602" t="s">
        <v>90</v>
      </c>
      <c r="B1602" t="s">
        <v>3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2060</v>
      </c>
      <c r="J1602">
        <v>-2.1993999999999998</v>
      </c>
      <c r="K1602" t="s">
        <v>51</v>
      </c>
    </row>
    <row r="1603" spans="1:11" x14ac:dyDescent="0.45">
      <c r="A1603" t="s">
        <v>90</v>
      </c>
      <c r="B1603" t="s">
        <v>3</v>
      </c>
      <c r="C1603" t="s">
        <v>84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2065</v>
      </c>
      <c r="J1603">
        <v>-5.3138500000000004</v>
      </c>
      <c r="K1603" t="s">
        <v>51</v>
      </c>
    </row>
    <row r="1604" spans="1:11" x14ac:dyDescent="0.45">
      <c r="A1604" t="s">
        <v>90</v>
      </c>
      <c r="B1604" t="s">
        <v>3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2070</v>
      </c>
      <c r="J1604">
        <v>-8.1781499999999987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51</v>
      </c>
      <c r="E1605" t="s">
        <v>46</v>
      </c>
      <c r="F1605" t="s">
        <v>51</v>
      </c>
      <c r="G1605" t="s">
        <v>49</v>
      </c>
      <c r="H1605" t="s">
        <v>50</v>
      </c>
      <c r="I1605">
        <v>2075</v>
      </c>
      <c r="J1605">
        <v>-10.043849999999999</v>
      </c>
      <c r="K1605" t="s">
        <v>51</v>
      </c>
    </row>
    <row r="1606" spans="1:11" x14ac:dyDescent="0.45">
      <c r="A1606" t="s">
        <v>90</v>
      </c>
      <c r="B1606" t="s">
        <v>3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2080</v>
      </c>
      <c r="J1606">
        <v>-11.8581</v>
      </c>
      <c r="K1606" t="s">
        <v>51</v>
      </c>
    </row>
    <row r="1607" spans="1:11" x14ac:dyDescent="0.45">
      <c r="A1607" t="s">
        <v>90</v>
      </c>
      <c r="B1607" t="s">
        <v>3</v>
      </c>
      <c r="C1607" t="s">
        <v>84</v>
      </c>
      <c r="D1607" t="s">
        <v>51</v>
      </c>
      <c r="E1607" t="s">
        <v>46</v>
      </c>
      <c r="F1607" t="s">
        <v>51</v>
      </c>
      <c r="G1607" t="s">
        <v>49</v>
      </c>
      <c r="H1607" t="s">
        <v>50</v>
      </c>
      <c r="I1607">
        <v>2085</v>
      </c>
      <c r="J1607">
        <v>-12.947099999999999</v>
      </c>
      <c r="K1607" t="s">
        <v>51</v>
      </c>
    </row>
    <row r="1608" spans="1:11" x14ac:dyDescent="0.45">
      <c r="A1608" t="s">
        <v>90</v>
      </c>
      <c r="B1608" t="s">
        <v>3</v>
      </c>
      <c r="C1608" t="s">
        <v>84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2090</v>
      </c>
      <c r="J1608">
        <v>-13.957100000000001</v>
      </c>
      <c r="K1608" t="s">
        <v>51</v>
      </c>
    </row>
    <row r="1609" spans="1:11" x14ac:dyDescent="0.45">
      <c r="A1609" t="s">
        <v>90</v>
      </c>
      <c r="B1609" t="s">
        <v>3</v>
      </c>
      <c r="C1609" t="s">
        <v>84</v>
      </c>
      <c r="D1609" t="s">
        <v>51</v>
      </c>
      <c r="E1609" t="s">
        <v>46</v>
      </c>
      <c r="F1609" t="s">
        <v>51</v>
      </c>
      <c r="G1609" t="s">
        <v>49</v>
      </c>
      <c r="H1609" t="s">
        <v>50</v>
      </c>
      <c r="I1609">
        <v>2095</v>
      </c>
      <c r="J1609">
        <v>-14.59995</v>
      </c>
      <c r="K1609" t="s">
        <v>51</v>
      </c>
    </row>
    <row r="1610" spans="1:11" x14ac:dyDescent="0.45">
      <c r="A1610" t="s">
        <v>90</v>
      </c>
      <c r="B1610" t="s">
        <v>3</v>
      </c>
      <c r="C1610" t="s">
        <v>84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-15.256499999999999</v>
      </c>
      <c r="K1610" t="s">
        <v>51</v>
      </c>
    </row>
    <row r="1611" spans="1:11" x14ac:dyDescent="0.45">
      <c r="A1611" t="s">
        <v>90</v>
      </c>
      <c r="B1611" t="s">
        <v>4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2020</v>
      </c>
      <c r="J1611">
        <v>204.9248</v>
      </c>
      <c r="K1611" t="s">
        <v>48</v>
      </c>
    </row>
    <row r="1612" spans="1:11" x14ac:dyDescent="0.45">
      <c r="A1612" t="s">
        <v>90</v>
      </c>
      <c r="B1612" t="s">
        <v>4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2025</v>
      </c>
      <c r="J1612">
        <v>193.39780000000002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2030</v>
      </c>
      <c r="J1613">
        <v>166.3708</v>
      </c>
      <c r="K1613" t="s">
        <v>48</v>
      </c>
    </row>
    <row r="1614" spans="1:11" x14ac:dyDescent="0.45">
      <c r="A1614" t="s">
        <v>90</v>
      </c>
      <c r="B1614" t="s">
        <v>4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2035</v>
      </c>
      <c r="J1614">
        <v>133.39215000000002</v>
      </c>
      <c r="K1614" t="s">
        <v>48</v>
      </c>
    </row>
    <row r="1615" spans="1:11" x14ac:dyDescent="0.45">
      <c r="A1615" t="s">
        <v>90</v>
      </c>
      <c r="B1615" t="s">
        <v>4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2040</v>
      </c>
      <c r="J1615">
        <v>107.8516</v>
      </c>
      <c r="K1615" t="s">
        <v>48</v>
      </c>
    </row>
    <row r="1616" spans="1:11" x14ac:dyDescent="0.45">
      <c r="A1616" t="s">
        <v>90</v>
      </c>
      <c r="B1616" t="s">
        <v>4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89.587350000000001</v>
      </c>
      <c r="K1616" t="s">
        <v>48</v>
      </c>
    </row>
    <row r="1617" spans="1:11" x14ac:dyDescent="0.45">
      <c r="A1617" t="s">
        <v>90</v>
      </c>
      <c r="B1617" t="s">
        <v>4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2050</v>
      </c>
      <c r="J1617">
        <v>80.253349999999998</v>
      </c>
      <c r="K1617" t="s">
        <v>48</v>
      </c>
    </row>
    <row r="1618" spans="1:11" x14ac:dyDescent="0.45">
      <c r="A1618" t="s">
        <v>90</v>
      </c>
      <c r="B1618" t="s">
        <v>4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2055</v>
      </c>
      <c r="J1618">
        <v>66.564750000000004</v>
      </c>
      <c r="K1618" t="s">
        <v>48</v>
      </c>
    </row>
    <row r="1619" spans="1:11" x14ac:dyDescent="0.45">
      <c r="A1619" t="s">
        <v>90</v>
      </c>
      <c r="B1619" t="s">
        <v>4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2060</v>
      </c>
      <c r="J1619">
        <v>56.028350000000003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2065</v>
      </c>
      <c r="J1620">
        <v>50.061549999999997</v>
      </c>
      <c r="K1620" t="s">
        <v>48</v>
      </c>
    </row>
    <row r="1621" spans="1:11" x14ac:dyDescent="0.45">
      <c r="A1621" t="s">
        <v>90</v>
      </c>
      <c r="B1621" t="s">
        <v>4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2070</v>
      </c>
      <c r="J1621">
        <v>44.321899999999999</v>
      </c>
      <c r="K1621" t="s">
        <v>48</v>
      </c>
    </row>
    <row r="1622" spans="1:11" x14ac:dyDescent="0.45">
      <c r="A1622" t="s">
        <v>90</v>
      </c>
      <c r="B1622" t="s">
        <v>4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2075</v>
      </c>
      <c r="J1622">
        <v>37.002499999999998</v>
      </c>
      <c r="K1622" t="s">
        <v>48</v>
      </c>
    </row>
    <row r="1623" spans="1:11" x14ac:dyDescent="0.45">
      <c r="A1623" t="s">
        <v>90</v>
      </c>
      <c r="B1623" t="s">
        <v>4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2080</v>
      </c>
      <c r="J1623">
        <v>29.674900000000001</v>
      </c>
      <c r="K1623" t="s">
        <v>48</v>
      </c>
    </row>
    <row r="1624" spans="1:11" x14ac:dyDescent="0.45">
      <c r="A1624" t="s">
        <v>90</v>
      </c>
      <c r="B1624" t="s">
        <v>4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2085</v>
      </c>
      <c r="J1624">
        <v>23.17015</v>
      </c>
      <c r="K1624" t="s">
        <v>48</v>
      </c>
    </row>
    <row r="1625" spans="1:11" x14ac:dyDescent="0.45">
      <c r="A1625" t="s">
        <v>90</v>
      </c>
      <c r="B1625" t="s">
        <v>4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2090</v>
      </c>
      <c r="J1625">
        <v>16.60885</v>
      </c>
      <c r="K1625" t="s">
        <v>48</v>
      </c>
    </row>
    <row r="1626" spans="1:11" x14ac:dyDescent="0.45">
      <c r="A1626" t="s">
        <v>90</v>
      </c>
      <c r="B1626" t="s">
        <v>4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14.91705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2100</v>
      </c>
      <c r="J1627">
        <v>13.350000000000001</v>
      </c>
      <c r="K1627" t="s">
        <v>48</v>
      </c>
    </row>
    <row r="1628" spans="1:11" x14ac:dyDescent="0.45">
      <c r="A1628" t="s">
        <v>90</v>
      </c>
      <c r="B1628" t="s">
        <v>4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2020</v>
      </c>
      <c r="J1628">
        <v>261.18290000000002</v>
      </c>
      <c r="K1628" t="s">
        <v>51</v>
      </c>
    </row>
    <row r="1629" spans="1:11" x14ac:dyDescent="0.45">
      <c r="A1629" t="s">
        <v>90</v>
      </c>
      <c r="B1629" t="s">
        <v>4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2025</v>
      </c>
      <c r="J1629">
        <v>232.72845000000001</v>
      </c>
      <c r="K1629" t="s">
        <v>51</v>
      </c>
    </row>
    <row r="1630" spans="1:11" x14ac:dyDescent="0.45">
      <c r="A1630" t="s">
        <v>90</v>
      </c>
      <c r="B1630" t="s">
        <v>4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2030</v>
      </c>
      <c r="J1630">
        <v>209.07040000000001</v>
      </c>
      <c r="K1630" t="s">
        <v>51</v>
      </c>
    </row>
    <row r="1631" spans="1:11" x14ac:dyDescent="0.45">
      <c r="A1631" t="s">
        <v>90</v>
      </c>
      <c r="B1631" t="s">
        <v>4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2035</v>
      </c>
      <c r="J1631">
        <v>177.48930000000001</v>
      </c>
      <c r="K1631" t="s">
        <v>51</v>
      </c>
    </row>
    <row r="1632" spans="1:11" x14ac:dyDescent="0.45">
      <c r="A1632" t="s">
        <v>90</v>
      </c>
      <c r="B1632" t="s">
        <v>4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2040</v>
      </c>
      <c r="J1632">
        <v>153.92245</v>
      </c>
      <c r="K1632" t="s">
        <v>51</v>
      </c>
    </row>
    <row r="1633" spans="1:11" x14ac:dyDescent="0.45">
      <c r="A1633" t="s">
        <v>90</v>
      </c>
      <c r="B1633" t="s">
        <v>4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2045</v>
      </c>
      <c r="J1633">
        <v>137.96449999999999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2050</v>
      </c>
      <c r="J1634">
        <v>130.9862</v>
      </c>
      <c r="K1634" t="s">
        <v>51</v>
      </c>
    </row>
    <row r="1635" spans="1:11" x14ac:dyDescent="0.45">
      <c r="A1635" t="s">
        <v>90</v>
      </c>
      <c r="B1635" t="s">
        <v>4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2055</v>
      </c>
      <c r="J1635">
        <v>116.8252</v>
      </c>
      <c r="K1635" t="s">
        <v>51</v>
      </c>
    </row>
    <row r="1636" spans="1:11" x14ac:dyDescent="0.45">
      <c r="A1636" t="s">
        <v>90</v>
      </c>
      <c r="B1636" t="s">
        <v>4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2060</v>
      </c>
      <c r="J1636">
        <v>105.63095</v>
      </c>
      <c r="K1636" t="s">
        <v>51</v>
      </c>
    </row>
    <row r="1637" spans="1:11" x14ac:dyDescent="0.45">
      <c r="A1637" t="s">
        <v>90</v>
      </c>
      <c r="B1637" t="s">
        <v>4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2065</v>
      </c>
      <c r="J1637">
        <v>98.906300000000002</v>
      </c>
      <c r="K1637" t="s">
        <v>51</v>
      </c>
    </row>
    <row r="1638" spans="1:11" x14ac:dyDescent="0.45">
      <c r="A1638" t="s">
        <v>90</v>
      </c>
      <c r="B1638" t="s">
        <v>4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2070</v>
      </c>
      <c r="J1638">
        <v>92.397950000000009</v>
      </c>
      <c r="K1638" t="s">
        <v>51</v>
      </c>
    </row>
    <row r="1639" spans="1:11" x14ac:dyDescent="0.45">
      <c r="A1639" t="s">
        <v>90</v>
      </c>
      <c r="B1639" t="s">
        <v>4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2075</v>
      </c>
      <c r="J1639">
        <v>85.660600000000002</v>
      </c>
      <c r="K1639" t="s">
        <v>51</v>
      </c>
    </row>
    <row r="1640" spans="1:11" x14ac:dyDescent="0.45">
      <c r="A1640" t="s">
        <v>90</v>
      </c>
      <c r="B1640" t="s">
        <v>4</v>
      </c>
      <c r="C1640" t="s">
        <v>84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2080</v>
      </c>
      <c r="J1640">
        <v>78.938749999999999</v>
      </c>
      <c r="K1640" t="s">
        <v>51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51</v>
      </c>
      <c r="E1641" t="s">
        <v>46</v>
      </c>
      <c r="F1641" t="s">
        <v>51</v>
      </c>
      <c r="G1641" t="s">
        <v>49</v>
      </c>
      <c r="H1641" t="s">
        <v>50</v>
      </c>
      <c r="I1641">
        <v>2085</v>
      </c>
      <c r="J1641">
        <v>70.871350000000007</v>
      </c>
      <c r="K1641" t="s">
        <v>51</v>
      </c>
    </row>
    <row r="1642" spans="1:11" x14ac:dyDescent="0.45">
      <c r="A1642" t="s">
        <v>90</v>
      </c>
      <c r="B1642" t="s">
        <v>4</v>
      </c>
      <c r="C1642" t="s">
        <v>84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2090</v>
      </c>
      <c r="J1642">
        <v>62.768100000000004</v>
      </c>
      <c r="K1642" t="s">
        <v>51</v>
      </c>
    </row>
    <row r="1643" spans="1:11" x14ac:dyDescent="0.45">
      <c r="A1643" t="s">
        <v>90</v>
      </c>
      <c r="B1643" t="s">
        <v>4</v>
      </c>
      <c r="C1643" t="s">
        <v>84</v>
      </c>
      <c r="D1643" t="s">
        <v>51</v>
      </c>
      <c r="E1643" t="s">
        <v>46</v>
      </c>
      <c r="F1643" t="s">
        <v>51</v>
      </c>
      <c r="G1643" t="s">
        <v>49</v>
      </c>
      <c r="H1643" t="s">
        <v>50</v>
      </c>
      <c r="I1643">
        <v>2095</v>
      </c>
      <c r="J1643">
        <v>56.793700000000001</v>
      </c>
      <c r="K1643" t="s">
        <v>51</v>
      </c>
    </row>
    <row r="1644" spans="1:11" x14ac:dyDescent="0.45">
      <c r="A1644" t="s">
        <v>90</v>
      </c>
      <c r="B1644" t="s">
        <v>4</v>
      </c>
      <c r="C1644" t="s">
        <v>84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2100</v>
      </c>
      <c r="J1644">
        <v>50.945949999999996</v>
      </c>
      <c r="K1644" t="s">
        <v>51</v>
      </c>
    </row>
    <row r="1645" spans="1:11" x14ac:dyDescent="0.45">
      <c r="A1645" t="s">
        <v>90</v>
      </c>
      <c r="B1645" t="s">
        <v>0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2020</v>
      </c>
      <c r="J1645">
        <v>206.31055000000001</v>
      </c>
      <c r="K1645" t="s">
        <v>48</v>
      </c>
    </row>
    <row r="1646" spans="1:11" x14ac:dyDescent="0.45">
      <c r="A1646" t="s">
        <v>90</v>
      </c>
      <c r="B1646" t="s">
        <v>0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2025</v>
      </c>
      <c r="J1646">
        <v>196.3768</v>
      </c>
      <c r="K1646" t="s">
        <v>48</v>
      </c>
    </row>
    <row r="1647" spans="1:11" x14ac:dyDescent="0.45">
      <c r="A1647" t="s">
        <v>90</v>
      </c>
      <c r="B1647" t="s">
        <v>0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2030</v>
      </c>
      <c r="J1647">
        <v>170.45285000000001</v>
      </c>
      <c r="K1647" t="s">
        <v>48</v>
      </c>
    </row>
    <row r="1648" spans="1:11" x14ac:dyDescent="0.45">
      <c r="A1648" t="s">
        <v>90</v>
      </c>
      <c r="B1648" t="s">
        <v>0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2035</v>
      </c>
      <c r="J1648">
        <v>113.11105000000001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2040</v>
      </c>
      <c r="J1649">
        <v>-6.4238499999999998</v>
      </c>
      <c r="K1649" t="s">
        <v>48</v>
      </c>
    </row>
    <row r="1650" spans="1:11" x14ac:dyDescent="0.45">
      <c r="A1650" t="s">
        <v>90</v>
      </c>
      <c r="B1650" t="s">
        <v>0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-73.756399999999999</v>
      </c>
      <c r="K1650" t="s">
        <v>48</v>
      </c>
    </row>
    <row r="1651" spans="1:11" x14ac:dyDescent="0.45">
      <c r="A1651" t="s">
        <v>90</v>
      </c>
      <c r="B1651" t="s">
        <v>0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2050</v>
      </c>
      <c r="J1651">
        <v>-104.1771</v>
      </c>
      <c r="K1651" t="s">
        <v>48</v>
      </c>
    </row>
    <row r="1652" spans="1:11" x14ac:dyDescent="0.45">
      <c r="A1652" t="s">
        <v>90</v>
      </c>
      <c r="B1652" t="s">
        <v>0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2055</v>
      </c>
      <c r="J1652">
        <v>-109.6836</v>
      </c>
      <c r="K1652" t="s">
        <v>48</v>
      </c>
    </row>
    <row r="1653" spans="1:11" x14ac:dyDescent="0.45">
      <c r="A1653" t="s">
        <v>90</v>
      </c>
      <c r="B1653" t="s">
        <v>0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2060</v>
      </c>
      <c r="J1653">
        <v>-108.5714</v>
      </c>
      <c r="K1653" t="s">
        <v>48</v>
      </c>
    </row>
    <row r="1654" spans="1:11" x14ac:dyDescent="0.45">
      <c r="A1654" t="s">
        <v>90</v>
      </c>
      <c r="B1654" t="s">
        <v>0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2065</v>
      </c>
      <c r="J1654">
        <v>-109.30244999999999</v>
      </c>
      <c r="K1654" t="s">
        <v>48</v>
      </c>
    </row>
    <row r="1655" spans="1:11" x14ac:dyDescent="0.45">
      <c r="A1655" t="s">
        <v>90</v>
      </c>
      <c r="B1655" t="s">
        <v>0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2070</v>
      </c>
      <c r="J1655">
        <v>-109.73099999999999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-103.71340000000001</v>
      </c>
      <c r="K1656" t="s">
        <v>48</v>
      </c>
    </row>
    <row r="1657" spans="1:11" x14ac:dyDescent="0.45">
      <c r="A1657" t="s">
        <v>90</v>
      </c>
      <c r="B1657" t="s">
        <v>0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2080</v>
      </c>
      <c r="J1657">
        <v>-97.448450000000008</v>
      </c>
      <c r="K1657" t="s">
        <v>48</v>
      </c>
    </row>
    <row r="1658" spans="1:11" x14ac:dyDescent="0.45">
      <c r="A1658" t="s">
        <v>90</v>
      </c>
      <c r="B1658" t="s">
        <v>0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2085</v>
      </c>
      <c r="J1658">
        <v>-90.539150000000006</v>
      </c>
      <c r="K1658" t="s">
        <v>48</v>
      </c>
    </row>
    <row r="1659" spans="1:11" x14ac:dyDescent="0.45">
      <c r="A1659" t="s">
        <v>90</v>
      </c>
      <c r="B1659" t="s">
        <v>0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2090</v>
      </c>
      <c r="J1659">
        <v>-83.410499999999999</v>
      </c>
      <c r="K1659" t="s">
        <v>48</v>
      </c>
    </row>
    <row r="1660" spans="1:11" x14ac:dyDescent="0.45">
      <c r="A1660" t="s">
        <v>90</v>
      </c>
      <c r="B1660" t="s">
        <v>0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2095</v>
      </c>
      <c r="J1660">
        <v>-79.047449999999998</v>
      </c>
      <c r="K1660" t="s">
        <v>48</v>
      </c>
    </row>
    <row r="1661" spans="1:11" x14ac:dyDescent="0.45">
      <c r="A1661" t="s">
        <v>90</v>
      </c>
      <c r="B1661" t="s">
        <v>0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2100</v>
      </c>
      <c r="J1661">
        <v>-74.733000000000004</v>
      </c>
      <c r="K1661" t="s">
        <v>48</v>
      </c>
    </row>
    <row r="1662" spans="1:11" x14ac:dyDescent="0.45">
      <c r="A1662" t="s">
        <v>90</v>
      </c>
      <c r="B1662" t="s">
        <v>0</v>
      </c>
      <c r="C1662" t="s">
        <v>84</v>
      </c>
      <c r="D1662" t="s">
        <v>51</v>
      </c>
      <c r="E1662" t="s">
        <v>46</v>
      </c>
      <c r="F1662" t="s">
        <v>51</v>
      </c>
      <c r="G1662" t="s">
        <v>49</v>
      </c>
      <c r="H1662" t="s">
        <v>50</v>
      </c>
      <c r="I1662">
        <v>2020</v>
      </c>
      <c r="J1662">
        <v>262.53830000000005</v>
      </c>
      <c r="K1662" t="s">
        <v>51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51</v>
      </c>
      <c r="E1663" t="s">
        <v>46</v>
      </c>
      <c r="F1663" t="s">
        <v>51</v>
      </c>
      <c r="G1663" t="s">
        <v>49</v>
      </c>
      <c r="H1663" t="s">
        <v>50</v>
      </c>
      <c r="I1663">
        <v>2025</v>
      </c>
      <c r="J1663">
        <v>235.83244999999999</v>
      </c>
      <c r="K1663" t="s">
        <v>51</v>
      </c>
    </row>
    <row r="1664" spans="1:11" x14ac:dyDescent="0.45">
      <c r="A1664" t="s">
        <v>90</v>
      </c>
      <c r="B1664" t="s">
        <v>0</v>
      </c>
      <c r="C1664" t="s">
        <v>84</v>
      </c>
      <c r="D1664" t="s">
        <v>51</v>
      </c>
      <c r="E1664" t="s">
        <v>46</v>
      </c>
      <c r="F1664" t="s">
        <v>51</v>
      </c>
      <c r="G1664" t="s">
        <v>49</v>
      </c>
      <c r="H1664" t="s">
        <v>50</v>
      </c>
      <c r="I1664">
        <v>2030</v>
      </c>
      <c r="J1664">
        <v>211.10025000000002</v>
      </c>
      <c r="K1664" t="s">
        <v>51</v>
      </c>
    </row>
    <row r="1665" spans="1:11" x14ac:dyDescent="0.45">
      <c r="A1665" t="s">
        <v>90</v>
      </c>
      <c r="B1665" t="s">
        <v>0</v>
      </c>
      <c r="C1665" t="s">
        <v>84</v>
      </c>
      <c r="D1665" t="s">
        <v>51</v>
      </c>
      <c r="E1665" t="s">
        <v>46</v>
      </c>
      <c r="F1665" t="s">
        <v>51</v>
      </c>
      <c r="G1665" t="s">
        <v>49</v>
      </c>
      <c r="H1665" t="s">
        <v>50</v>
      </c>
      <c r="I1665">
        <v>2035</v>
      </c>
      <c r="J1665">
        <v>165.5975</v>
      </c>
      <c r="K1665" t="s">
        <v>51</v>
      </c>
    </row>
    <row r="1666" spans="1:11" x14ac:dyDescent="0.45">
      <c r="A1666" t="s">
        <v>90</v>
      </c>
      <c r="B1666" t="s">
        <v>0</v>
      </c>
      <c r="C1666" t="s">
        <v>84</v>
      </c>
      <c r="D1666" t="s">
        <v>51</v>
      </c>
      <c r="E1666" t="s">
        <v>46</v>
      </c>
      <c r="F1666" t="s">
        <v>51</v>
      </c>
      <c r="G1666" t="s">
        <v>49</v>
      </c>
      <c r="H1666" t="s">
        <v>50</v>
      </c>
      <c r="I1666">
        <v>2040</v>
      </c>
      <c r="J1666">
        <v>51.898499999999999</v>
      </c>
      <c r="K1666" t="s">
        <v>51</v>
      </c>
    </row>
    <row r="1667" spans="1:11" x14ac:dyDescent="0.45">
      <c r="A1667" t="s">
        <v>90</v>
      </c>
      <c r="B1667" t="s">
        <v>0</v>
      </c>
      <c r="C1667" t="s">
        <v>84</v>
      </c>
      <c r="D1667" t="s">
        <v>51</v>
      </c>
      <c r="E1667" t="s">
        <v>46</v>
      </c>
      <c r="F1667" t="s">
        <v>51</v>
      </c>
      <c r="G1667" t="s">
        <v>49</v>
      </c>
      <c r="H1667" t="s">
        <v>50</v>
      </c>
      <c r="I1667">
        <v>2045</v>
      </c>
      <c r="J1667">
        <v>-11.244949999999999</v>
      </c>
      <c r="K1667" t="s">
        <v>51</v>
      </c>
    </row>
    <row r="1668" spans="1:11" x14ac:dyDescent="0.45">
      <c r="A1668" t="s">
        <v>90</v>
      </c>
      <c r="B1668" t="s">
        <v>0</v>
      </c>
      <c r="C1668" t="s">
        <v>84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2050</v>
      </c>
      <c r="J1668">
        <v>-38.922399999999996</v>
      </c>
      <c r="K1668" t="s">
        <v>51</v>
      </c>
    </row>
    <row r="1669" spans="1:11" x14ac:dyDescent="0.45">
      <c r="A1669" t="s">
        <v>90</v>
      </c>
      <c r="B1669" t="s">
        <v>0</v>
      </c>
      <c r="C1669" t="s">
        <v>84</v>
      </c>
      <c r="D1669" t="s">
        <v>51</v>
      </c>
      <c r="E1669" t="s">
        <v>46</v>
      </c>
      <c r="F1669" t="s">
        <v>51</v>
      </c>
      <c r="G1669" t="s">
        <v>49</v>
      </c>
      <c r="H1669" t="s">
        <v>50</v>
      </c>
      <c r="I1669">
        <v>2055</v>
      </c>
      <c r="J1669">
        <v>-46.369699999999995</v>
      </c>
      <c r="K1669" t="s">
        <v>51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2060</v>
      </c>
      <c r="J1670">
        <v>-49.530799999999999</v>
      </c>
      <c r="K1670" t="s">
        <v>51</v>
      </c>
    </row>
    <row r="1671" spans="1:11" x14ac:dyDescent="0.45">
      <c r="A1671" t="s">
        <v>90</v>
      </c>
      <c r="B1671" t="s">
        <v>0</v>
      </c>
      <c r="C1671" t="s">
        <v>84</v>
      </c>
      <c r="D1671" t="s">
        <v>51</v>
      </c>
      <c r="E1671" t="s">
        <v>46</v>
      </c>
      <c r="F1671" t="s">
        <v>51</v>
      </c>
      <c r="G1671" t="s">
        <v>49</v>
      </c>
      <c r="H1671" t="s">
        <v>50</v>
      </c>
      <c r="I1671">
        <v>2065</v>
      </c>
      <c r="J1671">
        <v>-52.195500000000003</v>
      </c>
      <c r="K1671" t="s">
        <v>51</v>
      </c>
    </row>
    <row r="1672" spans="1:11" x14ac:dyDescent="0.45">
      <c r="A1672" t="s">
        <v>90</v>
      </c>
      <c r="B1672" t="s">
        <v>0</v>
      </c>
      <c r="C1672" t="s">
        <v>84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2070</v>
      </c>
      <c r="J1672">
        <v>-54.561300000000003</v>
      </c>
      <c r="K1672" t="s">
        <v>51</v>
      </c>
    </row>
    <row r="1673" spans="1:11" x14ac:dyDescent="0.45">
      <c r="A1673" t="s">
        <v>90</v>
      </c>
      <c r="B1673" t="s">
        <v>0</v>
      </c>
      <c r="C1673" t="s">
        <v>84</v>
      </c>
      <c r="D1673" t="s">
        <v>51</v>
      </c>
      <c r="E1673" t="s">
        <v>46</v>
      </c>
      <c r="F1673" t="s">
        <v>51</v>
      </c>
      <c r="G1673" t="s">
        <v>49</v>
      </c>
      <c r="H1673" t="s">
        <v>50</v>
      </c>
      <c r="I1673">
        <v>2075</v>
      </c>
      <c r="J1673">
        <v>-50.144100000000002</v>
      </c>
      <c r="K1673" t="s">
        <v>51</v>
      </c>
    </row>
    <row r="1674" spans="1:11" x14ac:dyDescent="0.45">
      <c r="A1674" t="s">
        <v>90</v>
      </c>
      <c r="B1674" t="s">
        <v>0</v>
      </c>
      <c r="C1674" t="s">
        <v>84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2080</v>
      </c>
      <c r="J1674">
        <v>-45.468350000000001</v>
      </c>
      <c r="K1674" t="s">
        <v>51</v>
      </c>
    </row>
    <row r="1675" spans="1:11" x14ac:dyDescent="0.45">
      <c r="A1675" t="s">
        <v>90</v>
      </c>
      <c r="B1675" t="s">
        <v>0</v>
      </c>
      <c r="C1675" t="s">
        <v>84</v>
      </c>
      <c r="D1675" t="s">
        <v>51</v>
      </c>
      <c r="E1675" t="s">
        <v>46</v>
      </c>
      <c r="F1675" t="s">
        <v>51</v>
      </c>
      <c r="G1675" t="s">
        <v>49</v>
      </c>
      <c r="H1675" t="s">
        <v>50</v>
      </c>
      <c r="I1675">
        <v>2085</v>
      </c>
      <c r="J1675">
        <v>-39.047150000000002</v>
      </c>
      <c r="K1675" t="s">
        <v>51</v>
      </c>
    </row>
    <row r="1676" spans="1:11" x14ac:dyDescent="0.45">
      <c r="A1676" t="s">
        <v>90</v>
      </c>
      <c r="B1676" t="s">
        <v>0</v>
      </c>
      <c r="C1676" t="s">
        <v>84</v>
      </c>
      <c r="D1676" t="s">
        <v>51</v>
      </c>
      <c r="E1676" t="s">
        <v>46</v>
      </c>
      <c r="F1676" t="s">
        <v>51</v>
      </c>
      <c r="G1676" t="s">
        <v>49</v>
      </c>
      <c r="H1676" t="s">
        <v>50</v>
      </c>
      <c r="I1676">
        <v>2090</v>
      </c>
      <c r="J1676">
        <v>-32.384149999999998</v>
      </c>
      <c r="K1676" t="s">
        <v>51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51</v>
      </c>
      <c r="E1677" t="s">
        <v>46</v>
      </c>
      <c r="F1677" t="s">
        <v>51</v>
      </c>
      <c r="G1677" t="s">
        <v>49</v>
      </c>
      <c r="H1677" t="s">
        <v>50</v>
      </c>
      <c r="I1677">
        <v>2095</v>
      </c>
      <c r="J1677">
        <v>-30.9755</v>
      </c>
      <c r="K1677" t="s">
        <v>51</v>
      </c>
    </row>
    <row r="1678" spans="1:11" x14ac:dyDescent="0.45">
      <c r="A1678" t="s">
        <v>90</v>
      </c>
      <c r="B1678" t="s">
        <v>0</v>
      </c>
      <c r="C1678" t="s">
        <v>84</v>
      </c>
      <c r="D1678" t="s">
        <v>51</v>
      </c>
      <c r="E1678" t="s">
        <v>46</v>
      </c>
      <c r="F1678" t="s">
        <v>51</v>
      </c>
      <c r="G1678" t="s">
        <v>49</v>
      </c>
      <c r="H1678" t="s">
        <v>50</v>
      </c>
      <c r="I1678">
        <v>2100</v>
      </c>
      <c r="J1678">
        <v>-29.617550000000001</v>
      </c>
      <c r="K1678" t="s">
        <v>51</v>
      </c>
    </row>
    <row r="1679" spans="1:11" x14ac:dyDescent="0.45">
      <c r="A1679" t="s">
        <v>90</v>
      </c>
      <c r="B1679" t="s">
        <v>6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2020</v>
      </c>
      <c r="J1679">
        <v>205.3193</v>
      </c>
      <c r="K1679" t="s">
        <v>48</v>
      </c>
    </row>
    <row r="1680" spans="1:11" x14ac:dyDescent="0.45">
      <c r="A1680" t="s">
        <v>90</v>
      </c>
      <c r="B1680" t="s">
        <v>6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2025</v>
      </c>
      <c r="J1680">
        <v>194.9023</v>
      </c>
      <c r="K1680" t="s">
        <v>48</v>
      </c>
    </row>
    <row r="1681" spans="1:11" x14ac:dyDescent="0.45">
      <c r="A1681" t="s">
        <v>90</v>
      </c>
      <c r="B1681" t="s">
        <v>6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2030</v>
      </c>
      <c r="J1681">
        <v>167.90205</v>
      </c>
      <c r="K1681" t="s">
        <v>48</v>
      </c>
    </row>
    <row r="1682" spans="1:11" x14ac:dyDescent="0.45">
      <c r="A1682" t="s">
        <v>90</v>
      </c>
      <c r="B1682" t="s">
        <v>6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2035</v>
      </c>
      <c r="J1682">
        <v>116.4298</v>
      </c>
      <c r="K1682" t="s">
        <v>48</v>
      </c>
    </row>
    <row r="1683" spans="1:11" x14ac:dyDescent="0.45">
      <c r="A1683" t="s">
        <v>90</v>
      </c>
      <c r="B1683" t="s">
        <v>6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2040</v>
      </c>
      <c r="J1683">
        <v>39.388950000000001</v>
      </c>
      <c r="K1683" t="s">
        <v>48</v>
      </c>
    </row>
    <row r="1684" spans="1:11" x14ac:dyDescent="0.45">
      <c r="A1684" t="s">
        <v>90</v>
      </c>
      <c r="B1684" t="s">
        <v>6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2045</v>
      </c>
      <c r="J1684">
        <v>-6.5057999999999998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2050</v>
      </c>
      <c r="J1685">
        <v>-29.8217</v>
      </c>
      <c r="K1685" t="s">
        <v>48</v>
      </c>
    </row>
    <row r="1686" spans="1:11" x14ac:dyDescent="0.45">
      <c r="A1686" t="s">
        <v>90</v>
      </c>
      <c r="B1686" t="s">
        <v>6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2055</v>
      </c>
      <c r="J1686">
        <v>-37.42615</v>
      </c>
      <c r="K1686" t="s">
        <v>48</v>
      </c>
    </row>
    <row r="1687" spans="1:11" x14ac:dyDescent="0.45">
      <c r="A1687" t="s">
        <v>90</v>
      </c>
      <c r="B1687" t="s">
        <v>6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2060</v>
      </c>
      <c r="J1687">
        <v>-43.237849999999995</v>
      </c>
      <c r="K1687" t="s">
        <v>48</v>
      </c>
    </row>
    <row r="1688" spans="1:11" x14ac:dyDescent="0.45">
      <c r="A1688" t="s">
        <v>90</v>
      </c>
      <c r="B1688" t="s">
        <v>6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2065</v>
      </c>
      <c r="J1688">
        <v>-45.858049999999999</v>
      </c>
      <c r="K1688" t="s">
        <v>48</v>
      </c>
    </row>
    <row r="1689" spans="1:11" x14ac:dyDescent="0.45">
      <c r="A1689" t="s">
        <v>90</v>
      </c>
      <c r="B1689" t="s">
        <v>6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2070</v>
      </c>
      <c r="J1689">
        <v>-48.2012</v>
      </c>
      <c r="K1689" t="s">
        <v>48</v>
      </c>
    </row>
    <row r="1690" spans="1:11" x14ac:dyDescent="0.45">
      <c r="A1690" t="s">
        <v>90</v>
      </c>
      <c r="B1690" t="s">
        <v>6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2075</v>
      </c>
      <c r="J1690">
        <v>-50.091650000000001</v>
      </c>
      <c r="K1690" t="s">
        <v>48</v>
      </c>
    </row>
    <row r="1691" spans="1:11" x14ac:dyDescent="0.45">
      <c r="A1691" t="s">
        <v>90</v>
      </c>
      <c r="B1691" t="s">
        <v>6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2080</v>
      </c>
      <c r="J1691">
        <v>-52.043050000000001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2085</v>
      </c>
      <c r="J1692">
        <v>-54.179299999999998</v>
      </c>
      <c r="K1692" t="s">
        <v>48</v>
      </c>
    </row>
    <row r="1693" spans="1:11" x14ac:dyDescent="0.45">
      <c r="A1693" t="s">
        <v>90</v>
      </c>
      <c r="B1693" t="s">
        <v>6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2090</v>
      </c>
      <c r="J1693">
        <v>-56.190449999999998</v>
      </c>
      <c r="K1693" t="s">
        <v>48</v>
      </c>
    </row>
    <row r="1694" spans="1:11" x14ac:dyDescent="0.45">
      <c r="A1694" t="s">
        <v>90</v>
      </c>
      <c r="B1694" t="s">
        <v>6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2095</v>
      </c>
      <c r="J1694">
        <v>-53.865449999999996</v>
      </c>
      <c r="K1694" t="s">
        <v>48</v>
      </c>
    </row>
    <row r="1695" spans="1:11" x14ac:dyDescent="0.45">
      <c r="A1695" t="s">
        <v>90</v>
      </c>
      <c r="B1695" t="s">
        <v>6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-51.593800000000002</v>
      </c>
      <c r="K1695" t="s">
        <v>48</v>
      </c>
    </row>
    <row r="1696" spans="1:11" x14ac:dyDescent="0.45">
      <c r="A1696" t="s">
        <v>90</v>
      </c>
      <c r="B1696" t="s">
        <v>6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261.52800000000002</v>
      </c>
      <c r="K1696" t="s">
        <v>51</v>
      </c>
    </row>
    <row r="1697" spans="1:11" x14ac:dyDescent="0.45">
      <c r="A1697" t="s">
        <v>90</v>
      </c>
      <c r="B1697" t="s">
        <v>6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2025</v>
      </c>
      <c r="J1697">
        <v>233.41475</v>
      </c>
      <c r="K1697" t="s">
        <v>51</v>
      </c>
    </row>
    <row r="1698" spans="1:11" x14ac:dyDescent="0.45">
      <c r="A1698" t="s">
        <v>90</v>
      </c>
      <c r="B1698" t="s">
        <v>6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2030</v>
      </c>
      <c r="J1698">
        <v>209.45825000000002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2035</v>
      </c>
      <c r="J1699">
        <v>167.21654999999998</v>
      </c>
      <c r="K1699" t="s">
        <v>51</v>
      </c>
    </row>
    <row r="1700" spans="1:11" x14ac:dyDescent="0.45">
      <c r="A1700" t="s">
        <v>90</v>
      </c>
      <c r="B1700" t="s">
        <v>6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2040</v>
      </c>
      <c r="J1700">
        <v>95.062100000000001</v>
      </c>
      <c r="K1700" t="s">
        <v>51</v>
      </c>
    </row>
    <row r="1701" spans="1:11" x14ac:dyDescent="0.45">
      <c r="A1701" t="s">
        <v>90</v>
      </c>
      <c r="B1701" t="s">
        <v>6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2045</v>
      </c>
      <c r="J1701">
        <v>53.032049999999998</v>
      </c>
      <c r="K1701" t="s">
        <v>51</v>
      </c>
    </row>
    <row r="1702" spans="1:11" x14ac:dyDescent="0.45">
      <c r="A1702" t="s">
        <v>90</v>
      </c>
      <c r="B1702" t="s">
        <v>6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2050</v>
      </c>
      <c r="J1702">
        <v>31.183</v>
      </c>
      <c r="K1702" t="s">
        <v>51</v>
      </c>
    </row>
    <row r="1703" spans="1:11" x14ac:dyDescent="0.45">
      <c r="A1703" t="s">
        <v>90</v>
      </c>
      <c r="B1703" t="s">
        <v>6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2055</v>
      </c>
      <c r="J1703">
        <v>21.662849999999999</v>
      </c>
      <c r="K1703" t="s">
        <v>51</v>
      </c>
    </row>
    <row r="1704" spans="1:11" x14ac:dyDescent="0.45">
      <c r="A1704" t="s">
        <v>90</v>
      </c>
      <c r="B1704" t="s">
        <v>6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2060</v>
      </c>
      <c r="J1704">
        <v>12.73545</v>
      </c>
      <c r="K1704" t="s">
        <v>51</v>
      </c>
    </row>
    <row r="1705" spans="1:11" x14ac:dyDescent="0.45">
      <c r="A1705" t="s">
        <v>90</v>
      </c>
      <c r="B1705" t="s">
        <v>6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2065</v>
      </c>
      <c r="J1705">
        <v>8.2996499999999997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2070</v>
      </c>
      <c r="J1706">
        <v>4.1327999999999996</v>
      </c>
      <c r="K1706" t="s">
        <v>51</v>
      </c>
    </row>
    <row r="1707" spans="1:11" x14ac:dyDescent="0.45">
      <c r="A1707" t="s">
        <v>90</v>
      </c>
      <c r="B1707" t="s">
        <v>6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2075</v>
      </c>
      <c r="J1707">
        <v>2.9186999999999999</v>
      </c>
      <c r="K1707" t="s">
        <v>51</v>
      </c>
    </row>
    <row r="1708" spans="1:11" x14ac:dyDescent="0.45">
      <c r="A1708" t="s">
        <v>90</v>
      </c>
      <c r="B1708" t="s">
        <v>6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2080</v>
      </c>
      <c r="J1708">
        <v>1.6550500000000001</v>
      </c>
      <c r="K1708" t="s">
        <v>51</v>
      </c>
    </row>
    <row r="1709" spans="1:11" x14ac:dyDescent="0.45">
      <c r="A1709" t="s">
        <v>90</v>
      </c>
      <c r="B1709" t="s">
        <v>6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2085</v>
      </c>
      <c r="J1709">
        <v>-0.8801000000000001</v>
      </c>
      <c r="K1709" t="s">
        <v>51</v>
      </c>
    </row>
    <row r="1710" spans="1:11" x14ac:dyDescent="0.45">
      <c r="A1710" t="s">
        <v>90</v>
      </c>
      <c r="B1710" t="s">
        <v>6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2090</v>
      </c>
      <c r="J1710">
        <v>-3.2706</v>
      </c>
      <c r="K1710" t="s">
        <v>51</v>
      </c>
    </row>
    <row r="1711" spans="1:11" x14ac:dyDescent="0.45">
      <c r="A1711" t="s">
        <v>90</v>
      </c>
      <c r="B1711" t="s">
        <v>6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2095</v>
      </c>
      <c r="J1711">
        <v>-5.0249500000000005</v>
      </c>
      <c r="K1711" t="s">
        <v>51</v>
      </c>
    </row>
    <row r="1712" spans="1:11" x14ac:dyDescent="0.45">
      <c r="A1712" t="s">
        <v>90</v>
      </c>
      <c r="B1712" t="s">
        <v>6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2100</v>
      </c>
      <c r="J1712">
        <v>-6.8371500000000003</v>
      </c>
      <c r="K1712" t="s">
        <v>51</v>
      </c>
    </row>
    <row r="1713" spans="1:11" x14ac:dyDescent="0.45">
      <c r="A1713" t="s">
        <v>90</v>
      </c>
      <c r="B1713" t="s">
        <v>5</v>
      </c>
      <c r="C1713" t="s">
        <v>84</v>
      </c>
      <c r="D1713" t="s">
        <v>48</v>
      </c>
      <c r="E1713" t="s">
        <v>46</v>
      </c>
      <c r="F1713" t="s">
        <v>48</v>
      </c>
      <c r="G1713" t="s">
        <v>49</v>
      </c>
      <c r="H1713" t="s">
        <v>50</v>
      </c>
      <c r="I1713">
        <v>2020</v>
      </c>
      <c r="J1713">
        <v>211.66255000000001</v>
      </c>
      <c r="K1713" t="s">
        <v>48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48</v>
      </c>
      <c r="E1714" t="s">
        <v>46</v>
      </c>
      <c r="F1714" t="s">
        <v>48</v>
      </c>
      <c r="G1714" t="s">
        <v>49</v>
      </c>
      <c r="H1714" t="s">
        <v>50</v>
      </c>
      <c r="I1714">
        <v>2025</v>
      </c>
      <c r="J1714">
        <v>184.38319999999999</v>
      </c>
      <c r="K1714" t="s">
        <v>48</v>
      </c>
    </row>
    <row r="1715" spans="1:11" x14ac:dyDescent="0.45">
      <c r="A1715" t="s">
        <v>90</v>
      </c>
      <c r="B1715" t="s">
        <v>5</v>
      </c>
      <c r="C1715" t="s">
        <v>84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2030</v>
      </c>
      <c r="J1715">
        <v>79.587600000000009</v>
      </c>
      <c r="K1715" t="s">
        <v>48</v>
      </c>
    </row>
    <row r="1716" spans="1:11" x14ac:dyDescent="0.45">
      <c r="A1716" t="s">
        <v>90</v>
      </c>
      <c r="B1716" t="s">
        <v>5</v>
      </c>
      <c r="C1716" t="s">
        <v>84</v>
      </c>
      <c r="D1716" t="s">
        <v>48</v>
      </c>
      <c r="E1716" t="s">
        <v>46</v>
      </c>
      <c r="F1716" t="s">
        <v>48</v>
      </c>
      <c r="G1716" t="s">
        <v>49</v>
      </c>
      <c r="H1716" t="s">
        <v>50</v>
      </c>
      <c r="I1716">
        <v>2035</v>
      </c>
      <c r="J1716">
        <v>18.998100000000001</v>
      </c>
      <c r="K1716" t="s">
        <v>48</v>
      </c>
    </row>
    <row r="1717" spans="1:11" x14ac:dyDescent="0.45">
      <c r="A1717" t="s">
        <v>90</v>
      </c>
      <c r="B1717" t="s">
        <v>5</v>
      </c>
      <c r="C1717" t="s">
        <v>84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2040</v>
      </c>
      <c r="J1717">
        <v>-33.330500000000001</v>
      </c>
      <c r="K1717" t="s">
        <v>48</v>
      </c>
    </row>
    <row r="1718" spans="1:11" x14ac:dyDescent="0.45">
      <c r="A1718" t="s">
        <v>90</v>
      </c>
      <c r="B1718" t="s">
        <v>5</v>
      </c>
      <c r="C1718" t="s">
        <v>84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2045</v>
      </c>
      <c r="J1718">
        <v>-66.430849999999992</v>
      </c>
      <c r="K1718" t="s">
        <v>48</v>
      </c>
    </row>
    <row r="1719" spans="1:11" x14ac:dyDescent="0.45">
      <c r="A1719" t="s">
        <v>90</v>
      </c>
      <c r="B1719" t="s">
        <v>5</v>
      </c>
      <c r="C1719" t="s">
        <v>84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2050</v>
      </c>
      <c r="J1719">
        <v>-83.366799999999998</v>
      </c>
      <c r="K1719" t="s">
        <v>48</v>
      </c>
    </row>
    <row r="1720" spans="1:11" x14ac:dyDescent="0.45">
      <c r="A1720" t="s">
        <v>90</v>
      </c>
      <c r="B1720" t="s">
        <v>5</v>
      </c>
      <c r="C1720" t="s">
        <v>84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2055</v>
      </c>
      <c r="J1720">
        <v>-91.529300000000006</v>
      </c>
      <c r="K1720" t="s">
        <v>48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2060</v>
      </c>
      <c r="J1721">
        <v>-92.897999999999996</v>
      </c>
      <c r="K1721" t="s">
        <v>48</v>
      </c>
    </row>
    <row r="1722" spans="1:11" x14ac:dyDescent="0.45">
      <c r="A1722" t="s">
        <v>90</v>
      </c>
      <c r="B1722" t="s">
        <v>5</v>
      </c>
      <c r="C1722" t="s">
        <v>84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2065</v>
      </c>
      <c r="J1722">
        <v>-89.104849999999999</v>
      </c>
      <c r="K1722" t="s">
        <v>48</v>
      </c>
    </row>
    <row r="1723" spans="1:11" x14ac:dyDescent="0.45">
      <c r="A1723" t="s">
        <v>90</v>
      </c>
      <c r="B1723" t="s">
        <v>5</v>
      </c>
      <c r="C1723" t="s">
        <v>84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-84.83420000000001</v>
      </c>
      <c r="K1723" t="s">
        <v>48</v>
      </c>
    </row>
    <row r="1724" spans="1:11" x14ac:dyDescent="0.45">
      <c r="A1724" t="s">
        <v>90</v>
      </c>
      <c r="B1724" t="s">
        <v>5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2075</v>
      </c>
      <c r="J1724">
        <v>-89.223600000000005</v>
      </c>
      <c r="K1724" t="s">
        <v>48</v>
      </c>
    </row>
    <row r="1725" spans="1:11" x14ac:dyDescent="0.45">
      <c r="A1725" t="s">
        <v>90</v>
      </c>
      <c r="B1725" t="s">
        <v>5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2080</v>
      </c>
      <c r="J1725">
        <v>-93.380949999999999</v>
      </c>
      <c r="K1725" t="s">
        <v>48</v>
      </c>
    </row>
    <row r="1726" spans="1:11" x14ac:dyDescent="0.45">
      <c r="A1726" t="s">
        <v>90</v>
      </c>
      <c r="B1726" t="s">
        <v>5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2085</v>
      </c>
      <c r="J1726">
        <v>-91.3245</v>
      </c>
      <c r="K1726" t="s">
        <v>48</v>
      </c>
    </row>
    <row r="1727" spans="1:11" x14ac:dyDescent="0.45">
      <c r="A1727" t="s">
        <v>90</v>
      </c>
      <c r="B1727" t="s">
        <v>5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2090</v>
      </c>
      <c r="J1727">
        <v>-89.035349999999994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2095</v>
      </c>
      <c r="J1728">
        <v>-90.930199999999999</v>
      </c>
      <c r="K1728" t="s">
        <v>48</v>
      </c>
    </row>
    <row r="1729" spans="1:11" x14ac:dyDescent="0.45">
      <c r="A1729" t="s">
        <v>90</v>
      </c>
      <c r="B1729" t="s">
        <v>5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-92.851050000000001</v>
      </c>
      <c r="K1729" t="s">
        <v>48</v>
      </c>
    </row>
    <row r="1730" spans="1:11" x14ac:dyDescent="0.45">
      <c r="A1730" t="s">
        <v>90</v>
      </c>
      <c r="B1730" t="s">
        <v>5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2020</v>
      </c>
      <c r="J1730">
        <v>267.78179999999998</v>
      </c>
      <c r="K1730" t="s">
        <v>51</v>
      </c>
    </row>
    <row r="1731" spans="1:11" x14ac:dyDescent="0.45">
      <c r="A1731" t="s">
        <v>90</v>
      </c>
      <c r="B1731" t="s">
        <v>5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2025</v>
      </c>
      <c r="J1731">
        <v>226.72390000000001</v>
      </c>
      <c r="K1731" t="s">
        <v>51</v>
      </c>
    </row>
    <row r="1732" spans="1:11" x14ac:dyDescent="0.45">
      <c r="A1732" t="s">
        <v>90</v>
      </c>
      <c r="B1732" t="s">
        <v>5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2030</v>
      </c>
      <c r="J1732">
        <v>128.61725000000001</v>
      </c>
      <c r="K1732" t="s">
        <v>51</v>
      </c>
    </row>
    <row r="1733" spans="1:11" x14ac:dyDescent="0.45">
      <c r="A1733" t="s">
        <v>90</v>
      </c>
      <c r="B1733" t="s">
        <v>5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2035</v>
      </c>
      <c r="J1733">
        <v>74.09205</v>
      </c>
      <c r="K1733" t="s">
        <v>51</v>
      </c>
    </row>
    <row r="1734" spans="1:11" x14ac:dyDescent="0.45">
      <c r="A1734" t="s">
        <v>90</v>
      </c>
      <c r="B1734" t="s">
        <v>5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2040</v>
      </c>
      <c r="J1734">
        <v>25.359249999999999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-3.8280000000000003</v>
      </c>
      <c r="K1735" t="s">
        <v>51</v>
      </c>
    </row>
    <row r="1736" spans="1:11" x14ac:dyDescent="0.45">
      <c r="A1736" t="s">
        <v>90</v>
      </c>
      <c r="B1736" t="s">
        <v>5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2050</v>
      </c>
      <c r="J1736">
        <v>-18.094200000000001</v>
      </c>
      <c r="K1736" t="s">
        <v>51</v>
      </c>
    </row>
    <row r="1737" spans="1:11" x14ac:dyDescent="0.45">
      <c r="A1737" t="s">
        <v>90</v>
      </c>
      <c r="B1737" t="s">
        <v>5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2055</v>
      </c>
      <c r="J1737">
        <v>-25.193550000000002</v>
      </c>
      <c r="K1737" t="s">
        <v>51</v>
      </c>
    </row>
    <row r="1738" spans="1:11" x14ac:dyDescent="0.45">
      <c r="A1738" t="s">
        <v>90</v>
      </c>
      <c r="B1738" t="s">
        <v>5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2060</v>
      </c>
      <c r="J1738">
        <v>-28.524650000000001</v>
      </c>
      <c r="K1738" t="s">
        <v>51</v>
      </c>
    </row>
    <row r="1739" spans="1:11" x14ac:dyDescent="0.45">
      <c r="A1739" t="s">
        <v>90</v>
      </c>
      <c r="B1739" t="s">
        <v>5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2065</v>
      </c>
      <c r="J1739">
        <v>-29.78575</v>
      </c>
      <c r="K1739" t="s">
        <v>51</v>
      </c>
    </row>
    <row r="1740" spans="1:11" x14ac:dyDescent="0.45">
      <c r="A1740" t="s">
        <v>90</v>
      </c>
      <c r="B1740" t="s">
        <v>5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2070</v>
      </c>
      <c r="J1740">
        <v>-30.583449999999999</v>
      </c>
      <c r="K1740" t="s">
        <v>51</v>
      </c>
    </row>
    <row r="1741" spans="1:11" x14ac:dyDescent="0.45">
      <c r="A1741" t="s">
        <v>90</v>
      </c>
      <c r="B1741" t="s">
        <v>5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-32.45655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2080</v>
      </c>
      <c r="J1742">
        <v>-34.086399999999998</v>
      </c>
      <c r="K1742" t="s">
        <v>51</v>
      </c>
    </row>
    <row r="1743" spans="1:11" x14ac:dyDescent="0.45">
      <c r="A1743" t="s">
        <v>90</v>
      </c>
      <c r="B1743" t="s">
        <v>5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2085</v>
      </c>
      <c r="J1743">
        <v>-34.457049999999995</v>
      </c>
      <c r="K1743" t="s">
        <v>51</v>
      </c>
    </row>
    <row r="1744" spans="1:11" x14ac:dyDescent="0.45">
      <c r="A1744" t="s">
        <v>90</v>
      </c>
      <c r="B1744" t="s">
        <v>5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2090</v>
      </c>
      <c r="J1744">
        <v>-34.563549999999999</v>
      </c>
      <c r="K1744" t="s">
        <v>51</v>
      </c>
    </row>
    <row r="1745" spans="1:11" x14ac:dyDescent="0.45">
      <c r="A1745" t="s">
        <v>90</v>
      </c>
      <c r="B1745" t="s">
        <v>5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2095</v>
      </c>
      <c r="J1745">
        <v>-34.572600000000001</v>
      </c>
      <c r="K1745" t="s">
        <v>51</v>
      </c>
    </row>
    <row r="1746" spans="1:11" x14ac:dyDescent="0.45">
      <c r="A1746" t="s">
        <v>90</v>
      </c>
      <c r="B1746" t="s">
        <v>5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-34.607250000000001</v>
      </c>
      <c r="K1746" t="s">
        <v>51</v>
      </c>
    </row>
    <row r="1747" spans="1:11" x14ac:dyDescent="0.45">
      <c r="A1747" t="s">
        <v>90</v>
      </c>
      <c r="B1747" t="s">
        <v>2</v>
      </c>
      <c r="C1747" t="s">
        <v>84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2020</v>
      </c>
      <c r="J1747">
        <v>205.30619999999999</v>
      </c>
      <c r="K1747" t="s">
        <v>48</v>
      </c>
    </row>
    <row r="1748" spans="1:11" x14ac:dyDescent="0.45">
      <c r="A1748" t="s">
        <v>90</v>
      </c>
      <c r="B1748" t="s">
        <v>2</v>
      </c>
      <c r="C1748" t="s">
        <v>84</v>
      </c>
      <c r="D1748" t="s">
        <v>48</v>
      </c>
      <c r="E1748" t="s">
        <v>46</v>
      </c>
      <c r="F1748" t="s">
        <v>48</v>
      </c>
      <c r="G1748" t="s">
        <v>49</v>
      </c>
      <c r="H1748" t="s">
        <v>50</v>
      </c>
      <c r="I1748">
        <v>2025</v>
      </c>
      <c r="J1748">
        <v>184.48770000000002</v>
      </c>
      <c r="K1748" t="s">
        <v>48</v>
      </c>
    </row>
    <row r="1749" spans="1:11" x14ac:dyDescent="0.45">
      <c r="A1749" t="s">
        <v>90</v>
      </c>
      <c r="B1749" t="s">
        <v>2</v>
      </c>
      <c r="C1749" t="s">
        <v>84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2030</v>
      </c>
      <c r="J1749">
        <v>126.42834999999999</v>
      </c>
      <c r="K1749" t="s">
        <v>48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48</v>
      </c>
      <c r="E1750" t="s">
        <v>46</v>
      </c>
      <c r="F1750" t="s">
        <v>48</v>
      </c>
      <c r="G1750" t="s">
        <v>49</v>
      </c>
      <c r="H1750" t="s">
        <v>50</v>
      </c>
      <c r="I1750">
        <v>2035</v>
      </c>
      <c r="J1750">
        <v>75.829750000000004</v>
      </c>
      <c r="K1750" t="s">
        <v>48</v>
      </c>
    </row>
    <row r="1751" spans="1:11" x14ac:dyDescent="0.45">
      <c r="A1751" t="s">
        <v>90</v>
      </c>
      <c r="B1751" t="s">
        <v>2</v>
      </c>
      <c r="C1751" t="s">
        <v>84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2040</v>
      </c>
      <c r="J1751">
        <v>32.929850000000002</v>
      </c>
      <c r="K1751" t="s">
        <v>48</v>
      </c>
    </row>
    <row r="1752" spans="1:11" x14ac:dyDescent="0.45">
      <c r="A1752" t="s">
        <v>90</v>
      </c>
      <c r="B1752" t="s">
        <v>2</v>
      </c>
      <c r="C1752" t="s">
        <v>84</v>
      </c>
      <c r="D1752" t="s">
        <v>48</v>
      </c>
      <c r="E1752" t="s">
        <v>46</v>
      </c>
      <c r="F1752" t="s">
        <v>48</v>
      </c>
      <c r="G1752" t="s">
        <v>49</v>
      </c>
      <c r="H1752" t="s">
        <v>50</v>
      </c>
      <c r="I1752">
        <v>2045</v>
      </c>
      <c r="J1752">
        <v>2.702</v>
      </c>
      <c r="K1752" t="s">
        <v>48</v>
      </c>
    </row>
    <row r="1753" spans="1:11" x14ac:dyDescent="0.45">
      <c r="A1753" t="s">
        <v>90</v>
      </c>
      <c r="B1753" t="s">
        <v>2</v>
      </c>
      <c r="C1753" t="s">
        <v>84</v>
      </c>
      <c r="D1753" t="s">
        <v>48</v>
      </c>
      <c r="E1753" t="s">
        <v>46</v>
      </c>
      <c r="F1753" t="s">
        <v>48</v>
      </c>
      <c r="G1753" t="s">
        <v>49</v>
      </c>
      <c r="H1753" t="s">
        <v>50</v>
      </c>
      <c r="I1753">
        <v>2050</v>
      </c>
      <c r="J1753">
        <v>-18.396549999999998</v>
      </c>
      <c r="K1753" t="s">
        <v>48</v>
      </c>
    </row>
    <row r="1754" spans="1:11" x14ac:dyDescent="0.45">
      <c r="A1754" t="s">
        <v>90</v>
      </c>
      <c r="B1754" t="s">
        <v>2</v>
      </c>
      <c r="C1754" t="s">
        <v>84</v>
      </c>
      <c r="D1754" t="s">
        <v>48</v>
      </c>
      <c r="E1754" t="s">
        <v>46</v>
      </c>
      <c r="F1754" t="s">
        <v>48</v>
      </c>
      <c r="G1754" t="s">
        <v>49</v>
      </c>
      <c r="H1754" t="s">
        <v>50</v>
      </c>
      <c r="I1754">
        <v>2055</v>
      </c>
      <c r="J1754">
        <v>-27.098050000000001</v>
      </c>
      <c r="K1754" t="s">
        <v>48</v>
      </c>
    </row>
    <row r="1755" spans="1:11" x14ac:dyDescent="0.45">
      <c r="A1755" t="s">
        <v>90</v>
      </c>
      <c r="B1755" t="s">
        <v>2</v>
      </c>
      <c r="C1755" t="s">
        <v>84</v>
      </c>
      <c r="D1755" t="s">
        <v>48</v>
      </c>
      <c r="E1755" t="s">
        <v>46</v>
      </c>
      <c r="F1755" t="s">
        <v>48</v>
      </c>
      <c r="G1755" t="s">
        <v>49</v>
      </c>
      <c r="H1755" t="s">
        <v>50</v>
      </c>
      <c r="I1755">
        <v>2060</v>
      </c>
      <c r="J1755">
        <v>-34.124450000000003</v>
      </c>
      <c r="K1755" t="s">
        <v>48</v>
      </c>
    </row>
    <row r="1756" spans="1:11" x14ac:dyDescent="0.45">
      <c r="A1756" t="s">
        <v>90</v>
      </c>
      <c r="B1756" t="s">
        <v>2</v>
      </c>
      <c r="C1756" t="s">
        <v>84</v>
      </c>
      <c r="D1756" t="s">
        <v>48</v>
      </c>
      <c r="E1756" t="s">
        <v>46</v>
      </c>
      <c r="F1756" t="s">
        <v>48</v>
      </c>
      <c r="G1756" t="s">
        <v>49</v>
      </c>
      <c r="H1756" t="s">
        <v>50</v>
      </c>
      <c r="I1756">
        <v>2065</v>
      </c>
      <c r="J1756">
        <v>-35.920950000000005</v>
      </c>
      <c r="K1756" t="s">
        <v>48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48</v>
      </c>
      <c r="E1757" t="s">
        <v>46</v>
      </c>
      <c r="F1757" t="s">
        <v>48</v>
      </c>
      <c r="G1757" t="s">
        <v>49</v>
      </c>
      <c r="H1757" t="s">
        <v>50</v>
      </c>
      <c r="I1757">
        <v>2070</v>
      </c>
      <c r="J1757">
        <v>-37.288699999999999</v>
      </c>
      <c r="K1757" t="s">
        <v>48</v>
      </c>
    </row>
    <row r="1758" spans="1:11" x14ac:dyDescent="0.45">
      <c r="A1758" t="s">
        <v>90</v>
      </c>
      <c r="B1758" t="s">
        <v>2</v>
      </c>
      <c r="C1758" t="s">
        <v>84</v>
      </c>
      <c r="D1758" t="s">
        <v>48</v>
      </c>
      <c r="E1758" t="s">
        <v>46</v>
      </c>
      <c r="F1758" t="s">
        <v>48</v>
      </c>
      <c r="G1758" t="s">
        <v>49</v>
      </c>
      <c r="H1758" t="s">
        <v>50</v>
      </c>
      <c r="I1758">
        <v>2075</v>
      </c>
      <c r="J1758">
        <v>-36.657799999999995</v>
      </c>
      <c r="K1758" t="s">
        <v>48</v>
      </c>
    </row>
    <row r="1759" spans="1:11" x14ac:dyDescent="0.45">
      <c r="A1759" t="s">
        <v>90</v>
      </c>
      <c r="B1759" t="s">
        <v>2</v>
      </c>
      <c r="C1759" t="s">
        <v>84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2080</v>
      </c>
      <c r="J1759">
        <v>-36.120249999999999</v>
      </c>
      <c r="K1759" t="s">
        <v>48</v>
      </c>
    </row>
    <row r="1760" spans="1:11" x14ac:dyDescent="0.45">
      <c r="A1760" t="s">
        <v>90</v>
      </c>
      <c r="B1760" t="s">
        <v>2</v>
      </c>
      <c r="C1760" t="s">
        <v>84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2085</v>
      </c>
      <c r="J1760">
        <v>-35.909549999999996</v>
      </c>
      <c r="K1760" t="s">
        <v>48</v>
      </c>
    </row>
    <row r="1761" spans="1:11" x14ac:dyDescent="0.45">
      <c r="A1761" t="s">
        <v>90</v>
      </c>
      <c r="B1761" t="s">
        <v>2</v>
      </c>
      <c r="C1761" t="s">
        <v>84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2090</v>
      </c>
      <c r="J1761">
        <v>-35.837000000000003</v>
      </c>
      <c r="K1761" t="s">
        <v>48</v>
      </c>
    </row>
    <row r="1762" spans="1:11" x14ac:dyDescent="0.45">
      <c r="A1762" t="s">
        <v>90</v>
      </c>
      <c r="B1762" t="s">
        <v>2</v>
      </c>
      <c r="C1762" t="s">
        <v>84</v>
      </c>
      <c r="D1762" t="s">
        <v>48</v>
      </c>
      <c r="E1762" t="s">
        <v>46</v>
      </c>
      <c r="F1762" t="s">
        <v>48</v>
      </c>
      <c r="G1762" t="s">
        <v>49</v>
      </c>
      <c r="H1762" t="s">
        <v>50</v>
      </c>
      <c r="I1762">
        <v>2095</v>
      </c>
      <c r="J1762">
        <v>-34.182749999999999</v>
      </c>
      <c r="K1762" t="s">
        <v>48</v>
      </c>
    </row>
    <row r="1763" spans="1:11" x14ac:dyDescent="0.45">
      <c r="A1763" t="s">
        <v>90</v>
      </c>
      <c r="B1763" t="s">
        <v>2</v>
      </c>
      <c r="C1763" t="s">
        <v>84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2100</v>
      </c>
      <c r="J1763">
        <v>-32.4467</v>
      </c>
      <c r="K1763" t="s">
        <v>48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2020</v>
      </c>
      <c r="J1764">
        <v>261.51994999999999</v>
      </c>
      <c r="K1764" t="s">
        <v>51</v>
      </c>
    </row>
    <row r="1765" spans="1:11" x14ac:dyDescent="0.45">
      <c r="A1765" t="s">
        <v>90</v>
      </c>
      <c r="B1765" t="s">
        <v>2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2025</v>
      </c>
      <c r="J1765">
        <v>225.71005</v>
      </c>
      <c r="K1765" t="s">
        <v>51</v>
      </c>
    </row>
    <row r="1766" spans="1:11" x14ac:dyDescent="0.45">
      <c r="A1766" t="s">
        <v>90</v>
      </c>
      <c r="B1766" t="s">
        <v>2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2030</v>
      </c>
      <c r="J1766">
        <v>171.20960000000002</v>
      </c>
      <c r="K1766" t="s">
        <v>51</v>
      </c>
    </row>
    <row r="1767" spans="1:11" x14ac:dyDescent="0.45">
      <c r="A1767" t="s">
        <v>90</v>
      </c>
      <c r="B1767" t="s">
        <v>2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2035</v>
      </c>
      <c r="J1767">
        <v>122.83404999999999</v>
      </c>
      <c r="K1767" t="s">
        <v>51</v>
      </c>
    </row>
    <row r="1768" spans="1:11" x14ac:dyDescent="0.45">
      <c r="A1768" t="s">
        <v>90</v>
      </c>
      <c r="B1768" t="s">
        <v>2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2040</v>
      </c>
      <c r="J1768">
        <v>82.588400000000007</v>
      </c>
      <c r="K1768" t="s">
        <v>51</v>
      </c>
    </row>
    <row r="1769" spans="1:11" x14ac:dyDescent="0.45">
      <c r="A1769" t="s">
        <v>90</v>
      </c>
      <c r="B1769" t="s">
        <v>2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2045</v>
      </c>
      <c r="J1769">
        <v>54.182450000000003</v>
      </c>
      <c r="K1769" t="s">
        <v>51</v>
      </c>
    </row>
    <row r="1770" spans="1:11" x14ac:dyDescent="0.45">
      <c r="A1770" t="s">
        <v>90</v>
      </c>
      <c r="B1770" t="s">
        <v>2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2050</v>
      </c>
      <c r="J1770">
        <v>34.762349999999998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2055</v>
      </c>
      <c r="J1771">
        <v>24.39845</v>
      </c>
      <c r="K1771" t="s">
        <v>51</v>
      </c>
    </row>
    <row r="1772" spans="1:11" x14ac:dyDescent="0.45">
      <c r="A1772" t="s">
        <v>90</v>
      </c>
      <c r="B1772" t="s">
        <v>2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2060</v>
      </c>
      <c r="J1772">
        <v>14.37195</v>
      </c>
      <c r="K1772" t="s">
        <v>51</v>
      </c>
    </row>
    <row r="1773" spans="1:11" x14ac:dyDescent="0.45">
      <c r="A1773" t="s">
        <v>90</v>
      </c>
      <c r="B1773" t="s">
        <v>2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2065</v>
      </c>
      <c r="J1773">
        <v>10.71715</v>
      </c>
      <c r="K1773" t="s">
        <v>51</v>
      </c>
    </row>
    <row r="1774" spans="1:11" x14ac:dyDescent="0.45">
      <c r="A1774" t="s">
        <v>90</v>
      </c>
      <c r="B1774" t="s">
        <v>2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2070</v>
      </c>
      <c r="J1774">
        <v>7.483550000000001</v>
      </c>
      <c r="K1774" t="s">
        <v>51</v>
      </c>
    </row>
    <row r="1775" spans="1:11" x14ac:dyDescent="0.45">
      <c r="A1775" t="s">
        <v>90</v>
      </c>
      <c r="B1775" t="s">
        <v>2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8.5339500000000008</v>
      </c>
      <c r="K1775" t="s">
        <v>51</v>
      </c>
    </row>
    <row r="1776" spans="1:11" x14ac:dyDescent="0.45">
      <c r="A1776" t="s">
        <v>90</v>
      </c>
      <c r="B1776" t="s">
        <v>2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2080</v>
      </c>
      <c r="J1776">
        <v>9.4833500000000015</v>
      </c>
      <c r="K1776" t="s">
        <v>51</v>
      </c>
    </row>
    <row r="1777" spans="1:11" x14ac:dyDescent="0.45">
      <c r="A1777" t="s">
        <v>90</v>
      </c>
      <c r="B1777" t="s">
        <v>2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2085</v>
      </c>
      <c r="J1777">
        <v>8.9943999999999988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2090</v>
      </c>
      <c r="J1778">
        <v>8.3899000000000008</v>
      </c>
      <c r="K1778" t="s">
        <v>51</v>
      </c>
    </row>
    <row r="1779" spans="1:11" x14ac:dyDescent="0.45">
      <c r="A1779" t="s">
        <v>90</v>
      </c>
      <c r="B1779" t="s">
        <v>2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2095</v>
      </c>
      <c r="J1779">
        <v>5.9786999999999999</v>
      </c>
      <c r="K1779" t="s">
        <v>51</v>
      </c>
    </row>
    <row r="1780" spans="1:11" x14ac:dyDescent="0.45">
      <c r="A1780" t="s">
        <v>90</v>
      </c>
      <c r="B1780" t="s">
        <v>2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3.6488499999999999</v>
      </c>
      <c r="K1780" t="s">
        <v>51</v>
      </c>
    </row>
    <row r="1781" spans="1:11" x14ac:dyDescent="0.45">
      <c r="A1781" t="s">
        <v>90</v>
      </c>
      <c r="B1781" t="s">
        <v>1</v>
      </c>
      <c r="C1781" t="s">
        <v>84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2020</v>
      </c>
      <c r="J1781">
        <v>207.34255000000002</v>
      </c>
      <c r="K1781" t="s">
        <v>48</v>
      </c>
    </row>
    <row r="1782" spans="1:11" x14ac:dyDescent="0.45">
      <c r="A1782" t="s">
        <v>90</v>
      </c>
      <c r="B1782" t="s">
        <v>1</v>
      </c>
      <c r="C1782" t="s">
        <v>84</v>
      </c>
      <c r="D1782" t="s">
        <v>48</v>
      </c>
      <c r="E1782" t="s">
        <v>46</v>
      </c>
      <c r="F1782" t="s">
        <v>48</v>
      </c>
      <c r="G1782" t="s">
        <v>49</v>
      </c>
      <c r="H1782" t="s">
        <v>50</v>
      </c>
      <c r="I1782">
        <v>2025</v>
      </c>
      <c r="J1782">
        <v>184.85615000000001</v>
      </c>
      <c r="K1782" t="s">
        <v>48</v>
      </c>
    </row>
    <row r="1783" spans="1:11" x14ac:dyDescent="0.45">
      <c r="A1783" t="s">
        <v>90</v>
      </c>
      <c r="B1783" t="s">
        <v>1</v>
      </c>
      <c r="C1783" t="s">
        <v>84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2030</v>
      </c>
      <c r="J1783">
        <v>98.360199999999992</v>
      </c>
      <c r="K1783" t="s">
        <v>48</v>
      </c>
    </row>
    <row r="1784" spans="1:11" x14ac:dyDescent="0.45">
      <c r="A1784" t="s">
        <v>90</v>
      </c>
      <c r="B1784" t="s">
        <v>1</v>
      </c>
      <c r="C1784" t="s">
        <v>84</v>
      </c>
      <c r="D1784" t="s">
        <v>48</v>
      </c>
      <c r="E1784" t="s">
        <v>46</v>
      </c>
      <c r="F1784" t="s">
        <v>48</v>
      </c>
      <c r="G1784" t="s">
        <v>49</v>
      </c>
      <c r="H1784" t="s">
        <v>50</v>
      </c>
      <c r="I1784">
        <v>2035</v>
      </c>
      <c r="J1784">
        <v>4.8407999999999998</v>
      </c>
      <c r="K1784" t="s">
        <v>48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2040</v>
      </c>
      <c r="J1785">
        <v>-71.026350000000008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48</v>
      </c>
      <c r="E1786" t="s">
        <v>46</v>
      </c>
      <c r="F1786" t="s">
        <v>48</v>
      </c>
      <c r="G1786" t="s">
        <v>49</v>
      </c>
      <c r="H1786" t="s">
        <v>50</v>
      </c>
      <c r="I1786">
        <v>2045</v>
      </c>
      <c r="J1786">
        <v>-98.062649999999991</v>
      </c>
      <c r="K1786" t="s">
        <v>48</v>
      </c>
    </row>
    <row r="1787" spans="1:11" x14ac:dyDescent="0.45">
      <c r="A1787" t="s">
        <v>90</v>
      </c>
      <c r="B1787" t="s">
        <v>1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2050</v>
      </c>
      <c r="J1787">
        <v>-110.99080000000001</v>
      </c>
      <c r="K1787" t="s">
        <v>48</v>
      </c>
    </row>
    <row r="1788" spans="1:11" x14ac:dyDescent="0.45">
      <c r="A1788" t="s">
        <v>90</v>
      </c>
      <c r="B1788" t="s">
        <v>1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2055</v>
      </c>
      <c r="J1788">
        <v>-111.0581</v>
      </c>
      <c r="K1788" t="s">
        <v>48</v>
      </c>
    </row>
    <row r="1789" spans="1:11" x14ac:dyDescent="0.45">
      <c r="A1789" t="s">
        <v>90</v>
      </c>
      <c r="B1789" t="s">
        <v>1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2060</v>
      </c>
      <c r="J1789">
        <v>-109.4229</v>
      </c>
      <c r="K1789" t="s">
        <v>48</v>
      </c>
    </row>
    <row r="1790" spans="1:11" x14ac:dyDescent="0.45">
      <c r="A1790" t="s">
        <v>90</v>
      </c>
      <c r="B1790" t="s">
        <v>1</v>
      </c>
      <c r="C1790" t="s">
        <v>84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2065</v>
      </c>
      <c r="J1790">
        <v>-99.925200000000004</v>
      </c>
      <c r="K1790" t="s">
        <v>48</v>
      </c>
    </row>
    <row r="1791" spans="1:11" x14ac:dyDescent="0.45">
      <c r="A1791" t="s">
        <v>90</v>
      </c>
      <c r="B1791" t="s">
        <v>1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2070</v>
      </c>
      <c r="J1791">
        <v>-90.121200000000002</v>
      </c>
      <c r="K1791" t="s">
        <v>48</v>
      </c>
    </row>
    <row r="1792" spans="1:11" x14ac:dyDescent="0.45">
      <c r="A1792" t="s">
        <v>90</v>
      </c>
      <c r="B1792" t="s">
        <v>1</v>
      </c>
      <c r="C1792" t="s">
        <v>84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2075</v>
      </c>
      <c r="J1792">
        <v>-89.585350000000005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2080</v>
      </c>
      <c r="J1793">
        <v>-88.8703</v>
      </c>
      <c r="K1793" t="s">
        <v>48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48</v>
      </c>
      <c r="E1794" t="s">
        <v>46</v>
      </c>
      <c r="F1794" t="s">
        <v>48</v>
      </c>
      <c r="G1794" t="s">
        <v>49</v>
      </c>
      <c r="H1794" t="s">
        <v>50</v>
      </c>
      <c r="I1794">
        <v>2085</v>
      </c>
      <c r="J1794">
        <v>-88.246299999999991</v>
      </c>
      <c r="K1794" t="s">
        <v>48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2090</v>
      </c>
      <c r="J1795">
        <v>-87.608499999999992</v>
      </c>
      <c r="K1795" t="s">
        <v>48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48</v>
      </c>
      <c r="E1796" t="s">
        <v>46</v>
      </c>
      <c r="F1796" t="s">
        <v>48</v>
      </c>
      <c r="G1796" t="s">
        <v>49</v>
      </c>
      <c r="H1796" t="s">
        <v>50</v>
      </c>
      <c r="I1796">
        <v>2095</v>
      </c>
      <c r="J1796">
        <v>-89.847849999999994</v>
      </c>
      <c r="K1796" t="s">
        <v>48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2100</v>
      </c>
      <c r="J1797">
        <v>-92.121399999999994</v>
      </c>
      <c r="K1797" t="s">
        <v>48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263.53719999999998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226.1842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144.83904999999999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57.6935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-15.66465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-42.925899999999999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-56.9373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-57.924149999999997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-58.827300000000001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-53.853000000000002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-48.58305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-44.865400000000001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-40.957949999999997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-42.635399999999997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-44.266249999999999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-44.684150000000002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-45.133650000000003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4.4297000000000004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10.132099999999999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15.654999999999999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23.557300000000001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39.3337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0.2301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0.20669999999999999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0.189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0.1895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0.19989999999999999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0.22259999999999999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0.2389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0.624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0.67469999999999997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0.76139999999999997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0.76229999999999998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0.76529999999999998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0.81420000000000003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0.87729999999999997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2.35E-2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1.78E-2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3.32E-2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6.6000000000000003E-2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0.13550000000000001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0.22070000000000001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0.2399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1.2999999999999999E-3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8.8000000000000005E-3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2.52E-2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4.9599999999999998E-2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9.1650000000000009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6.2040000000000006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3.7882000000000002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2.6696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1.2596000000000001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12.067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15.471499999999999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16.714500000000001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18.161000000000001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20.515000000000001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25.7895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25.0855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4.8930000000000007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2.8000000000000001E-2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172.90209999999999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185.97720000000001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144.0341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131.2431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107.8053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85.206599999999995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59.583500000000001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230.70820000000001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231.98330000000001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201.40039999999999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194.36009999999999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175.6756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155.00319999999999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131.35740000000001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0.24640000000000001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0.22770000000000001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0.20269999999999999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0.19850000000000001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0.18290000000000001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0.17530000000000001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0.17330000000000001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0.62409999999999999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0.6905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0.78139999999999998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0.81010000000000004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0.80320000000000003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0.8256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0.86140000000000005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2.7699999999999999E-2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1.8700000000000001E-2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2.81E-2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2.46E-2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1.7600000000000001E-2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1.9800000000000002E-2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3.3300000000000003E-2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9.4187999999999992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6.157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3.5344000000000002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4.2111999999999998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3.4403999999999999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1.9364000000000001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1.2878000000000001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12.364000000000001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18.342500000000001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13.645499999999998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16.802499999999998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22.203500000000002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32.411500000000004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31.097000000000001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4.9560000000000004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2.2120000000000002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171.7664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191.5761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157.68119999999999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179.88290000000001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200.8974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230.14269999999999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230.4982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229.50569999999999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237.24469999999999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213.0129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240.01169999999999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265.09359999999998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298.23899999999998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302.5102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5.4333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10.648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17.1905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26.185500000000001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0.2455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0.2261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0.19989999999999999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0.20449999999999999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0.22600000000000001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0.24229999999999999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0.24149999999999999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0.62439999999999996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0.69079999999999997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0.78159999999999996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0.78029999999999999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0.80920000000000003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0.86470000000000002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0.97989999999999999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2.7799999999999998E-2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1.8700000000000001E-2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2.7900000000000001E-2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5.5100000000000003E-2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0.1263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0.22650000000000001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0.25140000000000001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7.3000000000000001E-3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1.8800000000000001E-2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4.1000000000000002E-2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7.6100000000000001E-2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9.4657999999999998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6.1757999999999997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3.5344000000000002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1.3724000000000001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0.29139999999999999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12.397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18.425000000000001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13.695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13.326499999999999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13.629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16.769500000000001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14.222999999999999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4.9630000000000001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2.2189999999999999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171.94900000000001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193.2713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160.67420000000001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145.0307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105.1131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65.006600000000006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26.412600000000001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229.68639999999999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237.4563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213.04349999999999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203.44130000000001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168.68690000000001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131.77379999999999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95.348200000000006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7.1410999999999998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11.724500000000001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18.6356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30.293299999999999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0.22919999999999999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0.21310000000000001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0.18640000000000001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0.18920000000000001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0.20269999999999999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0.21510000000000001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0.22639999999999999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0.62219999999999998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0.68130000000000002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0.77029999999999998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0.77600000000000002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0.75270000000000004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0.8165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0.89059999999999995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2.4500000000000001E-2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1.78E-2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2.52E-2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5.4699999999999999E-2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0.1105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0.17050000000000001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0.2152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7.4000000000000003E-3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1.9599999999999999E-2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6.5500000000000003E-2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9.0991999999999997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5.9501999999999997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3.4686000000000003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0.9870000000000001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0.29139999999999999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12.033999999999999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17.814500000000002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13.277000000000001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13.172499999999999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12.694000000000001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12.644499999999999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11.2585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4.8930000000000007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2.1910000000000003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171.02780000000001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195.19399999999999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164.52799999999999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139.65110000000001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102.7251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62.213999999999999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20.5046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228.78720000000001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240.06440000000001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218.2764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199.93270000000001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168.7764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132.36920000000001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94.970299999999995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10.29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15.668100000000001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23.345600000000001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35.460700000000003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47.808500000000002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0.24010000000000001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0.216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0.19989999999999999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0.188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0.1817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0.19220000000000001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0.1865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0.62549999999999994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0.68589999999999995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0.67320000000000002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0.62819999999999998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0.54759999999999998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0.57040000000000002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0.63370000000000004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2.6200000000000001E-2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1.7899999999999999E-2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3.32E-2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6.5699999999999995E-2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0.1321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0.21390000000000001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0.25519999999999998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2.1899999999999999E-2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5.5199999999999999E-2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9.7500000000000003E-2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0.1535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0.17860000000000001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9.5221999999999998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6.2885999999999997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3.6472000000000002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0.89300000000000002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0.2162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2.8199999999999996E-2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12.286999999999999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15.686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11.9625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2.3210000000000002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1.8975000000000002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5.3789999999999996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7.3094999999999999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4.9139999999999997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175.4228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187.0565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114.0331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68.671400000000006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26.228100000000001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-14.7257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-40.492899999999999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233.1268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232.82409999999999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171.67590000000001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130.44280000000001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92.103200000000001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56.752600000000001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33.495899999999999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4.6374000000000004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6.8465999999999996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10.2264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15.0992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0.2351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0.20760000000000001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0.17960000000000001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0.18240000000000001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0.1875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0.1928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0.2109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0.62909999999999999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0.68720000000000003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0.73570000000000002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0.76400000000000001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0.77200000000000002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0.82050000000000001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0.87709999999999999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2.4899999999999999E-2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1.6899999999999998E-2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1.8800000000000001E-2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3.4599999999999999E-2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6.6900000000000001E-2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0.1234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0.18790000000000001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4.1999999999999997E-3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5.5999999999999999E-3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5.4999999999999997E-3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9.2590000000000003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6.2697999999999992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3.6189999999999998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1.9551999999999998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0.81779999999999997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12.138500000000001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15.548500000000001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14.432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15.543000000000001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17.7925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21.785499999999999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25.762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4.9210000000000003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2.8000000000000001E-2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170.7998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178.21420000000001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161.79759999999999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146.41480000000001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134.89009999999999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121.3625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100.5157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228.55029999999999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224.92349999999999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218.59950000000001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209.2236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203.4134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193.70830000000001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176.4092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13.5144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18.6813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22.2455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31.092400000000001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30.267800000000001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0.23019999999999999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0.20960000000000001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0.22320000000000001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0.26090000000000002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0.28999999999999998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0.2949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0.28189999999999998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0.61509999999999998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0.66469999999999996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0.7329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0.81940000000000002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0.85970000000000002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0.9738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1.1047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2.4500000000000001E-2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1.7399999999999999E-2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3.2300000000000002E-2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7.2800000000000004E-2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0.14480000000000001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0.16120000000000001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0.14929999999999999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2.01E-2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4.7E-2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8.9200000000000002E-2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0.14080000000000001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0.17180000000000001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9.1462000000000003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6.2134000000000009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1.786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0.39479999999999998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2.8199999999999996E-2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5.6399999999999992E-2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12.0395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15.4055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8.4700000000000006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0.70950000000000002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0.66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0.1045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4.8719999999999999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2.8000000000000001E-2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172.40129999999999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186.29239999999999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101.54640000000001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49.160899999999998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17.825600000000001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-10.538399999999999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-31.151800000000001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230.20079999999999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232.25980000000001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159.81569999999999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112.3291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84.627499999999998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60.103299999999997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42.543599999999998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0.15679999999999999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1.7626999999999999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5.0979999999999999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10.293799999999999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15.889699999999999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19.354199999999999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20.388999999999999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19.4681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17.91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16.241499999999998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15.8507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15.363899999999999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16.236799999999999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17.015000000000001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16.7318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16.526199999999999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0.28029999999999999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0.29949999999999999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0.29559999999999997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0.30809999999999998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0.31359999999999999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0.33889999999999998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0.34899999999999998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0.34179999999999999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0.31519999999999998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0.3135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0.31130000000000002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0.31109999999999999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0.31030000000000002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0.3049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0.2969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0.28179999999999999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0.26729999999999998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0.65600000000000003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0.71630000000000005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0.73970000000000002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0.76670000000000005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0.74690000000000001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0.75970000000000004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0.77439999999999998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0.74850000000000005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0.77190000000000003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0.77710000000000001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0.78480000000000005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0.82379999999999998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0.86229999999999996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0.89239999999999997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0.92100000000000004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0.94279999999999997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0.96360000000000001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2.2499999999999999E-2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4.87E-2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8.6099999999999996E-2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0.12970000000000001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0.1595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0.17549999999999999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0.18160000000000001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0.18659999999999999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0.18970000000000001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0.19689999999999999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0.20280000000000001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0.21079999999999999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0.22070000000000001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0.23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0.2402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0.24729999999999999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0.25280000000000002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5.8999999999999999E-3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2.6800000000000001E-2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4.8899999999999999E-2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7.2099999999999997E-2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0.1024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0.15590000000000001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0.21940000000000001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0.2757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0.32579999999999998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0.31730000000000003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0.3014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0.28449999999999998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0.26619999999999999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0.25900000000000001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0.25080000000000002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0.2447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0.23980000000000001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8.6999999999999994E-2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2.3E-2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0.25619999999999998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0.23910000000000001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6.1600000000000002E-2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1.4E-3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1.2999999999999999E-3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1.1999999999999999E-3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6.9999999999999999E-4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4.0000000000000002E-4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4.19E-2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2.6499999999999999E-2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1.1599999999999999E-2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205.2509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186.8407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136.19200000000001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83.261399999999995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34.8277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-0.87119999999999997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-27.516400000000001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-36.328899999999997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-47.951700000000002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-49.9619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-51.703000000000003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-53.237499999999997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-54.727600000000002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-56.359699999999997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-57.9422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-55.990200000000002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-54.036000000000001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261.46940000000001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226.8133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178.6224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129.28299999999999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84.394499999999994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49.587200000000003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23.535799999999998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13.2957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-1.1850000000000001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-4.0555000000000003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-6.6616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-8.9566999999999997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-11.1922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-12.6297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-13.9903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-14.5707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-15.1707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0.1328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0.14799999999999999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0.158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0.1704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0.18179999999999999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0.1797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0.1736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0.15340000000000001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0.1046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5.4699999999999999E-2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2.7199999999999998E-2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0.27950000000000003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0.29770000000000002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0.30070000000000002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0.30070000000000002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0.3024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0.30669999999999997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0.31630000000000003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0.30819999999999997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0.2893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0.2878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0.28689999999999999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0.2823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0.27600000000000002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0.26790000000000003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0.25829999999999997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0.24729999999999999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0.2354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0.65920000000000001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0.71730000000000005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0.74780000000000002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0.75390000000000001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0.73280000000000001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0.71479999999999999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0.71799999999999997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0.69310000000000005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0.70250000000000001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0.7097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0.71809999999999996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0.74650000000000005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0.7742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0.7974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0.82010000000000005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0.84289999999999998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0.86660000000000004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2.2800000000000001E-2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4.8300000000000003E-2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8.0699999999999994E-2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0.1104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0.13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0.13600000000000001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0.1394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0.14699999999999999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0.15240000000000001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0.1608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0.16789999999999999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0.17299999999999999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0.17879999999999999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0.18459999999999999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0.1913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0.19789999999999999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0.2039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5.8999999999999999E-3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2.63E-2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4.8800000000000003E-2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0.06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6.4000000000000001E-2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7.46E-2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9.6500000000000002E-2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9.2999999999999999E-2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0.14199999999999999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0.1716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0.19739999999999999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0.23449999999999999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0.26440000000000002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0.29580000000000001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0.31869999999999998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0.32219999999999999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0.32250000000000001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8.7400000000000005E-2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3.0300000000000001E-2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1.2699999999999999E-2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9.7999999999999997E-3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4.5999999999999999E-3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1.5E-3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3.0999999999999999E-3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6.0000000000000001E-3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8.9999999999999993E-3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1.2200000000000001E-2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1.54E-2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1.5299999999999999E-2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0.25580000000000003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0.26540000000000002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0.18379999999999999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7.0000000000000007E-2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1.44E-2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2.5000000000000001E-3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2.8E-3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3.0999999999999999E-3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3.5000000000000001E-3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4.0000000000000001E-3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4.4000000000000003E-3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4.7000000000000002E-3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4.1999999999999997E-3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3.8999999999999998E-3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2.8E-3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4.19E-2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2.64E-2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1.14E-2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205.13200000000001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193.63560000000001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166.22030000000001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132.68989999999999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106.4127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89.876400000000004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79.462599999999995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64.7727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53.615699999999997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48.100099999999998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42.873100000000001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36.4116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29.834599999999998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23.584399999999999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17.270800000000001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15.027200000000001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12.9107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261.38479999999998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232.59209999999999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208.5308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176.74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152.49279999999999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138.27279999999999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130.23660000000001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115.0852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103.2599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96.997100000000003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91.012100000000004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85.133200000000002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79.163200000000003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71.340800000000002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63.477400000000003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56.959099999999999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50.571199999999997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0.1381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0.1532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0.95469999999999999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17.378900000000002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43.7774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56.351199999999999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59.836100000000002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57.397300000000001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56.621699999999997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55.4236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50.845100000000002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46.026899999999998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38.994300000000003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31.741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30.097300000000001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28.543099999999999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0.28289999999999998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0.29849999999999999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0.30009999999999998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0.30830000000000002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0.34849999999999998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0.40079999999999999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0.3886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0.37059999999999998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0.33479999999999999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0.32979999999999998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0.32490000000000002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0.32619999999999999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0.3261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0.31879999999999997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0.30780000000000002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0.29310000000000003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0.27829999999999999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0.6583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0.71950000000000003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0.74909999999999999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0.77070000000000005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0.78239999999999998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0.85809999999999997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0.86009999999999998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0.82089999999999996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0.81789999999999996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0.81789999999999996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0.82079999999999997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0.8569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0.89100000000000001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0.91520000000000001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0.93589999999999995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0.9637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0.99209999999999998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2.3300000000000001E-2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4.9700000000000001E-2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8.3799999999999999E-2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0.11749999999999999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0.1409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0.1641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0.16789999999999999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0.17119999999999999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0.1724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0.17879999999999999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0.18440000000000001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0.19270000000000001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0.20200000000000001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0.21010000000000001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0.21790000000000001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0.22550000000000001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0.2324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6.0000000000000001E-3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2.6800000000000001E-2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4.9599999999999998E-2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5.96E-2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9.3799999999999994E-2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0.1983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0.32819999999999999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0.40899999999999997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0.46560000000000001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0.45839999999999997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0.44569999999999999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0.42430000000000001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0.40089999999999998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0.3861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0.36969999999999997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0.35820000000000002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0.34760000000000002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8.7499999999999994E-2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0.03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1.2500000000000001E-2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3.8E-3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0.25819999999999999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0.26729999999999998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0.1842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5.21E-2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8.0000000000000004E-4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5.9999999999999995E-4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4.2099999999999999E-2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2.6800000000000001E-2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1.1599999999999999E-2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207.3646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198.17750000000001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171.5301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111.5265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-11.6204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-76.828800000000001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-103.1557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-110.2084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-110.4508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-111.4988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-112.1972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-106.166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-99.9221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-92.529799999999994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-84.913899999999998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-80.399799999999999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-75.960800000000006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263.56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235.48939999999999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210.69579999999999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164.1035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47.4878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-12.922800000000001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-36.499099999999999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-45.375999999999998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-50.157400000000003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-53.251600000000003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-55.999299999999998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-51.6995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-47.176299999999998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-40.344299999999997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-33.2667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-31.7713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-30.355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0.13739999999999999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0.15190000000000001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0.46929999999999999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2.7143000000000002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7.7182000000000004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11.685499999999999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13.366099999999999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13.8468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13.674799999999999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13.412800000000001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11.9275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10.4351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10.2715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10.0349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10.1736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10.327999999999999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0.28000000000000003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0.29659999999999997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0.29920000000000002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0.29449999999999998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0.29780000000000001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0.31459999999999999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0.33229999999999998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0.33119999999999999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0.30549999999999999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0.3054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0.30609999999999998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0.30759999999999998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0.30680000000000002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0.2994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0.29010000000000002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0.2767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0.26269999999999999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0.65690000000000004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0.71479999999999999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0.74529999999999996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0.77400000000000002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0.76910000000000001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0.7742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0.77659999999999996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0.75119999999999998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0.76349999999999996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0.7661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0.77270000000000005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0.80920000000000003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0.8427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0.87180000000000002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0.89990000000000003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0.92300000000000004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0.94569999999999999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2.29E-2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4.8599999999999997E-2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8.1900000000000001E-2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0.1113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0.1298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0.1353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0.14549999999999999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0.15340000000000001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0.15709999999999999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0.16450000000000001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0.1714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0.18029999999999999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0.1893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0.1971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0.20610000000000001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0.21329999999999999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0.2195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5.8999999999999999E-3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2.6499999999999999E-2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4.9099999999999998E-2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5.6800000000000003E-2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8.1100000000000005E-2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0.1406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0.21279999999999999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0.26419999999999999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0.32190000000000002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0.32269999999999999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0.31630000000000003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0.30690000000000001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0.2918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0.28670000000000001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0.27910000000000001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0.2702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0.26229999999999998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8.72E-2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3.0099999999999998E-2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1.2500000000000001E-2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4.5999999999999999E-3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0.25629999999999997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0.26500000000000001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0.18340000000000001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6.0100000000000001E-2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2.2000000000000001E-3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2.3E-3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2.3E-3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1.6000000000000001E-3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1.1999999999999999E-3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6.9999999999999999E-4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4.0000000000000002E-4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4.19E-2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2.6599999999999999E-2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1.1599999999999999E-2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205.1968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194.61060000000001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167.6737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111.387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27.435500000000001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-10.5627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-30.7453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-38.703699999999998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-44.846699999999998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-48.033499999999997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-50.993000000000002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-54.519599999999997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-58.268700000000003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-59.879600000000003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-61.483800000000002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-58.937100000000001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-56.3048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261.40410000000003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232.73779999999999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208.4117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164.2406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83.357200000000006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48.389200000000002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29.7012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19.7959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10.63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5.7922000000000002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1.1741999999999999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-1.3932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-4.1726999999999999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-5.8365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-7.4638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-8.8833000000000002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-10.225300000000001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0.27110000000000001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5.7141000000000002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13.9466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24.204699999999999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33.622999999999998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41.055399999999999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45.425600000000003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48.040199999999999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47.6372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46.991799999999998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47.017499999999998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46.7316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46.010199999999998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44.955599999999997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41.917400000000001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39.068199999999997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0.28239999999999998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0.27039999999999997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0.21390000000000001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0.2021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0.19739999999999999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0.19919999999999999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0.20449999999999999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0.19650000000000001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0.1822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0.1835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0.18459999999999999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0.1898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0.1938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0.1968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0.19789999999999999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0.19289999999999999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0.18790000000000001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0.66930000000000001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0.71899999999999997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0.68279999999999996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0.7056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0.7107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0.73899999999999999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0.76180000000000003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0.73709999999999998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0.74439999999999995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0.75749999999999995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0.77170000000000005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0.82699999999999996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0.87980000000000003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0.92079999999999995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0.95709999999999995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0.97950000000000004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1.0025999999999999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2.47E-2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5.11E-2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8.6699999999999999E-2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0.127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0.14729999999999999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0.15570000000000001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0.15379999999999999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0.1699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0.17549999999999999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0.18340000000000001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0.1898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0.19950000000000001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0.21010000000000001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0.21870000000000001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0.22720000000000001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0.23230000000000001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0.23699999999999999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6.0000000000000001E-3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2.0500000000000001E-2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3.6400000000000002E-2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5.0999999999999997E-2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7.0999999999999994E-2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8.3299999999999999E-2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8.9300000000000004E-2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0.1331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0.14460000000000001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0.15310000000000001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0.14849999999999999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0.14299999999999999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0.14319999999999999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0.1421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0.1545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8.7099999999999997E-2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2.3900000000000001E-2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0.25969999999999999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0.2301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4.1999999999999997E-3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8.9999999999999998E-4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5.9999999999999995E-4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2.9999999999999997E-4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2.0000000000000001E-4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4.2299999999999997E-2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2.69E-2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1.0999999999999999E-2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211.7424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184.87430000000001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79.931100000000001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19.254200000000001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-33.569000000000003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-66.674499999999995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-83.6875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-90.537899999999993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-93.590999999999994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-89.941699999999997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-85.899799999999999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-91.383600000000001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-96.611999999999995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-94.488200000000006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-92.133600000000001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-92.893199999999993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-93.724000000000004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267.8587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226.63319999999999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128.2516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74.044600000000003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25.4954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-3.4190999999999998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-18.327400000000001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-24.255400000000002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-29.107900000000001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-30.214300000000001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-30.940200000000001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-33.552999999999997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-35.901899999999998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-35.782499999999999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-35.404699999999998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-34.575200000000002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-33.812899999999999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0.26679999999999998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2.1899000000000002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5.859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11.001099999999999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13.637499999999999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16.158000000000001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16.667000000000002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15.7651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14.191700000000001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12.519600000000001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9.7815999999999992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7.1519000000000004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7.1425999999999998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7.1096000000000004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8.2317999999999998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9.3401999999999994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0.28110000000000002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0.30130000000000001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0.29730000000000001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0.3075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0.3226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0.33789999999999998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0.33650000000000002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0.32879999999999998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0.3049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0.30399999999999999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0.30449999999999999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0.30249999999999999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0.29620000000000002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0.28760000000000002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0.27760000000000001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0.26590000000000003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0.25359999999999999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0.65939999999999999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0.71930000000000005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0.74060000000000004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0.76859999999999995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0.76380000000000003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0.7571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0.75860000000000005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0.73099999999999998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0.75360000000000005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0.75829999999999997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0.76700000000000002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0.80189999999999995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0.83089999999999997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0.85519999999999996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0.87829999999999997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0.89949999999999997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0.92120000000000002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2.3099999999999999E-2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4.9200000000000001E-2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8.1500000000000003E-2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0.1132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0.1328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0.1411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0.14549999999999999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0.152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0.1583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0.16639999999999999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0.17419999999999999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0.1825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0.18970000000000001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0.19600000000000001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0.2034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0.20979999999999999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0.2157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5.8999999999999999E-3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2.5999999999999999E-2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4.7399999999999998E-2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6.8900000000000003E-2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0.1119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0.18379999999999999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0.26029999999999998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0.316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0.36599999999999999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0.35659999999999997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0.33910000000000001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0.32719999999999999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0.31319999999999998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0.31259999999999999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0.31059999999999999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0.30080000000000001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0.29149999999999998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8.7400000000000005E-2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2.3199999999999998E-2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0.25619999999999998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0.2455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5.0799999999999998E-2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4.3E-3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1.4E-3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1.5E-3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1.4E-3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5.9999999999999995E-4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4.19E-2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2.64E-2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1.15E-2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205.40530000000001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184.42660000000001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126.3192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75.605000000000004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32.8645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2.1406999999999998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-18.420500000000001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-29.1279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-36.076300000000003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-37.577800000000003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-38.6785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-38.069899999999997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-37.5259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-37.461300000000001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-37.525599999999997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-35.937899999999999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-34.261200000000002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261.62180000000001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226.05009999999999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171.13720000000001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123.0243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82.891099999999994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53.993400000000001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35.136899999999997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22.795100000000001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12.879799999999999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9.5177999999999994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6.5467000000000004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7.5762999999999998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8.5393000000000008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7.9024999999999999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7.1599000000000004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4.7028999999999996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2.3342999999999998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0.2772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10.2735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31.372900000000001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54.923499999999997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64.878399999999999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68.471299999999999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67.518299999999996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63.5717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56.6584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49.321100000000001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44.194400000000002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38.824599999999997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40.396999999999998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42.029200000000003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42.253300000000003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42.545699999999997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0.28179999999999999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0.30059999999999998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0.28849999999999998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0.32819999999999999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0.38669999999999999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0.39539999999999997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0.38590000000000002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0.37269999999999998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0.35260000000000002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0.35089999999999999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0.34860000000000002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0.34620000000000001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0.3427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0.33729999999999999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0.33019999999999999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0.31290000000000001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0.29430000000000001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0.65669999999999995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0.71919999999999995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0.72789999999999999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0.81930000000000003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0.86929999999999996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0.86080000000000001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0.85250000000000004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0.82050000000000001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0.84909999999999997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0.84509999999999996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0.84360000000000002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0.877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0.90859999999999996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0.93899999999999995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0.96779999999999999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0.99390000000000001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1.0207999999999999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2.3E-2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5.0700000000000002E-2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8.8099999999999998E-2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0.14810000000000001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0.1968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0.20910000000000001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0.2084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0.2102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0.2132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0.21929999999999999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0.22370000000000001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0.2303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0.23830000000000001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0.2467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0.25669999999999998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0.26390000000000002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0.27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6.0000000000000001E-3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2.6499999999999999E-2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6.4000000000000001E-2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0.12670000000000001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0.2056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0.29049999999999998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0.3604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0.39550000000000002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0.41589999999999999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0.3952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0.36749999999999999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0.35949999999999999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0.3498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0.36020000000000002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0.37090000000000001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0.36330000000000001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0.35680000000000001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8.6699999999999999E-2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2.3300000000000001E-2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0.25769999999999998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0.23200000000000001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1.4500000000000001E-2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2.9999999999999997E-4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4.2000000000000003E-2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2.6700000000000002E-2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1.1299999999999999E-2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207.34059999999999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185.1952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100.1585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5.4653999999999998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-70.814099999999996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-99.728999999999999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-110.6617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-110.9665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-111.6999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-102.1807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-92.333100000000002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-90.957400000000007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-89.388999999999996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-88.784199999999998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-88.234899999999996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-90.383300000000006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-92.558300000000003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263.5487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225.98910000000001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146.13659999999999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58.760399999999997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-15.4916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-44.628300000000003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-56.575299999999999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-57.686799999999998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-60.863100000000003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-55.838900000000002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-50.496000000000002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-45.954700000000003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-41.2134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-42.924799999999998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-44.663600000000002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-45.022500000000001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-45.406999999999996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0.27079999999999999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1.6198999999999999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5.0263999999999998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10.379099999999999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15.4122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19.098800000000001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20.299800000000001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19.584800000000001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18.1403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16.565300000000001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16.048100000000002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15.4467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16.0274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16.511199999999999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16.349900000000002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16.257999999999999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0.27939999999999998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0.29959999999999998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0.29570000000000002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0.30620000000000003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0.31359999999999999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0.33910000000000001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0.35070000000000001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0.34420000000000001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0.31790000000000002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0.318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0.31790000000000002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0.31759999999999999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0.31619999999999998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0.31019999999999998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0.30249999999999999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0.28839999999999999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0.2727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0.65610000000000002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0.71679999999999999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0.74429999999999996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0.76990000000000003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0.74770000000000003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0.75980000000000003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0.77829999999999999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0.75570000000000004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0.77990000000000004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0.78869999999999996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0.80030000000000001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0.84050000000000002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0.87929999999999997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0.90880000000000005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0.93759999999999999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0.96330000000000005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0.9879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2.24E-2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4.8300000000000003E-2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8.6199999999999999E-2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0.12989999999999999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0.1603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0.1767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0.18390000000000001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0.18940000000000001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0.19259999999999999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0.2009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0.20799999999999999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0.21629999999999999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0.22600000000000001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0.2351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0.2457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0.25419999999999998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0.26040000000000002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5.8999999999999999E-3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4.8500000000000001E-2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6.9800000000000001E-2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9.6500000000000002E-2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0.1525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0.21809999999999999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0.2767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0.32900000000000001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0.31859999999999999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0.3004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0.28389999999999999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0.26600000000000001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0.25950000000000001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0.25169999999999998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0.2447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0.23910000000000001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8.6999999999999994E-2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2.5999999999999999E-2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2.7000000000000001E-3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0.25609999999999999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0.25180000000000002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8.2500000000000004E-2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1.1599999999999999E-2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1.5E-3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1.6000000000000001E-3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1.5E-3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1.4E-3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8.9999999999999998E-4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5.0000000000000001E-4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4.19E-2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2.6599999999999999E-2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1.1599999999999999E-2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205.06630000000001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187.10650000000001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139.00479999999999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82.308099999999996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34.587600000000002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-1.9206000000000001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-26.137699999999999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-39.369700000000002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-50.482500000000002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-53.048699999999997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-55.376399999999997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-55.852600000000002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-56.2988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-57.036900000000003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-57.719799999999999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-55.917000000000002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-54.111400000000003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261.29050000000001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228.1251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182.47139999999999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130.40430000000001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85.236099999999993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49.642099999999999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25.822500000000002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10.906499999999999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-3.2138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-6.5721999999999996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-9.6946999999999992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-11.131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-12.523999999999999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-13.2645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-13.9239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-14.629200000000001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-15.3423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0.14510000000000001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0.1709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0.18279999999999999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0.19470000000000001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0.2074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0.2049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0.19839999999999999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0.17499999999999999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0.1203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6.4399999999999999E-2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3.1899999999999998E-2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0.27789999999999998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0.29530000000000001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0.30059999999999998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0.30099999999999999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0.30309999999999998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0.30840000000000001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0.3196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0.31280000000000002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0.29399999999999998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0.2928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0.29299999999999998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0.29049999999999998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0.28570000000000001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0.27739999999999998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0.26840000000000003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0.2576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0.24610000000000001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0.65600000000000003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0.71319999999999995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0.74760000000000004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0.75570000000000004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0.7359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0.71719999999999995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0.72340000000000004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0.70150000000000001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0.71040000000000003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0.71950000000000003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0.73099999999999998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0.76690000000000003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0.82499999999999996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0.84950000000000003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0.87490000000000001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0.90110000000000001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2.2700000000000001E-2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4.8000000000000001E-2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8.1000000000000003E-2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0.1111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0.13059999999999999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0.1371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0.14099999999999999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0.1489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0.15429999999999999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0.16239999999999999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0.1699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0.17710000000000001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0.1847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0.1915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0.19939999999999999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0.20660000000000001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0.21310000000000001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5.8999999999999999E-3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2.7099999999999999E-2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4.9200000000000001E-2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6.0600000000000001E-2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6.4699999999999994E-2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7.4899999999999994E-2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9.7199999999999995E-2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9.35E-2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0.15129999999999999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0.1875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0.218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0.25879999999999997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0.29070000000000001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0.32069999999999999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0.34110000000000001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0.3412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0.33879999999999999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8.7400000000000005E-2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3.0200000000000001E-2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1.2699999999999999E-2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9.7999999999999997E-3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4.8999999999999998E-3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4.0000000000000002E-4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3.2000000000000002E-3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6.0000000000000001E-3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1.14E-2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1.6899999999999998E-2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2.7699999999999999E-2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2.75E-2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2.7300000000000001E-2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0.25530000000000003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0.26729999999999998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0.1923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8.0699999999999994E-2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2.0299999999999999E-2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2.8E-3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3.2000000000000002E-3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3.7000000000000002E-3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4.4000000000000003E-3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4.5999999999999999E-3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4.7999999999999996E-3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3.8999999999999998E-3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3.3E-3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2.7000000000000001E-3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4.19E-2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2.64E-2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1.15E-2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204.7176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193.9237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166.89570000000001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133.6636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107.73050000000001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88.959900000000005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81.0441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68.356800000000007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58.441000000000003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52.023000000000003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45.770699999999998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37.593400000000003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29.5152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22.7559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15.946899999999999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14.806900000000001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13.789300000000001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260.98099999999999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232.8648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209.2055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177.72460000000001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153.79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137.31630000000001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131.73580000000001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118.5652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108.002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100.8155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93.783799999999999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86.188000000000002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78.714299999999994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70.401899999999998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62.058799999999998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56.628300000000003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51.320700000000002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0.15110000000000001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0.1769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0.97770000000000001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16.831299999999999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43.723700000000001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55.794499999999999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58.8185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56.164099999999998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54.697600000000001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52.918999999999997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47.804400000000001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42.373699999999999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36.4285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30.2532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28.815899999999999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27.437000000000001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0.2828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0.29770000000000002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0.309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0.34939999999999999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0.4052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0.39419999999999999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0.3775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0.34129999999999999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0.3377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0.33389999999999997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0.33389999999999997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0.3337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0.32690000000000002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0.317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0.3004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0.2833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0.65810000000000002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0.71840000000000004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0.74880000000000002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0.77229999999999999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0.78290000000000004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0.86260000000000003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0.86770000000000003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0.83069999999999999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0.82889999999999997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0.83130000000000004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0.83630000000000004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0.87150000000000005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0.90620000000000001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0.9335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0.95789999999999997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0.98419999999999996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1.0119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2.3300000000000001E-2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4.9700000000000001E-2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8.3799999999999999E-2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0.1181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0.1411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0.16600000000000001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0.1709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0.1736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0.17499999999999999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0.18210000000000001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0.18809999999999999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0.19570000000000001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0.2054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0.2147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0.22420000000000001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0.23150000000000001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0.2387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6.0000000000000001E-3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2.7699999999999999E-2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5.0099999999999999E-2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6.0299999999999999E-2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9.4299999999999995E-2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0.19950000000000001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0.3306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0.41189999999999999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0.46600000000000003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0.45490000000000003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0.43919999999999998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0.41720000000000002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0.39240000000000003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0.37959999999999999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0.36480000000000001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0.35310000000000002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0.34210000000000002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8.7499999999999994E-2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2.9899999999999999E-2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1.2500000000000001E-2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3.8E-3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0.2581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0.27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0.19209999999999999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6.1800000000000001E-2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8.0000000000000004E-4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5.9999999999999995E-4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4.2099999999999999E-2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2.6700000000000002E-2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1.15E-2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207.21250000000001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198.89750000000001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172.3535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113.0277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-7.8834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-74.231200000000001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-106.0963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-109.1588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-106.69199999999999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-107.1061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-107.26479999999999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-101.2608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-94.974800000000002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-88.548500000000004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-81.9071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-77.695099999999996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-73.505200000000002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263.40910000000002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236.1755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211.50470000000001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165.73869999999999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50.6434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-11.5656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-42.096800000000002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-47.363399999999999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-48.904200000000003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-51.139400000000002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-53.1233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-48.588700000000003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-43.760399999999997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-37.75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-31.5016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-30.1797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-28.880099999999999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0.1497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0.17380000000000001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0.5615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2.91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7.3699000000000003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11.1624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12.166600000000001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12.3241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11.852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11.3108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9.1721000000000004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7.0761000000000003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7.4924999999999997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7.8634000000000004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8.3839000000000006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8.9101999999999997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0.28089999999999998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0.29609999999999997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0.29870000000000002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0.29499999999999998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0.29730000000000001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0.3226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0.3422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0.33829999999999999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0.316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0.31630000000000003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0.31590000000000001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0.31509999999999999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0.31280000000000002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0.30249999999999999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0.28820000000000001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0.27729999999999999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0.26590000000000003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0.65969999999999995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0.71460000000000001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0.74360000000000004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0.76849999999999996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0.76060000000000005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0.78169999999999995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0.78200000000000003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0.75770000000000004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0.77249999999999996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0.7762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0.78180000000000005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0.81910000000000005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0.85470000000000002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0.8841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0.90959999999999996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0.93540000000000001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0.96160000000000001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2.3E-2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4.8800000000000003E-2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8.2299999999999998E-2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0.1138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0.13289999999999999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0.1447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0.15279999999999999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0.15870000000000001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0.16259999999999999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0.17069999999999999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0.1774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0.1865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0.1968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0.20449999999999999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0.2122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0.21970000000000001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0.2266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5.8999999999999999E-3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2.75E-2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4.9599999999999998E-2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5.7700000000000001E-2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7.6100000000000001E-2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0.11899999999999999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0.19939999999999999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0.26069999999999999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0.32440000000000002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0.32619999999999999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0.32129999999999997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0.31469999999999998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0.3034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0.30159999999999998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0.29830000000000001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0.28839999999999999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0.27910000000000001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8.7599999999999997E-2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2.9899999999999999E-2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1.2500000000000001E-2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4.7999999999999996E-3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0.25669999999999998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0.26700000000000002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0.19040000000000001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7.0800000000000002E-2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2.3E-3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2.3999999999999998E-3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2.3999999999999998E-3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1.6999999999999999E-3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1.2999999999999999E-3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8.0000000000000004E-4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4.0000000000000002E-4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4.2000000000000003E-2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2.6499999999999999E-2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1.15E-2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205.6593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196.0034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169.2259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116.80329999999999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38.126100000000001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-4.6257999999999999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-28.898099999999999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-36.148600000000002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-41.628999999999998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-43.682600000000001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-45.409399999999998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-45.663699999999999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-45.817399999999999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-48.478999999999999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-50.897100000000002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-48.793799999999997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-46.882800000000003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261.86309999999997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234.0917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209.96250000000001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167.15719999999999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92.931799999999996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54.524000000000001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32.6648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23.529800000000002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14.8409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10.8071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7.0914000000000001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7.2305999999999999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7.4828000000000001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4.0762999999999998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0.92259999999999998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-1.1666000000000001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-3.4489999999999998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0.27100000000000002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5.8098999999999998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14.098100000000001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24.360299999999999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33.302999999999997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39.769599999999997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41.772500000000001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40.952500000000001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40.270499999999998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39.202599999999997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39.466700000000003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39.472799999999999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39.758400000000002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39.728499999999997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39.8262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39.976199999999999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0.2828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0.27039999999999997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0.2135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0.2024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0.2056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0.21190000000000001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0.2031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0.18340000000000001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0.1857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0.1883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0.1938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0.19789999999999999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0.2009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0.20180000000000001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0.19869999999999999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0.19539999999999999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0.66849999999999998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0.71950000000000003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0.68149999999999999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0.70399999999999996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0.71550000000000002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0.75600000000000001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0.78200000000000003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0.75270000000000004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0.75539999999999996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0.77200000000000002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0.79069999999999996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0.84670000000000001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0.89980000000000004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0.93979999999999997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0.97470000000000001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1.0034000000000001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1.0325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2.46E-2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5.0900000000000001E-2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8.6199999999999999E-2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0.12659999999999999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0.14849999999999999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0.15690000000000001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0.14979999999999999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0.17080000000000001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0.17530000000000001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0.18329999999999999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0.18990000000000001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0.20030000000000001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0.2112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0.2208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0.2301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0.23599999999999999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0.24129999999999999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6.0000000000000001E-3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2.1399999999999999E-2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3.7699999999999997E-2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5.1400000000000001E-2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7.0699999999999999E-2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8.3900000000000002E-2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0.10100000000000001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0.1812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0.1883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0.1908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0.18179999999999999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0.1721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0.1668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0.16039999999999999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0.15390000000000001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0.14779999999999999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8.6999999999999994E-2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2.3800000000000002E-2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0.25979999999999998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0.23369999999999999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4.4999999999999997E-3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8.9999999999999998E-4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5.9999999999999995E-4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4.0000000000000002E-4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4.2299999999999997E-2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2.69E-2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1.0999999999999999E-2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211.58269999999999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183.8921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79.244100000000003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18.742000000000001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-33.091999999999999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-66.187200000000004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-83.046099999999996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-92.520700000000005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-92.204999999999998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-88.268000000000001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-83.768600000000006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-87.063599999999994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-90.149900000000002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-88.160799999999995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-85.937100000000001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-88.967200000000005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-91.978099999999998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267.70490000000001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226.81460000000001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128.9829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74.139499999999998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25.223099999999999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-4.2369000000000003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-17.861000000000001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-26.131699999999999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-29.357199999999999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-30.226700000000001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-31.360099999999999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-32.270899999999997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-33.131599999999999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-33.7224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-34.57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-35.401600000000002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0.26240000000000002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2.2122000000000002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5.9340000000000002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11.069699999999999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13.7448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16.182300000000001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16.791499999999999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15.8857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14.2888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12.6012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9.3920999999999992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6.3169000000000004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6.0332999999999997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5.7382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6.7111000000000001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7.6714000000000002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0.28100000000000003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0.30099999999999999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0.29709999999999998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0.30880000000000002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0.32490000000000002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0.34039999999999998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0.33989999999999998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0.33339999999999997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0.3095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0.31009999999999999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0.31019999999999998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0.30869999999999997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0.3044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0.29480000000000001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0.28370000000000001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0.27289999999999998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0.26129999999999998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0.65910000000000002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0.71899999999999997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0.74019999999999997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0.77039999999999997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0.7651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0.75970000000000004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0.76400000000000001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0.73909999999999998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0.76190000000000002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0.76910000000000001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0.77859999999999996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0.81589999999999996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0.8488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0.87590000000000001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0.90110000000000001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0.9264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0.95230000000000004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2.3099999999999999E-2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4.9299999999999997E-2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8.1500000000000003E-2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0.1135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0.1333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0.1419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0.14680000000000001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0.154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0.16059999999999999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0.1696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0.17710000000000001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0.1857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0.1943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0.20119999999999999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0.2089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0.2162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0.2228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5.8999999999999999E-3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2.5899999999999999E-2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4.7300000000000002E-2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6.8699999999999997E-2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0.1079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0.1832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0.26140000000000002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0.31790000000000002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0.36909999999999998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0.3604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0.34399999999999997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0.33310000000000001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0.31940000000000002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0.31940000000000002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0.31809999999999999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0.30869999999999997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0.29980000000000001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8.7400000000000005E-2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2.3099999999999999E-2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0.25619999999999998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0.2485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4.6800000000000001E-2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4.1999999999999997E-3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1.5E-3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1.6000000000000001E-3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1.6000000000000001E-3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1.1999999999999999E-3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6.9999999999999999E-4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2.0000000000000001E-4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4.19E-2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2.64E-2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1.15E-2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205.33080000000001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184.5488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126.2045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76.054500000000004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32.995199999999997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3.2633000000000001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-18.372599999999998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-25.068200000000001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-32.172600000000003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-34.264099999999999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-35.898899999999998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-35.245699999999999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-34.714599999999997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-34.357799999999997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-34.148400000000002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-32.427599999999998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-30.632200000000001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261.54450000000003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225.37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170.1944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122.6438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82.285700000000006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54.371499999999997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34.387799999999999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26.001799999999999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15.864100000000001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11.916499999999999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8.4204000000000008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9.4916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10.4274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10.0863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9.6198999999999995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7.2545000000000002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4.9634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0.27810000000000001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10.4398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32.0625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54.3005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61.452100000000002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64.366299999999995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63.742699999999999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59.943300000000001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53.404899999999998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46.5152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42.860700000000001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38.935699999999997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40.368099999999998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41.722799999999999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42.097299999999997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42.5075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0.2863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0.30909999999999999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0.30259999999999998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0.35570000000000002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0.42849999999999999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0.44319999999999998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0.443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0.44159999999999999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0.42530000000000001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0.42659999999999998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0.42709999999999998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0.42559999999999998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0.4219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0.41620000000000001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0.4073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0.38650000000000001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0.36449999999999999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0.65300000000000002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0.71299999999999997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0.72219999999999995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0.82909999999999995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0.89259999999999995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0.88670000000000004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0.88880000000000003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0.86199999999999999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0.89059999999999995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0.88900000000000001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0.88929999999999998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0.92710000000000004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0.96289999999999998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0.99929999999999997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1.0331999999999999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1.0967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2.3099999999999999E-2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5.16E-2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9.0800000000000006E-2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0.15540000000000001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0.2077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0.22170000000000001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0.2253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0.23139999999999999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0.23780000000000001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0.24660000000000001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0.25430000000000003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0.2641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0.27479999999999999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0.28539999999999999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0.29659999999999997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0.30480000000000002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0.31190000000000001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6.0000000000000001E-3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2.7199999999999998E-2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6.4799999999999996E-2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0.12970000000000001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0.2092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0.29310000000000003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0.35620000000000002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0.38469999999999999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0.40300000000000002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0.38319999999999999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0.35720000000000002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0.35699999999999998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0.35460000000000003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0.36359999999999998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0.37190000000000001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0.3634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0.35599999999999998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8.6800000000000002E-2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2.3300000000000001E-2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0.25740000000000002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0.23380000000000001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1.29E-2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5.9999999999999995E-4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4.0000000000000002E-4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4.1799999999999997E-2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2.63E-2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207.37309999999999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184.24189999999999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96.561899999999994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4.2161999999999997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-71.238600000000005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-96.396299999999997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-111.3199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-111.1497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-107.1459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-97.669700000000006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-87.909300000000002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-88.213300000000004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-88.351600000000005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-87.708399999999997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-86.982100000000003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-89.312399999999997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-91.6845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263.55369999999999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225.9974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143.54150000000001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56.626600000000003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-15.8377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-41.223500000000001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-57.299300000000002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-58.161499999999997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-56.791499999999999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-51.867100000000001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-46.670099999999998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-43.7761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-40.702500000000001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-42.345999999999997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-43.868899999999996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-44.345799999999997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-44.860300000000002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0.27110000000000001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1.7707999999999999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5.6794000000000002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11.6678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17.291499999999999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21.2407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0.2792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0.29980000000000001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0.29409999999999997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0.3054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0.31309999999999999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0.34129999999999999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0.35460000000000003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0.65569999999999995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0.71750000000000003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0.745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0.77080000000000004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0.75090000000000001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0.76939999999999997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0.78990000000000005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2.2499999999999999E-2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4.8500000000000001E-2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8.6599999999999996E-2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0.1305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0.161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0.17860000000000001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0.18679999999999999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5.8999999999999999E-3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2.7300000000000001E-2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4.9000000000000002E-2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7.1999999999999995E-2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0.1007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0.15709999999999999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0.22359999999999999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8.6999999999999994E-2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2.5899999999999999E-2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2.7000000000000001E-3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0.25609999999999999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0.25740000000000002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8.7800000000000003E-2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1.2699999999999999E-2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1.2999999999999999E-3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1.4E-3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1.2999999999999999E-3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4.19E-2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2.6499999999999999E-2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1.1599999999999999E-2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205.16749999999999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188.91499999999999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141.8006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84.667199999999994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36.084499999999998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-1.9193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-27.201799999999999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261.39030000000002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229.85830000000001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185.0384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131.4743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85.1477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47.839199999999998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22.9102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0.17419999999999999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0.19969999999999999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0.21199999999999999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0.22739999999999999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0.2457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0.24260000000000001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0.28570000000000001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0.3014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0.2994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0.29930000000000001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0.29930000000000001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0.30499999999999999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0.31659999999999999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0.66720000000000002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0.7228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0.74550000000000005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0.74919999999999998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0.7329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0.71630000000000005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0.72509999999999997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2.4799999999999999E-2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5.0900000000000001E-2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8.0399999999999999E-2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0.10929999999999999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0.12920000000000001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0.13619999999999999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0.14099999999999999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5.8999999999999999E-3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2.76E-2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4.9399999999999999E-2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6.08E-2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6.54E-2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7.5399999999999995E-2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9.8500000000000004E-2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8.7800000000000003E-2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3.0300000000000001E-2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1.24E-2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9.4999999999999998E-3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4.7999999999999996E-3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0.25769999999999998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0.2712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0.1908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8.1500000000000003E-2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2.12E-2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4.2000000000000003E-2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2.6499999999999999E-2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1.14E-2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205.49449999999999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193.16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166.5213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133.1207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107.9727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89.298299999999998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78.771500000000003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261.74180000000001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232.15209999999999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208.93530000000001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177.25399999999999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154.0549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137.65620000000001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129.4205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0.17380000000000001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0.1991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0.97640000000000005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15.0616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40.808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52.211300000000001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0.28389999999999999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0.29820000000000002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0.29399999999999998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0.29749999999999999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0.3397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0.39140000000000003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0.371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0.66920000000000002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0.72640000000000005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0.74939999999999996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0.77780000000000005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0.77759999999999996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0.85450000000000004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0.85629999999999995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2.4799999999999999E-2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5.0599999999999999E-2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7.9399999999999998E-2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0.11550000000000001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0.1371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0.16209999999999999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0.16589999999999999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5.8999999999999999E-3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2.76E-2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4.9299999999999997E-2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6.0400000000000002E-2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9.5100000000000004E-2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0.19900000000000001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0.3296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8.77E-2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3.0200000000000001E-2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1.23E-2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3.7000000000000002E-3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0.25790000000000002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0.27150000000000002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0.19089999999999999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6.25E-2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6.9999999999999999E-4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4.2200000000000001E-2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2.6700000000000002E-2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1.15E-2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205.40860000000001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194.5761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169.37559999999999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113.1944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-4.9642999999999997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-73.281599999999997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-105.1985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261.66750000000002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232.10570000000001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208.85820000000001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165.4563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53.153599999999997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-10.924300000000001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-41.345700000000001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0.17530000000000001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0.2039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0.64459999999999995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4.4607000000000001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7.8710000000000004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11.6351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0.27760000000000001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0.2918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0.29149999999999998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0.28620000000000001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0.28039999999999998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0.31259999999999999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0.32640000000000002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0.6583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0.71789999999999998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0.74919999999999998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0.7762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0.76019999999999999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0.78659999999999997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0.77959999999999996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2.3E-2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4.8599999999999997E-2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8.14E-2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0.112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0.13009999999999999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0.14360000000000001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0.1507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5.8999999999999999E-3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2.7699999999999999E-2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4.9700000000000001E-2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5.8200000000000002E-2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7.9600000000000004E-2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0.14349999999999999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0.24279999999999999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8.7300000000000003E-2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2.9899999999999999E-2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1.2500000000000001E-2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4.8999999999999998E-3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0.2571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0.26929999999999998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0.19170000000000001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7.2800000000000004E-2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1.6000000000000001E-3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4.2099999999999999E-2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2.6800000000000001E-2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1.17E-2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205.4418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194.09889999999999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168.13040000000001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116.05629999999999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40.651800000000001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-8.3857999999999997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-39.162199999999999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261.65190000000001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232.27199999999999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208.95400000000001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167.27590000000001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97.192400000000006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51.540100000000002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23.085100000000001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0.27189999999999998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5.8647999999999998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14.1746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24.809899999999999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33.719000000000001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40.646299999999997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0.28720000000000001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0.27710000000000001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0.2238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0.21840000000000001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0.22309999999999999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0.23449999999999999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0.24479999999999999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0.66659999999999997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0.71760000000000002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0.68659999999999999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0.72309999999999997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0.75270000000000004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0.81020000000000003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0.84660000000000002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2.4899999999999999E-2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5.2200000000000003E-2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9.01E-2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0.1351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0.16450000000000001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0.17699999999999999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0.17680000000000001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6.0000000000000001E-3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2.1299999999999999E-2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3.73E-2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5.1700000000000003E-2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7.1499999999999994E-2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8.4000000000000005E-2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9.9900000000000003E-2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8.72E-2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2.3800000000000002E-2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0.25940000000000002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0.23619999999999999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6.1000000000000004E-3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4.2000000000000003E-2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2.6499999999999999E-2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1.09E-2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211.7731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183.75399999999999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78.428299999999993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18.028500000000001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-34.522799999999997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-68.058499999999995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-84.620900000000006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267.8657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225.66069999999999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126.9053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72.814300000000003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23.958500000000001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-5.8491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-20.924199999999999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0.26519999999999999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2.6842000000000001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7.1215000000000002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13.0473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15.9054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18.4574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0.28110000000000002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0.30159999999999998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0.29649999999999999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0.30740000000000001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0.32790000000000002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0.34510000000000002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0.34379999999999999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0.65900000000000003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0.71950000000000003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0.73970000000000002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0.76910000000000001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0.77239999999999998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0.76829999999999998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0.77139999999999997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2.3199999999999998E-2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4.9299999999999997E-2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8.14E-2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0.1137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0.13450000000000001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0.14349999999999999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0.14860000000000001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5.8999999999999999E-3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2.5899999999999999E-2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4.7800000000000002E-2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7.0800000000000002E-2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0.113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0.1905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0.27089999999999997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8.7400000000000005E-2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2.3099999999999999E-2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0.25609999999999999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0.25180000000000002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4.6100000000000002E-2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3.3999999999999998E-3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1.4E-3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1.4E-3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1.4E-3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4.19E-2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2.64E-2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1.15E-2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205.2816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185.15270000000001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126.53749999999999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74.344899999999996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29.694700000000001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0.19009999999999999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-20.292200000000001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261.49540000000002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226.672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171.28200000000001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121.74250000000001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79.660700000000006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51.930999999999997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33.0533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0.27860000000000001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10.5921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33.002099999999999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56.127699999999997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64.721599999999995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68.0976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0.2863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0.30990000000000001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0.30249999999999999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0.35680000000000001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0.4279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0.44619999999999999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0.44750000000000001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0.65290000000000004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0.71319999999999995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0.7218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0.83130000000000004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0.89349999999999996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0.89249999999999996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0.89249999999999996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2.3199999999999998E-2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5.1700000000000003E-2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9.0999999999999998E-2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0.1565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0.20880000000000001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0.2233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0.2268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6.0000000000000001E-3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2.6800000000000001E-2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6.4500000000000002E-2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0.1308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0.21299999999999999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0.29730000000000001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0.3624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8.6900000000000005E-2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2.3300000000000001E-2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0.25740000000000002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0.23669999999999999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5.9999999999999995E-4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4.0000000000000002E-4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4.1799999999999997E-2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2.63E-2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1.0999999999999999E-2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207.34450000000001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184.5171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95.647599999999997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1.5137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-73.584299999999999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-100.88200000000001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-112.1776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263.52569999999997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226.37100000000001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143.0427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54.709899999999998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-17.6358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-44.983400000000003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-57.311799999999998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2025-09-22T18:29:44Z</dcterms:modified>
</cp:coreProperties>
</file>