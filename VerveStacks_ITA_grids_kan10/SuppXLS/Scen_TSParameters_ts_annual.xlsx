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_kan10\SuppXLS\"/>
    </mc:Choice>
  </mc:AlternateContent>
  <xr:revisionPtr revIDLastSave="0" documentId="8_{B4A0854B-DA2F-45A7-8751-FC5F5136577F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3" i="6" s="1"/>
  <c r="B9" i="10"/>
  <c r="Q9" i="9"/>
  <c r="N9" i="9"/>
  <c r="J9" i="9"/>
  <c r="F9" i="9"/>
  <c r="B9" i="9"/>
  <c r="L9" i="8"/>
  <c r="G9" i="8"/>
  <c r="B9" i="8"/>
  <c r="A11" i="7"/>
  <c r="C9" i="7" s="1"/>
  <c r="H24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<sst xmlns="http://schemas.openxmlformats.org/spreadsheetml/2006/main" count="734" uniqueCount="192">
  <si>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</si>
  <si>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</si>
  <si>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</si>
  <si>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</si>
  <si>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</si>
  <si>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</si>
  <si>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</si>
  <si>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</si>
  <si>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</si>
  <si>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</si>
  <si>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</si>
  <si>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</si>
  <si>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</si>
  <si>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</si>
  <si>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</si>
  <si>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</si>
  <si>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</si>
  <si>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</si>
  <si>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</si>
  <si>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</si>
  <si>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</si>
  <si>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</si>
  <si>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</si>
  <si>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</si>
  <si>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</si>
  <si>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</si>
  <si>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</si>
  <si>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</si>
  <si>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</si>
  <si>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</si>
  <si>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</si>
  <si>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</si>
  <si>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</si>
  <si>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</si>
  <si>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</si>
  <si>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</si>
  <si>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</si>
  <si>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AllS</t>
  </si>
  <si>
    <t>a</t>
  </si>
  <si>
    <t>AllH</t>
  </si>
  <si>
    <t>ts_annual</t>
  </si>
  <si>
    <t>commodity</t>
  </si>
  <si>
    <t>timeslice</t>
  </si>
  <si>
    <t>com_fr</t>
  </si>
  <si>
    <t>process</t>
  </si>
  <si>
    <t>elc_spv_ITA_001</t>
  </si>
  <si>
    <t>AllSaAllH</t>
  </si>
  <si>
    <t>IMPNRGZ</t>
  </si>
  <si>
    <t>elc_spv_ITA_002</t>
  </si>
  <si>
    <t>elc_spv_ITA_003</t>
  </si>
  <si>
    <t>elc_spv_ITA_004</t>
  </si>
  <si>
    <t>elc_spv_ITA_005</t>
  </si>
  <si>
    <t>elc_spv_ITA_006</t>
  </si>
  <si>
    <t>elc_spv_ITA_007</t>
  </si>
  <si>
    <t>elc_spv_ITA_008</t>
  </si>
  <si>
    <t>elc_spv_ITA_009</t>
  </si>
  <si>
    <t>elc_spv_ITA_010</t>
  </si>
  <si>
    <t>elc_spv_ITA_011</t>
  </si>
  <si>
    <t>elc_spv_ITA_012</t>
  </si>
  <si>
    <t>elc_spv_ITA_013</t>
  </si>
  <si>
    <t>elc_spv_ITA_014</t>
  </si>
  <si>
    <t>elc_spv_ITA_015</t>
  </si>
  <si>
    <t>elc_spv_ITA_016</t>
  </si>
  <si>
    <t>elc_spv_ITA_017</t>
  </si>
  <si>
    <t>elc_spv_ITA_018</t>
  </si>
  <si>
    <t>elc_spv_ITA_019</t>
  </si>
  <si>
    <t>elc_spv_ITA_020</t>
  </si>
  <si>
    <t>elc_spv_ITA_021</t>
  </si>
  <si>
    <t>elc_spv_ITA_022</t>
  </si>
  <si>
    <t>elc_spv_ITA_023</t>
  </si>
  <si>
    <t>elc_spv_ITA_024</t>
  </si>
  <si>
    <t>elc_won_ITA_001</t>
  </si>
  <si>
    <t>elc_won_ITA_002</t>
  </si>
  <si>
    <t>elc_won_ITA_003</t>
  </si>
  <si>
    <t>elc_won_ITA_004</t>
  </si>
  <si>
    <t>elc_won_ITA_005</t>
  </si>
  <si>
    <t>elc_won_ITA_006</t>
  </si>
  <si>
    <t>elc_won_ITA_007</t>
  </si>
  <si>
    <t>elc_won_ITA_008</t>
  </si>
  <si>
    <t>elc_won_ITA_009</t>
  </si>
  <si>
    <t>elc_won_ITA_010</t>
  </si>
  <si>
    <t>elc_won_ITA_011</t>
  </si>
  <si>
    <t>elc_won_ITA_012</t>
  </si>
  <si>
    <t>elc_won_ITA_013</t>
  </si>
  <si>
    <t>elc_won_ITA_014</t>
  </si>
  <si>
    <t>elc_won_ITA_015</t>
  </si>
  <si>
    <t>elc_won_ITA_016</t>
  </si>
  <si>
    <t>elc_won_ITA_017</t>
  </si>
  <si>
    <t>elc_won_ITA_018</t>
  </si>
  <si>
    <t>elc_won_ITA_019</t>
  </si>
  <si>
    <t>elc_wof_ITA_001</t>
  </si>
  <si>
    <t>elc_wof_ITA_002</t>
  </si>
  <si>
    <t>elc_wof_ITA_003</t>
  </si>
  <si>
    <t>elc_wof_ITA_004</t>
  </si>
  <si>
    <t>elc_wof_ITA_005</t>
  </si>
  <si>
    <t>elc_wof_ITA_006</t>
  </si>
  <si>
    <t>elc_wof_ITA_007</t>
  </si>
  <si>
    <t>elc_wof_ITA_008</t>
  </si>
  <si>
    <t>elc_wof_ITA_009</t>
  </si>
  <si>
    <t>elc_wof_ITA_010</t>
  </si>
  <si>
    <t>elc_wof_ITA_011</t>
  </si>
  <si>
    <t>elc_wof_ITA_012</t>
  </si>
  <si>
    <t>elc_wof_ITA_013</t>
  </si>
  <si>
    <t>elc_wof_ITA_014</t>
  </si>
  <si>
    <t>elc_wof_ITA_015</t>
  </si>
  <si>
    <t>elc_wof_ITA_016</t>
  </si>
  <si>
    <t>elc_wof_ITA_017</t>
  </si>
  <si>
    <t>elc_wof_ITA_018</t>
  </si>
  <si>
    <t>elc_wof_ITA_019</t>
  </si>
  <si>
    <t>distr_solelc_spv_ITA_001</t>
  </si>
  <si>
    <t>distr_solelc_spv_ITA_002</t>
  </si>
  <si>
    <t>distr_solelc_spv_ITA_003</t>
  </si>
  <si>
    <t>distr_solelc_spv_ITA_004</t>
  </si>
  <si>
    <t>distr_solelc_spv_ITA_005</t>
  </si>
  <si>
    <t>distr_solelc_spv_ITA_006</t>
  </si>
  <si>
    <t>distr_solelc_spv_ITA_007</t>
  </si>
  <si>
    <t>distr_solelc_spv_ITA_008</t>
  </si>
  <si>
    <t>distr_solelc_spv_ITA_009</t>
  </si>
  <si>
    <t>distr_solelc_spv_ITA_010</t>
  </si>
  <si>
    <t>distr_solelc_spv_ITA_011</t>
  </si>
  <si>
    <t>distr_solelc_spv_ITA_012</t>
  </si>
  <si>
    <t>distr_solelc_spv_ITA_013</t>
  </si>
  <si>
    <t>distr_solelc_spv_ITA_014</t>
  </si>
  <si>
    <t>distr_solelc_spv_ITA_015</t>
  </si>
  <si>
    <t>distr_solelc_spv_ITA_016</t>
  </si>
  <si>
    <t>distr_solelc_spv_ITA_017</t>
  </si>
  <si>
    <t>distr_solelc_spv_ITA_018</t>
  </si>
  <si>
    <t>distr_solelc_spv_ITA_019</t>
  </si>
  <si>
    <t>distr_solelc_spv_ITA_020</t>
  </si>
  <si>
    <t>distr_solelc_spv_ITA_021</t>
  </si>
  <si>
    <t>distr_solelc_spv_ITA_022</t>
  </si>
  <si>
    <t>distr_solelc_spv_ITA_023</t>
  </si>
  <si>
    <t>distr_solelc_spv_ITA_024</t>
  </si>
  <si>
    <t>distr_wofelc_wof_ITA_001</t>
  </si>
  <si>
    <t>distr_wofelc_wof_ITA_002</t>
  </si>
  <si>
    <t>distr_wofelc_wof_ITA_003</t>
  </si>
  <si>
    <t>distr_wofelc_wof_ITA_004</t>
  </si>
  <si>
    <t>distr_wofelc_wof_ITA_005</t>
  </si>
  <si>
    <t>distr_wofelc_wof_ITA_006</t>
  </si>
  <si>
    <t>distr_wofelc_wof_ITA_007</t>
  </si>
  <si>
    <t>distr_wofelc_wof_ITA_008</t>
  </si>
  <si>
    <t>distr_wofelc_wof_ITA_009</t>
  </si>
  <si>
    <t>distr_wofelc_wof_ITA_010</t>
  </si>
  <si>
    <t>distr_wofelc_wof_ITA_011</t>
  </si>
  <si>
    <t>distr_wofelc_wof_ITA_012</t>
  </si>
  <si>
    <t>distr_wofelc_wof_ITA_013</t>
  </si>
  <si>
    <t>distr_wofelc_wof_ITA_014</t>
  </si>
  <si>
    <t>distr_wofelc_wof_ITA_015</t>
  </si>
  <si>
    <t>distr_wofelc_wof_ITA_016</t>
  </si>
  <si>
    <t>distr_wofelc_wof_ITA_017</t>
  </si>
  <si>
    <t>distr_wofelc_wof_ITA_018</t>
  </si>
  <si>
    <t>distr_wofelc_wof_ITA_019</t>
  </si>
  <si>
    <t>distr_wonelc_won_ITA_001</t>
  </si>
  <si>
    <t>distr_wonelc_won_ITA_002</t>
  </si>
  <si>
    <t>distr_wonelc_won_ITA_003</t>
  </si>
  <si>
    <t>distr_wonelc_won_ITA_004</t>
  </si>
  <si>
    <t>distr_wonelc_won_ITA_005</t>
  </si>
  <si>
    <t>distr_wonelc_won_ITA_006</t>
  </si>
  <si>
    <t>distr_wonelc_won_ITA_007</t>
  </si>
  <si>
    <t>distr_wonelc_won_ITA_008</t>
  </si>
  <si>
    <t>distr_wonelc_won_ITA_009</t>
  </si>
  <si>
    <t>distr_wonelc_won_ITA_010</t>
  </si>
  <si>
    <t>distr_wonelc_won_ITA_011</t>
  </si>
  <si>
    <t>distr_wonelc_won_ITA_012</t>
  </si>
  <si>
    <t>distr_wonelc_won_ITA_013</t>
  </si>
  <si>
    <t>distr_wonelc_won_ITA_014</t>
  </si>
  <si>
    <t>distr_wonelc_won_ITA_015</t>
  </si>
  <si>
    <t>distr_wonelc_won_ITA_016</t>
  </si>
  <si>
    <t>distr_wonelc_won_ITA_017</t>
  </si>
  <si>
    <t>distr_wonelc_won_ITA_018</t>
  </si>
  <si>
    <t>distr_wonelc_won_ITA_019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</si>
  <si>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</si>
  <si>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</si>
  <si>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</si>
  <si>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</si>
  <si>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</si>
  <si>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</si>
  <si>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</si>
  <si>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</si>
  <si>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</si>
  <si>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</si>
  <si>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</si>
  <si>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</si>
  <si>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</si>
  <si>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N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</si>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</sst>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IFERROR([1]Veda!D5,"ts_annual")</f>
        <v>ts_annual</v>
      </c>
      <c r="B10" s="5"/>
      <c r="C10" s="5" t="s">
        <v>182</v>
      </c>
      <c r="D10" t="s">
        <v>40</v>
      </c>
    </row>
    <row r="11" spans="1:4" x14ac:dyDescent="0.45">
      <c r="B11" s="5"/>
      <c r="C11" s="5" t="s">
        <v>183</v>
      </c>
      <c r="D11" t="s">
        <v>46</v>
      </c>
    </row>
    <row r="12" spans="1:4" x14ac:dyDescent="0.45">
      <c r="B12" s="5"/>
      <c r="C12" s="5" t="s">
        <v>184</v>
      </c>
      <c r="D12" t="s">
        <v>46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Not Required!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AllSaAllH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5D3C0-616A-4CEB-9654-467C1A597A04}">
  <dimension ref="A9:G11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40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37</v>
      </c>
      <c r="G1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B6D78-52AB-4DB0-BE6F-9921955AC13A}">
  <dimension ref="B9:O34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41</v>
      </c>
      <c r="C10" t="s">
        <v>42</v>
      </c>
      <c r="D10" t="s">
        <v>43</v>
      </c>
      <c r="E10" t="s">
        <v>44</v>
      </c>
      <c r="G10" t="s">
        <v>41</v>
      </c>
      <c r="H10" t="s">
        <v>42</v>
      </c>
      <c r="I10" t="s">
        <v>43</v>
      </c>
      <c r="J10" t="s">
        <v>44</v>
      </c>
      <c r="L10" t="s">
        <v>41</v>
      </c>
      <c r="M10" t="s">
        <v>42</v>
      </c>
      <c r="N10" t="s">
        <v>43</v>
      </c>
      <c r="O10" t="s">
        <v>44</v>
      </c>
    </row>
    <row r="11" spans="2:15" x14ac:dyDescent="0.45">
      <c r="B11" t="s">
        <v>45</v>
      </c>
      <c r="C11" t="s">
        <v>46</v>
      </c>
      <c r="D11">
        <v>0.99999999999999911</v>
      </c>
      <c r="E11" t="s">
        <v>47</v>
      </c>
      <c r="G11" t="s">
        <v>71</v>
      </c>
      <c r="H11" t="s">
        <v>46</v>
      </c>
      <c r="I11">
        <v>0.99999999999999734</v>
      </c>
      <c r="J11" t="s">
        <v>47</v>
      </c>
      <c r="L11" t="s">
        <v>90</v>
      </c>
      <c r="M11" t="s">
        <v>46</v>
      </c>
      <c r="N11">
        <v>0.99999999999999478</v>
      </c>
      <c r="O11" t="s">
        <v>47</v>
      </c>
    </row>
    <row r="12" spans="2:15" x14ac:dyDescent="0.45">
      <c r="B12" t="s">
        <v>48</v>
      </c>
      <c r="C12" t="s">
        <v>46</v>
      </c>
      <c r="D12">
        <v>1.0000000000000018</v>
      </c>
      <c r="E12" t="s">
        <v>47</v>
      </c>
      <c r="G12" t="s">
        <v>72</v>
      </c>
      <c r="H12" t="s">
        <v>46</v>
      </c>
      <c r="I12">
        <v>0.999999999999997</v>
      </c>
      <c r="J12" t="s">
        <v>47</v>
      </c>
      <c r="L12" t="s">
        <v>91</v>
      </c>
      <c r="M12" t="s">
        <v>46</v>
      </c>
      <c r="N12">
        <v>0.99999999999999889</v>
      </c>
      <c r="O12" t="s">
        <v>47</v>
      </c>
    </row>
    <row r="13" spans="2:15" x14ac:dyDescent="0.45">
      <c r="B13" t="s">
        <v>49</v>
      </c>
      <c r="C13" t="s">
        <v>46</v>
      </c>
      <c r="D13">
        <v>0.99999999999999956</v>
      </c>
      <c r="E13" t="s">
        <v>47</v>
      </c>
      <c r="G13" t="s">
        <v>73</v>
      </c>
      <c r="H13" t="s">
        <v>46</v>
      </c>
      <c r="I13">
        <v>0.99999999999999778</v>
      </c>
      <c r="J13" t="s">
        <v>47</v>
      </c>
      <c r="L13" t="s">
        <v>92</v>
      </c>
      <c r="M13" t="s">
        <v>46</v>
      </c>
      <c r="N13">
        <v>0.99999999999999756</v>
      </c>
      <c r="O13" t="s">
        <v>47</v>
      </c>
    </row>
    <row r="14" spans="2:15" x14ac:dyDescent="0.45">
      <c r="B14" t="s">
        <v>50</v>
      </c>
      <c r="C14" t="s">
        <v>46</v>
      </c>
      <c r="D14">
        <v>1.0000000000000007</v>
      </c>
      <c r="E14" t="s">
        <v>47</v>
      </c>
      <c r="G14" t="s">
        <v>74</v>
      </c>
      <c r="H14" t="s">
        <v>46</v>
      </c>
      <c r="I14">
        <v>0.99999999999999989</v>
      </c>
      <c r="J14" t="s">
        <v>47</v>
      </c>
      <c r="L14" t="s">
        <v>93</v>
      </c>
      <c r="M14" t="s">
        <v>46</v>
      </c>
      <c r="N14">
        <v>0.99999999999999889</v>
      </c>
      <c r="O14" t="s">
        <v>47</v>
      </c>
    </row>
    <row r="15" spans="2:15" x14ac:dyDescent="0.45">
      <c r="B15" t="s">
        <v>51</v>
      </c>
      <c r="C15" t="s">
        <v>46</v>
      </c>
      <c r="D15">
        <v>0.99999999999999933</v>
      </c>
      <c r="E15" t="s">
        <v>47</v>
      </c>
      <c r="G15" t="s">
        <v>75</v>
      </c>
      <c r="H15" t="s">
        <v>46</v>
      </c>
      <c r="I15">
        <v>1.0000000000000009</v>
      </c>
      <c r="J15" t="s">
        <v>47</v>
      </c>
      <c r="L15" t="s">
        <v>94</v>
      </c>
      <c r="M15" t="s">
        <v>46</v>
      </c>
      <c r="N15">
        <v>1.0000000000000031</v>
      </c>
      <c r="O15" t="s">
        <v>47</v>
      </c>
    </row>
    <row r="16" spans="2:15" x14ac:dyDescent="0.45">
      <c r="B16" t="s">
        <v>52</v>
      </c>
      <c r="C16" t="s">
        <v>46</v>
      </c>
      <c r="D16">
        <v>0.99999999999999833</v>
      </c>
      <c r="E16" t="s">
        <v>47</v>
      </c>
      <c r="G16" t="s">
        <v>76</v>
      </c>
      <c r="H16" t="s">
        <v>46</v>
      </c>
      <c r="I16">
        <v>0.999999999999998</v>
      </c>
      <c r="J16" t="s">
        <v>47</v>
      </c>
      <c r="L16" t="s">
        <v>95</v>
      </c>
      <c r="M16" t="s">
        <v>46</v>
      </c>
      <c r="N16">
        <v>1.0000000000000036</v>
      </c>
      <c r="O16" t="s">
        <v>47</v>
      </c>
    </row>
    <row r="17" spans="2:15" x14ac:dyDescent="0.45">
      <c r="B17" t="s">
        <v>53</v>
      </c>
      <c r="C17" t="s">
        <v>46</v>
      </c>
      <c r="D17">
        <v>1.0000000000000009</v>
      </c>
      <c r="E17" t="s">
        <v>47</v>
      </c>
      <c r="G17" t="s">
        <v>77</v>
      </c>
      <c r="H17" t="s">
        <v>46</v>
      </c>
      <c r="I17">
        <v>1.0000000000000033</v>
      </c>
      <c r="J17" t="s">
        <v>47</v>
      </c>
      <c r="L17" t="s">
        <v>96</v>
      </c>
      <c r="M17" t="s">
        <v>46</v>
      </c>
      <c r="N17">
        <v>1.0000000000000016</v>
      </c>
      <c r="O17" t="s">
        <v>47</v>
      </c>
    </row>
    <row r="18" spans="2:15" x14ac:dyDescent="0.45">
      <c r="B18" t="s">
        <v>54</v>
      </c>
      <c r="C18" t="s">
        <v>46</v>
      </c>
      <c r="D18">
        <v>0.99999999999999989</v>
      </c>
      <c r="E18" t="s">
        <v>47</v>
      </c>
      <c r="G18" t="s">
        <v>78</v>
      </c>
      <c r="H18" t="s">
        <v>46</v>
      </c>
      <c r="I18">
        <v>1.0000000000000007</v>
      </c>
      <c r="J18" t="s">
        <v>47</v>
      </c>
      <c r="L18" t="s">
        <v>97</v>
      </c>
      <c r="M18" t="s">
        <v>46</v>
      </c>
      <c r="N18">
        <v>0.999999999999997</v>
      </c>
      <c r="O18" t="s">
        <v>47</v>
      </c>
    </row>
    <row r="19" spans="2:15" x14ac:dyDescent="0.45">
      <c r="B19" t="s">
        <v>55</v>
      </c>
      <c r="C19" t="s">
        <v>46</v>
      </c>
      <c r="D19">
        <v>1.0000000000000009</v>
      </c>
      <c r="E19" t="s">
        <v>47</v>
      </c>
      <c r="G19" t="s">
        <v>79</v>
      </c>
      <c r="H19" t="s">
        <v>46</v>
      </c>
      <c r="I19">
        <v>1.0000000000000018</v>
      </c>
      <c r="J19" t="s">
        <v>47</v>
      </c>
      <c r="L19" t="s">
        <v>98</v>
      </c>
      <c r="M19" t="s">
        <v>46</v>
      </c>
      <c r="N19">
        <v>0.99999999999999956</v>
      </c>
      <c r="O19" t="s">
        <v>47</v>
      </c>
    </row>
    <row r="20" spans="2:15" x14ac:dyDescent="0.45">
      <c r="B20" t="s">
        <v>56</v>
      </c>
      <c r="C20" t="s">
        <v>46</v>
      </c>
      <c r="D20">
        <v>0.99999999999999989</v>
      </c>
      <c r="E20" t="s">
        <v>47</v>
      </c>
      <c r="G20" t="s">
        <v>80</v>
      </c>
      <c r="H20" t="s">
        <v>46</v>
      </c>
      <c r="I20">
        <v>0.99999999999999745</v>
      </c>
      <c r="J20" t="s">
        <v>47</v>
      </c>
      <c r="L20" t="s">
        <v>99</v>
      </c>
      <c r="M20" t="s">
        <v>46</v>
      </c>
      <c r="N20">
        <v>1.0000000000000009</v>
      </c>
      <c r="O20" t="s">
        <v>47</v>
      </c>
    </row>
    <row r="21" spans="2:15" x14ac:dyDescent="0.45">
      <c r="B21" t="s">
        <v>57</v>
      </c>
      <c r="C21" t="s">
        <v>46</v>
      </c>
      <c r="D21">
        <v>1.0000000000000007</v>
      </c>
      <c r="E21" t="s">
        <v>47</v>
      </c>
      <c r="G21" t="s">
        <v>81</v>
      </c>
      <c r="H21" t="s">
        <v>46</v>
      </c>
      <c r="I21">
        <v>0.99999999999999889</v>
      </c>
      <c r="J21" t="s">
        <v>47</v>
      </c>
      <c r="L21" t="s">
        <v>100</v>
      </c>
      <c r="M21" t="s">
        <v>46</v>
      </c>
      <c r="N21">
        <v>0.99999999999999822</v>
      </c>
      <c r="O21" t="s">
        <v>47</v>
      </c>
    </row>
    <row r="22" spans="2:15" x14ac:dyDescent="0.45">
      <c r="B22" t="s">
        <v>58</v>
      </c>
      <c r="C22" t="s">
        <v>46</v>
      </c>
      <c r="D22">
        <v>1.0000000000000004</v>
      </c>
      <c r="E22" t="s">
        <v>47</v>
      </c>
      <c r="G22" t="s">
        <v>82</v>
      </c>
      <c r="H22" t="s">
        <v>46</v>
      </c>
      <c r="I22">
        <v>1.0000000000000011</v>
      </c>
      <c r="J22" t="s">
        <v>47</v>
      </c>
      <c r="L22" t="s">
        <v>101</v>
      </c>
      <c r="M22" t="s">
        <v>46</v>
      </c>
      <c r="N22">
        <v>0.99999999999999856</v>
      </c>
      <c r="O22" t="s">
        <v>47</v>
      </c>
    </row>
    <row r="23" spans="2:15" x14ac:dyDescent="0.45">
      <c r="B23" t="s">
        <v>59</v>
      </c>
      <c r="C23" t="s">
        <v>46</v>
      </c>
      <c r="D23">
        <v>1.0000000000000018</v>
      </c>
      <c r="E23" t="s">
        <v>47</v>
      </c>
      <c r="G23" t="s">
        <v>83</v>
      </c>
      <c r="H23" t="s">
        <v>46</v>
      </c>
      <c r="I23">
        <v>1.000000000000004</v>
      </c>
      <c r="J23" t="s">
        <v>47</v>
      </c>
      <c r="L23" t="s">
        <v>102</v>
      </c>
      <c r="M23" t="s">
        <v>46</v>
      </c>
      <c r="N23">
        <v>0.99999999999999811</v>
      </c>
      <c r="O23" t="s">
        <v>47</v>
      </c>
    </row>
    <row r="24" spans="2:15" x14ac:dyDescent="0.45">
      <c r="B24" t="s">
        <v>60</v>
      </c>
      <c r="C24" t="s">
        <v>46</v>
      </c>
      <c r="D24">
        <v>1.0000000000000024</v>
      </c>
      <c r="E24" t="s">
        <v>47</v>
      </c>
      <c r="G24" t="s">
        <v>84</v>
      </c>
      <c r="H24" t="s">
        <v>46</v>
      </c>
      <c r="I24">
        <v>0.99999999999999944</v>
      </c>
      <c r="J24" t="s">
        <v>47</v>
      </c>
      <c r="L24" t="s">
        <v>103</v>
      </c>
      <c r="M24" t="s">
        <v>46</v>
      </c>
      <c r="N24">
        <v>0.99999999999999956</v>
      </c>
      <c r="O24" t="s">
        <v>47</v>
      </c>
    </row>
    <row r="25" spans="2:15" x14ac:dyDescent="0.45">
      <c r="B25" t="s">
        <v>61</v>
      </c>
      <c r="C25" t="s">
        <v>46</v>
      </c>
      <c r="D25">
        <v>0.99999999999999956</v>
      </c>
      <c r="E25" t="s">
        <v>47</v>
      </c>
      <c r="G25" t="s">
        <v>85</v>
      </c>
      <c r="H25" t="s">
        <v>46</v>
      </c>
      <c r="I25">
        <v>0.99999999999999811</v>
      </c>
      <c r="J25" t="s">
        <v>47</v>
      </c>
      <c r="L25" t="s">
        <v>104</v>
      </c>
      <c r="M25" t="s">
        <v>46</v>
      </c>
      <c r="N25">
        <v>1.0000000000000018</v>
      </c>
      <c r="O25" t="s">
        <v>47</v>
      </c>
    </row>
    <row r="26" spans="2:15" x14ac:dyDescent="0.45">
      <c r="B26" t="s">
        <v>62</v>
      </c>
      <c r="C26" t="s">
        <v>46</v>
      </c>
      <c r="D26">
        <v>0.99999999999999645</v>
      </c>
      <c r="E26" t="s">
        <v>47</v>
      </c>
      <c r="G26" t="s">
        <v>86</v>
      </c>
      <c r="H26" t="s">
        <v>46</v>
      </c>
      <c r="I26">
        <v>0.99999999999999745</v>
      </c>
      <c r="J26" t="s">
        <v>47</v>
      </c>
      <c r="L26" t="s">
        <v>105</v>
      </c>
      <c r="M26" t="s">
        <v>46</v>
      </c>
      <c r="N26">
        <v>0.99999999999999933</v>
      </c>
      <c r="O26" t="s">
        <v>47</v>
      </c>
    </row>
    <row r="27" spans="2:15" x14ac:dyDescent="0.45">
      <c r="B27" t="s">
        <v>63</v>
      </c>
      <c r="C27" t="s">
        <v>46</v>
      </c>
      <c r="D27">
        <v>1.0000000000000004</v>
      </c>
      <c r="E27" t="s">
        <v>47</v>
      </c>
      <c r="G27" t="s">
        <v>87</v>
      </c>
      <c r="H27" t="s">
        <v>46</v>
      </c>
      <c r="I27">
        <v>1.0000000000000024</v>
      </c>
      <c r="J27" t="s">
        <v>47</v>
      </c>
      <c r="L27" t="s">
        <v>106</v>
      </c>
      <c r="M27" t="s">
        <v>46</v>
      </c>
      <c r="N27">
        <v>0.99999999999999922</v>
      </c>
      <c r="O27" t="s">
        <v>47</v>
      </c>
    </row>
    <row r="28" spans="2:15" x14ac:dyDescent="0.45">
      <c r="B28" t="s">
        <v>64</v>
      </c>
      <c r="C28" t="s">
        <v>46</v>
      </c>
      <c r="D28">
        <v>1.0000000000000007</v>
      </c>
      <c r="E28" t="s">
        <v>47</v>
      </c>
      <c r="G28" t="s">
        <v>88</v>
      </c>
      <c r="H28" t="s">
        <v>46</v>
      </c>
      <c r="I28">
        <v>1.0000000000000029</v>
      </c>
      <c r="J28" t="s">
        <v>47</v>
      </c>
      <c r="L28" t="s">
        <v>107</v>
      </c>
      <c r="M28" t="s">
        <v>46</v>
      </c>
      <c r="N28">
        <v>0.999999999999997</v>
      </c>
      <c r="O28" t="s">
        <v>47</v>
      </c>
    </row>
    <row r="29" spans="2:15" x14ac:dyDescent="0.45">
      <c r="B29" t="s">
        <v>65</v>
      </c>
      <c r="C29" t="s">
        <v>46</v>
      </c>
      <c r="D29">
        <v>1.000000000000002</v>
      </c>
      <c r="E29" t="s">
        <v>47</v>
      </c>
      <c r="G29" t="s">
        <v>89</v>
      </c>
      <c r="H29" t="s">
        <v>46</v>
      </c>
      <c r="I29">
        <v>0.999999999999999</v>
      </c>
      <c r="J29" t="s">
        <v>47</v>
      </c>
      <c r="L29" t="s">
        <v>108</v>
      </c>
      <c r="M29" t="s">
        <v>46</v>
      </c>
      <c r="N29">
        <v>0.99999999999999967</v>
      </c>
      <c r="O29" t="s">
        <v>47</v>
      </c>
    </row>
    <row r="30" spans="2:15" x14ac:dyDescent="0.45">
      <c r="B30" t="s">
        <v>66</v>
      </c>
      <c r="C30" t="s">
        <v>46</v>
      </c>
      <c r="D30">
        <v>0.99999999999999889</v>
      </c>
      <c r="E30" t="s">
        <v>47</v>
      </c>
    </row>
    <row r="31" spans="2:15" x14ac:dyDescent="0.45">
      <c r="B31" t="s">
        <v>67</v>
      </c>
      <c r="C31" t="s">
        <v>46</v>
      </c>
      <c r="D31">
        <v>1.000000000000002</v>
      </c>
      <c r="E31" t="s">
        <v>47</v>
      </c>
    </row>
    <row r="32" spans="2:15" x14ac:dyDescent="0.45">
      <c r="B32" t="s">
        <v>68</v>
      </c>
      <c r="C32" t="s">
        <v>46</v>
      </c>
      <c r="D32">
        <v>1.0000000000000002</v>
      </c>
      <c r="E32" t="s">
        <v>47</v>
      </c>
    </row>
    <row r="33" spans="2:5" x14ac:dyDescent="0.45">
      <c r="B33" t="s">
        <v>69</v>
      </c>
      <c r="C33" t="s">
        <v>46</v>
      </c>
      <c r="D33">
        <v>0.99999999999999978</v>
      </c>
      <c r="E33" t="s">
        <v>47</v>
      </c>
    </row>
    <row r="34" spans="2:5" x14ac:dyDescent="0.45">
      <c r="B34" t="s">
        <v>70</v>
      </c>
      <c r="C34" t="s">
        <v>46</v>
      </c>
      <c r="D34">
        <v>0.999999999999998</v>
      </c>
      <c r="E34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5C782-D1E2-41B3-BF78-E576DFDB7E3B}">
  <dimension ref="B9:T72"/>
  <sheetViews>
    <sheetView workbookViewId="0"/>
  </sheetViews>
  <sheetFormatPr defaultRowHeight="14.25" x14ac:dyDescent="0.45"/>
  <sheetData>
    <row r="9" spans="2:20" x14ac:dyDescent="0.45">
      <c r="B9" t="str">
        <f>IF(A11="x","DeActivated","~TFM_DINS-TSL: attribute=FLO_EMIS; other_indexes=ACT")</f>
        <v>~TFM_DINS-TSL: attribute=FLO_EMIS; other_indexes=ACT</v>
      </c>
      <c r="F9" t="str">
        <f>IF(A11="x","DeActivated","~TFM_INS-TSL: attribute=FLO_SHAR; limtype=FX")</f>
        <v>~TFM_INS-TSL: attribute=FLO_SHAR; limtype=FX</v>
      </c>
      <c r="J9" t="str">
        <f>IF(A11="x","DeActivated","~TFM_INS-TSL: attribute=FLO_SHAR; limtype=FX")</f>
        <v>~TFM_INS-TSL: attribute=FLO_SHAR; limtype=FX</v>
      </c>
      <c r="N9" t="str">
        <f>IF(A11="x","DeActivated","~TFM_DINS-TSL: attribute=NCAP_PKCNT")</f>
        <v>~TFM_DINS-TSL: attribute=NCAP_PKCNT</v>
      </c>
      <c r="Q9" t="str">
        <f>IF(A11="x","DeActivated","~TFM_DINS-AT")</f>
        <v>~TFM_DINS-AT</v>
      </c>
    </row>
    <row r="10" spans="2:20" x14ac:dyDescent="0.45">
      <c r="B10" t="s">
        <v>44</v>
      </c>
      <c r="C10" t="s">
        <v>41</v>
      </c>
      <c r="D10" t="s">
        <v>46</v>
      </c>
      <c r="F10" t="s">
        <v>44</v>
      </c>
      <c r="G10" t="s">
        <v>41</v>
      </c>
      <c r="H10" t="s">
        <v>46</v>
      </c>
      <c r="J10" t="s">
        <v>44</v>
      </c>
      <c r="K10" t="s">
        <v>41</v>
      </c>
      <c r="L10" t="s">
        <v>46</v>
      </c>
      <c r="N10" t="s">
        <v>44</v>
      </c>
      <c r="O10" t="s">
        <v>46</v>
      </c>
      <c r="Q10" t="s">
        <v>44</v>
      </c>
      <c r="R10" t="s">
        <v>41</v>
      </c>
      <c r="S10" t="s">
        <v>176</v>
      </c>
      <c r="T10" t="s">
        <v>177</v>
      </c>
    </row>
    <row r="11" spans="2:20" x14ac:dyDescent="0.45">
      <c r="B11" t="s">
        <v>109</v>
      </c>
      <c r="C11" t="s">
        <v>31</v>
      </c>
      <c r="D11">
        <v>0.56991395971566805</v>
      </c>
      <c r="F11" t="s">
        <v>171</v>
      </c>
      <c r="G11" t="s">
        <v>172</v>
      </c>
      <c r="H11">
        <v>0.13610278277766455</v>
      </c>
      <c r="J11" t="s">
        <v>171</v>
      </c>
      <c r="K11" t="s">
        <v>175</v>
      </c>
      <c r="L11">
        <v>0.17231146575446368</v>
      </c>
      <c r="N11" t="s">
        <v>109</v>
      </c>
      <c r="O11">
        <v>0.17549330324086565</v>
      </c>
      <c r="Q11" t="s">
        <v>109</v>
      </c>
      <c r="R11" t="s">
        <v>178</v>
      </c>
      <c r="S11" t="s">
        <v>179</v>
      </c>
      <c r="T11">
        <v>0.17549330324086565</v>
      </c>
    </row>
    <row r="12" spans="2:20" x14ac:dyDescent="0.45">
      <c r="B12" t="s">
        <v>110</v>
      </c>
      <c r="C12" t="s">
        <v>31</v>
      </c>
      <c r="D12">
        <v>0.57013158298413447</v>
      </c>
      <c r="F12" t="s">
        <v>173</v>
      </c>
      <c r="G12" t="s">
        <v>172</v>
      </c>
      <c r="H12">
        <v>3.1819370127913168E-3</v>
      </c>
      <c r="J12" t="s">
        <v>173</v>
      </c>
      <c r="K12" t="s">
        <v>175</v>
      </c>
      <c r="L12">
        <v>1.4269305674608159E-2</v>
      </c>
      <c r="N12" t="s">
        <v>110</v>
      </c>
      <c r="O12">
        <v>0.17437033019960674</v>
      </c>
      <c r="Q12" t="s">
        <v>110</v>
      </c>
      <c r="R12" t="s">
        <v>178</v>
      </c>
      <c r="S12" t="s">
        <v>179</v>
      </c>
      <c r="T12">
        <v>0.17437033019960674</v>
      </c>
    </row>
    <row r="13" spans="2:20" x14ac:dyDescent="0.45">
      <c r="B13" t="s">
        <v>111</v>
      </c>
      <c r="C13" t="s">
        <v>31</v>
      </c>
      <c r="D13">
        <v>0.54799601608661375</v>
      </c>
      <c r="F13" t="s">
        <v>174</v>
      </c>
      <c r="G13" t="s">
        <v>172</v>
      </c>
      <c r="H13">
        <v>1.5301949829970175E-3</v>
      </c>
      <c r="J13" t="s">
        <v>174</v>
      </c>
      <c r="K13" t="s">
        <v>175</v>
      </c>
      <c r="L13">
        <v>8.0824357113769823E-3</v>
      </c>
      <c r="N13" t="s">
        <v>111</v>
      </c>
      <c r="O13">
        <v>0.19971210276496051</v>
      </c>
      <c r="Q13" t="s">
        <v>111</v>
      </c>
      <c r="R13" t="s">
        <v>178</v>
      </c>
      <c r="S13" t="s">
        <v>179</v>
      </c>
      <c r="T13">
        <v>0.19971210276496051</v>
      </c>
    </row>
    <row r="14" spans="2:20" x14ac:dyDescent="0.45">
      <c r="B14" t="s">
        <v>112</v>
      </c>
      <c r="C14" t="s">
        <v>31</v>
      </c>
      <c r="D14">
        <v>0.56764992349095211</v>
      </c>
      <c r="N14" t="s">
        <v>112</v>
      </c>
      <c r="O14">
        <v>0.18119266049586794</v>
      </c>
      <c r="Q14" t="s">
        <v>112</v>
      </c>
      <c r="R14" t="s">
        <v>178</v>
      </c>
      <c r="S14" t="s">
        <v>179</v>
      </c>
      <c r="T14">
        <v>0.18119266049586794</v>
      </c>
    </row>
    <row r="15" spans="2:20" x14ac:dyDescent="0.45">
      <c r="B15" t="s">
        <v>113</v>
      </c>
      <c r="C15" t="s">
        <v>31</v>
      </c>
      <c r="D15">
        <v>0.55659812151731636</v>
      </c>
      <c r="N15" t="s">
        <v>113</v>
      </c>
      <c r="O15">
        <v>0.19212632484977329</v>
      </c>
      <c r="Q15" t="s">
        <v>113</v>
      </c>
      <c r="R15" t="s">
        <v>178</v>
      </c>
      <c r="S15" t="s">
        <v>179</v>
      </c>
      <c r="T15">
        <v>0.19212632484977329</v>
      </c>
    </row>
    <row r="16" spans="2:20" x14ac:dyDescent="0.45">
      <c r="B16" t="s">
        <v>114</v>
      </c>
      <c r="C16" t="s">
        <v>31</v>
      </c>
      <c r="D16">
        <v>0.56894658163649048</v>
      </c>
      <c r="N16" t="s">
        <v>114</v>
      </c>
      <c r="O16">
        <v>0.17160825181532283</v>
      </c>
      <c r="Q16" t="s">
        <v>114</v>
      </c>
      <c r="R16" t="s">
        <v>178</v>
      </c>
      <c r="S16" t="s">
        <v>179</v>
      </c>
      <c r="T16">
        <v>0.17160825181532283</v>
      </c>
    </row>
    <row r="17" spans="2:20" x14ac:dyDescent="0.45">
      <c r="B17" t="s">
        <v>115</v>
      </c>
      <c r="C17" t="s">
        <v>31</v>
      </c>
      <c r="D17">
        <v>0.56622700999405717</v>
      </c>
      <c r="N17" t="s">
        <v>115</v>
      </c>
      <c r="O17">
        <v>0.17482608168992686</v>
      </c>
      <c r="Q17" t="s">
        <v>115</v>
      </c>
      <c r="R17" t="s">
        <v>178</v>
      </c>
      <c r="S17" t="s">
        <v>179</v>
      </c>
      <c r="T17">
        <v>0.17482608168992686</v>
      </c>
    </row>
    <row r="18" spans="2:20" x14ac:dyDescent="0.45">
      <c r="B18" t="s">
        <v>116</v>
      </c>
      <c r="C18" t="s">
        <v>31</v>
      </c>
      <c r="D18">
        <v>0.54486375085078231</v>
      </c>
      <c r="N18" t="s">
        <v>116</v>
      </c>
      <c r="O18">
        <v>0.20435113035210531</v>
      </c>
      <c r="Q18" t="s">
        <v>116</v>
      </c>
      <c r="R18" t="s">
        <v>178</v>
      </c>
      <c r="S18" t="s">
        <v>179</v>
      </c>
      <c r="T18">
        <v>0.20435113035210531</v>
      </c>
    </row>
    <row r="19" spans="2:20" x14ac:dyDescent="0.45">
      <c r="B19" t="s">
        <v>117</v>
      </c>
      <c r="C19" t="s">
        <v>31</v>
      </c>
      <c r="D19">
        <v>0.55419787619957961</v>
      </c>
      <c r="N19" t="s">
        <v>117</v>
      </c>
      <c r="O19">
        <v>0.18989993111044443</v>
      </c>
      <c r="Q19" t="s">
        <v>117</v>
      </c>
      <c r="R19" t="s">
        <v>178</v>
      </c>
      <c r="S19" t="s">
        <v>179</v>
      </c>
      <c r="T19">
        <v>0.18989993111044443</v>
      </c>
    </row>
    <row r="20" spans="2:20" x14ac:dyDescent="0.45">
      <c r="B20" t="s">
        <v>118</v>
      </c>
      <c r="C20" t="s">
        <v>31</v>
      </c>
      <c r="D20">
        <v>0.53660220477799658</v>
      </c>
      <c r="N20" t="s">
        <v>118</v>
      </c>
      <c r="O20">
        <v>0.21569630337730328</v>
      </c>
      <c r="Q20" t="s">
        <v>118</v>
      </c>
      <c r="R20" t="s">
        <v>178</v>
      </c>
      <c r="S20" t="s">
        <v>179</v>
      </c>
      <c r="T20">
        <v>0.21569630337730328</v>
      </c>
    </row>
    <row r="21" spans="2:20" x14ac:dyDescent="0.45">
      <c r="B21" t="s">
        <v>119</v>
      </c>
      <c r="C21" t="s">
        <v>31</v>
      </c>
      <c r="D21">
        <v>0.52921671741011711</v>
      </c>
      <c r="N21" t="s">
        <v>119</v>
      </c>
      <c r="O21">
        <v>0.22219327396194283</v>
      </c>
      <c r="Q21" t="s">
        <v>119</v>
      </c>
      <c r="R21" t="s">
        <v>178</v>
      </c>
      <c r="S21" t="s">
        <v>179</v>
      </c>
      <c r="T21">
        <v>0.22219327396194283</v>
      </c>
    </row>
    <row r="22" spans="2:20" x14ac:dyDescent="0.45">
      <c r="B22" t="s">
        <v>120</v>
      </c>
      <c r="C22" t="s">
        <v>31</v>
      </c>
      <c r="D22">
        <v>0.53257342546801534</v>
      </c>
      <c r="N22" t="s">
        <v>120</v>
      </c>
      <c r="O22">
        <v>0.2270968302054254</v>
      </c>
      <c r="Q22" t="s">
        <v>120</v>
      </c>
      <c r="R22" t="s">
        <v>178</v>
      </c>
      <c r="S22" t="s">
        <v>179</v>
      </c>
      <c r="T22">
        <v>0.2270968302054254</v>
      </c>
    </row>
    <row r="23" spans="2:20" x14ac:dyDescent="0.45">
      <c r="B23" t="s">
        <v>121</v>
      </c>
      <c r="C23" t="s">
        <v>31</v>
      </c>
      <c r="D23">
        <v>0.528456944536425</v>
      </c>
      <c r="N23" t="s">
        <v>121</v>
      </c>
      <c r="O23">
        <v>0.22959596155969283</v>
      </c>
      <c r="Q23" t="s">
        <v>121</v>
      </c>
      <c r="R23" t="s">
        <v>178</v>
      </c>
      <c r="S23" t="s">
        <v>179</v>
      </c>
      <c r="T23">
        <v>0.22959596155969283</v>
      </c>
    </row>
    <row r="24" spans="2:20" x14ac:dyDescent="0.45">
      <c r="B24" t="s">
        <v>122</v>
      </c>
      <c r="C24" t="s">
        <v>31</v>
      </c>
      <c r="D24">
        <v>0.53355374760546359</v>
      </c>
      <c r="N24" t="s">
        <v>122</v>
      </c>
      <c r="O24">
        <v>0.2210751650418489</v>
      </c>
      <c r="Q24" t="s">
        <v>122</v>
      </c>
      <c r="R24" t="s">
        <v>178</v>
      </c>
      <c r="S24" t="s">
        <v>179</v>
      </c>
      <c r="T24">
        <v>0.2210751650418489</v>
      </c>
    </row>
    <row r="25" spans="2:20" x14ac:dyDescent="0.45">
      <c r="B25" t="s">
        <v>123</v>
      </c>
      <c r="C25" t="s">
        <v>31</v>
      </c>
      <c r="D25">
        <v>0.5390664637794913</v>
      </c>
      <c r="N25" t="s">
        <v>123</v>
      </c>
      <c r="O25">
        <v>0.21924982246183253</v>
      </c>
      <c r="Q25" t="s">
        <v>123</v>
      </c>
      <c r="R25" t="s">
        <v>178</v>
      </c>
      <c r="S25" t="s">
        <v>179</v>
      </c>
      <c r="T25">
        <v>0.21924982246183253</v>
      </c>
    </row>
    <row r="26" spans="2:20" x14ac:dyDescent="0.45">
      <c r="B26" t="s">
        <v>124</v>
      </c>
      <c r="C26" t="s">
        <v>31</v>
      </c>
      <c r="D26">
        <v>0.54056012400298026</v>
      </c>
      <c r="N26" t="s">
        <v>124</v>
      </c>
      <c r="O26">
        <v>0.21151002073941522</v>
      </c>
      <c r="Q26" t="s">
        <v>124</v>
      </c>
      <c r="R26" t="s">
        <v>178</v>
      </c>
      <c r="S26" t="s">
        <v>179</v>
      </c>
      <c r="T26">
        <v>0.21151002073941522</v>
      </c>
    </row>
    <row r="27" spans="2:20" x14ac:dyDescent="0.45">
      <c r="B27" t="s">
        <v>125</v>
      </c>
      <c r="C27" t="s">
        <v>31</v>
      </c>
      <c r="D27">
        <v>0.57211586340148568</v>
      </c>
      <c r="N27" t="s">
        <v>125</v>
      </c>
      <c r="O27">
        <v>0.16984453851564518</v>
      </c>
      <c r="Q27" t="s">
        <v>125</v>
      </c>
      <c r="R27" t="s">
        <v>178</v>
      </c>
      <c r="S27" t="s">
        <v>179</v>
      </c>
      <c r="T27">
        <v>0.16984453851564518</v>
      </c>
    </row>
    <row r="28" spans="2:20" x14ac:dyDescent="0.45">
      <c r="B28" t="s">
        <v>126</v>
      </c>
      <c r="C28" t="s">
        <v>31</v>
      </c>
      <c r="D28">
        <v>0.56781597369442149</v>
      </c>
      <c r="N28" t="s">
        <v>126</v>
      </c>
      <c r="O28">
        <v>0.16990976440474723</v>
      </c>
      <c r="Q28" t="s">
        <v>126</v>
      </c>
      <c r="R28" t="s">
        <v>178</v>
      </c>
      <c r="S28" t="s">
        <v>179</v>
      </c>
      <c r="T28">
        <v>0.16990976440474723</v>
      </c>
    </row>
    <row r="29" spans="2:20" x14ac:dyDescent="0.45">
      <c r="B29" t="s">
        <v>127</v>
      </c>
      <c r="C29" t="s">
        <v>31</v>
      </c>
      <c r="D29">
        <v>0.54611705632957708</v>
      </c>
      <c r="N29" t="s">
        <v>127</v>
      </c>
      <c r="O29">
        <v>0.20274663710546953</v>
      </c>
      <c r="Q29" t="s">
        <v>127</v>
      </c>
      <c r="R29" t="s">
        <v>178</v>
      </c>
      <c r="S29" t="s">
        <v>179</v>
      </c>
      <c r="T29">
        <v>0.20274663710546953</v>
      </c>
    </row>
    <row r="30" spans="2:20" x14ac:dyDescent="0.45">
      <c r="B30" t="s">
        <v>128</v>
      </c>
      <c r="C30" t="s">
        <v>31</v>
      </c>
      <c r="D30">
        <v>0.54409380600134394</v>
      </c>
      <c r="N30" t="s">
        <v>128</v>
      </c>
      <c r="O30">
        <v>0.20281699283395957</v>
      </c>
      <c r="Q30" t="s">
        <v>128</v>
      </c>
      <c r="R30" t="s">
        <v>178</v>
      </c>
      <c r="S30" t="s">
        <v>179</v>
      </c>
      <c r="T30">
        <v>0.20281699283395957</v>
      </c>
    </row>
    <row r="31" spans="2:20" x14ac:dyDescent="0.45">
      <c r="B31" t="s">
        <v>129</v>
      </c>
      <c r="C31" t="s">
        <v>31</v>
      </c>
      <c r="D31">
        <v>0.54427983486993414</v>
      </c>
      <c r="N31" t="s">
        <v>129</v>
      </c>
      <c r="O31">
        <v>0.20246429858342543</v>
      </c>
      <c r="Q31" t="s">
        <v>129</v>
      </c>
      <c r="R31" t="s">
        <v>178</v>
      </c>
      <c r="S31" t="s">
        <v>179</v>
      </c>
      <c r="T31">
        <v>0.20246429858342543</v>
      </c>
    </row>
    <row r="32" spans="2:20" x14ac:dyDescent="0.45">
      <c r="B32" t="s">
        <v>130</v>
      </c>
      <c r="C32" t="s">
        <v>31</v>
      </c>
      <c r="D32">
        <v>0.56454245009504112</v>
      </c>
      <c r="N32" t="s">
        <v>130</v>
      </c>
      <c r="O32">
        <v>0.17907184645428417</v>
      </c>
      <c r="Q32" t="s">
        <v>130</v>
      </c>
      <c r="R32" t="s">
        <v>178</v>
      </c>
      <c r="S32" t="s">
        <v>179</v>
      </c>
      <c r="T32">
        <v>0.17907184645428417</v>
      </c>
    </row>
    <row r="33" spans="2:20" x14ac:dyDescent="0.45">
      <c r="B33" t="s">
        <v>131</v>
      </c>
      <c r="C33" t="s">
        <v>31</v>
      </c>
      <c r="D33">
        <v>0.55323623019384749</v>
      </c>
      <c r="N33" t="s">
        <v>131</v>
      </c>
      <c r="O33">
        <v>0.19396438886671644</v>
      </c>
      <c r="Q33" t="s">
        <v>131</v>
      </c>
      <c r="R33" t="s">
        <v>178</v>
      </c>
      <c r="S33" t="s">
        <v>179</v>
      </c>
      <c r="T33">
        <v>0.19396438886671644</v>
      </c>
    </row>
    <row r="34" spans="2:20" x14ac:dyDescent="0.45">
      <c r="B34" t="s">
        <v>132</v>
      </c>
      <c r="C34" t="s">
        <v>31</v>
      </c>
      <c r="D34">
        <v>0.55625673656994412</v>
      </c>
      <c r="N34" t="s">
        <v>132</v>
      </c>
      <c r="O34">
        <v>0.18791927498918995</v>
      </c>
      <c r="Q34" t="s">
        <v>132</v>
      </c>
      <c r="R34" t="s">
        <v>178</v>
      </c>
      <c r="S34" t="s">
        <v>179</v>
      </c>
      <c r="T34">
        <v>0.18791927498918995</v>
      </c>
    </row>
    <row r="35" spans="2:20" x14ac:dyDescent="0.45">
      <c r="B35" t="s">
        <v>133</v>
      </c>
      <c r="C35" t="s">
        <v>31</v>
      </c>
      <c r="D35">
        <v>0.44621801697135599</v>
      </c>
      <c r="N35" t="s">
        <v>133</v>
      </c>
      <c r="O35">
        <v>0.2484648779811813</v>
      </c>
      <c r="Q35" t="s">
        <v>152</v>
      </c>
      <c r="R35" t="s">
        <v>178</v>
      </c>
      <c r="S35" t="s">
        <v>179</v>
      </c>
      <c r="T35">
        <v>0.10678146890360612</v>
      </c>
    </row>
    <row r="36" spans="2:20" x14ac:dyDescent="0.45">
      <c r="B36" t="s">
        <v>134</v>
      </c>
      <c r="C36" t="s">
        <v>31</v>
      </c>
      <c r="D36">
        <v>0.4691425121566955</v>
      </c>
      <c r="N36" t="s">
        <v>134</v>
      </c>
      <c r="O36">
        <v>0.21787742321328019</v>
      </c>
      <c r="Q36" t="s">
        <v>153</v>
      </c>
      <c r="R36" t="s">
        <v>178</v>
      </c>
      <c r="S36" t="s">
        <v>179</v>
      </c>
      <c r="T36">
        <v>0.24328398072516849</v>
      </c>
    </row>
    <row r="37" spans="2:20" x14ac:dyDescent="0.45">
      <c r="B37" t="s">
        <v>135</v>
      </c>
      <c r="C37" t="s">
        <v>31</v>
      </c>
      <c r="D37">
        <v>0.41254698431825892</v>
      </c>
      <c r="N37" t="s">
        <v>135</v>
      </c>
      <c r="O37">
        <v>0.28900156844457497</v>
      </c>
      <c r="Q37" t="s">
        <v>154</v>
      </c>
      <c r="R37" t="s">
        <v>178</v>
      </c>
      <c r="S37" t="s">
        <v>179</v>
      </c>
      <c r="T37">
        <v>0.16708173050596986</v>
      </c>
    </row>
    <row r="38" spans="2:20" x14ac:dyDescent="0.45">
      <c r="B38" t="s">
        <v>136</v>
      </c>
      <c r="C38" t="s">
        <v>31</v>
      </c>
      <c r="D38">
        <v>0.43512718542397849</v>
      </c>
      <c r="N38" t="s">
        <v>136</v>
      </c>
      <c r="O38">
        <v>0.26388034481020151</v>
      </c>
      <c r="Q38" t="s">
        <v>155</v>
      </c>
      <c r="R38" t="s">
        <v>178</v>
      </c>
      <c r="S38" t="s">
        <v>179</v>
      </c>
      <c r="T38">
        <v>0.12691816673097769</v>
      </c>
    </row>
    <row r="39" spans="2:20" x14ac:dyDescent="0.45">
      <c r="B39" t="s">
        <v>137</v>
      </c>
      <c r="C39" t="s">
        <v>31</v>
      </c>
      <c r="D39">
        <v>0.40575710740162235</v>
      </c>
      <c r="N39" t="s">
        <v>137</v>
      </c>
      <c r="O39">
        <v>0.2985425681883464</v>
      </c>
      <c r="Q39" t="s">
        <v>156</v>
      </c>
      <c r="R39" t="s">
        <v>178</v>
      </c>
      <c r="S39" t="s">
        <v>179</v>
      </c>
      <c r="T39">
        <v>0.11559410893371924</v>
      </c>
    </row>
    <row r="40" spans="2:20" x14ac:dyDescent="0.45">
      <c r="B40" t="s">
        <v>138</v>
      </c>
      <c r="C40" t="s">
        <v>31</v>
      </c>
      <c r="D40">
        <v>0.46965000030296555</v>
      </c>
      <c r="N40" t="s">
        <v>138</v>
      </c>
      <c r="O40">
        <v>0.28366024852480159</v>
      </c>
      <c r="Q40" t="s">
        <v>157</v>
      </c>
      <c r="R40" t="s">
        <v>178</v>
      </c>
      <c r="S40" t="s">
        <v>179</v>
      </c>
      <c r="T40">
        <v>8.8655664439947712E-2</v>
      </c>
    </row>
    <row r="41" spans="2:20" x14ac:dyDescent="0.45">
      <c r="B41" t="s">
        <v>139</v>
      </c>
      <c r="C41" t="s">
        <v>31</v>
      </c>
      <c r="D41">
        <v>0.44932817910190154</v>
      </c>
      <c r="N41" t="s">
        <v>139</v>
      </c>
      <c r="O41">
        <v>0.30636574729781879</v>
      </c>
      <c r="Q41" t="s">
        <v>158</v>
      </c>
      <c r="R41" t="s">
        <v>178</v>
      </c>
      <c r="S41" t="s">
        <v>179</v>
      </c>
      <c r="T41">
        <v>0.11369680616598614</v>
      </c>
    </row>
    <row r="42" spans="2:20" x14ac:dyDescent="0.45">
      <c r="B42" t="s">
        <v>140</v>
      </c>
      <c r="C42" t="s">
        <v>31</v>
      </c>
      <c r="D42">
        <v>0.47521694824005145</v>
      </c>
      <c r="N42" t="s">
        <v>140</v>
      </c>
      <c r="O42">
        <v>0.2477585180128099</v>
      </c>
      <c r="Q42" t="s">
        <v>159</v>
      </c>
      <c r="R42" t="s">
        <v>178</v>
      </c>
      <c r="S42" t="s">
        <v>179</v>
      </c>
      <c r="T42">
        <v>0.11574530064426163</v>
      </c>
    </row>
    <row r="43" spans="2:20" x14ac:dyDescent="0.45">
      <c r="B43" t="s">
        <v>141</v>
      </c>
      <c r="C43" t="s">
        <v>31</v>
      </c>
      <c r="D43">
        <v>0.46427869763599405</v>
      </c>
      <c r="N43" t="s">
        <v>141</v>
      </c>
      <c r="O43">
        <v>0.23856188869687606</v>
      </c>
      <c r="Q43" t="s">
        <v>160</v>
      </c>
      <c r="R43" t="s">
        <v>178</v>
      </c>
      <c r="S43" t="s">
        <v>179</v>
      </c>
      <c r="T43">
        <v>0.13201736413315185</v>
      </c>
    </row>
    <row r="44" spans="2:20" x14ac:dyDescent="0.45">
      <c r="B44" t="s">
        <v>142</v>
      </c>
      <c r="C44" t="s">
        <v>31</v>
      </c>
      <c r="D44">
        <v>0.51575290897913495</v>
      </c>
      <c r="N44" t="s">
        <v>142</v>
      </c>
      <c r="O44">
        <v>0.22272947513598146</v>
      </c>
      <c r="Q44" t="s">
        <v>161</v>
      </c>
      <c r="R44" t="s">
        <v>178</v>
      </c>
      <c r="S44" t="s">
        <v>179</v>
      </c>
      <c r="T44">
        <v>0.16064977560471363</v>
      </c>
    </row>
    <row r="45" spans="2:20" x14ac:dyDescent="0.45">
      <c r="B45" t="s">
        <v>143</v>
      </c>
      <c r="C45" t="s">
        <v>31</v>
      </c>
      <c r="D45">
        <v>0.52919503328326134</v>
      </c>
      <c r="N45" t="s">
        <v>143</v>
      </c>
      <c r="O45">
        <v>0.2295724953240087</v>
      </c>
      <c r="Q45" t="s">
        <v>162</v>
      </c>
      <c r="R45" t="s">
        <v>178</v>
      </c>
      <c r="S45" t="s">
        <v>179</v>
      </c>
      <c r="T45">
        <v>0.20860915747717521</v>
      </c>
    </row>
    <row r="46" spans="2:20" x14ac:dyDescent="0.45">
      <c r="B46" t="s">
        <v>144</v>
      </c>
      <c r="C46" t="s">
        <v>31</v>
      </c>
      <c r="D46">
        <v>0.51823709022589581</v>
      </c>
      <c r="N46" t="s">
        <v>144</v>
      </c>
      <c r="O46">
        <v>0.20861386603033211</v>
      </c>
      <c r="Q46" t="s">
        <v>163</v>
      </c>
      <c r="R46" t="s">
        <v>178</v>
      </c>
      <c r="S46" t="s">
        <v>179</v>
      </c>
      <c r="T46">
        <v>0.10659698544722651</v>
      </c>
    </row>
    <row r="47" spans="2:20" x14ac:dyDescent="0.45">
      <c r="B47" t="s">
        <v>145</v>
      </c>
      <c r="C47" t="s">
        <v>31</v>
      </c>
      <c r="D47">
        <v>0.54388445089273441</v>
      </c>
      <c r="N47" t="s">
        <v>145</v>
      </c>
      <c r="O47">
        <v>0.21437135897798654</v>
      </c>
      <c r="Q47" t="s">
        <v>164</v>
      </c>
      <c r="R47" t="s">
        <v>178</v>
      </c>
      <c r="S47" t="s">
        <v>179</v>
      </c>
      <c r="T47">
        <v>9.4088286460082465E-2</v>
      </c>
    </row>
    <row r="48" spans="2:20" x14ac:dyDescent="0.45">
      <c r="B48" t="s">
        <v>146</v>
      </c>
      <c r="C48" t="s">
        <v>31</v>
      </c>
      <c r="D48">
        <v>0.47315165720989349</v>
      </c>
      <c r="N48" t="s">
        <v>146</v>
      </c>
      <c r="O48">
        <v>0.26959215691845589</v>
      </c>
      <c r="Q48" t="s">
        <v>165</v>
      </c>
      <c r="R48" t="s">
        <v>178</v>
      </c>
      <c r="S48" t="s">
        <v>179</v>
      </c>
      <c r="T48">
        <v>0.14190198757145533</v>
      </c>
    </row>
    <row r="49" spans="2:20" x14ac:dyDescent="0.45">
      <c r="B49" t="s">
        <v>147</v>
      </c>
      <c r="C49" t="s">
        <v>31</v>
      </c>
      <c r="D49">
        <v>0.38665245308714569</v>
      </c>
      <c r="N49" t="s">
        <v>147</v>
      </c>
      <c r="O49">
        <v>0.39560456390377019</v>
      </c>
      <c r="Q49" t="s">
        <v>166</v>
      </c>
      <c r="R49" t="s">
        <v>178</v>
      </c>
      <c r="S49" t="s">
        <v>179</v>
      </c>
      <c r="T49">
        <v>0.24203018454608588</v>
      </c>
    </row>
    <row r="50" spans="2:20" x14ac:dyDescent="0.45">
      <c r="B50" t="s">
        <v>148</v>
      </c>
      <c r="C50" t="s">
        <v>31</v>
      </c>
      <c r="D50">
        <v>0.41254842301286104</v>
      </c>
      <c r="N50" t="s">
        <v>148</v>
      </c>
      <c r="O50">
        <v>0.3326685623353598</v>
      </c>
      <c r="Q50" t="s">
        <v>167</v>
      </c>
      <c r="R50" t="s">
        <v>178</v>
      </c>
      <c r="S50" t="s">
        <v>179</v>
      </c>
      <c r="T50">
        <v>0.26287145559711034</v>
      </c>
    </row>
    <row r="51" spans="2:20" x14ac:dyDescent="0.45">
      <c r="B51" t="s">
        <v>149</v>
      </c>
      <c r="C51" t="s">
        <v>31</v>
      </c>
      <c r="D51">
        <v>0.45080006614772511</v>
      </c>
      <c r="N51" t="s">
        <v>149</v>
      </c>
      <c r="O51">
        <v>0.32314222864424486</v>
      </c>
      <c r="Q51" t="s">
        <v>168</v>
      </c>
      <c r="R51" t="s">
        <v>178</v>
      </c>
      <c r="S51" t="s">
        <v>179</v>
      </c>
      <c r="T51">
        <v>0.1307246325883204</v>
      </c>
    </row>
    <row r="52" spans="2:20" x14ac:dyDescent="0.45">
      <c r="B52" t="s">
        <v>150</v>
      </c>
      <c r="C52" t="s">
        <v>31</v>
      </c>
      <c r="D52">
        <v>0.42714852382959939</v>
      </c>
      <c r="N52" t="s">
        <v>150</v>
      </c>
      <c r="O52">
        <v>0.37971902087614284</v>
      </c>
      <c r="Q52" t="s">
        <v>169</v>
      </c>
      <c r="R52" t="s">
        <v>178</v>
      </c>
      <c r="S52" t="s">
        <v>179</v>
      </c>
      <c r="T52">
        <v>0.13768388142704679</v>
      </c>
    </row>
    <row r="53" spans="2:20" x14ac:dyDescent="0.45">
      <c r="B53" t="s">
        <v>151</v>
      </c>
      <c r="C53" t="s">
        <v>31</v>
      </c>
      <c r="D53">
        <v>0.41301283651623999</v>
      </c>
      <c r="N53" t="s">
        <v>151</v>
      </c>
      <c r="O53">
        <v>0.37419415776168491</v>
      </c>
      <c r="Q53" t="s">
        <v>170</v>
      </c>
      <c r="R53" t="s">
        <v>178</v>
      </c>
      <c r="S53" t="s">
        <v>179</v>
      </c>
      <c r="T53">
        <v>0.13232769102356154</v>
      </c>
    </row>
    <row r="54" spans="2:20" x14ac:dyDescent="0.45">
      <c r="B54" t="s">
        <v>152</v>
      </c>
      <c r="C54" t="s">
        <v>31</v>
      </c>
      <c r="D54">
        <v>0.51439071971691785</v>
      </c>
      <c r="N54" t="s">
        <v>152</v>
      </c>
      <c r="O54">
        <v>0.10678146890360612</v>
      </c>
      <c r="Q54" t="s">
        <v>133</v>
      </c>
      <c r="R54" t="s">
        <v>178</v>
      </c>
      <c r="S54" t="s">
        <v>179</v>
      </c>
      <c r="T54">
        <v>0.2484648779811813</v>
      </c>
    </row>
    <row r="55" spans="2:20" x14ac:dyDescent="0.45">
      <c r="B55" t="s">
        <v>153</v>
      </c>
      <c r="C55" t="s">
        <v>31</v>
      </c>
      <c r="D55">
        <v>0.47885754666559499</v>
      </c>
      <c r="N55" t="s">
        <v>153</v>
      </c>
      <c r="O55">
        <v>0.24328398072516849</v>
      </c>
      <c r="Q55" t="s">
        <v>134</v>
      </c>
      <c r="R55" t="s">
        <v>178</v>
      </c>
      <c r="S55" t="s">
        <v>179</v>
      </c>
      <c r="T55">
        <v>0.21787742321328019</v>
      </c>
    </row>
    <row r="56" spans="2:20" x14ac:dyDescent="0.45">
      <c r="B56" t="s">
        <v>154</v>
      </c>
      <c r="C56" t="s">
        <v>31</v>
      </c>
      <c r="D56">
        <v>0.49738942323774177</v>
      </c>
      <c r="N56" t="s">
        <v>154</v>
      </c>
      <c r="O56">
        <v>0.16708173050596986</v>
      </c>
      <c r="Q56" t="s">
        <v>135</v>
      </c>
      <c r="R56" t="s">
        <v>178</v>
      </c>
      <c r="S56" t="s">
        <v>179</v>
      </c>
      <c r="T56">
        <v>0.28900156844457497</v>
      </c>
    </row>
    <row r="57" spans="2:20" x14ac:dyDescent="0.45">
      <c r="B57" t="s">
        <v>155</v>
      </c>
      <c r="C57" t="s">
        <v>31</v>
      </c>
      <c r="D57">
        <v>0.53387657969981439</v>
      </c>
      <c r="N57" t="s">
        <v>155</v>
      </c>
      <c r="O57">
        <v>0.12691816673097769</v>
      </c>
      <c r="Q57" t="s">
        <v>136</v>
      </c>
      <c r="R57" t="s">
        <v>178</v>
      </c>
      <c r="S57" t="s">
        <v>179</v>
      </c>
      <c r="T57">
        <v>0.26388034481020151</v>
      </c>
    </row>
    <row r="58" spans="2:20" x14ac:dyDescent="0.45">
      <c r="B58" t="s">
        <v>156</v>
      </c>
      <c r="C58" t="s">
        <v>31</v>
      </c>
      <c r="D58">
        <v>0.55648120211790308</v>
      </c>
      <c r="N58" t="s">
        <v>156</v>
      </c>
      <c r="O58">
        <v>0.11559410893371924</v>
      </c>
      <c r="Q58" t="s">
        <v>137</v>
      </c>
      <c r="R58" t="s">
        <v>178</v>
      </c>
      <c r="S58" t="s">
        <v>179</v>
      </c>
      <c r="T58">
        <v>0.2985425681883464</v>
      </c>
    </row>
    <row r="59" spans="2:20" x14ac:dyDescent="0.45">
      <c r="B59" t="s">
        <v>157</v>
      </c>
      <c r="C59" t="s">
        <v>31</v>
      </c>
      <c r="D59">
        <v>0.59438208819195104</v>
      </c>
      <c r="N59" t="s">
        <v>157</v>
      </c>
      <c r="O59">
        <v>8.8655664439947712E-2</v>
      </c>
      <c r="Q59" t="s">
        <v>138</v>
      </c>
      <c r="R59" t="s">
        <v>178</v>
      </c>
      <c r="S59" t="s">
        <v>179</v>
      </c>
      <c r="T59">
        <v>0.28366024852480159</v>
      </c>
    </row>
    <row r="60" spans="2:20" x14ac:dyDescent="0.45">
      <c r="B60" t="s">
        <v>158</v>
      </c>
      <c r="C60" t="s">
        <v>31</v>
      </c>
      <c r="D60">
        <v>0.55234130830387718</v>
      </c>
      <c r="N60" t="s">
        <v>158</v>
      </c>
      <c r="O60">
        <v>0.11369680616598614</v>
      </c>
      <c r="Q60" t="s">
        <v>139</v>
      </c>
      <c r="R60" t="s">
        <v>178</v>
      </c>
      <c r="S60" t="s">
        <v>179</v>
      </c>
      <c r="T60">
        <v>0.30636574729781879</v>
      </c>
    </row>
    <row r="61" spans="2:20" x14ac:dyDescent="0.45">
      <c r="B61" t="s">
        <v>159</v>
      </c>
      <c r="C61" t="s">
        <v>31</v>
      </c>
      <c r="D61">
        <v>0.50653914222135943</v>
      </c>
      <c r="N61" t="s">
        <v>159</v>
      </c>
      <c r="O61">
        <v>0.11574530064426163</v>
      </c>
      <c r="Q61" t="s">
        <v>140</v>
      </c>
      <c r="R61" t="s">
        <v>178</v>
      </c>
      <c r="S61" t="s">
        <v>179</v>
      </c>
      <c r="T61">
        <v>0.2477585180128099</v>
      </c>
    </row>
    <row r="62" spans="2:20" x14ac:dyDescent="0.45">
      <c r="B62" t="s">
        <v>160</v>
      </c>
      <c r="C62" t="s">
        <v>31</v>
      </c>
      <c r="D62">
        <v>0.4985460966748308</v>
      </c>
      <c r="N62" t="s">
        <v>160</v>
      </c>
      <c r="O62">
        <v>0.13201736413315185</v>
      </c>
      <c r="Q62" t="s">
        <v>141</v>
      </c>
      <c r="R62" t="s">
        <v>178</v>
      </c>
      <c r="S62" t="s">
        <v>179</v>
      </c>
      <c r="T62">
        <v>0.23856188869687606</v>
      </c>
    </row>
    <row r="63" spans="2:20" x14ac:dyDescent="0.45">
      <c r="B63" t="s">
        <v>161</v>
      </c>
      <c r="C63" t="s">
        <v>31</v>
      </c>
      <c r="D63">
        <v>0.48933064521462805</v>
      </c>
      <c r="N63" t="s">
        <v>161</v>
      </c>
      <c r="O63">
        <v>0.16064977560471363</v>
      </c>
      <c r="Q63" t="s">
        <v>142</v>
      </c>
      <c r="R63" t="s">
        <v>178</v>
      </c>
      <c r="S63" t="s">
        <v>179</v>
      </c>
      <c r="T63">
        <v>0.22272947513598146</v>
      </c>
    </row>
    <row r="64" spans="2:20" x14ac:dyDescent="0.45">
      <c r="B64" t="s">
        <v>162</v>
      </c>
      <c r="C64" t="s">
        <v>31</v>
      </c>
      <c r="D64">
        <v>0.41040560547978683</v>
      </c>
      <c r="N64" t="s">
        <v>162</v>
      </c>
      <c r="O64">
        <v>0.20861742611770015</v>
      </c>
      <c r="Q64" t="s">
        <v>143</v>
      </c>
      <c r="R64" t="s">
        <v>178</v>
      </c>
      <c r="S64" t="s">
        <v>179</v>
      </c>
      <c r="T64">
        <v>0.2295724953240087</v>
      </c>
    </row>
    <row r="65" spans="2:20" x14ac:dyDescent="0.45">
      <c r="B65" t="s">
        <v>163</v>
      </c>
      <c r="C65" t="s">
        <v>31</v>
      </c>
      <c r="D65">
        <v>0.52752993098779932</v>
      </c>
      <c r="N65" t="s">
        <v>163</v>
      </c>
      <c r="O65">
        <v>0.10659698544722651</v>
      </c>
      <c r="Q65" t="s">
        <v>144</v>
      </c>
      <c r="R65" t="s">
        <v>178</v>
      </c>
      <c r="S65" t="s">
        <v>179</v>
      </c>
      <c r="T65">
        <v>0.20861386603033211</v>
      </c>
    </row>
    <row r="66" spans="2:20" x14ac:dyDescent="0.45">
      <c r="B66" t="s">
        <v>164</v>
      </c>
      <c r="C66" t="s">
        <v>31</v>
      </c>
      <c r="D66">
        <v>0.60575811357352627</v>
      </c>
      <c r="N66" t="s">
        <v>164</v>
      </c>
      <c r="O66">
        <v>9.4088286460082465E-2</v>
      </c>
      <c r="Q66" t="s">
        <v>145</v>
      </c>
      <c r="R66" t="s">
        <v>178</v>
      </c>
      <c r="S66" t="s">
        <v>179</v>
      </c>
      <c r="T66">
        <v>0.21437135897798654</v>
      </c>
    </row>
    <row r="67" spans="2:20" x14ac:dyDescent="0.45">
      <c r="B67" t="s">
        <v>165</v>
      </c>
      <c r="C67" t="s">
        <v>31</v>
      </c>
      <c r="D67">
        <v>0.49469062663885272</v>
      </c>
      <c r="N67" t="s">
        <v>165</v>
      </c>
      <c r="O67">
        <v>0.14190198757145533</v>
      </c>
      <c r="Q67" t="s">
        <v>146</v>
      </c>
      <c r="R67" t="s">
        <v>178</v>
      </c>
      <c r="S67" t="s">
        <v>179</v>
      </c>
      <c r="T67">
        <v>0.26959215691845589</v>
      </c>
    </row>
    <row r="68" spans="2:20" x14ac:dyDescent="0.45">
      <c r="B68" t="s">
        <v>166</v>
      </c>
      <c r="C68" t="s">
        <v>31</v>
      </c>
      <c r="D68">
        <v>0.45239644126029976</v>
      </c>
      <c r="N68" t="s">
        <v>166</v>
      </c>
      <c r="O68">
        <v>0.24203019396677519</v>
      </c>
      <c r="Q68" t="s">
        <v>147</v>
      </c>
      <c r="R68" t="s">
        <v>178</v>
      </c>
      <c r="S68" t="s">
        <v>179</v>
      </c>
      <c r="T68">
        <v>0.39560456390377019</v>
      </c>
    </row>
    <row r="69" spans="2:20" x14ac:dyDescent="0.45">
      <c r="B69" t="s">
        <v>167</v>
      </c>
      <c r="C69" t="s">
        <v>31</v>
      </c>
      <c r="D69">
        <v>0.40860302154425643</v>
      </c>
      <c r="N69" t="s">
        <v>167</v>
      </c>
      <c r="O69">
        <v>0.26287905178181314</v>
      </c>
      <c r="Q69" t="s">
        <v>148</v>
      </c>
      <c r="R69" t="s">
        <v>178</v>
      </c>
      <c r="S69" t="s">
        <v>179</v>
      </c>
      <c r="T69">
        <v>0.3326685623353598</v>
      </c>
    </row>
    <row r="70" spans="2:20" x14ac:dyDescent="0.45">
      <c r="B70" t="s">
        <v>168</v>
      </c>
      <c r="C70" t="s">
        <v>31</v>
      </c>
      <c r="D70">
        <v>0.54387957832362621</v>
      </c>
      <c r="N70" t="s">
        <v>168</v>
      </c>
      <c r="O70">
        <v>0.1307246325883204</v>
      </c>
      <c r="Q70" t="s">
        <v>149</v>
      </c>
      <c r="R70" t="s">
        <v>178</v>
      </c>
      <c r="S70" t="s">
        <v>179</v>
      </c>
      <c r="T70">
        <v>0.32314222864424486</v>
      </c>
    </row>
    <row r="71" spans="2:20" x14ac:dyDescent="0.45">
      <c r="B71" t="s">
        <v>169</v>
      </c>
      <c r="C71" t="s">
        <v>31</v>
      </c>
      <c r="D71">
        <v>0.48012761704966905</v>
      </c>
      <c r="N71" t="s">
        <v>169</v>
      </c>
      <c r="O71">
        <v>0.13768388142704679</v>
      </c>
      <c r="Q71" t="s">
        <v>150</v>
      </c>
      <c r="R71" t="s">
        <v>178</v>
      </c>
      <c r="S71" t="s">
        <v>179</v>
      </c>
      <c r="T71">
        <v>0.37971902087614284</v>
      </c>
    </row>
    <row r="72" spans="2:20" x14ac:dyDescent="0.45">
      <c r="B72" t="s">
        <v>170</v>
      </c>
      <c r="C72" t="s">
        <v>31</v>
      </c>
      <c r="D72">
        <v>0.528152267805158</v>
      </c>
      <c r="N72" t="s">
        <v>170</v>
      </c>
      <c r="O72">
        <v>0.13232769102356154</v>
      </c>
      <c r="Q72" t="s">
        <v>151</v>
      </c>
      <c r="R72" t="s">
        <v>178</v>
      </c>
      <c r="S72" t="s">
        <v>179</v>
      </c>
      <c r="T72">
        <v>0.37419415776168491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A16E4-ED75-4D11-8BF4-48FF777CDE26}">
  <dimension ref="B9:E11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180</v>
      </c>
      <c r="C10" t="s">
        <v>43</v>
      </c>
      <c r="D10" t="s">
        <v>42</v>
      </c>
      <c r="E10" t="s">
        <v>41</v>
      </c>
    </row>
    <row r="11" spans="2:5" x14ac:dyDescent="0.45">
      <c r="B11">
        <v>1</v>
      </c>
      <c r="C11">
        <v>1.0000000000000002</v>
      </c>
      <c r="D11" t="s">
        <v>46</v>
      </c>
      <c r="E11" t="s">
        <v>181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D7FE7-33C6-485E-8B1A-54B31B6FE58D}">
  <dimension ref="B9:D1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41</v>
      </c>
      <c r="C10" t="s">
        <v>42</v>
      </c>
      <c r="D10" t="s">
        <v>43</v>
      </c>
    </row>
    <row r="11" spans="2:4" x14ac:dyDescent="0.45">
      <c r="B11" t="s">
        <v>185</v>
      </c>
      <c r="C11" t="s">
        <v>46</v>
      </c>
      <c r="D11">
        <v>1</v>
      </c>
    </row>
    <row r="12" spans="2:4" x14ac:dyDescent="0.45">
      <c r="B12" t="s">
        <v>186</v>
      </c>
      <c r="C12" t="s">
        <v>46</v>
      </c>
      <c r="D1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115F2-3AAC-400D-8847-1BCEA0F2414D}">
  <dimension ref="B9:D11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41</v>
      </c>
      <c r="C10" t="s">
        <v>42</v>
      </c>
      <c r="D10" t="s">
        <v>187</v>
      </c>
    </row>
    <row r="11" spans="2:4" x14ac:dyDescent="0.45">
      <c r="B11" t="s">
        <v>12</v>
      </c>
      <c r="C11" t="s">
        <v>46</v>
      </c>
      <c r="D11">
        <v>0.29960038929139898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A239E-5131-46D6-AA61-D17F5EC64C19}">
  <dimension ref="B9:E39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188</v>
      </c>
      <c r="C10" t="s">
        <v>42</v>
      </c>
      <c r="D10" t="s">
        <v>189</v>
      </c>
      <c r="E10" t="s">
        <v>190</v>
      </c>
    </row>
    <row r="11" spans="2:5" x14ac:dyDescent="0.45">
      <c r="B11">
        <v>2020</v>
      </c>
      <c r="C11" t="s">
        <v>37</v>
      </c>
      <c r="D11">
        <v>0.26515833333333333</v>
      </c>
      <c r="E11" t="s">
        <v>191</v>
      </c>
    </row>
    <row r="12" spans="2:5" x14ac:dyDescent="0.45">
      <c r="B12">
        <v>2021</v>
      </c>
      <c r="C12" t="s">
        <v>37</v>
      </c>
      <c r="D12">
        <v>0.24869166666666667</v>
      </c>
      <c r="E12" t="s">
        <v>191</v>
      </c>
    </row>
    <row r="13" spans="2:5" x14ac:dyDescent="0.45">
      <c r="B13">
        <v>2022</v>
      </c>
      <c r="C13" t="s">
        <v>37</v>
      </c>
      <c r="D13">
        <v>0.15870833333333331</v>
      </c>
      <c r="E13" t="s">
        <v>191</v>
      </c>
    </row>
    <row r="14" spans="2:5" x14ac:dyDescent="0.45">
      <c r="B14">
        <v>2025</v>
      </c>
      <c r="C14" t="s">
        <v>37</v>
      </c>
      <c r="D14">
        <v>0.24580000000000002</v>
      </c>
      <c r="E14" t="s">
        <v>191</v>
      </c>
    </row>
    <row r="15" spans="2:5" x14ac:dyDescent="0.45">
      <c r="B15">
        <v>2026</v>
      </c>
      <c r="C15" t="s">
        <v>37</v>
      </c>
      <c r="D15">
        <v>0.3274333333333333</v>
      </c>
      <c r="E15" t="s">
        <v>191</v>
      </c>
    </row>
    <row r="16" spans="2:5" x14ac:dyDescent="0.45">
      <c r="B16">
        <v>2027</v>
      </c>
      <c r="C16" t="s">
        <v>37</v>
      </c>
      <c r="D16">
        <v>0.32119166666666671</v>
      </c>
      <c r="E16" t="s">
        <v>191</v>
      </c>
    </row>
    <row r="17" spans="2:5" x14ac:dyDescent="0.45">
      <c r="B17">
        <v>2028</v>
      </c>
      <c r="C17" t="s">
        <v>37</v>
      </c>
      <c r="D17">
        <v>0.31492500000000001</v>
      </c>
      <c r="E17" t="s">
        <v>191</v>
      </c>
    </row>
    <row r="18" spans="2:5" x14ac:dyDescent="0.45">
      <c r="B18">
        <v>2029</v>
      </c>
      <c r="C18" t="s">
        <v>37</v>
      </c>
      <c r="D18">
        <v>0.30487500000000001</v>
      </c>
      <c r="E18" t="s">
        <v>191</v>
      </c>
    </row>
    <row r="19" spans="2:5" x14ac:dyDescent="0.45">
      <c r="B19">
        <v>2030</v>
      </c>
      <c r="C19" t="s">
        <v>37</v>
      </c>
      <c r="D19">
        <v>0.28700833333333337</v>
      </c>
      <c r="E19" t="s">
        <v>191</v>
      </c>
    </row>
    <row r="20" spans="2:5" x14ac:dyDescent="0.45">
      <c r="B20">
        <v>2031</v>
      </c>
      <c r="C20" t="s">
        <v>37</v>
      </c>
      <c r="D20">
        <v>0.25525833333333336</v>
      </c>
      <c r="E20" t="s">
        <v>191</v>
      </c>
    </row>
    <row r="21" spans="2:5" x14ac:dyDescent="0.45">
      <c r="B21">
        <v>2032</v>
      </c>
      <c r="C21" t="s">
        <v>37</v>
      </c>
      <c r="D21">
        <v>0.27312500000000001</v>
      </c>
      <c r="E21" t="s">
        <v>191</v>
      </c>
    </row>
    <row r="22" spans="2:5" x14ac:dyDescent="0.45">
      <c r="B22">
        <v>2033</v>
      </c>
      <c r="C22" t="s">
        <v>37</v>
      </c>
      <c r="D22">
        <v>0.26156666666666667</v>
      </c>
      <c r="E22" t="s">
        <v>191</v>
      </c>
    </row>
    <row r="23" spans="2:5" x14ac:dyDescent="0.45">
      <c r="B23">
        <v>2034</v>
      </c>
      <c r="C23" t="s">
        <v>37</v>
      </c>
      <c r="D23">
        <v>0.29036666666666666</v>
      </c>
      <c r="E23" t="s">
        <v>191</v>
      </c>
    </row>
    <row r="24" spans="2:5" x14ac:dyDescent="0.45">
      <c r="B24">
        <v>2035</v>
      </c>
      <c r="C24" t="s">
        <v>37</v>
      </c>
      <c r="D24">
        <v>0.24404166666666668</v>
      </c>
      <c r="E24" t="s">
        <v>191</v>
      </c>
    </row>
    <row r="25" spans="2:5" x14ac:dyDescent="0.45">
      <c r="B25">
        <v>2036</v>
      </c>
      <c r="C25" t="s">
        <v>37</v>
      </c>
      <c r="D25">
        <v>0.29200000000000004</v>
      </c>
      <c r="E25" t="s">
        <v>191</v>
      </c>
    </row>
    <row r="26" spans="2:5" x14ac:dyDescent="0.45">
      <c r="B26">
        <v>2037</v>
      </c>
      <c r="C26" t="s">
        <v>37</v>
      </c>
      <c r="D26">
        <v>0.25560833333333333</v>
      </c>
      <c r="E26" t="s">
        <v>191</v>
      </c>
    </row>
    <row r="27" spans="2:5" x14ac:dyDescent="0.45">
      <c r="B27">
        <v>2038</v>
      </c>
      <c r="C27" t="s">
        <v>37</v>
      </c>
      <c r="D27">
        <v>0.28412500000000002</v>
      </c>
      <c r="E27" t="s">
        <v>191</v>
      </c>
    </row>
    <row r="28" spans="2:5" x14ac:dyDescent="0.45">
      <c r="B28">
        <v>2039</v>
      </c>
      <c r="C28" t="s">
        <v>37</v>
      </c>
      <c r="D28">
        <v>0.28950833333333331</v>
      </c>
      <c r="E28" t="s">
        <v>191</v>
      </c>
    </row>
    <row r="29" spans="2:5" x14ac:dyDescent="0.45">
      <c r="B29">
        <v>2040</v>
      </c>
      <c r="C29" t="s">
        <v>37</v>
      </c>
      <c r="D29">
        <v>0.26931666666666665</v>
      </c>
      <c r="E29" t="s">
        <v>191</v>
      </c>
    </row>
    <row r="30" spans="2:5" x14ac:dyDescent="0.45">
      <c r="B30">
        <v>2041</v>
      </c>
      <c r="C30" t="s">
        <v>37</v>
      </c>
      <c r="D30">
        <v>0.28006666666666669</v>
      </c>
      <c r="E30" t="s">
        <v>191</v>
      </c>
    </row>
    <row r="31" spans="2:5" x14ac:dyDescent="0.45">
      <c r="B31">
        <v>2042</v>
      </c>
      <c r="C31" t="s">
        <v>37</v>
      </c>
      <c r="D31">
        <v>0.29309999999999997</v>
      </c>
      <c r="E31" t="s">
        <v>191</v>
      </c>
    </row>
    <row r="32" spans="2:5" x14ac:dyDescent="0.45">
      <c r="B32">
        <v>2043</v>
      </c>
      <c r="C32" t="s">
        <v>37</v>
      </c>
      <c r="D32">
        <v>0.25132499999999997</v>
      </c>
      <c r="E32" t="s">
        <v>191</v>
      </c>
    </row>
    <row r="33" spans="2:5" x14ac:dyDescent="0.45">
      <c r="B33">
        <v>2044</v>
      </c>
      <c r="C33" t="s">
        <v>37</v>
      </c>
      <c r="D33">
        <v>0.24644166666666667</v>
      </c>
      <c r="E33" t="s">
        <v>191</v>
      </c>
    </row>
    <row r="34" spans="2:5" x14ac:dyDescent="0.45">
      <c r="B34">
        <v>2045</v>
      </c>
      <c r="C34" t="s">
        <v>37</v>
      </c>
      <c r="D34">
        <v>0.26077500000000003</v>
      </c>
      <c r="E34" t="s">
        <v>191</v>
      </c>
    </row>
    <row r="35" spans="2:5" x14ac:dyDescent="0.45">
      <c r="B35">
        <v>2046</v>
      </c>
      <c r="C35" t="s">
        <v>37</v>
      </c>
      <c r="D35">
        <v>0.24748333333333336</v>
      </c>
      <c r="E35" t="s">
        <v>191</v>
      </c>
    </row>
    <row r="36" spans="2:5" x14ac:dyDescent="0.45">
      <c r="B36">
        <v>2047</v>
      </c>
      <c r="C36" t="s">
        <v>37</v>
      </c>
      <c r="D36">
        <v>0.26837499999999997</v>
      </c>
      <c r="E36" t="s">
        <v>191</v>
      </c>
    </row>
    <row r="37" spans="2:5" x14ac:dyDescent="0.45">
      <c r="B37">
        <v>2048</v>
      </c>
      <c r="C37" t="s">
        <v>37</v>
      </c>
      <c r="D37">
        <v>0.32312500000000005</v>
      </c>
      <c r="E37" t="s">
        <v>191</v>
      </c>
    </row>
    <row r="38" spans="2:5" x14ac:dyDescent="0.45">
      <c r="B38">
        <v>2049</v>
      </c>
      <c r="C38" t="s">
        <v>37</v>
      </c>
      <c r="D38">
        <v>0.30227500000000002</v>
      </c>
      <c r="E38" t="s">
        <v>191</v>
      </c>
    </row>
    <row r="39" spans="2:5" x14ac:dyDescent="0.45">
      <c r="B39">
        <v>2050</v>
      </c>
      <c r="C39" t="s">
        <v>37</v>
      </c>
      <c r="D39">
        <v>0.28199999999999997</v>
      </c>
      <c r="E39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2026-07-09T08:10:16Z</dcterms:modified>
</cp:coreProperties>
</file>