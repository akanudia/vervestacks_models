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13_ncr:1_{202A9DB0-B184-40E0-9485-285B6F06604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T23" i="1"/>
  <c r="U23" i="1"/>
  <c r="V23" i="1"/>
  <c r="Z23" i="1"/>
  <c r="Y23" i="1"/>
  <c r="X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V19" i="1" l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Z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<sst xmlns="http://schemas.openxmlformats.org/spreadsheetml/2006/main" count="1717" uniqueCount="126">
  <si>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</si>
  <si>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</si>
  <si>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</si>
  <si>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</si>
  <si>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</si>
  <si>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</si>
  <si>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</si>
  <si>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</si>
  <si>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</si>
  <si>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</si>
  <si>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</si>
  <si>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</si>
  <si>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</si>
  <si>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</si>
  <si>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</si>
  <si>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</si>
  <si>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</si>
  <si>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</si>
  <si>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</si>
  <si>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</si>
  <si>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</si>
  <si>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</si>
  <si>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</si>
  <si>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</si>
  <si>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</si>
  <si>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</si>
  <si>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</si>
  <si>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</si>
  <si>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</si>
  <si>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</si>
  <si>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</si>
  <si>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</si>
  <si>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</si>
  <si>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</si>
  <si>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</si>
  <si>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</si>
  <si>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</si>
  <si>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</si>
  <si>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</si>
  <si>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</si>
  <si>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</si>
  <si>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</si>
  <si>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</si>
  <si>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</si>
  <si>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</si>
  <si>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</si>
  <si>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</si>
  <si>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</si>
  <si>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</si>
  <si>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</si>
  <si>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</si>
  <si>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</si>
  <si>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</si>
  <si>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</si>
  <si>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</si>
  <si>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</si>
  <si>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</si>
  <si>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</si>
  <si>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</si>
  <si>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</si>
  <si>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</si>
  <si>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</si>
  <si>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</si>
  <si>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</si>
  <si>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</si>
  <si>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</si>
  <si>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</si>
  <si>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</si>
  <si>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</si>
  <si>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</si>
  <si>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</si>
  <si>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</si>
  <si>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</si>
  <si>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</si>
  <si>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</si>
  <si>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</si>
  <si>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</si>
  <si>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</si>
  <si>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</si>
  <si>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</si>
  <si>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</si>
  <si>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</si>
  <si>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</si>
  <si>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</si>
  <si>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</si>
  <si>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</si>
  <si>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</si>
  <si>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</si>
  <si>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</si>
  <si>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</si>
  <si>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</si>
  <si>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</si>
  <si>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</si>
  <si>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</si>
  <si>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</si>
  <si>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</si>
  <si>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</si>
  <si>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</si>
  <si>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</si>
  <si>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</si>
  <si>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</si>
  <si>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</si>
  <si>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</si>
  <si>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</si>
  <si>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</si>
  <si>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</si>
  <si>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</si>
  <si>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</si>
  <si>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</si>
  <si>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</si>
  <si>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</si>
  <si>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</si>
  <si>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</si>
  <si>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</si>
  <si>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</si>
  <si>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</si>
  <si>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</si>
  <si>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</si>
  <si>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</si>
  <si>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</si>
  <si>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</si>
  <si>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</si>
  <si>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</si>
  <si>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ETH</t>
  </si>
  <si>
    <t>R10AFRICA</t>
  </si>
  <si>
    <t>Limited gas, agricultural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</si>
</sst>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15.59</c:v>
                </c:pt>
                <c:pt idx="1">
                  <c:v>19.6434</c:v>
                </c:pt>
                <c:pt idx="2">
                  <c:v>23.540900000000001</c:v>
                </c:pt>
                <c:pt idx="3">
                  <c:v>28.373799999999999</c:v>
                </c:pt>
                <c:pt idx="4">
                  <c:v>34.142099999999999</c:v>
                </c:pt>
                <c:pt idx="5">
                  <c:v>40.378099999999996</c:v>
                </c:pt>
                <c:pt idx="6">
                  <c:v>51.758799999999994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15.59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15.59</v>
      </c>
      <c r="U14" s="8">
        <f t="shared" ref="U14:Z14" si="4">$S$11*J14</f>
        <v>19.6434</v>
      </c>
      <c r="V14" s="8">
        <f t="shared" si="4"/>
        <v>23.540900000000001</v>
      </c>
      <c r="W14" s="8">
        <f t="shared" si="4"/>
        <v>28.373799999999999</v>
      </c>
      <c r="X14" s="8">
        <f t="shared" si="4"/>
        <v>34.142099999999999</v>
      </c>
      <c r="Y14" s="8">
        <f t="shared" si="4"/>
        <v>40.378099999999996</v>
      </c>
      <c r="Z14" s="8">
        <f t="shared" si="4"/>
        <v>51.758799999999994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0.51758799999999994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7.0155000000000003</v>
      </c>
      <c r="U19" s="6">
        <f t="shared" si="7"/>
        <v>8.6430959999999999</v>
      </c>
      <c r="V19" s="6">
        <f t="shared" si="7"/>
        <v>8.0039060000000006</v>
      </c>
      <c r="W19" s="6">
        <f t="shared" si="7"/>
        <v>9.9308299999999985</v>
      </c>
      <c r="X19" s="6">
        <f t="shared" si="7"/>
        <v>11.266893</v>
      </c>
      <c r="Y19" s="6">
        <f t="shared" si="7"/>
        <v>15.343677999999999</v>
      </c>
      <c r="Z19" s="6">
        <f t="shared" si="7"/>
        <v>18.633167999999998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8.4185999999999996</v>
      </c>
      <c r="U20" s="6">
        <f t="shared" si="7"/>
        <v>10.607436</v>
      </c>
      <c r="V20" s="6">
        <f t="shared" si="7"/>
        <v>13.418312999999999</v>
      </c>
      <c r="W20" s="6">
        <f t="shared" si="7"/>
        <v>17.308018000000001</v>
      </c>
      <c r="X20" s="6">
        <f t="shared" si="7"/>
        <v>20.826681000000001</v>
      </c>
      <c r="Y20" s="6">
        <f t="shared" si="7"/>
        <v>21.804174</v>
      </c>
      <c r="Z20" s="6">
        <f t="shared" si="7"/>
        <v>27.432163999999997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0.15590000000000001</v>
      </c>
      <c r="U21" s="6">
        <f t="shared" ref="U21:Z21" si="8">T21</f>
        <v>0.15590000000000001</v>
      </c>
      <c r="V21" s="6">
        <f t="shared" si="8"/>
        <v>0.15590000000000001</v>
      </c>
      <c r="W21" s="6">
        <f t="shared" si="8"/>
        <v>0.15590000000000001</v>
      </c>
      <c r="X21" s="6">
        <f t="shared" si="8"/>
        <v>0.15590000000000001</v>
      </c>
      <c r="Y21" s="6">
        <f t="shared" si="8"/>
        <v>0.15590000000000001</v>
      </c>
      <c r="Z21" s="6">
        <f t="shared" si="8"/>
        <v>0.15590000000000001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0.23696800000000096</v>
      </c>
      <c r="V22" s="6">
        <f t="shared" si="9"/>
        <v>1.9627810000000032</v>
      </c>
      <c r="W22" s="6">
        <f t="shared" si="9"/>
        <v>0.97905200000000292</v>
      </c>
      <c r="X22" s="6">
        <f t="shared" si="9"/>
        <v>1.8926259999999928</v>
      </c>
      <c r="Y22" s="6">
        <f t="shared" si="9"/>
        <v>3.0743479999999934</v>
      </c>
      <c r="Z22" s="6">
        <f t="shared" si="9"/>
        <v>5.5375679999999932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</v>
      </c>
      <c r="S28" t="s">
        <v>31</v>
      </c>
      <c r="T28" s="3">
        <f>Q28</f>
        <v>0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-1.75</v>
      </c>
      <c r="S29" t="s">
        <v>34</v>
      </c>
      <c r="T29" s="3">
        <f>-1*Q29</f>
        <v>1.75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15.606</v>
      </c>
      <c r="K46">
        <f t="shared" si="13"/>
        <v>17.34</v>
      </c>
      <c r="L46">
        <f t="shared" si="13"/>
        <v>19.363</v>
      </c>
      <c r="M46">
        <f t="shared" si="13"/>
        <v>21.963999999999999</v>
      </c>
      <c r="N46">
        <f t="shared" si="13"/>
        <v>21.096999999999998</v>
      </c>
      <c r="O46">
        <f t="shared" si="13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57.499999999999993</v>
      </c>
      <c r="K47">
        <f t="shared" si="13"/>
        <v>80</v>
      </c>
      <c r="L47">
        <f t="shared" si="13"/>
        <v>66.5</v>
      </c>
      <c r="M47">
        <f t="shared" si="13"/>
        <v>73.5</v>
      </c>
      <c r="N47">
        <f t="shared" si="13"/>
        <v>80.5</v>
      </c>
      <c r="O47">
        <f t="shared" si="13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16</v>
      </c>
      <c r="O48">
        <f>VLOOKUP($H$14,$AK$9:$AM$15,3,FALSE)*I48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20.6</v>
      </c>
      <c r="C11">
        <v>30.9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0.8</v>
      </c>
      <c r="D11">
        <v>0.86</v>
      </c>
      <c r="E11">
        <v>0</v>
      </c>
      <c r="F11">
        <v>0</v>
      </c>
      <c r="G11">
        <v>0</v>
      </c>
      <c r="H11">
        <v>0</v>
      </c>
      <c r="I11">
        <v>1.67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1.22</v>
      </c>
      <c r="D12">
        <v>0.78</v>
      </c>
      <c r="E12">
        <v>0</v>
      </c>
      <c r="F12">
        <v>0</v>
      </c>
      <c r="G12">
        <v>0</v>
      </c>
      <c r="H12">
        <v>0</v>
      </c>
      <c r="I12">
        <v>2.0099999999999998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1.04</v>
      </c>
      <c r="D13">
        <v>0.99</v>
      </c>
      <c r="E13">
        <v>0</v>
      </c>
      <c r="F13">
        <v>0</v>
      </c>
      <c r="G13">
        <v>0</v>
      </c>
      <c r="H13">
        <v>0</v>
      </c>
      <c r="I13">
        <v>2.04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1.18</v>
      </c>
      <c r="D14">
        <v>1.0900000000000001</v>
      </c>
      <c r="E14">
        <v>0</v>
      </c>
      <c r="F14">
        <v>0</v>
      </c>
      <c r="G14">
        <v>0</v>
      </c>
      <c r="H14">
        <v>0</v>
      </c>
      <c r="I14">
        <v>2.2999999999999998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1.28</v>
      </c>
      <c r="D15">
        <v>1.22</v>
      </c>
      <c r="E15">
        <v>0</v>
      </c>
      <c r="F15">
        <v>0</v>
      </c>
      <c r="G15">
        <v>0</v>
      </c>
      <c r="H15">
        <v>0</v>
      </c>
      <c r="I15">
        <v>2.54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1.46</v>
      </c>
      <c r="D16">
        <v>1.35</v>
      </c>
      <c r="E16">
        <v>0</v>
      </c>
      <c r="F16">
        <v>0</v>
      </c>
      <c r="G16">
        <v>0</v>
      </c>
      <c r="H16">
        <v>0</v>
      </c>
      <c r="I16">
        <v>2.85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1.6</v>
      </c>
      <c r="D17">
        <v>1.62</v>
      </c>
      <c r="E17">
        <v>0</v>
      </c>
      <c r="F17">
        <v>0</v>
      </c>
      <c r="G17">
        <v>0</v>
      </c>
      <c r="H17">
        <v>0</v>
      </c>
      <c r="I17">
        <v>3.27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1.75</v>
      </c>
      <c r="D18">
        <v>1.75</v>
      </c>
      <c r="E18">
        <v>0</v>
      </c>
      <c r="F18">
        <v>0</v>
      </c>
      <c r="G18">
        <v>0</v>
      </c>
      <c r="H18">
        <v>0</v>
      </c>
      <c r="I18">
        <v>3.55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1.79</v>
      </c>
      <c r="D19">
        <v>1.92</v>
      </c>
      <c r="E19">
        <v>0</v>
      </c>
      <c r="F19">
        <v>0</v>
      </c>
      <c r="G19">
        <v>0</v>
      </c>
      <c r="H19">
        <v>0</v>
      </c>
      <c r="I19">
        <v>3.78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1.95</v>
      </c>
      <c r="D20">
        <v>2.0299999999999998</v>
      </c>
      <c r="E20">
        <v>0</v>
      </c>
      <c r="F20">
        <v>0</v>
      </c>
      <c r="G20">
        <v>0</v>
      </c>
      <c r="H20">
        <v>0</v>
      </c>
      <c r="I20">
        <v>4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2.54</v>
      </c>
      <c r="D21">
        <v>2.44</v>
      </c>
      <c r="E21">
        <v>0</v>
      </c>
      <c r="F21">
        <v>0</v>
      </c>
      <c r="G21">
        <v>0</v>
      </c>
      <c r="H21">
        <v>0</v>
      </c>
      <c r="I21">
        <v>5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3.15</v>
      </c>
      <c r="D22">
        <v>2.61</v>
      </c>
      <c r="E22">
        <v>0</v>
      </c>
      <c r="F22">
        <v>0</v>
      </c>
      <c r="G22">
        <v>0</v>
      </c>
      <c r="H22">
        <v>-0.33</v>
      </c>
      <c r="I22">
        <v>6.34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3.69</v>
      </c>
      <c r="D23">
        <v>3.03</v>
      </c>
      <c r="E23">
        <v>0</v>
      </c>
      <c r="F23">
        <v>0</v>
      </c>
      <c r="G23">
        <v>0</v>
      </c>
      <c r="H23">
        <v>-0.56000000000000005</v>
      </c>
      <c r="I23">
        <v>7.6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3.69</v>
      </c>
      <c r="D24">
        <v>4.01</v>
      </c>
      <c r="E24">
        <v>0</v>
      </c>
      <c r="F24">
        <v>0</v>
      </c>
      <c r="G24">
        <v>0</v>
      </c>
      <c r="H24">
        <v>-0.64</v>
      </c>
      <c r="I24">
        <v>8.7100000000000009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4.71</v>
      </c>
      <c r="D25">
        <v>4.0999999999999996</v>
      </c>
      <c r="E25">
        <v>0</v>
      </c>
      <c r="F25">
        <v>0</v>
      </c>
      <c r="G25">
        <v>0</v>
      </c>
      <c r="H25">
        <v>-0.76</v>
      </c>
      <c r="I25">
        <v>9.5299999999999994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4.4000000000000004</v>
      </c>
      <c r="D26">
        <v>5.19</v>
      </c>
      <c r="E26">
        <v>0</v>
      </c>
      <c r="F26">
        <v>0</v>
      </c>
      <c r="G26">
        <v>0</v>
      </c>
      <c r="H26">
        <v>-0.7</v>
      </c>
      <c r="I26">
        <v>10.46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4.79</v>
      </c>
      <c r="D27">
        <v>6.45</v>
      </c>
      <c r="E27">
        <v>0</v>
      </c>
      <c r="F27">
        <v>0</v>
      </c>
      <c r="G27">
        <v>0</v>
      </c>
      <c r="H27">
        <v>-1.3</v>
      </c>
      <c r="I27">
        <v>12.56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5.33</v>
      </c>
      <c r="D28">
        <v>6.51</v>
      </c>
      <c r="E28">
        <v>0</v>
      </c>
      <c r="F28">
        <v>0</v>
      </c>
      <c r="G28">
        <v>0</v>
      </c>
      <c r="H28">
        <v>-1.43</v>
      </c>
      <c r="I28">
        <v>13.24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6.05</v>
      </c>
      <c r="D29">
        <v>7.72</v>
      </c>
      <c r="E29">
        <v>0</v>
      </c>
      <c r="F29">
        <v>0</v>
      </c>
      <c r="G29">
        <v>0</v>
      </c>
      <c r="H29">
        <v>-1</v>
      </c>
      <c r="I29">
        <v>14.53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6.2</v>
      </c>
      <c r="D30">
        <v>8</v>
      </c>
      <c r="E30">
        <v>0</v>
      </c>
      <c r="F30">
        <v>0</v>
      </c>
      <c r="G30">
        <v>0</v>
      </c>
      <c r="H30">
        <v>-1.1499999999999999</v>
      </c>
      <c r="I30">
        <v>15.04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5.67</v>
      </c>
      <c r="D31">
        <v>8.4600000000000009</v>
      </c>
      <c r="E31">
        <v>0</v>
      </c>
      <c r="F31">
        <v>0</v>
      </c>
      <c r="G31">
        <v>0</v>
      </c>
      <c r="H31">
        <v>-1.64</v>
      </c>
      <c r="I31">
        <v>15.79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6.45</v>
      </c>
      <c r="D32">
        <v>7.34</v>
      </c>
      <c r="E32">
        <v>7.0000000000000007E-2</v>
      </c>
      <c r="F32">
        <v>0</v>
      </c>
      <c r="G32">
        <v>0</v>
      </c>
      <c r="H32">
        <v>-1.67</v>
      </c>
      <c r="I32">
        <v>15.48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7.06</v>
      </c>
      <c r="D33">
        <v>8.1300000000000008</v>
      </c>
      <c r="E33">
        <v>7.0000000000000007E-2</v>
      </c>
      <c r="F33">
        <v>0</v>
      </c>
      <c r="G33">
        <v>0</v>
      </c>
      <c r="H33">
        <v>-1.75</v>
      </c>
      <c r="I33">
        <v>17.34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2026-06-17T16:03:06Z</dcterms:modified>
</cp:coreProperties>
</file>