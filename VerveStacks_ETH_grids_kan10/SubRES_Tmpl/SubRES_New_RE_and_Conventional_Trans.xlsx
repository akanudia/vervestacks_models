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30026"/>
  <workbookPr updateLinks="never"/>
  <mc:AlternateContent xmlns:mc="http://schemas.openxmlformats.org/markup-compatibility/2006">
    <mc:Choice Requires="x15">
      <x15ac:absPath xmlns:x15ac="http://schemas.microsoft.com/office/spreadsheetml/2010/11/ac" url="C:\Veda\Veda\Veda_models\vervestacks_models\VerveStacks_ETH_grids_kan10\SubRES_Tmpl\"/>
    </mc:Choice>
  </mc:AlternateContent>
  <xr:revisionPtr revIDLastSave="0" documentId="8_{1C438F6D-5986-4FCF-90F1-897327AB714F}" xr6:coauthVersionLast="47" xr6:coauthVersionMax="47" xr10:uidLastSave="{00000000-0000-0000-0000-000000000000}"/>
  <bookViews>
    <workbookView xWindow="-98" yWindow="-98" windowWidth="28996" windowHeight="17475" firstSheet="2" activeTab="2" xr2:uid="{00000000-000D-0000-FFFF-FFFF00000000}"/>
  </bookViews>
  <sheets>
    <sheet name="AVA" sheetId="6" r:id="rId1"/>
    <sheet name="weo_pg" sheetId="5" r:id="rId2"/>
    <sheet name="Misc" sheetId="4" r:id="rId3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X20" i="4" l="1"/>
  <c r="X24" i="4" s="1"/>
  <c r="W20" i="4"/>
  <c r="W24" i="4" s="1"/>
  <c r="X19" i="4"/>
  <c r="X23" i="4" s="1"/>
  <c r="W19" i="4"/>
  <c r="W23" i="4" s="1"/>
  <c r="X18" i="4"/>
  <c r="X22" i="4" s="1"/>
  <c r="W18" i="4"/>
  <c r="W22" i="4" s="1"/>
  <c r="X17" i="4"/>
  <c r="X21" i="4" s="1"/>
  <c r="W17" i="4"/>
  <c r="W21" i="4" s="1"/>
  <c r="T16" i="4"/>
  <c r="T20" i="4" s="1"/>
  <c r="T24" i="4" s="1"/>
  <c r="T15" i="4"/>
  <c r="T19" i="4" s="1"/>
  <c r="T23" i="4" s="1"/>
  <c r="T14" i="4"/>
  <c r="T18" i="4" s="1"/>
  <c r="T22" i="4" s="1"/>
  <c r="T13" i="4"/>
  <c r="T17" i="4" s="1"/>
  <c r="T21" i="4" s="1"/>
</calcChain>
</file>

<file path=xl/sharedStrings.xml><?xml version="1.0" encoding="utf-8"?>
<sst xmlns="http://schemas.openxmlformats.org/spreadsheetml/2006/main" count="424" uniqueCount="117">
  <si>
    <t>PSET_PN</t>
  </si>
  <si>
    <t>Attribute</t>
  </si>
  <si>
    <t>Year</t>
  </si>
  <si>
    <t>LimType</t>
  </si>
  <si>
    <t>~TFM_INS</t>
  </si>
  <si>
    <t>AllRegions</t>
  </si>
  <si>
    <t>Cap2ACT</t>
  </si>
  <si>
    <t>LIFE</t>
  </si>
  <si>
    <t>EFF</t>
  </si>
  <si>
    <t>PEAK</t>
  </si>
  <si>
    <t>ELIFE</t>
  </si>
  <si>
    <t>UP</t>
  </si>
  <si>
    <t>CAP_BND</t>
  </si>
  <si>
    <t>NCAP_ILED</t>
  </si>
  <si>
    <t>ElcAgg_Solar</t>
  </si>
  <si>
    <t>ElcAgg_Wind</t>
  </si>
  <si>
    <t>PSET_SET</t>
  </si>
  <si>
    <t>ELE</t>
  </si>
  <si>
    <t>NCAP_DRATE</t>
  </si>
  <si>
    <t>EN[_]Hydro*</t>
  </si>
  <si>
    <t>~TFM_TOPINS</t>
  </si>
  <si>
    <t>process</t>
  </si>
  <si>
    <t>commodity</t>
  </si>
  <si>
    <t>io</t>
  </si>
  <si>
    <t>IN</t>
  </si>
  <si>
    <t>attribute</t>
  </si>
  <si>
    <t>value</t>
  </si>
  <si>
    <t>ncap_cost</t>
  </si>
  <si>
    <t>*1</t>
  </si>
  <si>
    <t>Hydropower - large-scale unit,Solar photovoltaics - Large scale unit,Wind offshore,Wind onshore</t>
  </si>
  <si>
    <t>ncap_fom</t>
  </si>
  <si>
    <t>ncap_iled</t>
  </si>
  <si>
    <t>scenario</t>
  </si>
  <si>
    <t>region</t>
  </si>
  <si>
    <t>lim_type</t>
  </si>
  <si>
    <t>time_slice</t>
  </si>
  <si>
    <t>commodity_group</t>
  </si>
  <si>
    <t>currency</t>
  </si>
  <si>
    <t>stage</t>
  </si>
  <si>
    <t>sow</t>
  </si>
  <si>
    <t>2023</t>
  </si>
  <si>
    <t>2030</t>
  </si>
  <si>
    <t>2050</t>
  </si>
  <si>
    <t>year2</t>
  </si>
  <si>
    <t>BASE</t>
  </si>
  <si>
    <t>MEX</t>
  </si>
  <si>
    <t>Hydropower - large-scale unit</t>
  </si>
  <si>
    <t>-</t>
  </si>
  <si>
    <t>USD25</t>
  </si>
  <si>
    <t>Solar photovoltaics - Large scale unit</t>
  </si>
  <si>
    <t>Wind offshore</t>
  </si>
  <si>
    <t>Wind onshore</t>
  </si>
  <si>
    <t>~TFM_INS-TS</t>
  </si>
  <si>
    <t>ELE,-STG</t>
  </si>
  <si>
    <t>E[_]W*</t>
  </si>
  <si>
    <t>E[_]WOF*</t>
  </si>
  <si>
    <t>E[_]WON*</t>
  </si>
  <si>
    <t>E[_]SPV*</t>
  </si>
  <si>
    <t>~TFM_AVA</t>
  </si>
  <si>
    <t>*</t>
  </si>
  <si>
    <t>allregions</t>
  </si>
  <si>
    <t>ELC_spv*</t>
  </si>
  <si>
    <t>Trd_elec*</t>
  </si>
  <si>
    <t>solar</t>
  </si>
  <si>
    <t>start</t>
  </si>
  <si>
    <t>pset_ci</t>
  </si>
  <si>
    <t>attrib_cond</t>
  </si>
  <si>
    <t>-pasti</t>
  </si>
  <si>
    <t>solar,wind,coal,gas,nuclear,hydro,bioenergy</t>
  </si>
  <si>
    <t>life</t>
  </si>
  <si>
    <t>-life</t>
  </si>
  <si>
    <t>coal,gas,nuclear,bioenergy</t>
  </si>
  <si>
    <t>windoff</t>
  </si>
  <si>
    <t>windon</t>
  </si>
  <si>
    <t>ELC_wo*</t>
  </si>
  <si>
    <t>pset_set</t>
  </si>
  <si>
    <t>limtype</t>
  </si>
  <si>
    <t>other_indexes</t>
  </si>
  <si>
    <t>flo_emis</t>
  </si>
  <si>
    <t>gas</t>
  </si>
  <si>
    <t>co2</t>
  </si>
  <si>
    <t>co2captured</t>
  </si>
  <si>
    <t>*ccs*</t>
  </si>
  <si>
    <t>coal,oil,bioenergy</t>
  </si>
  <si>
    <t>AF</t>
  </si>
  <si>
    <t>~replicateinregions</t>
  </si>
  <si>
    <t>incode</t>
  </si>
  <si>
    <t>indesc</t>
  </si>
  <si>
    <t>ETH</t>
  </si>
  <si>
    <t>w569627610-400_ETH</t>
  </si>
  <si>
    <t>at grid node - w569627610-400_ETH</t>
  </si>
  <si>
    <t>EN_STG8hbNREL,EN_STG4hbNREL</t>
  </si>
  <si>
    <t>w695773621-230_ETH</t>
  </si>
  <si>
    <t>at grid node - w695773621-230_ETH</t>
  </si>
  <si>
    <t>w576081254-400_ETH</t>
  </si>
  <si>
    <t>at grid node - w576081254-400_ETH</t>
  </si>
  <si>
    <t>w220122466-230_ETH</t>
  </si>
  <si>
    <t>at grid node - w220122466-230_ETH</t>
  </si>
  <si>
    <t>w186395768-230_ETH</t>
  </si>
  <si>
    <t>at grid node - w186395768-230_ETH</t>
  </si>
  <si>
    <t>w569990174-500_ETH</t>
  </si>
  <si>
    <t>at grid node - w569990174-500_ETH</t>
  </si>
  <si>
    <t>w222891421-230_ETH</t>
  </si>
  <si>
    <t>at grid node - w222891421-230_ETH</t>
  </si>
  <si>
    <t>ET19-230_ETH</t>
  </si>
  <si>
    <t>at grid node - ET19-230_ETH</t>
  </si>
  <si>
    <t>w859755774-500_ETH</t>
  </si>
  <si>
    <t>at grid node - w859755774-500_ETH</t>
  </si>
  <si>
    <t>w180619166-230_ETH</t>
  </si>
  <si>
    <t>at grid node - w180619166-230_ETH</t>
  </si>
  <si>
    <t>ET2-230_ETH</t>
  </si>
  <si>
    <t>at grid node - ET2-230_ETH</t>
  </si>
  <si>
    <t>w422547473-230_ETH</t>
  </si>
  <si>
    <t>at grid node - w422547473-230_ETH</t>
  </si>
  <si>
    <t>e_demand,ev_battery,H2prd_Elc_PEM,H2prd_Elc_ALK</t>
  </si>
  <si>
    <t>w670304976-230_ETH</t>
  </si>
  <si>
    <t>at grid node - w670304976-230_ETH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</si>
</sst>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1"/>
      <color theme="1"/>
      <name val="Calibri"/>
      <family val="2"/>
      <scheme val="minor"/>
    </font>
    <font>
      <sz val="11"/>
      <color rgb="FFFF0000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4">
    <xf numFmtId="0" fontId="0" fillId="0" borderId="0" xfId="0"/>
    <xf numFmtId="2" fontId="0" fillId="0" borderId="0" xfId="0" applyNumberFormat="1"/>
    <xf numFmtId="0" fontId="1" fillId="0" borderId="0" xfId="0" applyFont="1"/>
    <xf numFmtId="0" fontId="0" fillId="0" borderId="0" xfId="0" quotePrefix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68E9BAB-B98F-4B82-9042-51EABC9ED525}">
  <dimension ref="B3:O22"/>
  <sheetViews>
    <sheetView workbookViewId="0"/>
  </sheetViews>
  <sheetFormatPr defaultRowHeight="14.25" x14ac:dyDescent="0.45"/>
  <sheetData>
    <row r="3" spans="2:15" x14ac:dyDescent="0.45">
      <c r="B3" t="s">
        <v>58</v>
      </c>
    </row>
    <row r="4" spans="2:15" x14ac:dyDescent="0.45">
      <c r="B4" t="s">
        <v>21</v>
      </c>
      <c r="C4" t="s">
        <v>60</v>
      </c>
    </row>
    <row r="5" spans="2:15" x14ac:dyDescent="0.45">
      <c r="B5" t="s">
        <v>59</v>
      </c>
      <c r="C5">
        <v>1</v>
      </c>
    </row>
    <row r="9" spans="2:15" x14ac:dyDescent="0.45">
      <c r="B9" t="s">
        <v>85</v>
      </c>
      <c r="G9" t="s">
        <v>85</v>
      </c>
      <c r="L9" t="s">
        <v>85</v>
      </c>
    </row>
    <row r="10" spans="2:15" x14ac:dyDescent="0.45">
      <c r="B10" t="s">
        <v>33</v>
      </c>
      <c r="C10" t="s">
        <v>86</v>
      </c>
      <c r="D10" t="s">
        <v>87</v>
      </c>
      <c r="E10" t="s">
        <v>21</v>
      </c>
      <c r="G10" t="s">
        <v>33</v>
      </c>
      <c r="H10" t="s">
        <v>86</v>
      </c>
      <c r="I10" t="s">
        <v>87</v>
      </c>
      <c r="J10" t="s">
        <v>21</v>
      </c>
      <c r="L10" t="s">
        <v>33</v>
      </c>
      <c r="M10" t="s">
        <v>86</v>
      </c>
      <c r="N10" t="s">
        <v>87</v>
      </c>
      <c r="O10" t="s">
        <v>21</v>
      </c>
    </row>
    <row r="11" spans="2:15" x14ac:dyDescent="0.45">
      <c r="G11" t="s">
        <v>88</v>
      </c>
      <c r="H11" t="s">
        <v>89</v>
      </c>
      <c r="I11" t="s">
        <v>90</v>
      </c>
      <c r="J11" t="s">
        <v>91</v>
      </c>
      <c r="L11" t="s">
        <v>88</v>
      </c>
      <c r="M11" t="s">
        <v>108</v>
      </c>
      <c r="N11" t="s">
        <v>109</v>
      </c>
      <c r="O11" t="s">
        <v>114</v>
      </c>
    </row>
    <row r="12" spans="2:15" x14ac:dyDescent="0.45">
      <c r="G12" t="s">
        <v>88</v>
      </c>
      <c r="H12" t="s">
        <v>92</v>
      </c>
      <c r="I12" t="s">
        <v>93</v>
      </c>
      <c r="J12" t="s">
        <v>91</v>
      </c>
      <c r="L12" t="s">
        <v>88</v>
      </c>
      <c r="M12" t="s">
        <v>98</v>
      </c>
      <c r="N12" t="s">
        <v>99</v>
      </c>
      <c r="O12" t="s">
        <v>114</v>
      </c>
    </row>
    <row r="13" spans="2:15" x14ac:dyDescent="0.45">
      <c r="G13" t="s">
        <v>88</v>
      </c>
      <c r="H13" t="s">
        <v>94</v>
      </c>
      <c r="I13" t="s">
        <v>95</v>
      </c>
      <c r="J13" t="s">
        <v>91</v>
      </c>
      <c r="L13" t="s">
        <v>88</v>
      </c>
      <c r="M13" t="s">
        <v>96</v>
      </c>
      <c r="N13" t="s">
        <v>97</v>
      </c>
      <c r="O13" t="s">
        <v>114</v>
      </c>
    </row>
    <row r="14" spans="2:15" x14ac:dyDescent="0.45">
      <c r="G14" t="s">
        <v>88</v>
      </c>
      <c r="H14" t="s">
        <v>96</v>
      </c>
      <c r="I14" t="s">
        <v>97</v>
      </c>
      <c r="J14" t="s">
        <v>91</v>
      </c>
      <c r="L14" t="s">
        <v>88</v>
      </c>
      <c r="M14" t="s">
        <v>102</v>
      </c>
      <c r="N14" t="s">
        <v>103</v>
      </c>
      <c r="O14" t="s">
        <v>114</v>
      </c>
    </row>
    <row r="15" spans="2:15" x14ac:dyDescent="0.45">
      <c r="G15" t="s">
        <v>88</v>
      </c>
      <c r="H15" t="s">
        <v>98</v>
      </c>
      <c r="I15" t="s">
        <v>99</v>
      </c>
      <c r="J15" t="s">
        <v>91</v>
      </c>
      <c r="L15" t="s">
        <v>88</v>
      </c>
      <c r="M15" t="s">
        <v>89</v>
      </c>
      <c r="N15" t="s">
        <v>90</v>
      </c>
      <c r="O15" t="s">
        <v>114</v>
      </c>
    </row>
    <row r="16" spans="2:15" x14ac:dyDescent="0.45">
      <c r="G16" t="s">
        <v>88</v>
      </c>
      <c r="H16" t="s">
        <v>100</v>
      </c>
      <c r="I16" t="s">
        <v>101</v>
      </c>
      <c r="J16" t="s">
        <v>91</v>
      </c>
      <c r="L16" t="s">
        <v>88</v>
      </c>
      <c r="M16" t="s">
        <v>112</v>
      </c>
      <c r="N16" t="s">
        <v>113</v>
      </c>
      <c r="O16" t="s">
        <v>114</v>
      </c>
    </row>
    <row r="17" spans="7:15" x14ac:dyDescent="0.45">
      <c r="G17" t="s">
        <v>88</v>
      </c>
      <c r="H17" t="s">
        <v>102</v>
      </c>
      <c r="I17" t="s">
        <v>103</v>
      </c>
      <c r="J17" t="s">
        <v>91</v>
      </c>
      <c r="L17" t="s">
        <v>88</v>
      </c>
      <c r="M17" t="s">
        <v>100</v>
      </c>
      <c r="N17" t="s">
        <v>101</v>
      </c>
      <c r="O17" t="s">
        <v>114</v>
      </c>
    </row>
    <row r="18" spans="7:15" x14ac:dyDescent="0.45">
      <c r="G18" t="s">
        <v>88</v>
      </c>
      <c r="H18" t="s">
        <v>104</v>
      </c>
      <c r="I18" t="s">
        <v>105</v>
      </c>
      <c r="J18" t="s">
        <v>91</v>
      </c>
      <c r="L18" t="s">
        <v>88</v>
      </c>
      <c r="M18" t="s">
        <v>94</v>
      </c>
      <c r="N18" t="s">
        <v>95</v>
      </c>
      <c r="O18" t="s">
        <v>114</v>
      </c>
    </row>
    <row r="19" spans="7:15" x14ac:dyDescent="0.45">
      <c r="G19" t="s">
        <v>88</v>
      </c>
      <c r="H19" t="s">
        <v>106</v>
      </c>
      <c r="I19" t="s">
        <v>107</v>
      </c>
      <c r="J19" t="s">
        <v>91</v>
      </c>
      <c r="L19" t="s">
        <v>88</v>
      </c>
      <c r="M19" t="s">
        <v>115</v>
      </c>
      <c r="N19" t="s">
        <v>116</v>
      </c>
      <c r="O19" t="s">
        <v>114</v>
      </c>
    </row>
    <row r="20" spans="7:15" x14ac:dyDescent="0.45">
      <c r="G20" t="s">
        <v>88</v>
      </c>
      <c r="H20" t="s">
        <v>108</v>
      </c>
      <c r="I20" t="s">
        <v>109</v>
      </c>
      <c r="J20" t="s">
        <v>91</v>
      </c>
      <c r="L20" t="s">
        <v>88</v>
      </c>
      <c r="M20" t="s">
        <v>92</v>
      </c>
      <c r="N20" t="s">
        <v>93</v>
      </c>
      <c r="O20" t="s">
        <v>114</v>
      </c>
    </row>
    <row r="21" spans="7:15" x14ac:dyDescent="0.45">
      <c r="G21" t="s">
        <v>88</v>
      </c>
      <c r="H21" t="s">
        <v>110</v>
      </c>
      <c r="I21" t="s">
        <v>111</v>
      </c>
      <c r="J21" t="s">
        <v>91</v>
      </c>
      <c r="L21" t="s">
        <v>88</v>
      </c>
      <c r="M21" t="s">
        <v>104</v>
      </c>
      <c r="N21" t="s">
        <v>105</v>
      </c>
      <c r="O21" t="s">
        <v>114</v>
      </c>
    </row>
    <row r="22" spans="7:15" x14ac:dyDescent="0.45">
      <c r="G22" t="s">
        <v>88</v>
      </c>
      <c r="H22" t="s">
        <v>112</v>
      </c>
      <c r="I22" t="s">
        <v>113</v>
      </c>
      <c r="J22" t="s">
        <v>91</v>
      </c>
      <c r="L22" t="s">
        <v>88</v>
      </c>
      <c r="M22" t="s">
        <v>110</v>
      </c>
      <c r="N22" t="s">
        <v>111</v>
      </c>
      <c r="O22" t="s">
        <v>114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3954DD3-0F24-46DF-B268-7A98442D0282}">
  <dimension ref="A1:O13"/>
  <sheetViews>
    <sheetView workbookViewId="0"/>
  </sheetViews>
  <sheetFormatPr defaultRowHeight="14.25" x14ac:dyDescent="0.45"/>
  <cols>
    <col min="1" max="1" width="7.265625" bestFit="1" customWidth="1"/>
    <col min="2" max="2" width="5.73046875" bestFit="1" customWidth="1"/>
    <col min="3" max="3" width="8.59765625" bestFit="1" customWidth="1"/>
    <col min="4" max="4" width="29.796875" bestFit="1" customWidth="1"/>
    <col min="5" max="5" width="9.59765625" bestFit="1" customWidth="1"/>
    <col min="6" max="6" width="7.59765625" bestFit="1" customWidth="1"/>
    <col min="7" max="7" width="8.6640625" bestFit="1" customWidth="1"/>
    <col min="8" max="8" width="15.19921875" bestFit="1" customWidth="1"/>
    <col min="9" max="9" width="7.46484375" bestFit="1" customWidth="1"/>
    <col min="10" max="10" width="4.9296875" bestFit="1" customWidth="1"/>
    <col min="11" max="11" width="3.86328125" bestFit="1" customWidth="1"/>
    <col min="12" max="14" width="4.73046875" bestFit="1" customWidth="1"/>
    <col min="15" max="15" width="5.1328125" bestFit="1" customWidth="1"/>
  </cols>
  <sheetData>
    <row r="1" spans="1:15" x14ac:dyDescent="0.45">
      <c r="A1" t="s">
        <v>32</v>
      </c>
      <c r="B1" t="s">
        <v>33</v>
      </c>
      <c r="C1" t="s">
        <v>25</v>
      </c>
      <c r="D1" t="s">
        <v>21</v>
      </c>
      <c r="E1" t="s">
        <v>22</v>
      </c>
      <c r="F1" t="s">
        <v>34</v>
      </c>
      <c r="G1" t="s">
        <v>35</v>
      </c>
      <c r="H1" t="s">
        <v>36</v>
      </c>
      <c r="I1" t="s">
        <v>37</v>
      </c>
      <c r="J1" t="s">
        <v>38</v>
      </c>
      <c r="K1" t="s">
        <v>39</v>
      </c>
      <c r="L1" t="s">
        <v>40</v>
      </c>
      <c r="M1" t="s">
        <v>41</v>
      </c>
      <c r="N1" t="s">
        <v>42</v>
      </c>
      <c r="O1" t="s">
        <v>43</v>
      </c>
    </row>
    <row r="2" spans="1:15" x14ac:dyDescent="0.45">
      <c r="A2" t="s">
        <v>44</v>
      </c>
      <c r="B2" t="s">
        <v>45</v>
      </c>
      <c r="C2" t="s">
        <v>27</v>
      </c>
      <c r="D2" t="s">
        <v>46</v>
      </c>
      <c r="E2" t="s">
        <v>47</v>
      </c>
      <c r="F2" t="s">
        <v>47</v>
      </c>
      <c r="G2" t="s">
        <v>47</v>
      </c>
      <c r="H2" t="s">
        <v>47</v>
      </c>
      <c r="I2" t="s">
        <v>48</v>
      </c>
      <c r="J2" t="s">
        <v>47</v>
      </c>
      <c r="K2" t="s">
        <v>47</v>
      </c>
      <c r="L2">
        <v>2700</v>
      </c>
      <c r="M2">
        <v>2700</v>
      </c>
      <c r="N2">
        <v>2700</v>
      </c>
      <c r="O2" t="s">
        <v>47</v>
      </c>
    </row>
    <row r="3" spans="1:15" x14ac:dyDescent="0.45">
      <c r="A3" t="s">
        <v>44</v>
      </c>
      <c r="B3" t="s">
        <v>45</v>
      </c>
      <c r="C3" t="s">
        <v>27</v>
      </c>
      <c r="D3" t="s">
        <v>49</v>
      </c>
      <c r="E3" t="s">
        <v>47</v>
      </c>
      <c r="F3" t="s">
        <v>47</v>
      </c>
      <c r="G3" t="s">
        <v>47</v>
      </c>
      <c r="H3" t="s">
        <v>47</v>
      </c>
      <c r="I3" t="s">
        <v>48</v>
      </c>
      <c r="J3" t="s">
        <v>47</v>
      </c>
      <c r="K3" t="s">
        <v>47</v>
      </c>
      <c r="L3">
        <v>1110</v>
      </c>
      <c r="M3">
        <v>690</v>
      </c>
      <c r="N3">
        <v>480</v>
      </c>
      <c r="O3" t="s">
        <v>47</v>
      </c>
    </row>
    <row r="4" spans="1:15" x14ac:dyDescent="0.45">
      <c r="A4" t="s">
        <v>44</v>
      </c>
      <c r="B4" t="s">
        <v>45</v>
      </c>
      <c r="C4" t="s">
        <v>27</v>
      </c>
      <c r="D4" t="s">
        <v>50</v>
      </c>
      <c r="E4" t="s">
        <v>47</v>
      </c>
      <c r="F4" t="s">
        <v>47</v>
      </c>
      <c r="G4" t="s">
        <v>47</v>
      </c>
      <c r="H4" t="s">
        <v>47</v>
      </c>
      <c r="I4" t="s">
        <v>48</v>
      </c>
      <c r="J4" t="s">
        <v>47</v>
      </c>
      <c r="K4" t="s">
        <v>47</v>
      </c>
      <c r="L4">
        <v>4060</v>
      </c>
      <c r="M4">
        <v>2760</v>
      </c>
      <c r="N4">
        <v>1980</v>
      </c>
      <c r="O4" t="s">
        <v>47</v>
      </c>
    </row>
    <row r="5" spans="1:15" x14ac:dyDescent="0.45">
      <c r="A5" t="s">
        <v>44</v>
      </c>
      <c r="B5" t="s">
        <v>45</v>
      </c>
      <c r="C5" t="s">
        <v>27</v>
      </c>
      <c r="D5" t="s">
        <v>51</v>
      </c>
      <c r="E5" t="s">
        <v>47</v>
      </c>
      <c r="F5" t="s">
        <v>47</v>
      </c>
      <c r="G5" t="s">
        <v>47</v>
      </c>
      <c r="H5" t="s">
        <v>47</v>
      </c>
      <c r="I5" t="s">
        <v>48</v>
      </c>
      <c r="J5" t="s">
        <v>47</v>
      </c>
      <c r="K5" t="s">
        <v>47</v>
      </c>
      <c r="L5">
        <v>1500</v>
      </c>
      <c r="M5">
        <v>1430</v>
      </c>
      <c r="N5">
        <v>1370</v>
      </c>
      <c r="O5" t="s">
        <v>47</v>
      </c>
    </row>
    <row r="6" spans="1:15" x14ac:dyDescent="0.45">
      <c r="A6" t="s">
        <v>44</v>
      </c>
      <c r="B6" t="s">
        <v>45</v>
      </c>
      <c r="C6" t="s">
        <v>30</v>
      </c>
      <c r="D6" t="s">
        <v>46</v>
      </c>
      <c r="E6" t="s">
        <v>47</v>
      </c>
      <c r="F6" t="s">
        <v>47</v>
      </c>
      <c r="G6" t="s">
        <v>47</v>
      </c>
      <c r="H6" t="s">
        <v>47</v>
      </c>
      <c r="I6" t="s">
        <v>48</v>
      </c>
      <c r="J6" t="s">
        <v>47</v>
      </c>
      <c r="K6" t="s">
        <v>47</v>
      </c>
      <c r="L6">
        <v>70</v>
      </c>
      <c r="M6">
        <v>65</v>
      </c>
      <c r="N6">
        <v>65</v>
      </c>
      <c r="O6" t="s">
        <v>47</v>
      </c>
    </row>
    <row r="7" spans="1:15" x14ac:dyDescent="0.45">
      <c r="A7" t="s">
        <v>44</v>
      </c>
      <c r="B7" t="s">
        <v>45</v>
      </c>
      <c r="C7" t="s">
        <v>30</v>
      </c>
      <c r="D7" t="s">
        <v>49</v>
      </c>
      <c r="E7" t="s">
        <v>47</v>
      </c>
      <c r="F7" t="s">
        <v>47</v>
      </c>
      <c r="G7" t="s">
        <v>47</v>
      </c>
      <c r="H7" t="s">
        <v>47</v>
      </c>
      <c r="I7" t="s">
        <v>48</v>
      </c>
      <c r="J7" t="s">
        <v>47</v>
      </c>
      <c r="K7" t="s">
        <v>47</v>
      </c>
      <c r="L7">
        <v>16</v>
      </c>
      <c r="M7">
        <v>16</v>
      </c>
      <c r="N7">
        <v>16</v>
      </c>
      <c r="O7" t="s">
        <v>47</v>
      </c>
    </row>
    <row r="8" spans="1:15" x14ac:dyDescent="0.45">
      <c r="A8" t="s">
        <v>44</v>
      </c>
      <c r="B8" t="s">
        <v>45</v>
      </c>
      <c r="C8" t="s">
        <v>30</v>
      </c>
      <c r="D8" t="s">
        <v>50</v>
      </c>
      <c r="E8" t="s">
        <v>47</v>
      </c>
      <c r="F8" t="s">
        <v>47</v>
      </c>
      <c r="G8" t="s">
        <v>47</v>
      </c>
      <c r="H8" t="s">
        <v>47</v>
      </c>
      <c r="I8" t="s">
        <v>48</v>
      </c>
      <c r="J8" t="s">
        <v>47</v>
      </c>
      <c r="K8" t="s">
        <v>47</v>
      </c>
      <c r="L8">
        <v>120</v>
      </c>
      <c r="M8">
        <v>95</v>
      </c>
      <c r="N8">
        <v>70</v>
      </c>
      <c r="O8" t="s">
        <v>47</v>
      </c>
    </row>
    <row r="9" spans="1:15" x14ac:dyDescent="0.45">
      <c r="A9" t="s">
        <v>44</v>
      </c>
      <c r="B9" t="s">
        <v>45</v>
      </c>
      <c r="C9" t="s">
        <v>30</v>
      </c>
      <c r="D9" t="s">
        <v>51</v>
      </c>
      <c r="E9" t="s">
        <v>47</v>
      </c>
      <c r="F9" t="s">
        <v>47</v>
      </c>
      <c r="G9" t="s">
        <v>47</v>
      </c>
      <c r="H9" t="s">
        <v>47</v>
      </c>
      <c r="I9" t="s">
        <v>48</v>
      </c>
      <c r="J9" t="s">
        <v>47</v>
      </c>
      <c r="K9" t="s">
        <v>47</v>
      </c>
      <c r="L9">
        <v>38</v>
      </c>
      <c r="M9">
        <v>36</v>
      </c>
      <c r="N9">
        <v>36</v>
      </c>
      <c r="O9" t="s">
        <v>47</v>
      </c>
    </row>
    <row r="10" spans="1:15" x14ac:dyDescent="0.45">
      <c r="A10" t="s">
        <v>44</v>
      </c>
      <c r="B10" t="s">
        <v>45</v>
      </c>
      <c r="C10" t="s">
        <v>31</v>
      </c>
      <c r="D10" t="s">
        <v>46</v>
      </c>
      <c r="E10" t="s">
        <v>47</v>
      </c>
      <c r="F10" t="s">
        <v>47</v>
      </c>
      <c r="G10" t="s">
        <v>47</v>
      </c>
      <c r="H10" t="s">
        <v>47</v>
      </c>
      <c r="I10" t="s">
        <v>47</v>
      </c>
      <c r="J10" t="s">
        <v>47</v>
      </c>
      <c r="K10" t="s">
        <v>47</v>
      </c>
      <c r="L10">
        <v>4</v>
      </c>
      <c r="M10">
        <v>4</v>
      </c>
      <c r="N10">
        <v>4</v>
      </c>
      <c r="O10" t="s">
        <v>47</v>
      </c>
    </row>
    <row r="11" spans="1:15" x14ac:dyDescent="0.45">
      <c r="A11" t="s">
        <v>44</v>
      </c>
      <c r="B11" t="s">
        <v>45</v>
      </c>
      <c r="C11" t="s">
        <v>31</v>
      </c>
      <c r="D11" t="s">
        <v>49</v>
      </c>
      <c r="E11" t="s">
        <v>47</v>
      </c>
      <c r="F11" t="s">
        <v>47</v>
      </c>
      <c r="G11" t="s">
        <v>47</v>
      </c>
      <c r="H11" t="s">
        <v>47</v>
      </c>
      <c r="I11" t="s">
        <v>47</v>
      </c>
      <c r="J11" t="s">
        <v>47</v>
      </c>
      <c r="K11" t="s">
        <v>47</v>
      </c>
      <c r="L11">
        <v>1.5</v>
      </c>
      <c r="M11">
        <v>1.5</v>
      </c>
      <c r="N11">
        <v>1.5</v>
      </c>
      <c r="O11" t="s">
        <v>47</v>
      </c>
    </row>
    <row r="12" spans="1:15" x14ac:dyDescent="0.45">
      <c r="A12" t="s">
        <v>44</v>
      </c>
      <c r="B12" t="s">
        <v>45</v>
      </c>
      <c r="C12" t="s">
        <v>31</v>
      </c>
      <c r="D12" t="s">
        <v>50</v>
      </c>
      <c r="E12" t="s">
        <v>47</v>
      </c>
      <c r="F12" t="s">
        <v>47</v>
      </c>
      <c r="G12" t="s">
        <v>47</v>
      </c>
      <c r="H12" t="s">
        <v>47</v>
      </c>
      <c r="I12" t="s">
        <v>47</v>
      </c>
      <c r="J12" t="s">
        <v>47</v>
      </c>
      <c r="K12" t="s">
        <v>47</v>
      </c>
      <c r="L12">
        <v>3</v>
      </c>
      <c r="M12">
        <v>3</v>
      </c>
      <c r="N12">
        <v>3</v>
      </c>
      <c r="O12" t="s">
        <v>47</v>
      </c>
    </row>
    <row r="13" spans="1:15" x14ac:dyDescent="0.45">
      <c r="A13" t="s">
        <v>44</v>
      </c>
      <c r="B13" t="s">
        <v>45</v>
      </c>
      <c r="C13" t="s">
        <v>31</v>
      </c>
      <c r="D13" t="s">
        <v>51</v>
      </c>
      <c r="E13" t="s">
        <v>47</v>
      </c>
      <c r="F13" t="s">
        <v>47</v>
      </c>
      <c r="G13" t="s">
        <v>47</v>
      </c>
      <c r="H13" t="s">
        <v>47</v>
      </c>
      <c r="I13" t="s">
        <v>47</v>
      </c>
      <c r="J13" t="s">
        <v>47</v>
      </c>
      <c r="K13" t="s">
        <v>47</v>
      </c>
      <c r="L13">
        <v>1.5</v>
      </c>
      <c r="M13">
        <v>1.5</v>
      </c>
      <c r="N13">
        <v>1.5</v>
      </c>
      <c r="O13" t="s">
        <v>47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C4:X58"/>
  <sheetViews>
    <sheetView tabSelected="1" topLeftCell="A26" workbookViewId="0">
      <selection activeCell="G37" sqref="G37"/>
    </sheetView>
  </sheetViews>
  <sheetFormatPr defaultColWidth="8.86328125" defaultRowHeight="14.25" x14ac:dyDescent="0.45"/>
  <cols>
    <col min="3" max="3" width="13.3984375" bestFit="1" customWidth="1"/>
    <col min="4" max="4" width="10.73046875" bestFit="1" customWidth="1"/>
    <col min="5" max="5" width="11" bestFit="1" customWidth="1"/>
    <col min="6" max="6" width="4.86328125" bestFit="1" customWidth="1"/>
    <col min="7" max="7" width="10.3984375" bestFit="1" customWidth="1"/>
    <col min="9" max="9" width="5.3984375" bestFit="1" customWidth="1"/>
    <col min="10" max="10" width="5.73046875" bestFit="1" customWidth="1"/>
    <col min="11" max="11" width="5" bestFit="1" customWidth="1"/>
    <col min="13" max="13" width="6.265625" bestFit="1" customWidth="1"/>
    <col min="14" max="14" width="4.265625" bestFit="1" customWidth="1"/>
  </cols>
  <sheetData>
    <row r="4" spans="3:24" x14ac:dyDescent="0.45">
      <c r="C4" t="s">
        <v>4</v>
      </c>
      <c r="L4" t="s">
        <v>25</v>
      </c>
      <c r="M4" t="s">
        <v>26</v>
      </c>
      <c r="N4" t="s">
        <v>21</v>
      </c>
    </row>
    <row r="5" spans="3:24" x14ac:dyDescent="0.45">
      <c r="C5" t="s">
        <v>3</v>
      </c>
      <c r="D5" t="s">
        <v>1</v>
      </c>
      <c r="E5" t="s">
        <v>0</v>
      </c>
      <c r="F5" t="s">
        <v>2</v>
      </c>
      <c r="G5" t="s">
        <v>5</v>
      </c>
      <c r="L5" t="s">
        <v>27</v>
      </c>
      <c r="M5" t="s">
        <v>28</v>
      </c>
      <c r="N5" t="s">
        <v>29</v>
      </c>
    </row>
    <row r="6" spans="3:24" x14ac:dyDescent="0.45">
      <c r="D6" t="s">
        <v>6</v>
      </c>
      <c r="E6" t="s">
        <v>57</v>
      </c>
      <c r="G6" s="1">
        <v>8.76</v>
      </c>
      <c r="L6" t="s">
        <v>30</v>
      </c>
      <c r="M6" t="s">
        <v>28</v>
      </c>
      <c r="N6" t="s">
        <v>29</v>
      </c>
    </row>
    <row r="7" spans="3:24" x14ac:dyDescent="0.45">
      <c r="D7" t="s">
        <v>7</v>
      </c>
      <c r="E7" t="s">
        <v>57</v>
      </c>
      <c r="G7">
        <v>25</v>
      </c>
      <c r="L7" t="s">
        <v>31</v>
      </c>
      <c r="M7" t="s">
        <v>28</v>
      </c>
      <c r="N7" t="s">
        <v>29</v>
      </c>
    </row>
    <row r="8" spans="3:24" x14ac:dyDescent="0.45">
      <c r="D8" t="s">
        <v>8</v>
      </c>
      <c r="E8" t="s">
        <v>57</v>
      </c>
      <c r="G8" s="1">
        <v>1</v>
      </c>
    </row>
    <row r="9" spans="3:24" x14ac:dyDescent="0.45">
      <c r="D9" t="s">
        <v>9</v>
      </c>
      <c r="E9" t="s">
        <v>14</v>
      </c>
      <c r="G9">
        <v>0.1</v>
      </c>
    </row>
    <row r="10" spans="3:24" x14ac:dyDescent="0.45">
      <c r="D10" t="s">
        <v>10</v>
      </c>
      <c r="E10" t="s">
        <v>57</v>
      </c>
      <c r="G10">
        <v>20</v>
      </c>
    </row>
    <row r="11" spans="3:24" x14ac:dyDescent="0.45">
      <c r="D11" t="s">
        <v>6</v>
      </c>
      <c r="E11" t="s">
        <v>62</v>
      </c>
      <c r="G11" s="1">
        <v>8.76</v>
      </c>
      <c r="P11" t="s">
        <v>52</v>
      </c>
    </row>
    <row r="12" spans="3:24" x14ac:dyDescent="0.45">
      <c r="P12" s="2" t="s">
        <v>25</v>
      </c>
      <c r="Q12" s="2" t="s">
        <v>40</v>
      </c>
      <c r="R12" s="2" t="s">
        <v>41</v>
      </c>
      <c r="S12" s="2" t="s">
        <v>42</v>
      </c>
      <c r="T12" t="s">
        <v>21</v>
      </c>
    </row>
    <row r="13" spans="3:24" x14ac:dyDescent="0.45">
      <c r="C13" t="s">
        <v>4</v>
      </c>
      <c r="P13" s="2" t="s">
        <v>27</v>
      </c>
      <c r="Q13" s="2">
        <v>2700</v>
      </c>
      <c r="R13" s="2">
        <v>2700</v>
      </c>
      <c r="S13" s="2">
        <v>2700</v>
      </c>
      <c r="T13" t="str">
        <f>X13</f>
        <v>EN[_]Hydro*</v>
      </c>
      <c r="W13" t="s">
        <v>46</v>
      </c>
      <c r="X13" t="s">
        <v>19</v>
      </c>
    </row>
    <row r="14" spans="3:24" x14ac:dyDescent="0.45">
      <c r="C14" t="s">
        <v>3</v>
      </c>
      <c r="D14" t="s">
        <v>1</v>
      </c>
      <c r="E14" t="s">
        <v>0</v>
      </c>
      <c r="F14" t="s">
        <v>2</v>
      </c>
      <c r="G14" t="s">
        <v>5</v>
      </c>
      <c r="P14" s="2" t="s">
        <v>27</v>
      </c>
      <c r="Q14" s="2">
        <v>1110</v>
      </c>
      <c r="R14" s="2">
        <v>690</v>
      </c>
      <c r="S14" s="2">
        <v>480</v>
      </c>
      <c r="T14" t="str">
        <f t="shared" ref="T14:T16" si="0">X14</f>
        <v>E[_]SPV*</v>
      </c>
      <c r="W14" t="s">
        <v>49</v>
      </c>
      <c r="X14" t="s">
        <v>57</v>
      </c>
    </row>
    <row r="15" spans="3:24" x14ac:dyDescent="0.45">
      <c r="C15" t="s">
        <v>11</v>
      </c>
      <c r="D15" t="s">
        <v>12</v>
      </c>
      <c r="E15" t="s">
        <v>54</v>
      </c>
      <c r="F15">
        <v>0</v>
      </c>
      <c r="G15">
        <v>3</v>
      </c>
      <c r="P15" s="2" t="s">
        <v>27</v>
      </c>
      <c r="Q15" s="2">
        <v>4060</v>
      </c>
      <c r="R15" s="2">
        <v>2760</v>
      </c>
      <c r="S15" s="2">
        <v>1980</v>
      </c>
      <c r="T15" t="str">
        <f t="shared" si="0"/>
        <v>E[_]WOF*</v>
      </c>
      <c r="W15" t="s">
        <v>50</v>
      </c>
      <c r="X15" t="s">
        <v>55</v>
      </c>
    </row>
    <row r="16" spans="3:24" x14ac:dyDescent="0.45">
      <c r="D16" t="s">
        <v>6</v>
      </c>
      <c r="E16" t="s">
        <v>54</v>
      </c>
      <c r="G16" s="1">
        <v>8.76</v>
      </c>
      <c r="P16" s="2" t="s">
        <v>27</v>
      </c>
      <c r="Q16" s="2">
        <v>1500</v>
      </c>
      <c r="R16" s="2">
        <v>1430</v>
      </c>
      <c r="S16" s="2">
        <v>1370</v>
      </c>
      <c r="T16" t="str">
        <f t="shared" si="0"/>
        <v>E[_]WON*</v>
      </c>
      <c r="W16" t="s">
        <v>51</v>
      </c>
      <c r="X16" t="s">
        <v>56</v>
      </c>
    </row>
    <row r="17" spans="3:24" x14ac:dyDescent="0.45">
      <c r="D17" t="s">
        <v>13</v>
      </c>
      <c r="E17" t="s">
        <v>55</v>
      </c>
      <c r="G17">
        <v>4</v>
      </c>
      <c r="P17" s="2" t="s">
        <v>30</v>
      </c>
      <c r="Q17" s="2">
        <v>70</v>
      </c>
      <c r="R17" s="2">
        <v>65</v>
      </c>
      <c r="S17" s="2">
        <v>65</v>
      </c>
      <c r="T17" t="str">
        <f>T13</f>
        <v>EN[_]Hydro*</v>
      </c>
      <c r="W17" t="str">
        <f>W13</f>
        <v>Hydropower - large-scale unit</v>
      </c>
      <c r="X17" t="str">
        <f t="shared" ref="X17:X24" si="1">X13</f>
        <v>EN[_]Hydro*</v>
      </c>
    </row>
    <row r="18" spans="3:24" x14ac:dyDescent="0.45">
      <c r="D18" t="s">
        <v>13</v>
      </c>
      <c r="E18" t="s">
        <v>56</v>
      </c>
      <c r="G18">
        <v>2</v>
      </c>
      <c r="P18" s="2" t="s">
        <v>30</v>
      </c>
      <c r="Q18" s="2">
        <v>16</v>
      </c>
      <c r="R18" s="2">
        <v>16</v>
      </c>
      <c r="S18" s="2">
        <v>16</v>
      </c>
      <c r="T18" t="str">
        <f t="shared" ref="T18:T24" si="2">T14</f>
        <v>E[_]SPV*</v>
      </c>
      <c r="W18" t="str">
        <f t="shared" ref="W18" si="3">W14</f>
        <v>Solar photovoltaics - Large scale unit</v>
      </c>
      <c r="X18" t="str">
        <f t="shared" si="1"/>
        <v>E[_]SPV*</v>
      </c>
    </row>
    <row r="19" spans="3:24" x14ac:dyDescent="0.45">
      <c r="D19" t="s">
        <v>7</v>
      </c>
      <c r="E19" t="s">
        <v>54</v>
      </c>
      <c r="G19">
        <v>30</v>
      </c>
      <c r="P19" s="2" t="s">
        <v>30</v>
      </c>
      <c r="Q19" s="2">
        <v>120</v>
      </c>
      <c r="R19" s="2">
        <v>95</v>
      </c>
      <c r="S19" s="2">
        <v>70</v>
      </c>
      <c r="T19" t="str">
        <f t="shared" si="2"/>
        <v>E[_]WOF*</v>
      </c>
      <c r="W19" t="str">
        <f t="shared" ref="W19" si="4">W15</f>
        <v>Wind offshore</v>
      </c>
      <c r="X19" t="str">
        <f t="shared" si="1"/>
        <v>E[_]WOF*</v>
      </c>
    </row>
    <row r="20" spans="3:24" x14ac:dyDescent="0.45">
      <c r="D20" t="s">
        <v>8</v>
      </c>
      <c r="E20" t="s">
        <v>54</v>
      </c>
      <c r="G20">
        <v>1</v>
      </c>
      <c r="P20" s="2" t="s">
        <v>30</v>
      </c>
      <c r="Q20" s="2">
        <v>38</v>
      </c>
      <c r="R20" s="2">
        <v>36</v>
      </c>
      <c r="S20" s="2">
        <v>36</v>
      </c>
      <c r="T20" t="str">
        <f t="shared" si="2"/>
        <v>E[_]WON*</v>
      </c>
      <c r="W20" t="str">
        <f t="shared" ref="W20" si="5">W16</f>
        <v>Wind onshore</v>
      </c>
      <c r="X20" t="str">
        <f t="shared" si="1"/>
        <v>E[_]WON*</v>
      </c>
    </row>
    <row r="21" spans="3:24" x14ac:dyDescent="0.45">
      <c r="D21" t="s">
        <v>9</v>
      </c>
      <c r="E21" t="s">
        <v>15</v>
      </c>
      <c r="G21">
        <v>0.25</v>
      </c>
      <c r="P21" s="2" t="s">
        <v>31</v>
      </c>
      <c r="Q21" s="2">
        <v>4</v>
      </c>
      <c r="R21" s="2">
        <v>4</v>
      </c>
      <c r="S21" s="2">
        <v>4</v>
      </c>
      <c r="T21" t="str">
        <f t="shared" si="2"/>
        <v>EN[_]Hydro*</v>
      </c>
      <c r="W21" t="str">
        <f t="shared" ref="W21" si="6">W17</f>
        <v>Hydropower - large-scale unit</v>
      </c>
      <c r="X21" t="str">
        <f t="shared" si="1"/>
        <v>EN[_]Hydro*</v>
      </c>
    </row>
    <row r="22" spans="3:24" x14ac:dyDescent="0.45">
      <c r="D22" t="s">
        <v>10</v>
      </c>
      <c r="E22" t="s">
        <v>54</v>
      </c>
      <c r="G22">
        <v>20</v>
      </c>
      <c r="P22" s="2" t="s">
        <v>31</v>
      </c>
      <c r="Q22" s="2">
        <v>1.5</v>
      </c>
      <c r="R22" s="2">
        <v>1.5</v>
      </c>
      <c r="S22" s="2">
        <v>1.5</v>
      </c>
      <c r="T22" t="str">
        <f t="shared" si="2"/>
        <v>E[_]SPV*</v>
      </c>
      <c r="W22" t="str">
        <f t="shared" ref="W22" si="7">W18</f>
        <v>Solar photovoltaics - Large scale unit</v>
      </c>
      <c r="X22" t="str">
        <f t="shared" si="1"/>
        <v>E[_]SPV*</v>
      </c>
    </row>
    <row r="23" spans="3:24" x14ac:dyDescent="0.45">
      <c r="P23" s="2" t="s">
        <v>31</v>
      </c>
      <c r="Q23" s="2">
        <v>3</v>
      </c>
      <c r="R23" s="2">
        <v>3</v>
      </c>
      <c r="S23" s="2">
        <v>3</v>
      </c>
      <c r="T23" t="str">
        <f t="shared" si="2"/>
        <v>E[_]WOF*</v>
      </c>
      <c r="W23" t="str">
        <f t="shared" ref="W23" si="8">W19</f>
        <v>Wind offshore</v>
      </c>
      <c r="X23" t="str">
        <f t="shared" si="1"/>
        <v>E[_]WOF*</v>
      </c>
    </row>
    <row r="24" spans="3:24" x14ac:dyDescent="0.45">
      <c r="P24" s="2" t="s">
        <v>31</v>
      </c>
      <c r="Q24" s="2">
        <v>1.5</v>
      </c>
      <c r="R24" s="2">
        <v>1.5</v>
      </c>
      <c r="S24" s="2">
        <v>1.5</v>
      </c>
      <c r="T24" t="str">
        <f t="shared" si="2"/>
        <v>E[_]WON*</v>
      </c>
      <c r="W24" t="str">
        <f t="shared" ref="W24" si="9">W20</f>
        <v>Wind onshore</v>
      </c>
      <c r="X24" t="str">
        <f t="shared" si="1"/>
        <v>E[_]WON*</v>
      </c>
    </row>
    <row r="27" spans="3:24" x14ac:dyDescent="0.45">
      <c r="C27" t="s">
        <v>4</v>
      </c>
    </row>
    <row r="28" spans="3:24" x14ac:dyDescent="0.45">
      <c r="C28" t="s">
        <v>16</v>
      </c>
      <c r="D28" t="s">
        <v>1</v>
      </c>
      <c r="E28" t="s">
        <v>0</v>
      </c>
      <c r="F28" t="s">
        <v>2</v>
      </c>
      <c r="G28" t="s">
        <v>5</v>
      </c>
    </row>
    <row r="29" spans="3:24" x14ac:dyDescent="0.45">
      <c r="C29" t="s">
        <v>17</v>
      </c>
      <c r="D29" t="s">
        <v>6</v>
      </c>
      <c r="G29" s="1">
        <v>8.76</v>
      </c>
    </row>
    <row r="30" spans="3:24" x14ac:dyDescent="0.45">
      <c r="C30" t="s">
        <v>53</v>
      </c>
      <c r="D30" t="s">
        <v>8</v>
      </c>
      <c r="G30" s="1">
        <v>1</v>
      </c>
    </row>
    <row r="31" spans="3:24" x14ac:dyDescent="0.45">
      <c r="C31" t="s">
        <v>17</v>
      </c>
      <c r="D31" t="s">
        <v>18</v>
      </c>
      <c r="G31" s="1">
        <v>0.1</v>
      </c>
    </row>
    <row r="32" spans="3:24" x14ac:dyDescent="0.45">
      <c r="D32" t="s">
        <v>7</v>
      </c>
      <c r="E32" t="s">
        <v>19</v>
      </c>
      <c r="G32">
        <v>200</v>
      </c>
    </row>
    <row r="33" spans="3:7" x14ac:dyDescent="0.45">
      <c r="D33" t="s">
        <v>10</v>
      </c>
      <c r="E33" t="s">
        <v>19</v>
      </c>
      <c r="G33">
        <v>30</v>
      </c>
    </row>
    <row r="34" spans="3:7" x14ac:dyDescent="0.45">
      <c r="D34" t="s">
        <v>9</v>
      </c>
      <c r="E34" t="s">
        <v>19</v>
      </c>
      <c r="G34">
        <v>1</v>
      </c>
    </row>
    <row r="35" spans="3:7" x14ac:dyDescent="0.45">
      <c r="C35" t="s">
        <v>17</v>
      </c>
      <c r="D35" t="s">
        <v>12</v>
      </c>
      <c r="F35">
        <v>0</v>
      </c>
      <c r="G35">
        <v>3</v>
      </c>
    </row>
    <row r="36" spans="3:7" x14ac:dyDescent="0.45">
      <c r="C36" t="s">
        <v>53</v>
      </c>
      <c r="D36" t="s">
        <v>84</v>
      </c>
      <c r="G36" s="1">
        <v>0.9</v>
      </c>
    </row>
    <row r="39" spans="3:7" x14ac:dyDescent="0.45">
      <c r="C39" t="s">
        <v>20</v>
      </c>
    </row>
    <row r="40" spans="3:7" x14ac:dyDescent="0.45">
      <c r="C40" t="s">
        <v>21</v>
      </c>
      <c r="D40" t="s">
        <v>22</v>
      </c>
      <c r="E40" t="s">
        <v>23</v>
      </c>
    </row>
    <row r="41" spans="3:7" x14ac:dyDescent="0.45">
      <c r="C41" t="s">
        <v>14</v>
      </c>
      <c r="D41" t="s">
        <v>61</v>
      </c>
      <c r="E41" t="s">
        <v>24</v>
      </c>
    </row>
    <row r="42" spans="3:7" x14ac:dyDescent="0.45">
      <c r="C42" t="s">
        <v>15</v>
      </c>
      <c r="D42" t="s">
        <v>74</v>
      </c>
      <c r="E42" t="s">
        <v>24</v>
      </c>
    </row>
    <row r="43" spans="3:7" x14ac:dyDescent="0.45">
      <c r="C43" t="s">
        <v>57</v>
      </c>
      <c r="D43" t="s">
        <v>63</v>
      </c>
      <c r="E43" t="s">
        <v>24</v>
      </c>
    </row>
    <row r="44" spans="3:7" x14ac:dyDescent="0.45">
      <c r="C44" t="s">
        <v>55</v>
      </c>
      <c r="D44" t="s">
        <v>72</v>
      </c>
      <c r="E44" t="s">
        <v>24</v>
      </c>
    </row>
    <row r="45" spans="3:7" x14ac:dyDescent="0.45">
      <c r="C45" t="s">
        <v>56</v>
      </c>
      <c r="D45" t="s">
        <v>73</v>
      </c>
      <c r="E45" t="s">
        <v>24</v>
      </c>
    </row>
    <row r="48" spans="3:7" x14ac:dyDescent="0.45">
      <c r="C48" t="s">
        <v>4</v>
      </c>
    </row>
    <row r="49" spans="3:13" x14ac:dyDescent="0.45">
      <c r="C49" t="s">
        <v>1</v>
      </c>
      <c r="D49" t="s">
        <v>26</v>
      </c>
      <c r="E49" t="s">
        <v>66</v>
      </c>
      <c r="F49" t="s">
        <v>65</v>
      </c>
    </row>
    <row r="50" spans="3:13" x14ac:dyDescent="0.45">
      <c r="C50" t="s">
        <v>64</v>
      </c>
      <c r="D50">
        <v>2025</v>
      </c>
      <c r="E50" s="3" t="s">
        <v>67</v>
      </c>
      <c r="F50" t="s">
        <v>68</v>
      </c>
    </row>
    <row r="51" spans="3:13" x14ac:dyDescent="0.45">
      <c r="C51" t="s">
        <v>69</v>
      </c>
      <c r="D51">
        <v>40</v>
      </c>
      <c r="E51" s="3" t="s">
        <v>70</v>
      </c>
      <c r="F51" t="s">
        <v>71</v>
      </c>
    </row>
    <row r="55" spans="3:13" x14ac:dyDescent="0.45">
      <c r="C55" t="s">
        <v>52</v>
      </c>
    </row>
    <row r="56" spans="3:13" x14ac:dyDescent="0.45">
      <c r="C56" t="s">
        <v>25</v>
      </c>
      <c r="D56" t="s">
        <v>75</v>
      </c>
      <c r="E56" t="s">
        <v>65</v>
      </c>
      <c r="F56" t="s">
        <v>21</v>
      </c>
      <c r="G56" t="s">
        <v>66</v>
      </c>
      <c r="H56">
        <v>0</v>
      </c>
      <c r="I56">
        <v>2022</v>
      </c>
      <c r="J56">
        <v>2030</v>
      </c>
      <c r="K56" t="s">
        <v>76</v>
      </c>
      <c r="L56" t="s">
        <v>77</v>
      </c>
      <c r="M56" t="s">
        <v>22</v>
      </c>
    </row>
    <row r="57" spans="3:13" x14ac:dyDescent="0.45">
      <c r="C57" t="s">
        <v>78</v>
      </c>
      <c r="E57" t="s">
        <v>79</v>
      </c>
      <c r="F57" t="s">
        <v>82</v>
      </c>
      <c r="I57">
        <v>0.95</v>
      </c>
      <c r="L57" t="s">
        <v>80</v>
      </c>
      <c r="M57" t="s">
        <v>81</v>
      </c>
    </row>
    <row r="58" spans="3:13" x14ac:dyDescent="0.45">
      <c r="C58" t="s">
        <v>78</v>
      </c>
      <c r="E58" t="s">
        <v>83</v>
      </c>
      <c r="F58" t="s">
        <v>82</v>
      </c>
      <c r="I58">
        <v>0.85</v>
      </c>
      <c r="L58" t="s">
        <v>80</v>
      </c>
      <c r="M58" t="s">
        <v>81</v>
      </c>
    </row>
  </sheetData>
  <pageMargins left="0.7" right="0.7" top="0.75" bottom="0.75" header="0.3" footer="0.3"/>
  <pageSetup paperSize="9" orientation="portrait" r:id="rId1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FB1F8354-0998-4CD8-8716-28F6AD8F8D03}">
  <ds:schemaRefs>
    <ds:schemaRef ds:uri="http://schemas.microsoft.com/PowerBIAddIn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Template/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AVA</vt:lpstr>
      <vt:lpstr>weo_pg</vt:lpstr>
      <vt:lpstr>Misc</vt:lpstr>
    </vt:vector>
  </TitlesOfParts>
  <Manager/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Amit Kanudia</dc:creator>
  <cp:keywords/>
  <dc:description/>
  <cp:lastModifiedBy>Amit Kanudia</cp:lastModifiedBy>
  <dcterms:created xsi:type="dcterms:W3CDTF">2016-10-05T11:02:08Z</dcterms:created>
  <dcterms:modified xsi:type="dcterms:W3CDTF">2026-06-17T16:01:19Z</dcterms:modified>
  <cp:category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SaveCode">
    <vt:r8>273153185844421</vt:r8>
  </property>
  <property fmtid="{D5CDD505-2E9C-101B-9397-08002B2CF9AE}" pid="3" name="{A44787D4-0540-4523-9961-78E4036D8C6D}">
    <vt:lpwstr>{0E588E8C-D9B2-472E-8D6A-B5564BD29317}</vt:lpwstr>
  </property>
</Properties>
</file>