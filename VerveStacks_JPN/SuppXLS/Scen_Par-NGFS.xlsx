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\SuppXLS\"/>
    </mc:Choice>
  </mc:AlternateContent>
  <xr:revisionPtr revIDLastSave="0" documentId="8_{09A9C725-9D5C-4B2D-812E-ACA7CEF46C4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<sst xmlns="http://schemas.openxmlformats.org/spreadsheetml/2006/main" count="58627" uniqueCount="92">
  <si>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</si>
  <si>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</si>
  <si>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</si>
  <si>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</si>
  <si>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</si>
  <si>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</si>
  <si>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</si>
  <si>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</si>
  <si>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</si>
  <si>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</si>
  <si>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</si>
  <si>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</si>
  <si>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</si>
  <si>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</si>
  <si>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</si>
  <si>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</si>
  <si>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</si>
  <si>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</si>
  <si>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</si>
  <si>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</si>
  <si>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</si>
  <si>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</si>
  <si>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</si>
  <si>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</si>
  <si>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</si>
  <si>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</si>
  <si>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</si>
  <si>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</si>
  <si>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</si>
  <si>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</si>
  <si>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</si>
  <si>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</si>
  <si>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</si>
  <si>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</si>
  <si>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</si>
  <si>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</si>
  <si>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</si>
  <si>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</si>
  <si>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</si>
  <si>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</si>
  <si>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</si>
  <si>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</si>
  <si>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</si>
  <si>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</si>
  <si>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</si>
  <si>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</si>
  <si>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</si>
  <si>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</si>
  <si>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</si>
  <si>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</si>
  <si>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</si>
  <si>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</si>
  <si>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</si>
  <si>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</si>
  <si>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</si>
  <si>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</si>
  <si>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</si>
  <si>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</si>
  <si>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</si>
  <si>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</si>
  <si>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</si>
  <si>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</si>
  <si>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</si>
  <si>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</si>
  <si>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</si>
  <si>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</si>
  <si>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</si>
  <si>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</si>
  <si>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</si>
  <si>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</si>
  <si>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</si>
  <si>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</si>
  <si>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</si>
  <si>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</si>
  <si>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</si>
  <si>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</si>
  <si>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</si>
  <si>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</si>
  <si>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</si>
  <si>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</si>
  <si>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</si>
  <si>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</si>
  <si>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</si>
  <si>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</si>
  <si>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JPN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</si>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</sst>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1040.5699999999997</c:v>
                </c:pt>
                <c:pt idx="1">
                  <c:v>1076.2907810537645</c:v>
                </c:pt>
                <c:pt idx="2">
                  <c:v>1107.7798319478497</c:v>
                </c:pt>
                <c:pt idx="3">
                  <c:v>1111.1558813767117</c:v>
                </c:pt>
                <c:pt idx="4">
                  <c:v>1085.9988678906761</c:v>
                </c:pt>
                <c:pt idx="5">
                  <c:v>1040.9433879552657</c:v>
                </c:pt>
                <c:pt idx="6">
                  <c:v>998.54829720112411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533.57000000000005</c:v>
                </c:pt>
                <c:pt idx="1">
                  <c:v>509.64282199911401</c:v>
                </c:pt>
                <c:pt idx="2">
                  <c:v>488.09955955080818</c:v>
                </c:pt>
                <c:pt idx="3">
                  <c:v>417.64090483972416</c:v>
                </c:pt>
                <c:pt idx="4">
                  <c:v>415.19279961217421</c:v>
                </c:pt>
                <c:pt idx="5">
                  <c:v>399.14442755779277</c:v>
                </c:pt>
                <c:pt idx="6">
                  <c:v>387.28840392852385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1040.57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1040.5699999999997</v>
      </c>
      <c r="S12" s="8">
        <f t="shared" ref="S12:X12" si="0">SUM(S17:S20)</f>
        <v>1076.2907810537645</v>
      </c>
      <c r="T12" s="8">
        <f t="shared" si="0"/>
        <v>1107.7798319478497</v>
      </c>
      <c r="U12" s="8">
        <f t="shared" si="0"/>
        <v>1111.1558813767117</v>
      </c>
      <c r="V12" s="8">
        <f t="shared" si="0"/>
        <v>1085.9988678906761</v>
      </c>
      <c r="W12" s="8">
        <f t="shared" si="0"/>
        <v>1040.9433879552657</v>
      </c>
      <c r="X12" s="8">
        <f t="shared" si="0"/>
        <v>998.54829720112411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7.4999999999999997E-3</v>
      </c>
      <c r="H16" s="10">
        <f>SUMIFS(ngfs_median!$J$2:$J$17119,ngfs_median!$B$2:$B$17119,Veda!$C$5,ngfs_median!$H$2:$H$17119,Veda!$Q16,ngfs_median!$I$2:$I$17119,Veda!H$15)</f>
        <v>3.7100000000000001E-2</v>
      </c>
      <c r="I16" s="10">
        <f>SUMIFS(ngfs_median!$J$2:$J$17119,ngfs_median!$B$2:$B$17119,Veda!$C$5,ngfs_median!$H$2:$H$17119,Veda!$Q16,ngfs_median!$I$2:$I$17119,Veda!I$15)</f>
        <v>7.5999999999999998E-2</v>
      </c>
      <c r="J16" s="10">
        <f>SUMIFS(ngfs_median!$J$2:$J$17119,ngfs_median!$B$2:$B$17119,Veda!$C$5,ngfs_median!$H$2:$H$17119,Veda!$Q16,ngfs_median!$I$2:$I$17119,Veda!J$15)</f>
        <v>0.11260000000000001</v>
      </c>
      <c r="K16" s="10">
        <f>SUMIFS(ngfs_median!$J$2:$J$17119,ngfs_median!$B$2:$B$17119,Veda!$C$5,ngfs_median!$H$2:$H$17119,Veda!$Q16,ngfs_median!$I$2:$I$17119,Veda!K$15)</f>
        <v>0.14424999999999999</v>
      </c>
      <c r="L16" s="10">
        <f>SUMIFS(ngfs_median!$J$2:$J$17119,ngfs_median!$B$2:$B$17119,Veda!$C$5,ngfs_median!$H$2:$H$17119,Veda!$Q16,ngfs_median!$I$2:$I$17119,Veda!L$15)</f>
        <v>0.17554999999999998</v>
      </c>
      <c r="M16" s="10">
        <f>SUMIFS(ngfs_median!$J$2:$J$17119,ngfs_median!$B$2:$B$17119,Veda!$C$5,ngfs_median!$H$2:$H$17119,Veda!$Q16,ngfs_median!$I$2:$I$17119,Veda!M$15)</f>
        <v>0.20700000000000002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10.805555555555555</v>
      </c>
      <c r="U16" s="6">
        <f t="shared" si="2"/>
        <v>20.972222222222225</v>
      </c>
      <c r="V16" s="6">
        <f t="shared" si="2"/>
        <v>29.763888888888886</v>
      </c>
      <c r="W16" s="6">
        <f t="shared" si="2"/>
        <v>38.458333333333329</v>
      </c>
      <c r="X16" s="6">
        <f t="shared" si="2"/>
        <v>47.19444444444445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8.3000000000000004E-2</v>
      </c>
      <c r="H17" s="10">
        <f>SUMIFS(ngfs_median!$J$2:$J$17119,ngfs_median!$B$2:$B$17119,Veda!$C$5,ngfs_median!$H$2:$H$17119,Veda!$Q17,ngfs_median!$I$2:$I$17119,Veda!H$15)</f>
        <v>0.10290000000000001</v>
      </c>
      <c r="I17" s="10">
        <f>SUMIFS(ngfs_median!$J$2:$J$17119,ngfs_median!$B$2:$B$17119,Veda!$C$5,ngfs_median!$H$2:$H$17119,Veda!$Q17,ngfs_median!$I$2:$I$17119,Veda!I$15)</f>
        <v>0.17580000000000001</v>
      </c>
      <c r="J17" s="10">
        <f>SUMIFS(ngfs_median!$J$2:$J$17119,ngfs_median!$B$2:$B$17119,Veda!$C$5,ngfs_median!$H$2:$H$17119,Veda!$Q17,ngfs_median!$I$2:$I$17119,Veda!J$15)</f>
        <v>0.2843</v>
      </c>
      <c r="K17" s="10">
        <f>SUMIFS(ngfs_median!$J$2:$J$17119,ngfs_median!$B$2:$B$17119,Veda!$C$5,ngfs_median!$H$2:$H$17119,Veda!$Q17,ngfs_median!$I$2:$I$17119,Veda!K$15)</f>
        <v>0.38129999999999997</v>
      </c>
      <c r="L17" s="10">
        <f>SUMIFS(ngfs_median!$J$2:$J$17119,ngfs_median!$B$2:$B$17119,Veda!$C$5,ngfs_median!$H$2:$H$17119,Veda!$Q17,ngfs_median!$I$2:$I$17119,Veda!L$15)</f>
        <v>0.42364999999999997</v>
      </c>
      <c r="M17" s="10">
        <f>SUMIFS(ngfs_median!$J$2:$J$17119,ngfs_median!$B$2:$B$17119,Veda!$C$5,ngfs_median!$H$2:$H$17119,Veda!$Q17,ngfs_median!$I$2:$I$17119,Veda!M$15)</f>
        <v>0.43279999999999996</v>
      </c>
      <c r="Q17" s="12" t="s">
        <v>10</v>
      </c>
      <c r="R17" s="6">
        <f>$Q$10*G17/SUM($G$17:$G$19)</f>
        <v>25.826000239220143</v>
      </c>
      <c r="S17" s="6">
        <f>R17</f>
        <v>25.826000239220143</v>
      </c>
      <c r="T17" s="6">
        <f t="shared" ref="T17:X17" si="3">S17</f>
        <v>25.826000239220143</v>
      </c>
      <c r="U17" s="6">
        <f t="shared" si="3"/>
        <v>25.826000239220143</v>
      </c>
      <c r="V17" s="6">
        <f t="shared" si="3"/>
        <v>25.826000239220143</v>
      </c>
      <c r="W17" s="6">
        <f t="shared" si="3"/>
        <v>25.826000239220143</v>
      </c>
      <c r="X17" s="6">
        <f t="shared" si="3"/>
        <v>25.826000239220143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2.0394000000000001</v>
      </c>
      <c r="H18" s="10">
        <f>SUMIFS(ngfs_median!$J$2:$J$17119,ngfs_median!$B$2:$B$17119,Veda!$C$5,ngfs_median!$H$2:$H$17119,Veda!$Q18,ngfs_median!$I$2:$I$17119,Veda!H$15)</f>
        <v>2.10345</v>
      </c>
      <c r="I18" s="10">
        <f>SUMIFS(ngfs_median!$J$2:$J$17119,ngfs_median!$B$2:$B$17119,Veda!$C$5,ngfs_median!$H$2:$H$17119,Veda!$Q18,ngfs_median!$I$2:$I$17119,Veda!I$15)</f>
        <v>2.11625</v>
      </c>
      <c r="J18" s="10">
        <f>SUMIFS(ngfs_median!$J$2:$J$17119,ngfs_median!$B$2:$B$17119,Veda!$C$5,ngfs_median!$H$2:$H$17119,Veda!$Q18,ngfs_median!$I$2:$I$17119,Veda!J$15)</f>
        <v>2.0722</v>
      </c>
      <c r="K18" s="10">
        <f>SUMIFS(ngfs_median!$J$2:$J$17119,ngfs_median!$B$2:$B$17119,Veda!$C$5,ngfs_median!$H$2:$H$17119,Veda!$Q18,ngfs_median!$I$2:$I$17119,Veda!K$15)</f>
        <v>1.97525</v>
      </c>
      <c r="L18" s="10">
        <f>SUMIFS(ngfs_median!$J$2:$J$17119,ngfs_median!$B$2:$B$17119,Veda!$C$5,ngfs_median!$H$2:$H$17119,Veda!$Q18,ngfs_median!$I$2:$I$17119,Veda!L$15)</f>
        <v>1.8609</v>
      </c>
      <c r="M18" s="10">
        <f>SUMIFS(ngfs_median!$J$2:$J$17119,ngfs_median!$B$2:$B$17119,Veda!$C$5,ngfs_median!$H$2:$H$17119,Veda!$Q18,ngfs_median!$I$2:$I$17119,Veda!M$15)</f>
        <v>1.7806999999999999</v>
      </c>
      <c r="Q18" s="12" t="s">
        <v>12</v>
      </c>
      <c r="R18" s="6">
        <f>$Q$10*G18/SUM($G$17:$G$19)</f>
        <v>634.57282997428376</v>
      </c>
      <c r="S18" s="6">
        <f t="shared" ref="S18:X19" si="4">R18*H18/G18</f>
        <v>654.50241208659759</v>
      </c>
      <c r="T18" s="6">
        <f t="shared" si="4"/>
        <v>658.48521694276644</v>
      </c>
      <c r="U18" s="6">
        <f t="shared" si="4"/>
        <v>644.77876741821649</v>
      </c>
      <c r="V18" s="6">
        <f t="shared" si="4"/>
        <v>614.61213219903107</v>
      </c>
      <c r="W18" s="6">
        <f t="shared" si="4"/>
        <v>579.03137162849112</v>
      </c>
      <c r="X18" s="6">
        <f t="shared" si="4"/>
        <v>554.07660995155788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1.2218</v>
      </c>
      <c r="H19" s="10">
        <f>SUMIFS(ngfs_median!$J$2:$J$17119,ngfs_median!$B$2:$B$17119,Veda!$C$5,ngfs_median!$H$2:$H$17119,Veda!$Q19,ngfs_median!$I$2:$I$17119,Veda!H$15)</f>
        <v>1.25265</v>
      </c>
      <c r="I19" s="10">
        <f>SUMIFS(ngfs_median!$J$2:$J$17119,ngfs_median!$B$2:$B$17119,Veda!$C$5,ngfs_median!$H$2:$H$17119,Veda!$Q19,ngfs_median!$I$2:$I$17119,Veda!I$15)</f>
        <v>1.2681499999999999</v>
      </c>
      <c r="J19" s="10">
        <f>SUMIFS(ngfs_median!$J$2:$J$17119,ngfs_median!$B$2:$B$17119,Veda!$C$5,ngfs_median!$H$2:$H$17119,Veda!$Q19,ngfs_median!$I$2:$I$17119,Veda!J$15)</f>
        <v>1.21455</v>
      </c>
      <c r="K19" s="10">
        <f>SUMIFS(ngfs_median!$J$2:$J$17119,ngfs_median!$B$2:$B$17119,Veda!$C$5,ngfs_median!$H$2:$H$17119,Veda!$Q19,ngfs_median!$I$2:$I$17119,Veda!K$15)</f>
        <v>1.13365</v>
      </c>
      <c r="L19" s="10">
        <f>SUMIFS(ngfs_median!$J$2:$J$17119,ngfs_median!$B$2:$B$17119,Veda!$C$5,ngfs_median!$H$2:$H$17119,Veda!$Q19,ngfs_median!$I$2:$I$17119,Veda!L$15)</f>
        <v>1.0608499999999998</v>
      </c>
      <c r="M19" s="10">
        <f>SUMIFS(ngfs_median!$J$2:$J$17119,ngfs_median!$B$2:$B$17119,Veda!$C$5,ngfs_median!$H$2:$H$17119,Veda!$Q19,ngfs_median!$I$2:$I$17119,Veda!M$15)</f>
        <v>0.99564999999999992</v>
      </c>
      <c r="Q19" s="12" t="s">
        <v>13</v>
      </c>
      <c r="R19" s="6">
        <f>$Q$10*G19/SUM($G$17:$G$19)</f>
        <v>380.17116978649597</v>
      </c>
      <c r="S19" s="6">
        <f t="shared" si="4"/>
        <v>389.7703518031218</v>
      </c>
      <c r="T19" s="6">
        <f t="shared" si="4"/>
        <v>394.59327955863876</v>
      </c>
      <c r="U19" s="6">
        <f t="shared" si="4"/>
        <v>377.91528422343157</v>
      </c>
      <c r="V19" s="6">
        <f t="shared" si="4"/>
        <v>352.74271290592662</v>
      </c>
      <c r="W19" s="6">
        <f t="shared" si="4"/>
        <v>330.09051028646599</v>
      </c>
      <c r="X19" s="6">
        <f t="shared" si="4"/>
        <v>309.80309805035574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6.1920169248250687</v>
      </c>
      <c r="T20" s="6">
        <f t="shared" si="5"/>
        <v>28.875335207224445</v>
      </c>
      <c r="U20" s="6">
        <f t="shared" si="5"/>
        <v>62.635829495843545</v>
      </c>
      <c r="V20" s="6">
        <f t="shared" si="5"/>
        <v>92.818022546498383</v>
      </c>
      <c r="W20" s="6">
        <f t="shared" si="5"/>
        <v>105.99550580108843</v>
      </c>
      <c r="X20" s="6">
        <f t="shared" si="5"/>
        <v>108.84258895999039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533.57000000000005</v>
      </c>
      <c r="D22" s="12" t="s">
        <v>79</v>
      </c>
      <c r="G22" s="8">
        <f>G35/$G$35*$B22</f>
        <v>533.57000000000005</v>
      </c>
      <c r="H22" s="8">
        <f t="shared" ref="H22:M22" si="6">H35/$G$35*$B22</f>
        <v>509.64282199911401</v>
      </c>
      <c r="I22" s="8">
        <f t="shared" si="6"/>
        <v>488.09955955080818</v>
      </c>
      <c r="J22" s="8">
        <f t="shared" si="6"/>
        <v>417.64090483972416</v>
      </c>
      <c r="K22" s="8">
        <f t="shared" si="6"/>
        <v>415.19279961217421</v>
      </c>
      <c r="L22" s="8">
        <f t="shared" si="6"/>
        <v>399.14442755779277</v>
      </c>
      <c r="M22" s="8">
        <f t="shared" si="6"/>
        <v>387.28840392852385</v>
      </c>
      <c r="Q22" t="s">
        <v>64</v>
      </c>
      <c r="T22" s="8">
        <f>I35*1000</f>
        <v>153601.20000000001</v>
      </c>
      <c r="U22" s="8">
        <f>J35*1000</f>
        <v>131428.40000000002</v>
      </c>
      <c r="V22" s="8">
        <f>K35*1000</f>
        <v>130658.00000000001</v>
      </c>
      <c r="W22" s="8">
        <f>L35*1000</f>
        <v>125607.7</v>
      </c>
      <c r="X22" s="8">
        <f>M35*1000</f>
        <v>121876.7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0</v>
      </c>
      <c r="S26" s="3">
        <f>AVERAGEIFS(historical_data_long!$D$3:$D$9999,historical_data_long!$B$3:$B$9999,"&gt;2017",historical_data_long!$A$3:$A$9999,$O26)</f>
        <v>0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167.91039999999998</v>
      </c>
      <c r="H35" s="11">
        <f>SUMIFS(ngfs_median!$J$2:$J$17119,ngfs_median!$B$2:$B$17119,Veda!$C$5,ngfs_median!$D$2:$D$17119,Veda!$D22,ngfs_median!$I$2:$I$17119,Veda!H$15)</f>
        <v>160.38070000000002</v>
      </c>
      <c r="I35" s="11">
        <f>SUMIFS(ngfs_median!$J$2:$J$17119,ngfs_median!$B$2:$B$17119,Veda!$C$5,ngfs_median!$D$2:$D$17119,Veda!$D22,ngfs_median!$I$2:$I$17119,Veda!I$15)</f>
        <v>153.60120000000001</v>
      </c>
      <c r="J35" s="11">
        <f>SUMIFS(ngfs_median!$J$2:$J$17119,ngfs_median!$B$2:$B$17119,Veda!$C$5,ngfs_median!$D$2:$D$17119,Veda!$D22,ngfs_median!$I$2:$I$17119,Veda!J$15)</f>
        <v>131.42840000000001</v>
      </c>
      <c r="K35" s="11">
        <f>SUMIFS(ngfs_median!$J$2:$J$17119,ngfs_median!$B$2:$B$17119,Veda!$C$5,ngfs_median!$D$2:$D$17119,Veda!$D22,ngfs_median!$I$2:$I$17119,Veda!K$15)</f>
        <v>130.65800000000002</v>
      </c>
      <c r="L35" s="11">
        <f>SUMIFS(ngfs_median!$J$2:$J$17119,ngfs_median!$B$2:$B$17119,Veda!$C$5,ngfs_median!$D$2:$D$17119,Veda!$D22,ngfs_median!$I$2:$I$17119,Veda!L$15)</f>
        <v>125.60769999999999</v>
      </c>
      <c r="M35" s="11">
        <f>SUMIFS(ngfs_median!$J$2:$J$17119,ngfs_median!$B$2:$B$17119,Veda!$C$5,ngfs_median!$D$2:$D$17119,Veda!$D22,ngfs_median!$I$2:$I$17119,Veda!M$15)</f>
        <v>121.8767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16.11</v>
      </c>
    </row>
    <row r="3" spans="1:4" x14ac:dyDescent="0.45">
      <c r="A3" t="s">
        <v>34</v>
      </c>
      <c r="B3">
        <v>2000</v>
      </c>
      <c r="C3" t="s">
        <v>74</v>
      </c>
      <c r="D3">
        <v>238.24</v>
      </c>
    </row>
    <row r="4" spans="1:4" x14ac:dyDescent="0.45">
      <c r="A4" t="s">
        <v>36</v>
      </c>
      <c r="B4">
        <v>2000</v>
      </c>
      <c r="C4" t="s">
        <v>74</v>
      </c>
      <c r="D4">
        <v>258.5</v>
      </c>
    </row>
    <row r="5" spans="1:4" x14ac:dyDescent="0.45">
      <c r="A5" t="s">
        <v>56</v>
      </c>
      <c r="B5">
        <v>2000</v>
      </c>
      <c r="C5" t="s">
        <v>74</v>
      </c>
      <c r="D5">
        <v>84.47</v>
      </c>
    </row>
    <row r="6" spans="1:4" x14ac:dyDescent="0.45">
      <c r="A6" t="s">
        <v>57</v>
      </c>
      <c r="B6">
        <v>2000</v>
      </c>
      <c r="C6" t="s">
        <v>74</v>
      </c>
      <c r="D6">
        <v>319.12</v>
      </c>
    </row>
    <row r="7" spans="1:4" x14ac:dyDescent="0.45">
      <c r="A7" t="s">
        <v>38</v>
      </c>
      <c r="B7">
        <v>2000</v>
      </c>
      <c r="C7" t="s">
        <v>74</v>
      </c>
      <c r="D7">
        <v>182.78</v>
      </c>
    </row>
    <row r="8" spans="1:4" x14ac:dyDescent="0.45">
      <c r="A8" t="s">
        <v>58</v>
      </c>
      <c r="B8">
        <v>2000</v>
      </c>
      <c r="C8" t="s">
        <v>74</v>
      </c>
      <c r="D8">
        <v>0.34</v>
      </c>
    </row>
    <row r="9" spans="1:4" x14ac:dyDescent="0.45">
      <c r="A9" t="s">
        <v>91</v>
      </c>
      <c r="B9">
        <v>2000</v>
      </c>
      <c r="C9" t="s">
        <v>74</v>
      </c>
      <c r="D9">
        <v>0.11</v>
      </c>
    </row>
    <row r="10" spans="1:4" x14ac:dyDescent="0.45">
      <c r="A10" t="s">
        <v>32</v>
      </c>
      <c r="B10">
        <v>2001</v>
      </c>
      <c r="C10" t="s">
        <v>74</v>
      </c>
      <c r="D10">
        <v>16.03</v>
      </c>
    </row>
    <row r="11" spans="1:4" x14ac:dyDescent="0.45">
      <c r="A11" t="s">
        <v>34</v>
      </c>
      <c r="B11">
        <v>2001</v>
      </c>
      <c r="C11" t="s">
        <v>74</v>
      </c>
      <c r="D11">
        <v>253.91</v>
      </c>
    </row>
    <row r="12" spans="1:4" x14ac:dyDescent="0.45">
      <c r="A12" t="s">
        <v>36</v>
      </c>
      <c r="B12">
        <v>2001</v>
      </c>
      <c r="C12" t="s">
        <v>74</v>
      </c>
      <c r="D12">
        <v>256.52</v>
      </c>
    </row>
    <row r="13" spans="1:4" x14ac:dyDescent="0.45">
      <c r="A13" t="s">
        <v>56</v>
      </c>
      <c r="B13">
        <v>2001</v>
      </c>
      <c r="C13" t="s">
        <v>74</v>
      </c>
      <c r="D13">
        <v>81.540000000000006</v>
      </c>
    </row>
    <row r="14" spans="1:4" x14ac:dyDescent="0.45">
      <c r="A14" t="s">
        <v>57</v>
      </c>
      <c r="B14">
        <v>2001</v>
      </c>
      <c r="C14" t="s">
        <v>74</v>
      </c>
      <c r="D14">
        <v>320.54000000000002</v>
      </c>
    </row>
    <row r="15" spans="1:4" x14ac:dyDescent="0.45">
      <c r="A15" t="s">
        <v>38</v>
      </c>
      <c r="B15">
        <v>2001</v>
      </c>
      <c r="C15" t="s">
        <v>74</v>
      </c>
      <c r="D15">
        <v>153.85</v>
      </c>
    </row>
    <row r="16" spans="1:4" x14ac:dyDescent="0.45">
      <c r="A16" t="s">
        <v>58</v>
      </c>
      <c r="B16">
        <v>2001</v>
      </c>
      <c r="C16" t="s">
        <v>74</v>
      </c>
      <c r="D16">
        <v>0.5</v>
      </c>
    </row>
    <row r="17" spans="1:4" x14ac:dyDescent="0.45">
      <c r="A17" t="s">
        <v>91</v>
      </c>
      <c r="B17">
        <v>2001</v>
      </c>
      <c r="C17" t="s">
        <v>74</v>
      </c>
      <c r="D17">
        <v>0.25</v>
      </c>
    </row>
    <row r="18" spans="1:4" x14ac:dyDescent="0.45">
      <c r="A18" t="s">
        <v>32</v>
      </c>
      <c r="B18">
        <v>2002</v>
      </c>
      <c r="C18" t="s">
        <v>74</v>
      </c>
      <c r="D18">
        <v>16.940000000000001</v>
      </c>
    </row>
    <row r="19" spans="1:4" x14ac:dyDescent="0.45">
      <c r="A19" t="s">
        <v>34</v>
      </c>
      <c r="B19">
        <v>2002</v>
      </c>
      <c r="C19" t="s">
        <v>74</v>
      </c>
      <c r="D19">
        <v>264.42</v>
      </c>
    </row>
    <row r="20" spans="1:4" x14ac:dyDescent="0.45">
      <c r="A20" t="s">
        <v>36</v>
      </c>
      <c r="B20">
        <v>2002</v>
      </c>
      <c r="C20" t="s">
        <v>74</v>
      </c>
      <c r="D20">
        <v>252.76</v>
      </c>
    </row>
    <row r="21" spans="1:4" x14ac:dyDescent="0.45">
      <c r="A21" t="s">
        <v>56</v>
      </c>
      <c r="B21">
        <v>2002</v>
      </c>
      <c r="C21" t="s">
        <v>74</v>
      </c>
      <c r="D21">
        <v>80.599999999999994</v>
      </c>
    </row>
    <row r="22" spans="1:4" x14ac:dyDescent="0.45">
      <c r="A22" t="s">
        <v>57</v>
      </c>
      <c r="B22">
        <v>2002</v>
      </c>
      <c r="C22" t="s">
        <v>74</v>
      </c>
      <c r="D22">
        <v>314.26</v>
      </c>
    </row>
    <row r="23" spans="1:4" x14ac:dyDescent="0.45">
      <c r="A23" t="s">
        <v>38</v>
      </c>
      <c r="B23">
        <v>2002</v>
      </c>
      <c r="C23" t="s">
        <v>74</v>
      </c>
      <c r="D23">
        <v>172.99</v>
      </c>
    </row>
    <row r="24" spans="1:4" x14ac:dyDescent="0.45">
      <c r="A24" t="s">
        <v>58</v>
      </c>
      <c r="B24">
        <v>2002</v>
      </c>
      <c r="C24" t="s">
        <v>74</v>
      </c>
      <c r="D24">
        <v>0.69</v>
      </c>
    </row>
    <row r="25" spans="1:4" x14ac:dyDescent="0.45">
      <c r="A25" t="s">
        <v>91</v>
      </c>
      <c r="B25">
        <v>2002</v>
      </c>
      <c r="C25" t="s">
        <v>74</v>
      </c>
      <c r="D25">
        <v>0.41</v>
      </c>
    </row>
    <row r="26" spans="1:4" x14ac:dyDescent="0.45">
      <c r="A26" t="s">
        <v>32</v>
      </c>
      <c r="B26">
        <v>2003</v>
      </c>
      <c r="C26" t="s">
        <v>74</v>
      </c>
      <c r="D26">
        <v>17.88</v>
      </c>
    </row>
    <row r="27" spans="1:4" x14ac:dyDescent="0.45">
      <c r="A27" t="s">
        <v>34</v>
      </c>
      <c r="B27">
        <v>2003</v>
      </c>
      <c r="C27" t="s">
        <v>74</v>
      </c>
      <c r="D27">
        <v>292.06</v>
      </c>
    </row>
    <row r="28" spans="1:4" x14ac:dyDescent="0.45">
      <c r="A28" t="s">
        <v>36</v>
      </c>
      <c r="B28">
        <v>2003</v>
      </c>
      <c r="C28" t="s">
        <v>74</v>
      </c>
      <c r="D28">
        <v>273.10000000000002</v>
      </c>
    </row>
    <row r="29" spans="1:4" x14ac:dyDescent="0.45">
      <c r="A29" t="s">
        <v>56</v>
      </c>
      <c r="B29">
        <v>2003</v>
      </c>
      <c r="C29" t="s">
        <v>74</v>
      </c>
      <c r="D29">
        <v>92.47</v>
      </c>
    </row>
    <row r="30" spans="1:4" x14ac:dyDescent="0.45">
      <c r="A30" t="s">
        <v>57</v>
      </c>
      <c r="B30">
        <v>2003</v>
      </c>
      <c r="C30" t="s">
        <v>74</v>
      </c>
      <c r="D30">
        <v>230.08</v>
      </c>
    </row>
    <row r="31" spans="1:4" x14ac:dyDescent="0.45">
      <c r="A31" t="s">
        <v>38</v>
      </c>
      <c r="B31">
        <v>2003</v>
      </c>
      <c r="C31" t="s">
        <v>74</v>
      </c>
      <c r="D31">
        <v>185.22</v>
      </c>
    </row>
    <row r="32" spans="1:4" x14ac:dyDescent="0.45">
      <c r="A32" t="s">
        <v>58</v>
      </c>
      <c r="B32">
        <v>2003</v>
      </c>
      <c r="C32" t="s">
        <v>74</v>
      </c>
      <c r="D32">
        <v>0.95</v>
      </c>
    </row>
    <row r="33" spans="1:4" x14ac:dyDescent="0.45">
      <c r="A33" t="s">
        <v>91</v>
      </c>
      <c r="B33">
        <v>2003</v>
      </c>
      <c r="C33" t="s">
        <v>74</v>
      </c>
      <c r="D33">
        <v>0.83</v>
      </c>
    </row>
    <row r="34" spans="1:4" x14ac:dyDescent="0.45">
      <c r="A34" t="s">
        <v>32</v>
      </c>
      <c r="B34">
        <v>2004</v>
      </c>
      <c r="C34" t="s">
        <v>74</v>
      </c>
      <c r="D34">
        <v>18.05</v>
      </c>
    </row>
    <row r="35" spans="1:4" x14ac:dyDescent="0.45">
      <c r="A35" t="s">
        <v>34</v>
      </c>
      <c r="B35">
        <v>2004</v>
      </c>
      <c r="C35" t="s">
        <v>74</v>
      </c>
      <c r="D35">
        <v>295.39</v>
      </c>
    </row>
    <row r="36" spans="1:4" x14ac:dyDescent="0.45">
      <c r="A36" t="s">
        <v>36</v>
      </c>
      <c r="B36">
        <v>2004</v>
      </c>
      <c r="C36" t="s">
        <v>74</v>
      </c>
      <c r="D36">
        <v>257.86</v>
      </c>
    </row>
    <row r="37" spans="1:4" x14ac:dyDescent="0.45">
      <c r="A37" t="s">
        <v>56</v>
      </c>
      <c r="B37">
        <v>2004</v>
      </c>
      <c r="C37" t="s">
        <v>74</v>
      </c>
      <c r="D37">
        <v>91.67</v>
      </c>
    </row>
    <row r="38" spans="1:4" x14ac:dyDescent="0.45">
      <c r="A38" t="s">
        <v>57</v>
      </c>
      <c r="B38">
        <v>2004</v>
      </c>
      <c r="C38" t="s">
        <v>74</v>
      </c>
      <c r="D38">
        <v>285.87</v>
      </c>
    </row>
    <row r="39" spans="1:4" x14ac:dyDescent="0.45">
      <c r="A39" t="s">
        <v>38</v>
      </c>
      <c r="B39">
        <v>2004</v>
      </c>
      <c r="C39" t="s">
        <v>74</v>
      </c>
      <c r="D39">
        <v>169.64</v>
      </c>
    </row>
    <row r="40" spans="1:4" x14ac:dyDescent="0.45">
      <c r="A40" t="s">
        <v>58</v>
      </c>
      <c r="B40">
        <v>2004</v>
      </c>
      <c r="C40" t="s">
        <v>74</v>
      </c>
      <c r="D40">
        <v>1.27</v>
      </c>
    </row>
    <row r="41" spans="1:4" x14ac:dyDescent="0.45">
      <c r="A41" t="s">
        <v>91</v>
      </c>
      <c r="B41">
        <v>2004</v>
      </c>
      <c r="C41" t="s">
        <v>74</v>
      </c>
      <c r="D41">
        <v>1.44</v>
      </c>
    </row>
    <row r="42" spans="1:4" x14ac:dyDescent="0.45">
      <c r="A42" t="s">
        <v>32</v>
      </c>
      <c r="B42">
        <v>2005</v>
      </c>
      <c r="C42" t="s">
        <v>74</v>
      </c>
      <c r="D42">
        <v>21.69</v>
      </c>
    </row>
    <row r="43" spans="1:4" x14ac:dyDescent="0.45">
      <c r="A43" t="s">
        <v>34</v>
      </c>
      <c r="B43">
        <v>2005</v>
      </c>
      <c r="C43" t="s">
        <v>74</v>
      </c>
      <c r="D43">
        <v>319.2</v>
      </c>
    </row>
    <row r="44" spans="1:4" x14ac:dyDescent="0.45">
      <c r="A44" t="s">
        <v>36</v>
      </c>
      <c r="B44">
        <v>2005</v>
      </c>
      <c r="C44" t="s">
        <v>74</v>
      </c>
      <c r="D44">
        <v>253.09</v>
      </c>
    </row>
    <row r="45" spans="1:4" x14ac:dyDescent="0.45">
      <c r="A45" t="s">
        <v>56</v>
      </c>
      <c r="B45">
        <v>2005</v>
      </c>
      <c r="C45" t="s">
        <v>74</v>
      </c>
      <c r="D45">
        <v>77.56</v>
      </c>
    </row>
    <row r="46" spans="1:4" x14ac:dyDescent="0.45">
      <c r="A46" t="s">
        <v>57</v>
      </c>
      <c r="B46">
        <v>2005</v>
      </c>
      <c r="C46" t="s">
        <v>74</v>
      </c>
      <c r="D46">
        <v>293.04000000000002</v>
      </c>
    </row>
    <row r="47" spans="1:4" x14ac:dyDescent="0.45">
      <c r="A47" t="s">
        <v>38</v>
      </c>
      <c r="B47">
        <v>2005</v>
      </c>
      <c r="C47" t="s">
        <v>74</v>
      </c>
      <c r="D47">
        <v>184.95</v>
      </c>
    </row>
    <row r="48" spans="1:4" x14ac:dyDescent="0.45">
      <c r="A48" t="s">
        <v>58</v>
      </c>
      <c r="B48">
        <v>2005</v>
      </c>
      <c r="C48" t="s">
        <v>74</v>
      </c>
      <c r="D48">
        <v>1.63</v>
      </c>
    </row>
    <row r="49" spans="1:4" x14ac:dyDescent="0.45">
      <c r="A49" t="s">
        <v>91</v>
      </c>
      <c r="B49">
        <v>2005</v>
      </c>
      <c r="C49" t="s">
        <v>74</v>
      </c>
      <c r="D49">
        <v>1.91</v>
      </c>
    </row>
    <row r="50" spans="1:4" x14ac:dyDescent="0.45">
      <c r="A50" t="s">
        <v>32</v>
      </c>
      <c r="B50">
        <v>2006</v>
      </c>
      <c r="C50" t="s">
        <v>74</v>
      </c>
      <c r="D50">
        <v>21.53</v>
      </c>
    </row>
    <row r="51" spans="1:4" x14ac:dyDescent="0.45">
      <c r="A51" t="s">
        <v>34</v>
      </c>
      <c r="B51">
        <v>2006</v>
      </c>
      <c r="C51" t="s">
        <v>74</v>
      </c>
      <c r="D51">
        <v>311.33999999999997</v>
      </c>
    </row>
    <row r="52" spans="1:4" x14ac:dyDescent="0.45">
      <c r="A52" t="s">
        <v>36</v>
      </c>
      <c r="B52">
        <v>2006</v>
      </c>
      <c r="C52" t="s">
        <v>74</v>
      </c>
      <c r="D52">
        <v>280.04000000000002</v>
      </c>
    </row>
    <row r="53" spans="1:4" x14ac:dyDescent="0.45">
      <c r="A53" t="s">
        <v>56</v>
      </c>
      <c r="B53">
        <v>2006</v>
      </c>
      <c r="C53" t="s">
        <v>74</v>
      </c>
      <c r="D53">
        <v>88.81</v>
      </c>
    </row>
    <row r="54" spans="1:4" x14ac:dyDescent="0.45">
      <c r="A54" t="s">
        <v>57</v>
      </c>
      <c r="B54">
        <v>2006</v>
      </c>
      <c r="C54" t="s">
        <v>74</v>
      </c>
      <c r="D54">
        <v>304.29000000000002</v>
      </c>
    </row>
    <row r="55" spans="1:4" x14ac:dyDescent="0.45">
      <c r="A55" t="s">
        <v>38</v>
      </c>
      <c r="B55">
        <v>2006</v>
      </c>
      <c r="C55" t="s">
        <v>74</v>
      </c>
      <c r="D55">
        <v>154.21</v>
      </c>
    </row>
    <row r="56" spans="1:4" x14ac:dyDescent="0.45">
      <c r="A56" t="s">
        <v>58</v>
      </c>
      <c r="B56">
        <v>2006</v>
      </c>
      <c r="C56" t="s">
        <v>74</v>
      </c>
      <c r="D56">
        <v>2</v>
      </c>
    </row>
    <row r="57" spans="1:4" x14ac:dyDescent="0.45">
      <c r="A57" t="s">
        <v>91</v>
      </c>
      <c r="B57">
        <v>2006</v>
      </c>
      <c r="C57" t="s">
        <v>74</v>
      </c>
      <c r="D57">
        <v>2.13</v>
      </c>
    </row>
    <row r="58" spans="1:4" x14ac:dyDescent="0.45">
      <c r="A58" t="s">
        <v>32</v>
      </c>
      <c r="B58">
        <v>2007</v>
      </c>
      <c r="C58" t="s">
        <v>74</v>
      </c>
      <c r="D58">
        <v>22.2</v>
      </c>
    </row>
    <row r="59" spans="1:4" x14ac:dyDescent="0.45">
      <c r="A59" t="s">
        <v>34</v>
      </c>
      <c r="B59">
        <v>2007</v>
      </c>
      <c r="C59" t="s">
        <v>74</v>
      </c>
      <c r="D59">
        <v>317.31</v>
      </c>
    </row>
    <row r="60" spans="1:4" x14ac:dyDescent="0.45">
      <c r="A60" t="s">
        <v>36</v>
      </c>
      <c r="B60">
        <v>2007</v>
      </c>
      <c r="C60" t="s">
        <v>74</v>
      </c>
      <c r="D60">
        <v>296.85000000000002</v>
      </c>
    </row>
    <row r="61" spans="1:4" x14ac:dyDescent="0.45">
      <c r="A61" t="s">
        <v>56</v>
      </c>
      <c r="B61">
        <v>2007</v>
      </c>
      <c r="C61" t="s">
        <v>74</v>
      </c>
      <c r="D61">
        <v>74.510000000000005</v>
      </c>
    </row>
    <row r="62" spans="1:4" x14ac:dyDescent="0.45">
      <c r="A62" t="s">
        <v>57</v>
      </c>
      <c r="B62">
        <v>2007</v>
      </c>
      <c r="C62" t="s">
        <v>74</v>
      </c>
      <c r="D62">
        <v>279.01</v>
      </c>
    </row>
    <row r="63" spans="1:4" x14ac:dyDescent="0.45">
      <c r="A63" t="s">
        <v>38</v>
      </c>
      <c r="B63">
        <v>2007</v>
      </c>
      <c r="C63" t="s">
        <v>74</v>
      </c>
      <c r="D63">
        <v>185.18</v>
      </c>
    </row>
    <row r="64" spans="1:4" x14ac:dyDescent="0.45">
      <c r="A64" t="s">
        <v>58</v>
      </c>
      <c r="B64">
        <v>2007</v>
      </c>
      <c r="C64" t="s">
        <v>74</v>
      </c>
      <c r="D64">
        <v>2.31</v>
      </c>
    </row>
    <row r="65" spans="1:4" x14ac:dyDescent="0.45">
      <c r="A65" t="s">
        <v>91</v>
      </c>
      <c r="B65">
        <v>2007</v>
      </c>
      <c r="C65" t="s">
        <v>74</v>
      </c>
      <c r="D65">
        <v>2.74</v>
      </c>
    </row>
    <row r="66" spans="1:4" x14ac:dyDescent="0.45">
      <c r="A66" t="s">
        <v>32</v>
      </c>
      <c r="B66">
        <v>2008</v>
      </c>
      <c r="C66" t="s">
        <v>74</v>
      </c>
      <c r="D66">
        <v>21.29</v>
      </c>
    </row>
    <row r="67" spans="1:4" x14ac:dyDescent="0.45">
      <c r="A67" t="s">
        <v>34</v>
      </c>
      <c r="B67">
        <v>2008</v>
      </c>
      <c r="C67" t="s">
        <v>74</v>
      </c>
      <c r="D67">
        <v>333.7</v>
      </c>
    </row>
    <row r="68" spans="1:4" x14ac:dyDescent="0.45">
      <c r="A68" t="s">
        <v>36</v>
      </c>
      <c r="B68">
        <v>2008</v>
      </c>
      <c r="C68" t="s">
        <v>74</v>
      </c>
      <c r="D68">
        <v>324.83</v>
      </c>
    </row>
    <row r="69" spans="1:4" x14ac:dyDescent="0.45">
      <c r="A69" t="s">
        <v>56</v>
      </c>
      <c r="B69">
        <v>2008</v>
      </c>
      <c r="C69" t="s">
        <v>74</v>
      </c>
      <c r="D69">
        <v>75.16</v>
      </c>
    </row>
    <row r="70" spans="1:4" x14ac:dyDescent="0.45">
      <c r="A70" t="s">
        <v>57</v>
      </c>
      <c r="B70">
        <v>2008</v>
      </c>
      <c r="C70" t="s">
        <v>74</v>
      </c>
      <c r="D70">
        <v>251.74</v>
      </c>
    </row>
    <row r="71" spans="1:4" x14ac:dyDescent="0.45">
      <c r="A71" t="s">
        <v>38</v>
      </c>
      <c r="B71">
        <v>2008</v>
      </c>
      <c r="C71" t="s">
        <v>74</v>
      </c>
      <c r="D71">
        <v>171.45</v>
      </c>
    </row>
    <row r="72" spans="1:4" x14ac:dyDescent="0.45">
      <c r="A72" t="s">
        <v>58</v>
      </c>
      <c r="B72">
        <v>2008</v>
      </c>
      <c r="C72" t="s">
        <v>74</v>
      </c>
      <c r="D72">
        <v>2.59</v>
      </c>
    </row>
    <row r="73" spans="1:4" x14ac:dyDescent="0.45">
      <c r="A73" t="s">
        <v>91</v>
      </c>
      <c r="B73">
        <v>2008</v>
      </c>
      <c r="C73" t="s">
        <v>74</v>
      </c>
      <c r="D73">
        <v>2.94</v>
      </c>
    </row>
    <row r="74" spans="1:4" x14ac:dyDescent="0.45">
      <c r="A74" t="s">
        <v>32</v>
      </c>
      <c r="B74">
        <v>2009</v>
      </c>
      <c r="C74" t="s">
        <v>74</v>
      </c>
      <c r="D74">
        <v>20.329999999999998</v>
      </c>
    </row>
    <row r="75" spans="1:4" x14ac:dyDescent="0.45">
      <c r="A75" t="s">
        <v>34</v>
      </c>
      <c r="B75">
        <v>2009</v>
      </c>
      <c r="C75" t="s">
        <v>74</v>
      </c>
      <c r="D75">
        <v>312.08</v>
      </c>
    </row>
    <row r="76" spans="1:4" x14ac:dyDescent="0.45">
      <c r="A76" t="s">
        <v>36</v>
      </c>
      <c r="B76">
        <v>2009</v>
      </c>
      <c r="C76" t="s">
        <v>74</v>
      </c>
      <c r="D76">
        <v>324.72000000000003</v>
      </c>
    </row>
    <row r="77" spans="1:4" x14ac:dyDescent="0.45">
      <c r="A77" t="s">
        <v>56</v>
      </c>
      <c r="B77">
        <v>2009</v>
      </c>
      <c r="C77" t="s">
        <v>74</v>
      </c>
      <c r="D77">
        <v>70.47</v>
      </c>
    </row>
    <row r="78" spans="1:4" x14ac:dyDescent="0.45">
      <c r="A78" t="s">
        <v>57</v>
      </c>
      <c r="B78">
        <v>2009</v>
      </c>
      <c r="C78" t="s">
        <v>74</v>
      </c>
      <c r="D78">
        <v>274.64999999999998</v>
      </c>
    </row>
    <row r="79" spans="1:4" x14ac:dyDescent="0.45">
      <c r="A79" t="s">
        <v>38</v>
      </c>
      <c r="B79">
        <v>2009</v>
      </c>
      <c r="C79" t="s">
        <v>74</v>
      </c>
      <c r="D79">
        <v>105.29</v>
      </c>
    </row>
    <row r="80" spans="1:4" x14ac:dyDescent="0.45">
      <c r="A80" t="s">
        <v>58</v>
      </c>
      <c r="B80">
        <v>2009</v>
      </c>
      <c r="C80" t="s">
        <v>74</v>
      </c>
      <c r="D80">
        <v>3.05</v>
      </c>
    </row>
    <row r="81" spans="1:4" x14ac:dyDescent="0.45">
      <c r="A81" t="s">
        <v>91</v>
      </c>
      <c r="B81">
        <v>2009</v>
      </c>
      <c r="C81" t="s">
        <v>74</v>
      </c>
      <c r="D81">
        <v>3.43</v>
      </c>
    </row>
    <row r="82" spans="1:4" x14ac:dyDescent="0.45">
      <c r="A82" t="s">
        <v>32</v>
      </c>
      <c r="B82">
        <v>2010</v>
      </c>
      <c r="C82" t="s">
        <v>74</v>
      </c>
      <c r="D82">
        <v>21.83</v>
      </c>
    </row>
    <row r="83" spans="1:4" x14ac:dyDescent="0.45">
      <c r="A83" t="s">
        <v>34</v>
      </c>
      <c r="B83">
        <v>2010</v>
      </c>
      <c r="C83" t="s">
        <v>74</v>
      </c>
      <c r="D83">
        <v>316.85000000000002</v>
      </c>
    </row>
    <row r="84" spans="1:4" x14ac:dyDescent="0.45">
      <c r="A84" t="s">
        <v>36</v>
      </c>
      <c r="B84">
        <v>2010</v>
      </c>
      <c r="C84" t="s">
        <v>74</v>
      </c>
      <c r="D84">
        <v>326.08999999999997</v>
      </c>
    </row>
    <row r="85" spans="1:4" x14ac:dyDescent="0.45">
      <c r="A85" t="s">
        <v>56</v>
      </c>
      <c r="B85">
        <v>2010</v>
      </c>
      <c r="C85" t="s">
        <v>74</v>
      </c>
      <c r="D85">
        <v>88.5</v>
      </c>
    </row>
    <row r="86" spans="1:4" x14ac:dyDescent="0.45">
      <c r="A86" t="s">
        <v>57</v>
      </c>
      <c r="B86">
        <v>2010</v>
      </c>
      <c r="C86" t="s">
        <v>74</v>
      </c>
      <c r="D86">
        <v>292.36</v>
      </c>
    </row>
    <row r="87" spans="1:4" x14ac:dyDescent="0.45">
      <c r="A87" t="s">
        <v>38</v>
      </c>
      <c r="B87">
        <v>2010</v>
      </c>
      <c r="C87" t="s">
        <v>74</v>
      </c>
      <c r="D87">
        <v>102.5</v>
      </c>
    </row>
    <row r="88" spans="1:4" x14ac:dyDescent="0.45">
      <c r="A88" t="s">
        <v>58</v>
      </c>
      <c r="B88">
        <v>2010</v>
      </c>
      <c r="C88" t="s">
        <v>74</v>
      </c>
      <c r="D88">
        <v>3.98</v>
      </c>
    </row>
    <row r="89" spans="1:4" x14ac:dyDescent="0.45">
      <c r="A89" t="s">
        <v>91</v>
      </c>
      <c r="B89">
        <v>2010</v>
      </c>
      <c r="C89" t="s">
        <v>74</v>
      </c>
      <c r="D89">
        <v>3.93</v>
      </c>
    </row>
    <row r="90" spans="1:4" x14ac:dyDescent="0.45">
      <c r="A90" t="s">
        <v>32</v>
      </c>
      <c r="B90">
        <v>2011</v>
      </c>
      <c r="C90" t="s">
        <v>74</v>
      </c>
      <c r="D90">
        <v>21.11</v>
      </c>
    </row>
    <row r="91" spans="1:4" x14ac:dyDescent="0.45">
      <c r="A91" t="s">
        <v>34</v>
      </c>
      <c r="B91">
        <v>2011</v>
      </c>
      <c r="C91" t="s">
        <v>74</v>
      </c>
      <c r="D91">
        <v>285.07</v>
      </c>
    </row>
    <row r="92" spans="1:4" x14ac:dyDescent="0.45">
      <c r="A92" t="s">
        <v>36</v>
      </c>
      <c r="B92">
        <v>2011</v>
      </c>
      <c r="C92" t="s">
        <v>74</v>
      </c>
      <c r="D92">
        <v>379.83</v>
      </c>
    </row>
    <row r="93" spans="1:4" x14ac:dyDescent="0.45">
      <c r="A93" t="s">
        <v>56</v>
      </c>
      <c r="B93">
        <v>2011</v>
      </c>
      <c r="C93" t="s">
        <v>74</v>
      </c>
      <c r="D93">
        <v>82.49</v>
      </c>
    </row>
    <row r="94" spans="1:4" x14ac:dyDescent="0.45">
      <c r="A94" t="s">
        <v>57</v>
      </c>
      <c r="B94">
        <v>2011</v>
      </c>
      <c r="C94" t="s">
        <v>74</v>
      </c>
      <c r="D94">
        <v>162.93</v>
      </c>
    </row>
    <row r="95" spans="1:4" x14ac:dyDescent="0.45">
      <c r="A95" t="s">
        <v>38</v>
      </c>
      <c r="B95">
        <v>2011</v>
      </c>
      <c r="C95" t="s">
        <v>74</v>
      </c>
      <c r="D95">
        <v>162.87</v>
      </c>
    </row>
    <row r="96" spans="1:4" x14ac:dyDescent="0.45">
      <c r="A96" t="s">
        <v>58</v>
      </c>
      <c r="B96">
        <v>2011</v>
      </c>
      <c r="C96" t="s">
        <v>74</v>
      </c>
      <c r="D96">
        <v>5.44</v>
      </c>
    </row>
    <row r="97" spans="1:4" x14ac:dyDescent="0.45">
      <c r="A97" t="s">
        <v>91</v>
      </c>
      <c r="B97">
        <v>2011</v>
      </c>
      <c r="C97" t="s">
        <v>74</v>
      </c>
      <c r="D97">
        <v>4.46</v>
      </c>
    </row>
    <row r="98" spans="1:4" x14ac:dyDescent="0.45">
      <c r="A98" t="s">
        <v>32</v>
      </c>
      <c r="B98">
        <v>2012</v>
      </c>
      <c r="C98" t="s">
        <v>74</v>
      </c>
      <c r="D98">
        <v>22.13</v>
      </c>
    </row>
    <row r="99" spans="1:4" x14ac:dyDescent="0.45">
      <c r="A99" t="s">
        <v>34</v>
      </c>
      <c r="B99">
        <v>2012</v>
      </c>
      <c r="C99" t="s">
        <v>74</v>
      </c>
      <c r="D99">
        <v>334.3</v>
      </c>
    </row>
    <row r="100" spans="1:4" x14ac:dyDescent="0.45">
      <c r="A100" t="s">
        <v>36</v>
      </c>
      <c r="B100">
        <v>2012</v>
      </c>
      <c r="C100" t="s">
        <v>74</v>
      </c>
      <c r="D100">
        <v>435.49</v>
      </c>
    </row>
    <row r="101" spans="1:4" x14ac:dyDescent="0.45">
      <c r="A101" t="s">
        <v>56</v>
      </c>
      <c r="B101">
        <v>2012</v>
      </c>
      <c r="C101" t="s">
        <v>74</v>
      </c>
      <c r="D101">
        <v>77.099999999999994</v>
      </c>
    </row>
    <row r="102" spans="1:4" x14ac:dyDescent="0.45">
      <c r="A102" t="s">
        <v>57</v>
      </c>
      <c r="B102">
        <v>2012</v>
      </c>
      <c r="C102" t="s">
        <v>74</v>
      </c>
      <c r="D102">
        <v>17.989999999999998</v>
      </c>
    </row>
    <row r="103" spans="1:4" x14ac:dyDescent="0.45">
      <c r="A103" t="s">
        <v>38</v>
      </c>
      <c r="B103">
        <v>2012</v>
      </c>
      <c r="C103" t="s">
        <v>74</v>
      </c>
      <c r="D103">
        <v>207.77</v>
      </c>
    </row>
    <row r="104" spans="1:4" x14ac:dyDescent="0.45">
      <c r="A104" t="s">
        <v>58</v>
      </c>
      <c r="B104">
        <v>2012</v>
      </c>
      <c r="C104" t="s">
        <v>74</v>
      </c>
      <c r="D104">
        <v>7.37</v>
      </c>
    </row>
    <row r="105" spans="1:4" x14ac:dyDescent="0.45">
      <c r="A105" t="s">
        <v>91</v>
      </c>
      <c r="B105">
        <v>2012</v>
      </c>
      <c r="C105" t="s">
        <v>74</v>
      </c>
      <c r="D105">
        <v>4.7300000000000004</v>
      </c>
    </row>
    <row r="106" spans="1:4" x14ac:dyDescent="0.45">
      <c r="A106" t="s">
        <v>32</v>
      </c>
      <c r="B106">
        <v>2013</v>
      </c>
      <c r="C106" t="s">
        <v>74</v>
      </c>
      <c r="D106">
        <v>23.18</v>
      </c>
    </row>
    <row r="107" spans="1:4" x14ac:dyDescent="0.45">
      <c r="A107" t="s">
        <v>34</v>
      </c>
      <c r="B107">
        <v>2013</v>
      </c>
      <c r="C107" t="s">
        <v>74</v>
      </c>
      <c r="D107">
        <v>362.55</v>
      </c>
    </row>
    <row r="108" spans="1:4" x14ac:dyDescent="0.45">
      <c r="A108" t="s">
        <v>36</v>
      </c>
      <c r="B108">
        <v>2013</v>
      </c>
      <c r="C108" t="s">
        <v>74</v>
      </c>
      <c r="D108">
        <v>423.58</v>
      </c>
    </row>
    <row r="109" spans="1:4" x14ac:dyDescent="0.45">
      <c r="A109" t="s">
        <v>56</v>
      </c>
      <c r="B109">
        <v>2013</v>
      </c>
      <c r="C109" t="s">
        <v>74</v>
      </c>
      <c r="D109">
        <v>79.33</v>
      </c>
    </row>
    <row r="110" spans="1:4" x14ac:dyDescent="0.45">
      <c r="A110" t="s">
        <v>57</v>
      </c>
      <c r="B110">
        <v>2013</v>
      </c>
      <c r="C110" t="s">
        <v>74</v>
      </c>
      <c r="D110">
        <v>14.6</v>
      </c>
    </row>
    <row r="111" spans="1:4" x14ac:dyDescent="0.45">
      <c r="A111" t="s">
        <v>38</v>
      </c>
      <c r="B111">
        <v>2013</v>
      </c>
      <c r="C111" t="s">
        <v>74</v>
      </c>
      <c r="D111">
        <v>166.48</v>
      </c>
    </row>
    <row r="112" spans="1:4" x14ac:dyDescent="0.45">
      <c r="A112" t="s">
        <v>58</v>
      </c>
      <c r="B112">
        <v>2013</v>
      </c>
      <c r="C112" t="s">
        <v>74</v>
      </c>
      <c r="D112">
        <v>12.91</v>
      </c>
    </row>
    <row r="113" spans="1:4" x14ac:dyDescent="0.45">
      <c r="A113" t="s">
        <v>91</v>
      </c>
      <c r="B113">
        <v>2013</v>
      </c>
      <c r="C113" t="s">
        <v>74</v>
      </c>
      <c r="D113">
        <v>5.13</v>
      </c>
    </row>
    <row r="114" spans="1:4" x14ac:dyDescent="0.45">
      <c r="A114" t="s">
        <v>32</v>
      </c>
      <c r="B114">
        <v>2014</v>
      </c>
      <c r="C114" t="s">
        <v>74</v>
      </c>
      <c r="D114">
        <v>23.63</v>
      </c>
    </row>
    <row r="115" spans="1:4" x14ac:dyDescent="0.45">
      <c r="A115" t="s">
        <v>34</v>
      </c>
      <c r="B115">
        <v>2014</v>
      </c>
      <c r="C115" t="s">
        <v>74</v>
      </c>
      <c r="D115">
        <v>355.6</v>
      </c>
    </row>
    <row r="116" spans="1:4" x14ac:dyDescent="0.45">
      <c r="A116" t="s">
        <v>36</v>
      </c>
      <c r="B116">
        <v>2014</v>
      </c>
      <c r="C116" t="s">
        <v>74</v>
      </c>
      <c r="D116">
        <v>450.88</v>
      </c>
    </row>
    <row r="117" spans="1:4" x14ac:dyDescent="0.45">
      <c r="A117" t="s">
        <v>56</v>
      </c>
      <c r="B117">
        <v>2014</v>
      </c>
      <c r="C117" t="s">
        <v>74</v>
      </c>
      <c r="D117">
        <v>81.709999999999994</v>
      </c>
    </row>
    <row r="118" spans="1:4" x14ac:dyDescent="0.45">
      <c r="A118" t="s">
        <v>57</v>
      </c>
      <c r="B118">
        <v>2014</v>
      </c>
      <c r="C118" t="s">
        <v>74</v>
      </c>
      <c r="D118">
        <v>0</v>
      </c>
    </row>
    <row r="119" spans="1:4" x14ac:dyDescent="0.45">
      <c r="A119" t="s">
        <v>38</v>
      </c>
      <c r="B119">
        <v>2014</v>
      </c>
      <c r="C119" t="s">
        <v>74</v>
      </c>
      <c r="D119">
        <v>122.34</v>
      </c>
    </row>
    <row r="120" spans="1:4" x14ac:dyDescent="0.45">
      <c r="A120" t="s">
        <v>58</v>
      </c>
      <c r="B120">
        <v>2014</v>
      </c>
      <c r="C120" t="s">
        <v>74</v>
      </c>
      <c r="D120">
        <v>23.55</v>
      </c>
    </row>
    <row r="121" spans="1:4" x14ac:dyDescent="0.45">
      <c r="A121" t="s">
        <v>91</v>
      </c>
      <c r="B121">
        <v>2014</v>
      </c>
      <c r="C121" t="s">
        <v>74</v>
      </c>
      <c r="D121">
        <v>5.01</v>
      </c>
    </row>
    <row r="122" spans="1:4" x14ac:dyDescent="0.45">
      <c r="A122" t="s">
        <v>32</v>
      </c>
      <c r="B122">
        <v>2015</v>
      </c>
      <c r="C122" t="s">
        <v>74</v>
      </c>
      <c r="D122">
        <v>28.49</v>
      </c>
    </row>
    <row r="123" spans="1:4" x14ac:dyDescent="0.45">
      <c r="A123" t="s">
        <v>34</v>
      </c>
      <c r="B123">
        <v>2015</v>
      </c>
      <c r="C123" t="s">
        <v>74</v>
      </c>
      <c r="D123">
        <v>349.64</v>
      </c>
    </row>
    <row r="124" spans="1:4" x14ac:dyDescent="0.45">
      <c r="A124" t="s">
        <v>36</v>
      </c>
      <c r="B124">
        <v>2015</v>
      </c>
      <c r="C124" t="s">
        <v>74</v>
      </c>
      <c r="D124">
        <v>417.5</v>
      </c>
    </row>
    <row r="125" spans="1:4" x14ac:dyDescent="0.45">
      <c r="A125" t="s">
        <v>56</v>
      </c>
      <c r="B125">
        <v>2015</v>
      </c>
      <c r="C125" t="s">
        <v>74</v>
      </c>
      <c r="D125">
        <v>85.77</v>
      </c>
    </row>
    <row r="126" spans="1:4" x14ac:dyDescent="0.45">
      <c r="A126" t="s">
        <v>57</v>
      </c>
      <c r="B126">
        <v>2015</v>
      </c>
      <c r="C126" t="s">
        <v>74</v>
      </c>
      <c r="D126">
        <v>4.5199999999999996</v>
      </c>
    </row>
    <row r="127" spans="1:4" x14ac:dyDescent="0.45">
      <c r="A127" t="s">
        <v>38</v>
      </c>
      <c r="B127">
        <v>2015</v>
      </c>
      <c r="C127" t="s">
        <v>74</v>
      </c>
      <c r="D127">
        <v>104.44</v>
      </c>
    </row>
    <row r="128" spans="1:4" x14ac:dyDescent="0.45">
      <c r="A128" t="s">
        <v>58</v>
      </c>
      <c r="B128">
        <v>2015</v>
      </c>
      <c r="C128" t="s">
        <v>74</v>
      </c>
      <c r="D128">
        <v>34.54</v>
      </c>
    </row>
    <row r="129" spans="1:4" x14ac:dyDescent="0.45">
      <c r="A129" t="s">
        <v>91</v>
      </c>
      <c r="B129">
        <v>2015</v>
      </c>
      <c r="C129" t="s">
        <v>74</v>
      </c>
      <c r="D129">
        <v>5.22</v>
      </c>
    </row>
    <row r="130" spans="1:4" x14ac:dyDescent="0.45">
      <c r="A130" t="s">
        <v>32</v>
      </c>
      <c r="B130">
        <v>2016</v>
      </c>
      <c r="C130" t="s">
        <v>74</v>
      </c>
      <c r="D130">
        <v>23.67</v>
      </c>
    </row>
    <row r="131" spans="1:4" x14ac:dyDescent="0.45">
      <c r="A131" t="s">
        <v>34</v>
      </c>
      <c r="B131">
        <v>2016</v>
      </c>
      <c r="C131" t="s">
        <v>74</v>
      </c>
      <c r="D131">
        <v>338.59</v>
      </c>
    </row>
    <row r="132" spans="1:4" x14ac:dyDescent="0.45">
      <c r="A132" t="s">
        <v>36</v>
      </c>
      <c r="B132">
        <v>2016</v>
      </c>
      <c r="C132" t="s">
        <v>74</v>
      </c>
      <c r="D132">
        <v>458.43</v>
      </c>
    </row>
    <row r="133" spans="1:4" x14ac:dyDescent="0.45">
      <c r="A133" t="s">
        <v>56</v>
      </c>
      <c r="B133">
        <v>2016</v>
      </c>
      <c r="C133" t="s">
        <v>74</v>
      </c>
      <c r="D133">
        <v>79.430000000000007</v>
      </c>
    </row>
    <row r="134" spans="1:4" x14ac:dyDescent="0.45">
      <c r="A134" t="s">
        <v>57</v>
      </c>
      <c r="B134">
        <v>2016</v>
      </c>
      <c r="C134" t="s">
        <v>74</v>
      </c>
      <c r="D134">
        <v>17.68</v>
      </c>
    </row>
    <row r="135" spans="1:4" x14ac:dyDescent="0.45">
      <c r="A135" t="s">
        <v>38</v>
      </c>
      <c r="B135">
        <v>2016</v>
      </c>
      <c r="C135" t="s">
        <v>74</v>
      </c>
      <c r="D135">
        <v>97.23</v>
      </c>
    </row>
    <row r="136" spans="1:4" x14ac:dyDescent="0.45">
      <c r="A136" t="s">
        <v>58</v>
      </c>
      <c r="B136">
        <v>2016</v>
      </c>
      <c r="C136" t="s">
        <v>74</v>
      </c>
      <c r="D136">
        <v>43.33</v>
      </c>
    </row>
    <row r="137" spans="1:4" x14ac:dyDescent="0.45">
      <c r="A137" t="s">
        <v>91</v>
      </c>
      <c r="B137">
        <v>2016</v>
      </c>
      <c r="C137" t="s">
        <v>74</v>
      </c>
      <c r="D137">
        <v>5.34</v>
      </c>
    </row>
    <row r="138" spans="1:4" x14ac:dyDescent="0.45">
      <c r="A138" t="s">
        <v>32</v>
      </c>
      <c r="B138">
        <v>2017</v>
      </c>
      <c r="C138" t="s">
        <v>74</v>
      </c>
      <c r="D138">
        <v>23.8</v>
      </c>
    </row>
    <row r="139" spans="1:4" x14ac:dyDescent="0.45">
      <c r="A139" t="s">
        <v>34</v>
      </c>
      <c r="B139">
        <v>2017</v>
      </c>
      <c r="C139" t="s">
        <v>74</v>
      </c>
      <c r="D139">
        <v>363.47</v>
      </c>
    </row>
    <row r="140" spans="1:4" x14ac:dyDescent="0.45">
      <c r="A140" t="s">
        <v>36</v>
      </c>
      <c r="B140">
        <v>2017</v>
      </c>
      <c r="C140" t="s">
        <v>74</v>
      </c>
      <c r="D140">
        <v>464.13</v>
      </c>
    </row>
    <row r="141" spans="1:4" x14ac:dyDescent="0.45">
      <c r="A141" t="s">
        <v>56</v>
      </c>
      <c r="B141">
        <v>2017</v>
      </c>
      <c r="C141" t="s">
        <v>74</v>
      </c>
      <c r="D141">
        <v>79.239999999999995</v>
      </c>
    </row>
    <row r="142" spans="1:4" x14ac:dyDescent="0.45">
      <c r="A142" t="s">
        <v>57</v>
      </c>
      <c r="B142">
        <v>2017</v>
      </c>
      <c r="C142" t="s">
        <v>74</v>
      </c>
      <c r="D142">
        <v>29.07</v>
      </c>
    </row>
    <row r="143" spans="1:4" x14ac:dyDescent="0.45">
      <c r="A143" t="s">
        <v>38</v>
      </c>
      <c r="B143">
        <v>2017</v>
      </c>
      <c r="C143" t="s">
        <v>74</v>
      </c>
      <c r="D143">
        <v>56.89</v>
      </c>
    </row>
    <row r="144" spans="1:4" x14ac:dyDescent="0.45">
      <c r="A144" t="s">
        <v>58</v>
      </c>
      <c r="B144">
        <v>2017</v>
      </c>
      <c r="C144" t="s">
        <v>74</v>
      </c>
      <c r="D144">
        <v>54.04</v>
      </c>
    </row>
    <row r="145" spans="1:4" x14ac:dyDescent="0.45">
      <c r="A145" t="s">
        <v>91</v>
      </c>
      <c r="B145">
        <v>2017</v>
      </c>
      <c r="C145" t="s">
        <v>74</v>
      </c>
      <c r="D145">
        <v>6.22</v>
      </c>
    </row>
    <row r="146" spans="1:4" x14ac:dyDescent="0.45">
      <c r="A146" t="s">
        <v>32</v>
      </c>
      <c r="B146">
        <v>2018</v>
      </c>
      <c r="C146" t="s">
        <v>74</v>
      </c>
      <c r="D146">
        <v>25.75</v>
      </c>
    </row>
    <row r="147" spans="1:4" x14ac:dyDescent="0.45">
      <c r="A147" t="s">
        <v>34</v>
      </c>
      <c r="B147">
        <v>2018</v>
      </c>
      <c r="C147" t="s">
        <v>74</v>
      </c>
      <c r="D147">
        <v>360.66</v>
      </c>
    </row>
    <row r="148" spans="1:4" x14ac:dyDescent="0.45">
      <c r="A148" t="s">
        <v>36</v>
      </c>
      <c r="B148">
        <v>2018</v>
      </c>
      <c r="C148" t="s">
        <v>74</v>
      </c>
      <c r="D148">
        <v>445.61</v>
      </c>
    </row>
    <row r="149" spans="1:4" x14ac:dyDescent="0.45">
      <c r="A149" t="s">
        <v>56</v>
      </c>
      <c r="B149">
        <v>2018</v>
      </c>
      <c r="C149" t="s">
        <v>74</v>
      </c>
      <c r="D149">
        <v>81</v>
      </c>
    </row>
    <row r="150" spans="1:4" x14ac:dyDescent="0.45">
      <c r="A150" t="s">
        <v>57</v>
      </c>
      <c r="B150">
        <v>2018</v>
      </c>
      <c r="C150" t="s">
        <v>74</v>
      </c>
      <c r="D150">
        <v>49.11</v>
      </c>
    </row>
    <row r="151" spans="1:4" x14ac:dyDescent="0.45">
      <c r="A151" t="s">
        <v>38</v>
      </c>
      <c r="B151">
        <v>2018</v>
      </c>
      <c r="C151" t="s">
        <v>74</v>
      </c>
      <c r="D151">
        <v>52.21</v>
      </c>
    </row>
    <row r="152" spans="1:4" x14ac:dyDescent="0.45">
      <c r="A152" t="s">
        <v>58</v>
      </c>
      <c r="B152">
        <v>2018</v>
      </c>
      <c r="C152" t="s">
        <v>74</v>
      </c>
      <c r="D152">
        <v>61.22</v>
      </c>
    </row>
    <row r="153" spans="1:4" x14ac:dyDescent="0.45">
      <c r="A153" t="s">
        <v>91</v>
      </c>
      <c r="B153">
        <v>2018</v>
      </c>
      <c r="C153" t="s">
        <v>74</v>
      </c>
      <c r="D153">
        <v>7.37</v>
      </c>
    </row>
    <row r="154" spans="1:4" x14ac:dyDescent="0.45">
      <c r="A154" t="s">
        <v>32</v>
      </c>
      <c r="B154">
        <v>2019</v>
      </c>
      <c r="C154" t="s">
        <v>74</v>
      </c>
      <c r="D154">
        <v>27.6</v>
      </c>
    </row>
    <row r="155" spans="1:4" x14ac:dyDescent="0.45">
      <c r="A155" t="s">
        <v>34</v>
      </c>
      <c r="B155">
        <v>2019</v>
      </c>
      <c r="C155" t="s">
        <v>74</v>
      </c>
      <c r="D155">
        <v>350.77</v>
      </c>
    </row>
    <row r="156" spans="1:4" x14ac:dyDescent="0.45">
      <c r="A156" t="s">
        <v>36</v>
      </c>
      <c r="B156">
        <v>2019</v>
      </c>
      <c r="C156" t="s">
        <v>74</v>
      </c>
      <c r="D156">
        <v>416.95</v>
      </c>
    </row>
    <row r="157" spans="1:4" x14ac:dyDescent="0.45">
      <c r="A157" t="s">
        <v>56</v>
      </c>
      <c r="B157">
        <v>2019</v>
      </c>
      <c r="C157" t="s">
        <v>74</v>
      </c>
      <c r="D157">
        <v>73.92</v>
      </c>
    </row>
    <row r="158" spans="1:4" x14ac:dyDescent="0.45">
      <c r="A158" t="s">
        <v>57</v>
      </c>
      <c r="B158">
        <v>2019</v>
      </c>
      <c r="C158" t="s">
        <v>74</v>
      </c>
      <c r="D158">
        <v>65.64</v>
      </c>
    </row>
    <row r="159" spans="1:4" x14ac:dyDescent="0.45">
      <c r="A159" t="s">
        <v>38</v>
      </c>
      <c r="B159">
        <v>2019</v>
      </c>
      <c r="C159" t="s">
        <v>74</v>
      </c>
      <c r="D159">
        <v>37.630000000000003</v>
      </c>
    </row>
    <row r="160" spans="1:4" x14ac:dyDescent="0.45">
      <c r="A160" t="s">
        <v>58</v>
      </c>
      <c r="B160">
        <v>2019</v>
      </c>
      <c r="C160" t="s">
        <v>74</v>
      </c>
      <c r="D160">
        <v>67.430000000000007</v>
      </c>
    </row>
    <row r="161" spans="1:4" x14ac:dyDescent="0.45">
      <c r="A161" t="s">
        <v>91</v>
      </c>
      <c r="B161">
        <v>2019</v>
      </c>
      <c r="C161" t="s">
        <v>74</v>
      </c>
      <c r="D161">
        <v>7.46</v>
      </c>
    </row>
    <row r="162" spans="1:4" x14ac:dyDescent="0.45">
      <c r="A162" t="s">
        <v>32</v>
      </c>
      <c r="B162">
        <v>2020</v>
      </c>
      <c r="C162" t="s">
        <v>74</v>
      </c>
      <c r="D162">
        <v>30.37</v>
      </c>
    </row>
    <row r="163" spans="1:4" x14ac:dyDescent="0.45">
      <c r="A163" t="s">
        <v>34</v>
      </c>
      <c r="B163">
        <v>2020</v>
      </c>
      <c r="C163" t="s">
        <v>74</v>
      </c>
      <c r="D163">
        <v>340.25</v>
      </c>
    </row>
    <row r="164" spans="1:4" x14ac:dyDescent="0.45">
      <c r="A164" t="s">
        <v>36</v>
      </c>
      <c r="B164">
        <v>2020</v>
      </c>
      <c r="C164" t="s">
        <v>74</v>
      </c>
      <c r="D164">
        <v>409.44</v>
      </c>
    </row>
    <row r="165" spans="1:4" x14ac:dyDescent="0.45">
      <c r="A165" t="s">
        <v>56</v>
      </c>
      <c r="B165">
        <v>2020</v>
      </c>
      <c r="C165" t="s">
        <v>74</v>
      </c>
      <c r="D165">
        <v>78.33</v>
      </c>
    </row>
    <row r="166" spans="1:4" x14ac:dyDescent="0.45">
      <c r="A166" t="s">
        <v>57</v>
      </c>
      <c r="B166">
        <v>2020</v>
      </c>
      <c r="C166" t="s">
        <v>74</v>
      </c>
      <c r="D166">
        <v>43</v>
      </c>
    </row>
    <row r="167" spans="1:4" x14ac:dyDescent="0.45">
      <c r="A167" t="s">
        <v>38</v>
      </c>
      <c r="B167">
        <v>2020</v>
      </c>
      <c r="C167" t="s">
        <v>74</v>
      </c>
      <c r="D167">
        <v>25.31</v>
      </c>
    </row>
    <row r="168" spans="1:4" x14ac:dyDescent="0.45">
      <c r="A168" t="s">
        <v>58</v>
      </c>
      <c r="B168">
        <v>2020</v>
      </c>
      <c r="C168" t="s">
        <v>74</v>
      </c>
      <c r="D168">
        <v>75.92</v>
      </c>
    </row>
    <row r="169" spans="1:4" x14ac:dyDescent="0.45">
      <c r="A169" t="s">
        <v>91</v>
      </c>
      <c r="B169">
        <v>2020</v>
      </c>
      <c r="C169" t="s">
        <v>74</v>
      </c>
      <c r="D169">
        <v>8.41</v>
      </c>
    </row>
    <row r="170" spans="1:4" x14ac:dyDescent="0.45">
      <c r="A170" t="s">
        <v>32</v>
      </c>
      <c r="B170">
        <v>2021</v>
      </c>
      <c r="C170" t="s">
        <v>74</v>
      </c>
      <c r="D170">
        <v>34.79</v>
      </c>
    </row>
    <row r="171" spans="1:4" x14ac:dyDescent="0.45">
      <c r="A171" t="s">
        <v>34</v>
      </c>
      <c r="B171">
        <v>2021</v>
      </c>
      <c r="C171" t="s">
        <v>74</v>
      </c>
      <c r="D171">
        <v>348.26</v>
      </c>
    </row>
    <row r="172" spans="1:4" x14ac:dyDescent="0.45">
      <c r="A172" t="s">
        <v>36</v>
      </c>
      <c r="B172">
        <v>2021</v>
      </c>
      <c r="C172" t="s">
        <v>74</v>
      </c>
      <c r="D172">
        <v>385.78</v>
      </c>
    </row>
    <row r="173" spans="1:4" x14ac:dyDescent="0.45">
      <c r="A173" t="s">
        <v>56</v>
      </c>
      <c r="B173">
        <v>2021</v>
      </c>
      <c r="C173" t="s">
        <v>74</v>
      </c>
      <c r="D173">
        <v>79.63</v>
      </c>
    </row>
    <row r="174" spans="1:4" x14ac:dyDescent="0.45">
      <c r="A174" t="s">
        <v>57</v>
      </c>
      <c r="B174">
        <v>2021</v>
      </c>
      <c r="C174" t="s">
        <v>74</v>
      </c>
      <c r="D174">
        <v>61.22</v>
      </c>
    </row>
    <row r="175" spans="1:4" x14ac:dyDescent="0.45">
      <c r="A175" t="s">
        <v>38</v>
      </c>
      <c r="B175">
        <v>2021</v>
      </c>
      <c r="C175" t="s">
        <v>74</v>
      </c>
      <c r="D175">
        <v>31.27</v>
      </c>
    </row>
    <row r="176" spans="1:4" x14ac:dyDescent="0.45">
      <c r="A176" t="s">
        <v>58</v>
      </c>
      <c r="B176">
        <v>2021</v>
      </c>
      <c r="C176" t="s">
        <v>74</v>
      </c>
      <c r="D176">
        <v>84.18</v>
      </c>
    </row>
    <row r="177" spans="1:4" x14ac:dyDescent="0.45">
      <c r="A177" t="s">
        <v>91</v>
      </c>
      <c r="B177">
        <v>2021</v>
      </c>
      <c r="C177" t="s">
        <v>74</v>
      </c>
      <c r="D177">
        <v>9.5399999999999991</v>
      </c>
    </row>
    <row r="178" spans="1:4" x14ac:dyDescent="0.45">
      <c r="A178" t="s">
        <v>32</v>
      </c>
      <c r="B178">
        <v>2022</v>
      </c>
      <c r="C178" t="s">
        <v>74</v>
      </c>
      <c r="D178">
        <v>37.83</v>
      </c>
    </row>
    <row r="179" spans="1:4" x14ac:dyDescent="0.45">
      <c r="A179" t="s">
        <v>34</v>
      </c>
      <c r="B179">
        <v>2022</v>
      </c>
      <c r="C179" t="s">
        <v>74</v>
      </c>
      <c r="D179">
        <v>350.99</v>
      </c>
    </row>
    <row r="180" spans="1:4" x14ac:dyDescent="0.45">
      <c r="A180" t="s">
        <v>36</v>
      </c>
      <c r="B180">
        <v>2022</v>
      </c>
      <c r="C180" t="s">
        <v>74</v>
      </c>
      <c r="D180">
        <v>378.84</v>
      </c>
    </row>
    <row r="181" spans="1:4" x14ac:dyDescent="0.45">
      <c r="A181" t="s">
        <v>56</v>
      </c>
      <c r="B181">
        <v>2022</v>
      </c>
      <c r="C181" t="s">
        <v>74</v>
      </c>
      <c r="D181">
        <v>74.87</v>
      </c>
    </row>
    <row r="182" spans="1:4" x14ac:dyDescent="0.45">
      <c r="A182" t="s">
        <v>57</v>
      </c>
      <c r="B182">
        <v>2022</v>
      </c>
      <c r="C182" t="s">
        <v>74</v>
      </c>
      <c r="D182">
        <v>51.77</v>
      </c>
    </row>
    <row r="183" spans="1:4" x14ac:dyDescent="0.45">
      <c r="A183" t="s">
        <v>38</v>
      </c>
      <c r="B183">
        <v>2022</v>
      </c>
      <c r="C183" t="s">
        <v>74</v>
      </c>
      <c r="D183">
        <v>45.78</v>
      </c>
    </row>
    <row r="184" spans="1:4" x14ac:dyDescent="0.45">
      <c r="A184" t="s">
        <v>58</v>
      </c>
      <c r="B184">
        <v>2022</v>
      </c>
      <c r="C184" t="s">
        <v>74</v>
      </c>
      <c r="D184">
        <v>91.07</v>
      </c>
    </row>
    <row r="185" spans="1:4" x14ac:dyDescent="0.45">
      <c r="A185" t="s">
        <v>91</v>
      </c>
      <c r="B185">
        <v>2022</v>
      </c>
      <c r="C185" t="s">
        <v>74</v>
      </c>
      <c r="D185">
        <v>9.42</v>
      </c>
    </row>
    <row r="186" spans="1:4" x14ac:dyDescent="0.45">
      <c r="A186" t="s">
        <v>32</v>
      </c>
      <c r="B186">
        <v>2023</v>
      </c>
      <c r="C186" t="s">
        <v>74</v>
      </c>
      <c r="D186">
        <v>42.05</v>
      </c>
    </row>
    <row r="187" spans="1:4" x14ac:dyDescent="0.45">
      <c r="A187" t="s">
        <v>34</v>
      </c>
      <c r="B187">
        <v>2023</v>
      </c>
      <c r="C187" t="s">
        <v>74</v>
      </c>
      <c r="D187">
        <v>329.1</v>
      </c>
    </row>
    <row r="188" spans="1:4" x14ac:dyDescent="0.45">
      <c r="A188" t="s">
        <v>36</v>
      </c>
      <c r="B188">
        <v>2023</v>
      </c>
      <c r="C188" t="s">
        <v>74</v>
      </c>
      <c r="D188">
        <v>347.02</v>
      </c>
    </row>
    <row r="189" spans="1:4" x14ac:dyDescent="0.45">
      <c r="A189" t="s">
        <v>56</v>
      </c>
      <c r="B189">
        <v>2023</v>
      </c>
      <c r="C189" t="s">
        <v>74</v>
      </c>
      <c r="D189">
        <v>74.5</v>
      </c>
    </row>
    <row r="190" spans="1:4" x14ac:dyDescent="0.45">
      <c r="A190" t="s">
        <v>57</v>
      </c>
      <c r="B190">
        <v>2023</v>
      </c>
      <c r="C190" t="s">
        <v>74</v>
      </c>
      <c r="D190">
        <v>77.459999999999994</v>
      </c>
    </row>
    <row r="191" spans="1:4" x14ac:dyDescent="0.45">
      <c r="A191" t="s">
        <v>38</v>
      </c>
      <c r="B191">
        <v>2023</v>
      </c>
      <c r="C191" t="s">
        <v>74</v>
      </c>
      <c r="D191">
        <v>36.130000000000003</v>
      </c>
    </row>
    <row r="192" spans="1:4" x14ac:dyDescent="0.45">
      <c r="A192" t="s">
        <v>58</v>
      </c>
      <c r="B192">
        <v>2023</v>
      </c>
      <c r="C192" t="s">
        <v>74</v>
      </c>
      <c r="D192">
        <v>96.99</v>
      </c>
    </row>
    <row r="193" spans="1:4" x14ac:dyDescent="0.45">
      <c r="A193" t="s">
        <v>91</v>
      </c>
      <c r="B193">
        <v>2023</v>
      </c>
      <c r="C193" t="s">
        <v>74</v>
      </c>
      <c r="D193">
        <v>10.01</v>
      </c>
    </row>
    <row r="194" spans="1:4" x14ac:dyDescent="0.45">
      <c r="A194" t="s">
        <v>32</v>
      </c>
      <c r="B194">
        <v>2000</v>
      </c>
      <c r="C194" t="s">
        <v>75</v>
      </c>
      <c r="D194">
        <v>0.37</v>
      </c>
    </row>
    <row r="195" spans="1:4" x14ac:dyDescent="0.45">
      <c r="A195" t="s">
        <v>34</v>
      </c>
      <c r="B195">
        <v>2000</v>
      </c>
      <c r="C195" t="s">
        <v>75</v>
      </c>
      <c r="D195">
        <v>31.81</v>
      </c>
    </row>
    <row r="196" spans="1:4" x14ac:dyDescent="0.45">
      <c r="A196" t="s">
        <v>36</v>
      </c>
      <c r="B196">
        <v>2000</v>
      </c>
      <c r="C196" t="s">
        <v>75</v>
      </c>
      <c r="D196">
        <v>50.53</v>
      </c>
    </row>
    <row r="197" spans="1:4" x14ac:dyDescent="0.45">
      <c r="A197" t="s">
        <v>56</v>
      </c>
      <c r="B197">
        <v>2000</v>
      </c>
      <c r="C197" t="s">
        <v>75</v>
      </c>
      <c r="D197">
        <v>22.02</v>
      </c>
    </row>
    <row r="198" spans="1:4" x14ac:dyDescent="0.45">
      <c r="A198" t="s">
        <v>57</v>
      </c>
      <c r="B198">
        <v>2000</v>
      </c>
      <c r="C198" t="s">
        <v>75</v>
      </c>
      <c r="D198">
        <v>45.25</v>
      </c>
    </row>
    <row r="199" spans="1:4" x14ac:dyDescent="0.45">
      <c r="A199" t="s">
        <v>38</v>
      </c>
      <c r="B199">
        <v>2000</v>
      </c>
      <c r="C199" t="s">
        <v>75</v>
      </c>
      <c r="D199">
        <v>51.71</v>
      </c>
    </row>
    <row r="200" spans="1:4" x14ac:dyDescent="0.45">
      <c r="A200" t="s">
        <v>58</v>
      </c>
      <c r="B200">
        <v>2000</v>
      </c>
      <c r="C200" t="s">
        <v>75</v>
      </c>
      <c r="D200">
        <v>0.33</v>
      </c>
    </row>
    <row r="201" spans="1:4" x14ac:dyDescent="0.45">
      <c r="A201" t="s">
        <v>91</v>
      </c>
      <c r="B201">
        <v>2000</v>
      </c>
      <c r="C201" t="s">
        <v>75</v>
      </c>
      <c r="D201">
        <v>0.08</v>
      </c>
    </row>
    <row r="202" spans="1:4" x14ac:dyDescent="0.45">
      <c r="A202" t="s">
        <v>32</v>
      </c>
      <c r="B202">
        <v>2001</v>
      </c>
      <c r="C202" t="s">
        <v>75</v>
      </c>
      <c r="D202">
        <v>0.37</v>
      </c>
    </row>
    <row r="203" spans="1:4" x14ac:dyDescent="0.45">
      <c r="A203" t="s">
        <v>34</v>
      </c>
      <c r="B203">
        <v>2001</v>
      </c>
      <c r="C203" t="s">
        <v>75</v>
      </c>
      <c r="D203">
        <v>32.93</v>
      </c>
    </row>
    <row r="204" spans="1:4" x14ac:dyDescent="0.45">
      <c r="A204" t="s">
        <v>36</v>
      </c>
      <c r="B204">
        <v>2001</v>
      </c>
      <c r="C204" t="s">
        <v>75</v>
      </c>
      <c r="D204">
        <v>51.77</v>
      </c>
    </row>
    <row r="205" spans="1:4" x14ac:dyDescent="0.45">
      <c r="A205" t="s">
        <v>56</v>
      </c>
      <c r="B205">
        <v>2001</v>
      </c>
      <c r="C205" t="s">
        <v>75</v>
      </c>
      <c r="D205">
        <v>27.35</v>
      </c>
    </row>
    <row r="206" spans="1:4" x14ac:dyDescent="0.45">
      <c r="A206" t="s">
        <v>57</v>
      </c>
      <c r="B206">
        <v>2001</v>
      </c>
      <c r="C206" t="s">
        <v>75</v>
      </c>
      <c r="D206">
        <v>45.91</v>
      </c>
    </row>
    <row r="207" spans="1:4" x14ac:dyDescent="0.45">
      <c r="A207" t="s">
        <v>38</v>
      </c>
      <c r="B207">
        <v>2001</v>
      </c>
      <c r="C207" t="s">
        <v>75</v>
      </c>
      <c r="D207">
        <v>44.75</v>
      </c>
    </row>
    <row r="208" spans="1:4" x14ac:dyDescent="0.45">
      <c r="A208" t="s">
        <v>58</v>
      </c>
      <c r="B208">
        <v>2001</v>
      </c>
      <c r="C208" t="s">
        <v>75</v>
      </c>
      <c r="D208">
        <v>0.45</v>
      </c>
    </row>
    <row r="209" spans="1:4" x14ac:dyDescent="0.45">
      <c r="A209" t="s">
        <v>91</v>
      </c>
      <c r="B209">
        <v>2001</v>
      </c>
      <c r="C209" t="s">
        <v>75</v>
      </c>
      <c r="D209">
        <v>0.17</v>
      </c>
    </row>
    <row r="210" spans="1:4" x14ac:dyDescent="0.45">
      <c r="A210" t="s">
        <v>32</v>
      </c>
      <c r="B210">
        <v>2002</v>
      </c>
      <c r="C210" t="s">
        <v>75</v>
      </c>
      <c r="D210">
        <v>0.37</v>
      </c>
    </row>
    <row r="211" spans="1:4" x14ac:dyDescent="0.45">
      <c r="A211" t="s">
        <v>34</v>
      </c>
      <c r="B211">
        <v>2002</v>
      </c>
      <c r="C211" t="s">
        <v>75</v>
      </c>
      <c r="D211">
        <v>36.479999999999997</v>
      </c>
    </row>
    <row r="212" spans="1:4" x14ac:dyDescent="0.45">
      <c r="A212" t="s">
        <v>36</v>
      </c>
      <c r="B212">
        <v>2002</v>
      </c>
      <c r="C212" t="s">
        <v>75</v>
      </c>
      <c r="D212">
        <v>52.69</v>
      </c>
    </row>
    <row r="213" spans="1:4" x14ac:dyDescent="0.45">
      <c r="A213" t="s">
        <v>56</v>
      </c>
      <c r="B213">
        <v>2002</v>
      </c>
      <c r="C213" t="s">
        <v>75</v>
      </c>
      <c r="D213">
        <v>27.42</v>
      </c>
    </row>
    <row r="214" spans="1:4" x14ac:dyDescent="0.45">
      <c r="A214" t="s">
        <v>57</v>
      </c>
      <c r="B214">
        <v>2002</v>
      </c>
      <c r="C214" t="s">
        <v>75</v>
      </c>
      <c r="D214">
        <v>45.91</v>
      </c>
    </row>
    <row r="215" spans="1:4" x14ac:dyDescent="0.45">
      <c r="A215" t="s">
        <v>38</v>
      </c>
      <c r="B215">
        <v>2002</v>
      </c>
      <c r="C215" t="s">
        <v>75</v>
      </c>
      <c r="D215">
        <v>44.16</v>
      </c>
    </row>
    <row r="216" spans="1:4" x14ac:dyDescent="0.45">
      <c r="A216" t="s">
        <v>58</v>
      </c>
      <c r="B216">
        <v>2002</v>
      </c>
      <c r="C216" t="s">
        <v>75</v>
      </c>
      <c r="D216">
        <v>0.64</v>
      </c>
    </row>
    <row r="217" spans="1:4" x14ac:dyDescent="0.45">
      <c r="A217" t="s">
        <v>91</v>
      </c>
      <c r="B217">
        <v>2002</v>
      </c>
      <c r="C217" t="s">
        <v>75</v>
      </c>
      <c r="D217">
        <v>0.28000000000000003</v>
      </c>
    </row>
    <row r="218" spans="1:4" x14ac:dyDescent="0.45">
      <c r="A218" t="s">
        <v>32</v>
      </c>
      <c r="B218">
        <v>2003</v>
      </c>
      <c r="C218" t="s">
        <v>75</v>
      </c>
      <c r="D218">
        <v>0.37</v>
      </c>
    </row>
    <row r="219" spans="1:4" x14ac:dyDescent="0.45">
      <c r="A219" t="s">
        <v>34</v>
      </c>
      <c r="B219">
        <v>2003</v>
      </c>
      <c r="C219" t="s">
        <v>75</v>
      </c>
      <c r="D219">
        <v>38.619999999999997</v>
      </c>
    </row>
    <row r="220" spans="1:4" x14ac:dyDescent="0.45">
      <c r="A220" t="s">
        <v>36</v>
      </c>
      <c r="B220">
        <v>2003</v>
      </c>
      <c r="C220" t="s">
        <v>75</v>
      </c>
      <c r="D220">
        <v>54.55</v>
      </c>
    </row>
    <row r="221" spans="1:4" x14ac:dyDescent="0.45">
      <c r="A221" t="s">
        <v>56</v>
      </c>
      <c r="B221">
        <v>2003</v>
      </c>
      <c r="C221" t="s">
        <v>75</v>
      </c>
      <c r="D221">
        <v>27.73</v>
      </c>
    </row>
    <row r="222" spans="1:4" x14ac:dyDescent="0.45">
      <c r="A222" t="s">
        <v>57</v>
      </c>
      <c r="B222">
        <v>2003</v>
      </c>
      <c r="C222" t="s">
        <v>75</v>
      </c>
      <c r="D222">
        <v>45.74</v>
      </c>
    </row>
    <row r="223" spans="1:4" x14ac:dyDescent="0.45">
      <c r="A223" t="s">
        <v>38</v>
      </c>
      <c r="B223">
        <v>2003</v>
      </c>
      <c r="C223" t="s">
        <v>75</v>
      </c>
      <c r="D223">
        <v>41.41</v>
      </c>
    </row>
    <row r="224" spans="1:4" x14ac:dyDescent="0.45">
      <c r="A224" t="s">
        <v>58</v>
      </c>
      <c r="B224">
        <v>2003</v>
      </c>
      <c r="C224" t="s">
        <v>75</v>
      </c>
      <c r="D224">
        <v>0.86</v>
      </c>
    </row>
    <row r="225" spans="1:4" x14ac:dyDescent="0.45">
      <c r="A225" t="s">
        <v>91</v>
      </c>
      <c r="B225">
        <v>2003</v>
      </c>
      <c r="C225" t="s">
        <v>75</v>
      </c>
      <c r="D225">
        <v>0.51</v>
      </c>
    </row>
    <row r="226" spans="1:4" x14ac:dyDescent="0.45">
      <c r="A226" t="s">
        <v>32</v>
      </c>
      <c r="B226">
        <v>2004</v>
      </c>
      <c r="C226" t="s">
        <v>75</v>
      </c>
      <c r="D226">
        <v>0.47</v>
      </c>
    </row>
    <row r="227" spans="1:4" x14ac:dyDescent="0.45">
      <c r="A227" t="s">
        <v>34</v>
      </c>
      <c r="B227">
        <v>2004</v>
      </c>
      <c r="C227" t="s">
        <v>75</v>
      </c>
      <c r="D227">
        <v>40.93</v>
      </c>
    </row>
    <row r="228" spans="1:4" x14ac:dyDescent="0.45">
      <c r="A228" t="s">
        <v>36</v>
      </c>
      <c r="B228">
        <v>2004</v>
      </c>
      <c r="C228" t="s">
        <v>75</v>
      </c>
      <c r="D228">
        <v>55.01</v>
      </c>
    </row>
    <row r="229" spans="1:4" x14ac:dyDescent="0.45">
      <c r="A229" t="s">
        <v>56</v>
      </c>
      <c r="B229">
        <v>2004</v>
      </c>
      <c r="C229" t="s">
        <v>75</v>
      </c>
      <c r="D229">
        <v>27.76</v>
      </c>
    </row>
    <row r="230" spans="1:4" x14ac:dyDescent="0.45">
      <c r="A230" t="s">
        <v>57</v>
      </c>
      <c r="B230">
        <v>2004</v>
      </c>
      <c r="C230" t="s">
        <v>75</v>
      </c>
      <c r="D230">
        <v>47.12</v>
      </c>
    </row>
    <row r="231" spans="1:4" x14ac:dyDescent="0.45">
      <c r="A231" t="s">
        <v>38</v>
      </c>
      <c r="B231">
        <v>2004</v>
      </c>
      <c r="C231" t="s">
        <v>75</v>
      </c>
      <c r="D231">
        <v>41.18</v>
      </c>
    </row>
    <row r="232" spans="1:4" x14ac:dyDescent="0.45">
      <c r="A232" t="s">
        <v>58</v>
      </c>
      <c r="B232">
        <v>2004</v>
      </c>
      <c r="C232" t="s">
        <v>75</v>
      </c>
      <c r="D232">
        <v>1.1299999999999999</v>
      </c>
    </row>
    <row r="233" spans="1:4" x14ac:dyDescent="0.45">
      <c r="A233" t="s">
        <v>91</v>
      </c>
      <c r="B233">
        <v>2004</v>
      </c>
      <c r="C233" t="s">
        <v>75</v>
      </c>
      <c r="D233">
        <v>0.77</v>
      </c>
    </row>
    <row r="234" spans="1:4" x14ac:dyDescent="0.45">
      <c r="A234" t="s">
        <v>32</v>
      </c>
      <c r="B234">
        <v>2005</v>
      </c>
      <c r="C234" t="s">
        <v>75</v>
      </c>
      <c r="D234">
        <v>0.55000000000000004</v>
      </c>
    </row>
    <row r="235" spans="1:4" x14ac:dyDescent="0.45">
      <c r="A235" t="s">
        <v>34</v>
      </c>
      <c r="B235">
        <v>2005</v>
      </c>
      <c r="C235" t="s">
        <v>75</v>
      </c>
      <c r="D235">
        <v>41.12</v>
      </c>
    </row>
    <row r="236" spans="1:4" x14ac:dyDescent="0.45">
      <c r="A236" t="s">
        <v>36</v>
      </c>
      <c r="B236">
        <v>2005</v>
      </c>
      <c r="C236" t="s">
        <v>75</v>
      </c>
      <c r="D236">
        <v>55.11</v>
      </c>
    </row>
    <row r="237" spans="1:4" x14ac:dyDescent="0.45">
      <c r="A237" t="s">
        <v>56</v>
      </c>
      <c r="B237">
        <v>2005</v>
      </c>
      <c r="C237" t="s">
        <v>75</v>
      </c>
      <c r="D237">
        <v>27.84</v>
      </c>
    </row>
    <row r="238" spans="1:4" x14ac:dyDescent="0.45">
      <c r="A238" t="s">
        <v>57</v>
      </c>
      <c r="B238">
        <v>2005</v>
      </c>
      <c r="C238" t="s">
        <v>75</v>
      </c>
      <c r="D238">
        <v>49.58</v>
      </c>
    </row>
    <row r="239" spans="1:4" x14ac:dyDescent="0.45">
      <c r="A239" t="s">
        <v>38</v>
      </c>
      <c r="B239">
        <v>2005</v>
      </c>
      <c r="C239" t="s">
        <v>75</v>
      </c>
      <c r="D239">
        <v>41.16</v>
      </c>
    </row>
    <row r="240" spans="1:4" x14ac:dyDescent="0.45">
      <c r="A240" t="s">
        <v>58</v>
      </c>
      <c r="B240">
        <v>2005</v>
      </c>
      <c r="C240" t="s">
        <v>75</v>
      </c>
      <c r="D240">
        <v>1.42</v>
      </c>
    </row>
    <row r="241" spans="1:4" x14ac:dyDescent="0.45">
      <c r="A241" t="s">
        <v>91</v>
      </c>
      <c r="B241">
        <v>2005</v>
      </c>
      <c r="C241" t="s">
        <v>75</v>
      </c>
      <c r="D241">
        <v>1.23</v>
      </c>
    </row>
    <row r="242" spans="1:4" x14ac:dyDescent="0.45">
      <c r="A242" t="s">
        <v>32</v>
      </c>
      <c r="B242">
        <v>2006</v>
      </c>
      <c r="C242" t="s">
        <v>75</v>
      </c>
      <c r="D242">
        <v>0.78</v>
      </c>
    </row>
    <row r="243" spans="1:4" x14ac:dyDescent="0.45">
      <c r="A243" t="s">
        <v>34</v>
      </c>
      <c r="B243">
        <v>2006</v>
      </c>
      <c r="C243" t="s">
        <v>75</v>
      </c>
      <c r="D243">
        <v>41.22</v>
      </c>
    </row>
    <row r="244" spans="1:4" x14ac:dyDescent="0.45">
      <c r="A244" t="s">
        <v>36</v>
      </c>
      <c r="B244">
        <v>2006</v>
      </c>
      <c r="C244" t="s">
        <v>75</v>
      </c>
      <c r="D244">
        <v>56.54</v>
      </c>
    </row>
    <row r="245" spans="1:4" x14ac:dyDescent="0.45">
      <c r="A245" t="s">
        <v>56</v>
      </c>
      <c r="B245">
        <v>2006</v>
      </c>
      <c r="C245" t="s">
        <v>75</v>
      </c>
      <c r="D245">
        <v>27.91</v>
      </c>
    </row>
    <row r="246" spans="1:4" x14ac:dyDescent="0.45">
      <c r="A246" t="s">
        <v>57</v>
      </c>
      <c r="B246">
        <v>2006</v>
      </c>
      <c r="C246" t="s">
        <v>75</v>
      </c>
      <c r="D246">
        <v>49.47</v>
      </c>
    </row>
    <row r="247" spans="1:4" x14ac:dyDescent="0.45">
      <c r="A247" t="s">
        <v>38</v>
      </c>
      <c r="B247">
        <v>2006</v>
      </c>
      <c r="C247" t="s">
        <v>75</v>
      </c>
      <c r="D247">
        <v>39.83</v>
      </c>
    </row>
    <row r="248" spans="1:4" x14ac:dyDescent="0.45">
      <c r="A248" t="s">
        <v>58</v>
      </c>
      <c r="B248">
        <v>2006</v>
      </c>
      <c r="C248" t="s">
        <v>75</v>
      </c>
      <c r="D248">
        <v>1.71</v>
      </c>
    </row>
    <row r="249" spans="1:4" x14ac:dyDescent="0.45">
      <c r="A249" t="s">
        <v>91</v>
      </c>
      <c r="B249">
        <v>2006</v>
      </c>
      <c r="C249" t="s">
        <v>75</v>
      </c>
      <c r="D249">
        <v>1.8</v>
      </c>
    </row>
    <row r="250" spans="1:4" x14ac:dyDescent="0.45">
      <c r="A250" t="s">
        <v>32</v>
      </c>
      <c r="B250">
        <v>2007</v>
      </c>
      <c r="C250" t="s">
        <v>75</v>
      </c>
      <c r="D250">
        <v>0.91</v>
      </c>
    </row>
    <row r="251" spans="1:4" x14ac:dyDescent="0.45">
      <c r="A251" t="s">
        <v>34</v>
      </c>
      <c r="B251">
        <v>2007</v>
      </c>
      <c r="C251" t="s">
        <v>75</v>
      </c>
      <c r="D251">
        <v>41.62</v>
      </c>
    </row>
    <row r="252" spans="1:4" x14ac:dyDescent="0.45">
      <c r="A252" t="s">
        <v>36</v>
      </c>
      <c r="B252">
        <v>2007</v>
      </c>
      <c r="C252" t="s">
        <v>75</v>
      </c>
      <c r="D252">
        <v>57.04</v>
      </c>
    </row>
    <row r="253" spans="1:4" x14ac:dyDescent="0.45">
      <c r="A253" t="s">
        <v>56</v>
      </c>
      <c r="B253">
        <v>2007</v>
      </c>
      <c r="C253" t="s">
        <v>75</v>
      </c>
      <c r="D253">
        <v>27.53</v>
      </c>
    </row>
    <row r="254" spans="1:4" x14ac:dyDescent="0.45">
      <c r="A254" t="s">
        <v>57</v>
      </c>
      <c r="B254">
        <v>2007</v>
      </c>
      <c r="C254" t="s">
        <v>75</v>
      </c>
      <c r="D254">
        <v>49.47</v>
      </c>
    </row>
    <row r="255" spans="1:4" x14ac:dyDescent="0.45">
      <c r="A255" t="s">
        <v>38</v>
      </c>
      <c r="B255">
        <v>2007</v>
      </c>
      <c r="C255" t="s">
        <v>75</v>
      </c>
      <c r="D255">
        <v>42.06</v>
      </c>
    </row>
    <row r="256" spans="1:4" x14ac:dyDescent="0.45">
      <c r="A256" t="s">
        <v>58</v>
      </c>
      <c r="B256">
        <v>2007</v>
      </c>
      <c r="C256" t="s">
        <v>75</v>
      </c>
      <c r="D256">
        <v>1.92</v>
      </c>
    </row>
    <row r="257" spans="1:4" x14ac:dyDescent="0.45">
      <c r="A257" t="s">
        <v>91</v>
      </c>
      <c r="B257">
        <v>2007</v>
      </c>
      <c r="C257" t="s">
        <v>75</v>
      </c>
      <c r="D257">
        <v>1.53</v>
      </c>
    </row>
    <row r="258" spans="1:4" x14ac:dyDescent="0.45">
      <c r="A258" t="s">
        <v>32</v>
      </c>
      <c r="B258">
        <v>2008</v>
      </c>
      <c r="C258" t="s">
        <v>75</v>
      </c>
      <c r="D258">
        <v>0.92</v>
      </c>
    </row>
    <row r="259" spans="1:4" x14ac:dyDescent="0.45">
      <c r="A259" t="s">
        <v>34</v>
      </c>
      <c r="B259">
        <v>2008</v>
      </c>
      <c r="C259" t="s">
        <v>75</v>
      </c>
      <c r="D259">
        <v>42.02</v>
      </c>
    </row>
    <row r="260" spans="1:4" x14ac:dyDescent="0.45">
      <c r="A260" t="s">
        <v>36</v>
      </c>
      <c r="B260">
        <v>2008</v>
      </c>
      <c r="C260" t="s">
        <v>75</v>
      </c>
      <c r="D260">
        <v>60.6</v>
      </c>
    </row>
    <row r="261" spans="1:4" x14ac:dyDescent="0.45">
      <c r="A261" t="s">
        <v>56</v>
      </c>
      <c r="B261">
        <v>2008</v>
      </c>
      <c r="C261" t="s">
        <v>75</v>
      </c>
      <c r="D261">
        <v>27.56</v>
      </c>
    </row>
    <row r="262" spans="1:4" x14ac:dyDescent="0.45">
      <c r="A262" t="s">
        <v>57</v>
      </c>
      <c r="B262">
        <v>2008</v>
      </c>
      <c r="C262" t="s">
        <v>75</v>
      </c>
      <c r="D262">
        <v>47.94</v>
      </c>
    </row>
    <row r="263" spans="1:4" x14ac:dyDescent="0.45">
      <c r="A263" t="s">
        <v>38</v>
      </c>
      <c r="B263">
        <v>2008</v>
      </c>
      <c r="C263" t="s">
        <v>75</v>
      </c>
      <c r="D263">
        <v>42.09</v>
      </c>
    </row>
    <row r="264" spans="1:4" x14ac:dyDescent="0.45">
      <c r="A264" t="s">
        <v>58</v>
      </c>
      <c r="B264">
        <v>2008</v>
      </c>
      <c r="C264" t="s">
        <v>75</v>
      </c>
      <c r="D264">
        <v>2.14</v>
      </c>
    </row>
    <row r="265" spans="1:4" x14ac:dyDescent="0.45">
      <c r="A265" t="s">
        <v>91</v>
      </c>
      <c r="B265">
        <v>2008</v>
      </c>
      <c r="C265" t="s">
        <v>75</v>
      </c>
      <c r="D265">
        <v>1.76</v>
      </c>
    </row>
    <row r="266" spans="1:4" x14ac:dyDescent="0.45">
      <c r="A266" t="s">
        <v>32</v>
      </c>
      <c r="B266">
        <v>2009</v>
      </c>
      <c r="C266" t="s">
        <v>75</v>
      </c>
      <c r="D266">
        <v>1</v>
      </c>
    </row>
    <row r="267" spans="1:4" x14ac:dyDescent="0.45">
      <c r="A267" t="s">
        <v>34</v>
      </c>
      <c r="B267">
        <v>2009</v>
      </c>
      <c r="C267" t="s">
        <v>75</v>
      </c>
      <c r="D267">
        <v>42.62</v>
      </c>
    </row>
    <row r="268" spans="1:4" x14ac:dyDescent="0.45">
      <c r="A268" t="s">
        <v>36</v>
      </c>
      <c r="B268">
        <v>2009</v>
      </c>
      <c r="C268" t="s">
        <v>75</v>
      </c>
      <c r="D268">
        <v>64.2</v>
      </c>
    </row>
    <row r="269" spans="1:4" x14ac:dyDescent="0.45">
      <c r="A269" t="s">
        <v>56</v>
      </c>
      <c r="B269">
        <v>2009</v>
      </c>
      <c r="C269" t="s">
        <v>75</v>
      </c>
      <c r="D269">
        <v>27.49</v>
      </c>
    </row>
    <row r="270" spans="1:4" x14ac:dyDescent="0.45">
      <c r="A270" t="s">
        <v>57</v>
      </c>
      <c r="B270">
        <v>2009</v>
      </c>
      <c r="C270" t="s">
        <v>75</v>
      </c>
      <c r="D270">
        <v>48.85</v>
      </c>
    </row>
    <row r="271" spans="1:4" x14ac:dyDescent="0.45">
      <c r="A271" t="s">
        <v>38</v>
      </c>
      <c r="B271">
        <v>2009</v>
      </c>
      <c r="C271" t="s">
        <v>75</v>
      </c>
      <c r="D271">
        <v>41.68</v>
      </c>
    </row>
    <row r="272" spans="1:4" x14ac:dyDescent="0.45">
      <c r="A272" t="s">
        <v>58</v>
      </c>
      <c r="B272">
        <v>2009</v>
      </c>
      <c r="C272" t="s">
        <v>75</v>
      </c>
      <c r="D272">
        <v>2.63</v>
      </c>
    </row>
    <row r="273" spans="1:4" x14ac:dyDescent="0.45">
      <c r="A273" t="s">
        <v>91</v>
      </c>
      <c r="B273">
        <v>2009</v>
      </c>
      <c r="C273" t="s">
        <v>75</v>
      </c>
      <c r="D273">
        <v>2</v>
      </c>
    </row>
    <row r="274" spans="1:4" x14ac:dyDescent="0.45">
      <c r="A274" t="s">
        <v>32</v>
      </c>
      <c r="B274">
        <v>2010</v>
      </c>
      <c r="C274" t="s">
        <v>75</v>
      </c>
      <c r="D274">
        <v>1.1100000000000001</v>
      </c>
    </row>
    <row r="275" spans="1:4" x14ac:dyDescent="0.45">
      <c r="A275" t="s">
        <v>34</v>
      </c>
      <c r="B275">
        <v>2010</v>
      </c>
      <c r="C275" t="s">
        <v>75</v>
      </c>
      <c r="D275">
        <v>43.6</v>
      </c>
    </row>
    <row r="276" spans="1:4" x14ac:dyDescent="0.45">
      <c r="A276" t="s">
        <v>36</v>
      </c>
      <c r="B276">
        <v>2010</v>
      </c>
      <c r="C276" t="s">
        <v>75</v>
      </c>
      <c r="D276">
        <v>67.55</v>
      </c>
    </row>
    <row r="277" spans="1:4" x14ac:dyDescent="0.45">
      <c r="A277" t="s">
        <v>56</v>
      </c>
      <c r="B277">
        <v>2010</v>
      </c>
      <c r="C277" t="s">
        <v>75</v>
      </c>
      <c r="D277">
        <v>27.99</v>
      </c>
    </row>
    <row r="278" spans="1:4" x14ac:dyDescent="0.45">
      <c r="A278" t="s">
        <v>57</v>
      </c>
      <c r="B278">
        <v>2010</v>
      </c>
      <c r="C278" t="s">
        <v>75</v>
      </c>
      <c r="D278">
        <v>48.96</v>
      </c>
    </row>
    <row r="279" spans="1:4" x14ac:dyDescent="0.45">
      <c r="A279" t="s">
        <v>38</v>
      </c>
      <c r="B279">
        <v>2010</v>
      </c>
      <c r="C279" t="s">
        <v>75</v>
      </c>
      <c r="D279">
        <v>41.69</v>
      </c>
    </row>
    <row r="280" spans="1:4" x14ac:dyDescent="0.45">
      <c r="A280" t="s">
        <v>58</v>
      </c>
      <c r="B280">
        <v>2010</v>
      </c>
      <c r="C280" t="s">
        <v>75</v>
      </c>
      <c r="D280">
        <v>3.62</v>
      </c>
    </row>
    <row r="281" spans="1:4" x14ac:dyDescent="0.45">
      <c r="A281" t="s">
        <v>91</v>
      </c>
      <c r="B281">
        <v>2010</v>
      </c>
      <c r="C281" t="s">
        <v>75</v>
      </c>
      <c r="D281">
        <v>2.29</v>
      </c>
    </row>
    <row r="282" spans="1:4" x14ac:dyDescent="0.45">
      <c r="A282" t="s">
        <v>32</v>
      </c>
      <c r="B282">
        <v>2011</v>
      </c>
      <c r="C282" t="s">
        <v>75</v>
      </c>
      <c r="D282">
        <v>1.28</v>
      </c>
    </row>
    <row r="283" spans="1:4" x14ac:dyDescent="0.45">
      <c r="A283" t="s">
        <v>34</v>
      </c>
      <c r="B283">
        <v>2011</v>
      </c>
      <c r="C283" t="s">
        <v>75</v>
      </c>
      <c r="D283">
        <v>43.6</v>
      </c>
    </row>
    <row r="284" spans="1:4" x14ac:dyDescent="0.45">
      <c r="A284" t="s">
        <v>36</v>
      </c>
      <c r="B284">
        <v>2011</v>
      </c>
      <c r="C284" t="s">
        <v>75</v>
      </c>
      <c r="D284">
        <v>67.819999999999993</v>
      </c>
    </row>
    <row r="285" spans="1:4" x14ac:dyDescent="0.45">
      <c r="A285" t="s">
        <v>56</v>
      </c>
      <c r="B285">
        <v>2011</v>
      </c>
      <c r="C285" t="s">
        <v>75</v>
      </c>
      <c r="D285">
        <v>27.77</v>
      </c>
    </row>
    <row r="286" spans="1:4" x14ac:dyDescent="0.45">
      <c r="A286" t="s">
        <v>57</v>
      </c>
      <c r="B286">
        <v>2011</v>
      </c>
      <c r="C286" t="s">
        <v>75</v>
      </c>
      <c r="D286">
        <v>48.96</v>
      </c>
    </row>
    <row r="287" spans="1:4" x14ac:dyDescent="0.45">
      <c r="A287" t="s">
        <v>38</v>
      </c>
      <c r="B287">
        <v>2011</v>
      </c>
      <c r="C287" t="s">
        <v>75</v>
      </c>
      <c r="D287">
        <v>41.69</v>
      </c>
    </row>
    <row r="288" spans="1:4" x14ac:dyDescent="0.45">
      <c r="A288" t="s">
        <v>58</v>
      </c>
      <c r="B288">
        <v>2011</v>
      </c>
      <c r="C288" t="s">
        <v>75</v>
      </c>
      <c r="D288">
        <v>4.91</v>
      </c>
    </row>
    <row r="289" spans="1:4" x14ac:dyDescent="0.45">
      <c r="A289" t="s">
        <v>91</v>
      </c>
      <c r="B289">
        <v>2011</v>
      </c>
      <c r="C289" t="s">
        <v>75</v>
      </c>
      <c r="D289">
        <v>2.42</v>
      </c>
    </row>
    <row r="290" spans="1:4" x14ac:dyDescent="0.45">
      <c r="A290" t="s">
        <v>32</v>
      </c>
      <c r="B290">
        <v>2012</v>
      </c>
      <c r="C290" t="s">
        <v>75</v>
      </c>
      <c r="D290">
        <v>0.64</v>
      </c>
    </row>
    <row r="291" spans="1:4" x14ac:dyDescent="0.45">
      <c r="A291" t="s">
        <v>34</v>
      </c>
      <c r="B291">
        <v>2012</v>
      </c>
      <c r="C291" t="s">
        <v>75</v>
      </c>
      <c r="D291">
        <v>43.6</v>
      </c>
    </row>
    <row r="292" spans="1:4" x14ac:dyDescent="0.45">
      <c r="A292" t="s">
        <v>36</v>
      </c>
      <c r="B292">
        <v>2012</v>
      </c>
      <c r="C292" t="s">
        <v>75</v>
      </c>
      <c r="D292">
        <v>68.88</v>
      </c>
    </row>
    <row r="293" spans="1:4" x14ac:dyDescent="0.45">
      <c r="A293" t="s">
        <v>56</v>
      </c>
      <c r="B293">
        <v>2012</v>
      </c>
      <c r="C293" t="s">
        <v>75</v>
      </c>
      <c r="D293">
        <v>27.82</v>
      </c>
    </row>
    <row r="294" spans="1:4" x14ac:dyDescent="0.45">
      <c r="A294" t="s">
        <v>57</v>
      </c>
      <c r="B294">
        <v>2012</v>
      </c>
      <c r="C294" t="s">
        <v>75</v>
      </c>
      <c r="D294">
        <v>46.15</v>
      </c>
    </row>
    <row r="295" spans="1:4" x14ac:dyDescent="0.45">
      <c r="A295" t="s">
        <v>38</v>
      </c>
      <c r="B295">
        <v>2012</v>
      </c>
      <c r="C295" t="s">
        <v>75</v>
      </c>
      <c r="D295">
        <v>42.02</v>
      </c>
    </row>
    <row r="296" spans="1:4" x14ac:dyDescent="0.45">
      <c r="A296" t="s">
        <v>58</v>
      </c>
      <c r="B296">
        <v>2012</v>
      </c>
      <c r="C296" t="s">
        <v>75</v>
      </c>
      <c r="D296">
        <v>6.63</v>
      </c>
    </row>
    <row r="297" spans="1:4" x14ac:dyDescent="0.45">
      <c r="A297" t="s">
        <v>91</v>
      </c>
      <c r="B297">
        <v>2012</v>
      </c>
      <c r="C297" t="s">
        <v>75</v>
      </c>
      <c r="D297">
        <v>2.56</v>
      </c>
    </row>
    <row r="298" spans="1:4" x14ac:dyDescent="0.45">
      <c r="A298" t="s">
        <v>32</v>
      </c>
      <c r="B298">
        <v>2013</v>
      </c>
      <c r="C298" t="s">
        <v>75</v>
      </c>
      <c r="D298">
        <v>0.66</v>
      </c>
    </row>
    <row r="299" spans="1:4" x14ac:dyDescent="0.45">
      <c r="A299" t="s">
        <v>34</v>
      </c>
      <c r="B299">
        <v>2013</v>
      </c>
      <c r="C299" t="s">
        <v>75</v>
      </c>
      <c r="D299">
        <v>45.45</v>
      </c>
    </row>
    <row r="300" spans="1:4" x14ac:dyDescent="0.45">
      <c r="A300" t="s">
        <v>36</v>
      </c>
      <c r="B300">
        <v>2013</v>
      </c>
      <c r="C300" t="s">
        <v>75</v>
      </c>
      <c r="D300">
        <v>71.8</v>
      </c>
    </row>
    <row r="301" spans="1:4" x14ac:dyDescent="0.45">
      <c r="A301" t="s">
        <v>56</v>
      </c>
      <c r="B301">
        <v>2013</v>
      </c>
      <c r="C301" t="s">
        <v>75</v>
      </c>
      <c r="D301">
        <v>27.81</v>
      </c>
    </row>
    <row r="302" spans="1:4" x14ac:dyDescent="0.45">
      <c r="A302" t="s">
        <v>57</v>
      </c>
      <c r="B302">
        <v>2013</v>
      </c>
      <c r="C302" t="s">
        <v>75</v>
      </c>
      <c r="D302">
        <v>44.26</v>
      </c>
    </row>
    <row r="303" spans="1:4" x14ac:dyDescent="0.45">
      <c r="A303" t="s">
        <v>38</v>
      </c>
      <c r="B303">
        <v>2013</v>
      </c>
      <c r="C303" t="s">
        <v>75</v>
      </c>
      <c r="D303">
        <v>42.04</v>
      </c>
    </row>
    <row r="304" spans="1:4" x14ac:dyDescent="0.45">
      <c r="A304" t="s">
        <v>58</v>
      </c>
      <c r="B304">
        <v>2013</v>
      </c>
      <c r="C304" t="s">
        <v>75</v>
      </c>
      <c r="D304">
        <v>13.6</v>
      </c>
    </row>
    <row r="305" spans="1:4" x14ac:dyDescent="0.45">
      <c r="A305" t="s">
        <v>91</v>
      </c>
      <c r="B305">
        <v>2013</v>
      </c>
      <c r="C305" t="s">
        <v>75</v>
      </c>
      <c r="D305">
        <v>2.65</v>
      </c>
    </row>
    <row r="306" spans="1:4" x14ac:dyDescent="0.45">
      <c r="A306" t="s">
        <v>32</v>
      </c>
      <c r="B306">
        <v>2014</v>
      </c>
      <c r="C306" t="s">
        <v>75</v>
      </c>
      <c r="D306">
        <v>0.75</v>
      </c>
    </row>
    <row r="307" spans="1:4" x14ac:dyDescent="0.45">
      <c r="A307" t="s">
        <v>34</v>
      </c>
      <c r="B307">
        <v>2014</v>
      </c>
      <c r="C307" t="s">
        <v>75</v>
      </c>
      <c r="D307">
        <v>45.45</v>
      </c>
    </row>
    <row r="308" spans="1:4" x14ac:dyDescent="0.45">
      <c r="A308" t="s">
        <v>36</v>
      </c>
      <c r="B308">
        <v>2014</v>
      </c>
      <c r="C308" t="s">
        <v>75</v>
      </c>
      <c r="D308">
        <v>77.39</v>
      </c>
    </row>
    <row r="309" spans="1:4" x14ac:dyDescent="0.45">
      <c r="A309" t="s">
        <v>56</v>
      </c>
      <c r="B309">
        <v>2014</v>
      </c>
      <c r="C309" t="s">
        <v>75</v>
      </c>
      <c r="D309">
        <v>27.87</v>
      </c>
    </row>
    <row r="310" spans="1:4" x14ac:dyDescent="0.45">
      <c r="A310" t="s">
        <v>57</v>
      </c>
      <c r="B310">
        <v>2014</v>
      </c>
      <c r="C310" t="s">
        <v>75</v>
      </c>
      <c r="D310">
        <v>44.26</v>
      </c>
    </row>
    <row r="311" spans="1:4" x14ac:dyDescent="0.45">
      <c r="A311" t="s">
        <v>38</v>
      </c>
      <c r="B311">
        <v>2014</v>
      </c>
      <c r="C311" t="s">
        <v>75</v>
      </c>
      <c r="D311">
        <v>42.06</v>
      </c>
    </row>
    <row r="312" spans="1:4" x14ac:dyDescent="0.45">
      <c r="A312" t="s">
        <v>58</v>
      </c>
      <c r="B312">
        <v>2014</v>
      </c>
      <c r="C312" t="s">
        <v>75</v>
      </c>
      <c r="D312">
        <v>23.34</v>
      </c>
    </row>
    <row r="313" spans="1:4" x14ac:dyDescent="0.45">
      <c r="A313" t="s">
        <v>91</v>
      </c>
      <c r="B313">
        <v>2014</v>
      </c>
      <c r="C313" t="s">
        <v>75</v>
      </c>
      <c r="D313">
        <v>2.75</v>
      </c>
    </row>
    <row r="314" spans="1:4" x14ac:dyDescent="0.45">
      <c r="A314" t="s">
        <v>32</v>
      </c>
      <c r="B314">
        <v>2015</v>
      </c>
      <c r="C314" t="s">
        <v>75</v>
      </c>
      <c r="D314">
        <v>1</v>
      </c>
    </row>
    <row r="315" spans="1:4" x14ac:dyDescent="0.45">
      <c r="A315" t="s">
        <v>34</v>
      </c>
      <c r="B315">
        <v>2015</v>
      </c>
      <c r="C315" t="s">
        <v>75</v>
      </c>
      <c r="D315">
        <v>45.53</v>
      </c>
    </row>
    <row r="316" spans="1:4" x14ac:dyDescent="0.45">
      <c r="A316" t="s">
        <v>36</v>
      </c>
      <c r="B316">
        <v>2015</v>
      </c>
      <c r="C316" t="s">
        <v>75</v>
      </c>
      <c r="D316">
        <v>79.22</v>
      </c>
    </row>
    <row r="317" spans="1:4" x14ac:dyDescent="0.45">
      <c r="A317" t="s">
        <v>56</v>
      </c>
      <c r="B317">
        <v>2015</v>
      </c>
      <c r="C317" t="s">
        <v>75</v>
      </c>
      <c r="D317">
        <v>28.11</v>
      </c>
    </row>
    <row r="318" spans="1:4" x14ac:dyDescent="0.45">
      <c r="A318" t="s">
        <v>57</v>
      </c>
      <c r="B318">
        <v>2015</v>
      </c>
      <c r="C318" t="s">
        <v>75</v>
      </c>
      <c r="D318">
        <v>42.05</v>
      </c>
    </row>
    <row r="319" spans="1:4" x14ac:dyDescent="0.45">
      <c r="A319" t="s">
        <v>38</v>
      </c>
      <c r="B319">
        <v>2015</v>
      </c>
      <c r="C319" t="s">
        <v>75</v>
      </c>
      <c r="D319">
        <v>42.08</v>
      </c>
    </row>
    <row r="320" spans="1:4" x14ac:dyDescent="0.45">
      <c r="A320" t="s">
        <v>58</v>
      </c>
      <c r="B320">
        <v>2015</v>
      </c>
      <c r="C320" t="s">
        <v>75</v>
      </c>
      <c r="D320">
        <v>34.15</v>
      </c>
    </row>
    <row r="321" spans="1:4" x14ac:dyDescent="0.45">
      <c r="A321" t="s">
        <v>91</v>
      </c>
      <c r="B321">
        <v>2015</v>
      </c>
      <c r="C321" t="s">
        <v>75</v>
      </c>
      <c r="D321">
        <v>2.81</v>
      </c>
    </row>
    <row r="322" spans="1:4" x14ac:dyDescent="0.45">
      <c r="A322" t="s">
        <v>32</v>
      </c>
      <c r="B322">
        <v>2016</v>
      </c>
      <c r="C322" t="s">
        <v>75</v>
      </c>
      <c r="D322">
        <v>1.29</v>
      </c>
    </row>
    <row r="323" spans="1:4" x14ac:dyDescent="0.45">
      <c r="A323" t="s">
        <v>34</v>
      </c>
      <c r="B323">
        <v>2016</v>
      </c>
      <c r="C323" t="s">
        <v>75</v>
      </c>
      <c r="D323">
        <v>45.71</v>
      </c>
    </row>
    <row r="324" spans="1:4" x14ac:dyDescent="0.45">
      <c r="A324" t="s">
        <v>36</v>
      </c>
      <c r="B324">
        <v>2016</v>
      </c>
      <c r="C324" t="s">
        <v>75</v>
      </c>
      <c r="D324">
        <v>82.51</v>
      </c>
    </row>
    <row r="325" spans="1:4" x14ac:dyDescent="0.45">
      <c r="A325" t="s">
        <v>56</v>
      </c>
      <c r="B325">
        <v>2016</v>
      </c>
      <c r="C325" t="s">
        <v>75</v>
      </c>
      <c r="D325">
        <v>28.16</v>
      </c>
    </row>
    <row r="326" spans="1:4" x14ac:dyDescent="0.45">
      <c r="A326" t="s">
        <v>57</v>
      </c>
      <c r="B326">
        <v>2016</v>
      </c>
      <c r="C326" t="s">
        <v>75</v>
      </c>
      <c r="D326">
        <v>41.48</v>
      </c>
    </row>
    <row r="327" spans="1:4" x14ac:dyDescent="0.45">
      <c r="A327" t="s">
        <v>38</v>
      </c>
      <c r="B327">
        <v>2016</v>
      </c>
      <c r="C327" t="s">
        <v>75</v>
      </c>
      <c r="D327">
        <v>42.01</v>
      </c>
    </row>
    <row r="328" spans="1:4" x14ac:dyDescent="0.45">
      <c r="A328" t="s">
        <v>58</v>
      </c>
      <c r="B328">
        <v>2016</v>
      </c>
      <c r="C328" t="s">
        <v>75</v>
      </c>
      <c r="D328">
        <v>42.04</v>
      </c>
    </row>
    <row r="329" spans="1:4" x14ac:dyDescent="0.45">
      <c r="A329" t="s">
        <v>91</v>
      </c>
      <c r="B329">
        <v>2016</v>
      </c>
      <c r="C329" t="s">
        <v>75</v>
      </c>
      <c r="D329">
        <v>3.21</v>
      </c>
    </row>
    <row r="330" spans="1:4" x14ac:dyDescent="0.45">
      <c r="A330" t="s">
        <v>32</v>
      </c>
      <c r="B330">
        <v>2017</v>
      </c>
      <c r="C330" t="s">
        <v>75</v>
      </c>
      <c r="D330">
        <v>1.67</v>
      </c>
    </row>
    <row r="331" spans="1:4" x14ac:dyDescent="0.45">
      <c r="A331" t="s">
        <v>34</v>
      </c>
      <c r="B331">
        <v>2017</v>
      </c>
      <c r="C331" t="s">
        <v>75</v>
      </c>
      <c r="D331">
        <v>46.11</v>
      </c>
    </row>
    <row r="332" spans="1:4" x14ac:dyDescent="0.45">
      <c r="A332" t="s">
        <v>36</v>
      </c>
      <c r="B332">
        <v>2017</v>
      </c>
      <c r="C332" t="s">
        <v>75</v>
      </c>
      <c r="D332">
        <v>83.7</v>
      </c>
    </row>
    <row r="333" spans="1:4" x14ac:dyDescent="0.45">
      <c r="A333" t="s">
        <v>56</v>
      </c>
      <c r="B333">
        <v>2017</v>
      </c>
      <c r="C333" t="s">
        <v>75</v>
      </c>
      <c r="D333">
        <v>28.12</v>
      </c>
    </row>
    <row r="334" spans="1:4" x14ac:dyDescent="0.45">
      <c r="A334" t="s">
        <v>57</v>
      </c>
      <c r="B334">
        <v>2017</v>
      </c>
      <c r="C334" t="s">
        <v>75</v>
      </c>
      <c r="D334">
        <v>39.130000000000003</v>
      </c>
    </row>
    <row r="335" spans="1:4" x14ac:dyDescent="0.45">
      <c r="A335" t="s">
        <v>38</v>
      </c>
      <c r="B335">
        <v>2017</v>
      </c>
      <c r="C335" t="s">
        <v>75</v>
      </c>
      <c r="D335">
        <v>39.28</v>
      </c>
    </row>
    <row r="336" spans="1:4" x14ac:dyDescent="0.45">
      <c r="A336" t="s">
        <v>58</v>
      </c>
      <c r="B336">
        <v>2017</v>
      </c>
      <c r="C336" t="s">
        <v>75</v>
      </c>
      <c r="D336">
        <v>49.5</v>
      </c>
    </row>
    <row r="337" spans="1:4" x14ac:dyDescent="0.45">
      <c r="A337" t="s">
        <v>91</v>
      </c>
      <c r="B337">
        <v>2017</v>
      </c>
      <c r="C337" t="s">
        <v>75</v>
      </c>
      <c r="D337">
        <v>3.48</v>
      </c>
    </row>
    <row r="338" spans="1:4" x14ac:dyDescent="0.45">
      <c r="A338" t="s">
        <v>32</v>
      </c>
      <c r="B338">
        <v>2018</v>
      </c>
      <c r="C338" t="s">
        <v>75</v>
      </c>
      <c r="D338">
        <v>2.08</v>
      </c>
    </row>
    <row r="339" spans="1:4" x14ac:dyDescent="0.45">
      <c r="A339" t="s">
        <v>34</v>
      </c>
      <c r="B339">
        <v>2018</v>
      </c>
      <c r="C339" t="s">
        <v>75</v>
      </c>
      <c r="D339">
        <v>46.29</v>
      </c>
    </row>
    <row r="340" spans="1:4" x14ac:dyDescent="0.45">
      <c r="A340" t="s">
        <v>36</v>
      </c>
      <c r="B340">
        <v>2018</v>
      </c>
      <c r="C340" t="s">
        <v>75</v>
      </c>
      <c r="D340">
        <v>85.31</v>
      </c>
    </row>
    <row r="341" spans="1:4" x14ac:dyDescent="0.45">
      <c r="A341" t="s">
        <v>56</v>
      </c>
      <c r="B341">
        <v>2018</v>
      </c>
      <c r="C341" t="s">
        <v>75</v>
      </c>
      <c r="D341">
        <v>28.14</v>
      </c>
    </row>
    <row r="342" spans="1:4" x14ac:dyDescent="0.45">
      <c r="A342" t="s">
        <v>57</v>
      </c>
      <c r="B342">
        <v>2018</v>
      </c>
      <c r="C342" t="s">
        <v>75</v>
      </c>
      <c r="D342">
        <v>38.04</v>
      </c>
    </row>
    <row r="343" spans="1:4" x14ac:dyDescent="0.45">
      <c r="A343" t="s">
        <v>38</v>
      </c>
      <c r="B343">
        <v>2018</v>
      </c>
      <c r="C343" t="s">
        <v>75</v>
      </c>
      <c r="D343">
        <v>37.299999999999997</v>
      </c>
    </row>
    <row r="344" spans="1:4" x14ac:dyDescent="0.45">
      <c r="A344" t="s">
        <v>58</v>
      </c>
      <c r="B344">
        <v>2018</v>
      </c>
      <c r="C344" t="s">
        <v>75</v>
      </c>
      <c r="D344">
        <v>56.16</v>
      </c>
    </row>
    <row r="345" spans="1:4" x14ac:dyDescent="0.45">
      <c r="A345" t="s">
        <v>91</v>
      </c>
      <c r="B345">
        <v>2018</v>
      </c>
      <c r="C345" t="s">
        <v>75</v>
      </c>
      <c r="D345">
        <v>3.5</v>
      </c>
    </row>
    <row r="346" spans="1:4" x14ac:dyDescent="0.45">
      <c r="A346" t="s">
        <v>32</v>
      </c>
      <c r="B346">
        <v>2019</v>
      </c>
      <c r="C346" t="s">
        <v>75</v>
      </c>
      <c r="D346">
        <v>2.5299999999999998</v>
      </c>
    </row>
    <row r="347" spans="1:4" x14ac:dyDescent="0.45">
      <c r="A347" t="s">
        <v>34</v>
      </c>
      <c r="B347">
        <v>2019</v>
      </c>
      <c r="C347" t="s">
        <v>75</v>
      </c>
      <c r="D347">
        <v>47.07</v>
      </c>
    </row>
    <row r="348" spans="1:4" x14ac:dyDescent="0.45">
      <c r="A348" t="s">
        <v>36</v>
      </c>
      <c r="B348">
        <v>2019</v>
      </c>
      <c r="C348" t="s">
        <v>75</v>
      </c>
      <c r="D348">
        <v>86.51</v>
      </c>
    </row>
    <row r="349" spans="1:4" x14ac:dyDescent="0.45">
      <c r="A349" t="s">
        <v>56</v>
      </c>
      <c r="B349">
        <v>2019</v>
      </c>
      <c r="C349" t="s">
        <v>75</v>
      </c>
      <c r="D349">
        <v>28.14</v>
      </c>
    </row>
    <row r="350" spans="1:4" x14ac:dyDescent="0.45">
      <c r="A350" t="s">
        <v>57</v>
      </c>
      <c r="B350">
        <v>2019</v>
      </c>
      <c r="C350" t="s">
        <v>75</v>
      </c>
      <c r="D350">
        <v>33.08</v>
      </c>
    </row>
    <row r="351" spans="1:4" x14ac:dyDescent="0.45">
      <c r="A351" t="s">
        <v>38</v>
      </c>
      <c r="B351">
        <v>2019</v>
      </c>
      <c r="C351" t="s">
        <v>75</v>
      </c>
      <c r="D351">
        <v>33.08</v>
      </c>
    </row>
    <row r="352" spans="1:4" x14ac:dyDescent="0.45">
      <c r="A352" t="s">
        <v>58</v>
      </c>
      <c r="B352">
        <v>2019</v>
      </c>
      <c r="C352" t="s">
        <v>75</v>
      </c>
      <c r="D352">
        <v>63.19</v>
      </c>
    </row>
    <row r="353" spans="1:4" x14ac:dyDescent="0.45">
      <c r="A353" t="s">
        <v>91</v>
      </c>
      <c r="B353">
        <v>2019</v>
      </c>
      <c r="C353" t="s">
        <v>75</v>
      </c>
      <c r="D353">
        <v>3.95</v>
      </c>
    </row>
    <row r="354" spans="1:4" x14ac:dyDescent="0.45">
      <c r="A354" t="s">
        <v>32</v>
      </c>
      <c r="B354">
        <v>2020</v>
      </c>
      <c r="C354" t="s">
        <v>75</v>
      </c>
      <c r="D354">
        <v>2.88</v>
      </c>
    </row>
    <row r="355" spans="1:4" x14ac:dyDescent="0.45">
      <c r="A355" t="s">
        <v>34</v>
      </c>
      <c r="B355">
        <v>2020</v>
      </c>
      <c r="C355" t="s">
        <v>75</v>
      </c>
      <c r="D355">
        <v>48.74</v>
      </c>
    </row>
    <row r="356" spans="1:4" x14ac:dyDescent="0.45">
      <c r="A356" t="s">
        <v>36</v>
      </c>
      <c r="B356">
        <v>2020</v>
      </c>
      <c r="C356" t="s">
        <v>75</v>
      </c>
      <c r="D356">
        <v>89.21</v>
      </c>
    </row>
    <row r="357" spans="1:4" x14ac:dyDescent="0.45">
      <c r="A357" t="s">
        <v>56</v>
      </c>
      <c r="B357">
        <v>2020</v>
      </c>
      <c r="C357" t="s">
        <v>75</v>
      </c>
      <c r="D357">
        <v>28.14</v>
      </c>
    </row>
    <row r="358" spans="1:4" x14ac:dyDescent="0.45">
      <c r="A358" t="s">
        <v>57</v>
      </c>
      <c r="B358">
        <v>2020</v>
      </c>
      <c r="C358" t="s">
        <v>75</v>
      </c>
      <c r="D358">
        <v>33.08</v>
      </c>
    </row>
    <row r="359" spans="1:4" x14ac:dyDescent="0.45">
      <c r="A359" t="s">
        <v>38</v>
      </c>
      <c r="B359">
        <v>2020</v>
      </c>
      <c r="C359" t="s">
        <v>75</v>
      </c>
      <c r="D359">
        <v>32.380000000000003</v>
      </c>
    </row>
    <row r="360" spans="1:4" x14ac:dyDescent="0.45">
      <c r="A360" t="s">
        <v>58</v>
      </c>
      <c r="B360">
        <v>2020</v>
      </c>
      <c r="C360" t="s">
        <v>75</v>
      </c>
      <c r="D360">
        <v>71.87</v>
      </c>
    </row>
    <row r="361" spans="1:4" x14ac:dyDescent="0.45">
      <c r="A361" t="s">
        <v>91</v>
      </c>
      <c r="B361">
        <v>2020</v>
      </c>
      <c r="C361" t="s">
        <v>75</v>
      </c>
      <c r="D361">
        <v>4.12</v>
      </c>
    </row>
    <row r="362" spans="1:4" x14ac:dyDescent="0.45">
      <c r="A362" t="s">
        <v>32</v>
      </c>
      <c r="B362">
        <v>2021</v>
      </c>
      <c r="C362" t="s">
        <v>75</v>
      </c>
      <c r="D362">
        <v>3.51</v>
      </c>
    </row>
    <row r="363" spans="1:4" x14ac:dyDescent="0.45">
      <c r="A363" t="s">
        <v>34</v>
      </c>
      <c r="B363">
        <v>2021</v>
      </c>
      <c r="C363" t="s">
        <v>75</v>
      </c>
      <c r="D363">
        <v>50.57</v>
      </c>
    </row>
    <row r="364" spans="1:4" x14ac:dyDescent="0.45">
      <c r="A364" t="s">
        <v>36</v>
      </c>
      <c r="B364">
        <v>2021</v>
      </c>
      <c r="C364" t="s">
        <v>75</v>
      </c>
      <c r="D364">
        <v>83.56</v>
      </c>
    </row>
    <row r="365" spans="1:4" x14ac:dyDescent="0.45">
      <c r="A365" t="s">
        <v>56</v>
      </c>
      <c r="B365">
        <v>2021</v>
      </c>
      <c r="C365" t="s">
        <v>75</v>
      </c>
      <c r="D365">
        <v>28.11</v>
      </c>
    </row>
    <row r="366" spans="1:4" x14ac:dyDescent="0.45">
      <c r="A366" t="s">
        <v>57</v>
      </c>
      <c r="B366">
        <v>2021</v>
      </c>
      <c r="C366" t="s">
        <v>75</v>
      </c>
      <c r="D366">
        <v>33.08</v>
      </c>
    </row>
    <row r="367" spans="1:4" x14ac:dyDescent="0.45">
      <c r="A367" t="s">
        <v>38</v>
      </c>
      <c r="B367">
        <v>2021</v>
      </c>
      <c r="C367" t="s">
        <v>75</v>
      </c>
      <c r="D367">
        <v>33.159999999999997</v>
      </c>
    </row>
    <row r="368" spans="1:4" x14ac:dyDescent="0.45">
      <c r="A368" t="s">
        <v>58</v>
      </c>
      <c r="B368">
        <v>2021</v>
      </c>
      <c r="C368" t="s">
        <v>75</v>
      </c>
      <c r="D368">
        <v>78.41</v>
      </c>
    </row>
    <row r="369" spans="1:4" x14ac:dyDescent="0.45">
      <c r="A369" t="s">
        <v>91</v>
      </c>
      <c r="B369">
        <v>2021</v>
      </c>
      <c r="C369" t="s">
        <v>75</v>
      </c>
      <c r="D369">
        <v>4.26</v>
      </c>
    </row>
    <row r="370" spans="1:4" x14ac:dyDescent="0.45">
      <c r="A370" t="s">
        <v>32</v>
      </c>
      <c r="B370">
        <v>2022</v>
      </c>
      <c r="C370" t="s">
        <v>75</v>
      </c>
      <c r="D370">
        <v>4.3600000000000003</v>
      </c>
    </row>
    <row r="371" spans="1:4" x14ac:dyDescent="0.45">
      <c r="A371" t="s">
        <v>34</v>
      </c>
      <c r="B371">
        <v>2022</v>
      </c>
      <c r="C371" t="s">
        <v>75</v>
      </c>
      <c r="D371">
        <v>53.44</v>
      </c>
    </row>
    <row r="372" spans="1:4" x14ac:dyDescent="0.45">
      <c r="A372" t="s">
        <v>36</v>
      </c>
      <c r="B372">
        <v>2022</v>
      </c>
      <c r="C372" t="s">
        <v>75</v>
      </c>
      <c r="D372">
        <v>82.69</v>
      </c>
    </row>
    <row r="373" spans="1:4" x14ac:dyDescent="0.45">
      <c r="A373" t="s">
        <v>56</v>
      </c>
      <c r="B373">
        <v>2022</v>
      </c>
      <c r="C373" t="s">
        <v>75</v>
      </c>
      <c r="D373">
        <v>28.2</v>
      </c>
    </row>
    <row r="374" spans="1:4" x14ac:dyDescent="0.45">
      <c r="A374" t="s">
        <v>57</v>
      </c>
      <c r="B374">
        <v>2022</v>
      </c>
      <c r="C374" t="s">
        <v>75</v>
      </c>
      <c r="D374">
        <v>33.08</v>
      </c>
    </row>
    <row r="375" spans="1:4" x14ac:dyDescent="0.45">
      <c r="A375" t="s">
        <v>38</v>
      </c>
      <c r="B375">
        <v>2022</v>
      </c>
      <c r="C375" t="s">
        <v>75</v>
      </c>
      <c r="D375">
        <v>30.52</v>
      </c>
    </row>
    <row r="376" spans="1:4" x14ac:dyDescent="0.45">
      <c r="A376" t="s">
        <v>58</v>
      </c>
      <c r="B376">
        <v>2022</v>
      </c>
      <c r="C376" t="s">
        <v>75</v>
      </c>
      <c r="D376">
        <v>83.06</v>
      </c>
    </row>
    <row r="377" spans="1:4" x14ac:dyDescent="0.45">
      <c r="A377" t="s">
        <v>91</v>
      </c>
      <c r="B377">
        <v>2022</v>
      </c>
      <c r="C377" t="s">
        <v>75</v>
      </c>
      <c r="D377">
        <v>4.37</v>
      </c>
    </row>
    <row r="378" spans="1:4" x14ac:dyDescent="0.45">
      <c r="A378" t="s">
        <v>32</v>
      </c>
      <c r="B378">
        <v>2023</v>
      </c>
      <c r="C378" t="s">
        <v>75</v>
      </c>
      <c r="D378">
        <v>5.36</v>
      </c>
    </row>
    <row r="379" spans="1:4" x14ac:dyDescent="0.45">
      <c r="A379" t="s">
        <v>34</v>
      </c>
      <c r="B379">
        <v>2023</v>
      </c>
      <c r="C379" t="s">
        <v>75</v>
      </c>
      <c r="D379">
        <v>55.73</v>
      </c>
    </row>
    <row r="380" spans="1:4" x14ac:dyDescent="0.45">
      <c r="A380" t="s">
        <v>36</v>
      </c>
      <c r="B380">
        <v>2023</v>
      </c>
      <c r="C380" t="s">
        <v>75</v>
      </c>
      <c r="D380">
        <v>85.21</v>
      </c>
    </row>
    <row r="381" spans="1:4" x14ac:dyDescent="0.45">
      <c r="A381" t="s">
        <v>56</v>
      </c>
      <c r="B381">
        <v>2023</v>
      </c>
      <c r="C381" t="s">
        <v>75</v>
      </c>
      <c r="D381">
        <v>28.22</v>
      </c>
    </row>
    <row r="382" spans="1:4" x14ac:dyDescent="0.45">
      <c r="A382" t="s">
        <v>57</v>
      </c>
      <c r="B382">
        <v>2023</v>
      </c>
      <c r="C382" t="s">
        <v>75</v>
      </c>
      <c r="D382">
        <v>33.08</v>
      </c>
    </row>
    <row r="383" spans="1:4" x14ac:dyDescent="0.45">
      <c r="A383" t="s">
        <v>38</v>
      </c>
      <c r="B383">
        <v>2023</v>
      </c>
      <c r="C383" t="s">
        <v>75</v>
      </c>
      <c r="D383">
        <v>21.31</v>
      </c>
    </row>
    <row r="384" spans="1:4" x14ac:dyDescent="0.45">
      <c r="A384" t="s">
        <v>58</v>
      </c>
      <c r="B384">
        <v>2023</v>
      </c>
      <c r="C384" t="s">
        <v>75</v>
      </c>
      <c r="D384">
        <v>87.07</v>
      </c>
    </row>
    <row r="385" spans="1:4" x14ac:dyDescent="0.45">
      <c r="A385" t="s">
        <v>91</v>
      </c>
      <c r="B385">
        <v>2023</v>
      </c>
      <c r="C385" t="s">
        <v>75</v>
      </c>
      <c r="D385">
        <v>5.23</v>
      </c>
    </row>
    <row r="386" spans="1:4" x14ac:dyDescent="0.45">
      <c r="A386" t="s">
        <v>32</v>
      </c>
      <c r="B386">
        <v>2000</v>
      </c>
      <c r="C386" t="s">
        <v>76</v>
      </c>
      <c r="D386">
        <v>3.48</v>
      </c>
    </row>
    <row r="387" spans="1:4" x14ac:dyDescent="0.45">
      <c r="A387" t="s">
        <v>34</v>
      </c>
      <c r="B387">
        <v>2000</v>
      </c>
      <c r="C387" t="s">
        <v>76</v>
      </c>
      <c r="D387">
        <v>198.71</v>
      </c>
    </row>
    <row r="388" spans="1:4" x14ac:dyDescent="0.45">
      <c r="A388" t="s">
        <v>36</v>
      </c>
      <c r="B388">
        <v>2000</v>
      </c>
      <c r="C388" t="s">
        <v>76</v>
      </c>
      <c r="D388">
        <v>140.57</v>
      </c>
    </row>
    <row r="389" spans="1:4" x14ac:dyDescent="0.45">
      <c r="A389" t="s">
        <v>56</v>
      </c>
      <c r="B389">
        <v>2000</v>
      </c>
      <c r="C389" t="s">
        <v>76</v>
      </c>
      <c r="D389">
        <v>2.0099999999999998</v>
      </c>
    </row>
    <row r="390" spans="1:4" x14ac:dyDescent="0.45">
      <c r="A390" t="s">
        <v>57</v>
      </c>
      <c r="B390">
        <v>2000</v>
      </c>
      <c r="C390" t="s">
        <v>76</v>
      </c>
      <c r="D390">
        <v>1.67</v>
      </c>
    </row>
    <row r="391" spans="1:4" x14ac:dyDescent="0.45">
      <c r="A391" t="s">
        <v>38</v>
      </c>
      <c r="B391">
        <v>2000</v>
      </c>
      <c r="C391" t="s">
        <v>76</v>
      </c>
      <c r="D391">
        <v>120.27</v>
      </c>
    </row>
    <row r="392" spans="1:4" x14ac:dyDescent="0.45">
      <c r="A392" t="s">
        <v>58</v>
      </c>
      <c r="B392">
        <v>2000</v>
      </c>
      <c r="C392" t="s">
        <v>76</v>
      </c>
      <c r="D392">
        <v>0.02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3.47</v>
      </c>
    </row>
    <row r="395" spans="1:4" x14ac:dyDescent="0.45">
      <c r="A395" t="s">
        <v>34</v>
      </c>
      <c r="B395">
        <v>2001</v>
      </c>
      <c r="C395" t="s">
        <v>76</v>
      </c>
      <c r="D395">
        <v>211.43</v>
      </c>
    </row>
    <row r="396" spans="1:4" x14ac:dyDescent="0.45">
      <c r="A396" t="s">
        <v>36</v>
      </c>
      <c r="B396">
        <v>2001</v>
      </c>
      <c r="C396" t="s">
        <v>76</v>
      </c>
      <c r="D396">
        <v>139.5</v>
      </c>
    </row>
    <row r="397" spans="1:4" x14ac:dyDescent="0.45">
      <c r="A397" t="s">
        <v>56</v>
      </c>
      <c r="B397">
        <v>2001</v>
      </c>
      <c r="C397" t="s">
        <v>76</v>
      </c>
      <c r="D397">
        <v>1.94</v>
      </c>
    </row>
    <row r="398" spans="1:4" x14ac:dyDescent="0.45">
      <c r="A398" t="s">
        <v>57</v>
      </c>
      <c r="B398">
        <v>2001</v>
      </c>
      <c r="C398" t="s">
        <v>76</v>
      </c>
      <c r="D398">
        <v>1.68</v>
      </c>
    </row>
    <row r="399" spans="1:4" x14ac:dyDescent="0.45">
      <c r="A399" t="s">
        <v>38</v>
      </c>
      <c r="B399">
        <v>2001</v>
      </c>
      <c r="C399" t="s">
        <v>76</v>
      </c>
      <c r="D399">
        <v>101.23</v>
      </c>
    </row>
    <row r="400" spans="1:4" x14ac:dyDescent="0.45">
      <c r="A400" t="s">
        <v>58</v>
      </c>
      <c r="B400">
        <v>2001</v>
      </c>
      <c r="C400" t="s">
        <v>76</v>
      </c>
      <c r="D400">
        <v>0.02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3.66</v>
      </c>
    </row>
    <row r="403" spans="1:4" x14ac:dyDescent="0.45">
      <c r="A403" t="s">
        <v>34</v>
      </c>
      <c r="B403">
        <v>2002</v>
      </c>
      <c r="C403" t="s">
        <v>76</v>
      </c>
      <c r="D403">
        <v>219.89</v>
      </c>
    </row>
    <row r="404" spans="1:4" x14ac:dyDescent="0.45">
      <c r="A404" t="s">
        <v>36</v>
      </c>
      <c r="B404">
        <v>2002</v>
      </c>
      <c r="C404" t="s">
        <v>76</v>
      </c>
      <c r="D404">
        <v>137.44999999999999</v>
      </c>
    </row>
    <row r="405" spans="1:4" x14ac:dyDescent="0.45">
      <c r="A405" t="s">
        <v>56</v>
      </c>
      <c r="B405">
        <v>2002</v>
      </c>
      <c r="C405" t="s">
        <v>76</v>
      </c>
      <c r="D405">
        <v>1.92</v>
      </c>
    </row>
    <row r="406" spans="1:4" x14ac:dyDescent="0.45">
      <c r="A406" t="s">
        <v>57</v>
      </c>
      <c r="B406">
        <v>2002</v>
      </c>
      <c r="C406" t="s">
        <v>76</v>
      </c>
      <c r="D406">
        <v>1.65</v>
      </c>
    </row>
    <row r="407" spans="1:4" x14ac:dyDescent="0.45">
      <c r="A407" t="s">
        <v>38</v>
      </c>
      <c r="B407">
        <v>2002</v>
      </c>
      <c r="C407" t="s">
        <v>76</v>
      </c>
      <c r="D407">
        <v>113.83</v>
      </c>
    </row>
    <row r="408" spans="1:4" x14ac:dyDescent="0.45">
      <c r="A408" t="s">
        <v>58</v>
      </c>
      <c r="B408">
        <v>2002</v>
      </c>
      <c r="C408" t="s">
        <v>76</v>
      </c>
      <c r="D408">
        <v>0.03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3.87</v>
      </c>
    </row>
    <row r="411" spans="1:4" x14ac:dyDescent="0.45">
      <c r="A411" t="s">
        <v>34</v>
      </c>
      <c r="B411">
        <v>2003</v>
      </c>
      <c r="C411" t="s">
        <v>76</v>
      </c>
      <c r="D411">
        <v>242.71</v>
      </c>
    </row>
    <row r="412" spans="1:4" x14ac:dyDescent="0.45">
      <c r="A412" t="s">
        <v>36</v>
      </c>
      <c r="B412">
        <v>2003</v>
      </c>
      <c r="C412" t="s">
        <v>76</v>
      </c>
      <c r="D412">
        <v>148.51</v>
      </c>
    </row>
    <row r="413" spans="1:4" x14ac:dyDescent="0.45">
      <c r="A413" t="s">
        <v>56</v>
      </c>
      <c r="B413">
        <v>2003</v>
      </c>
      <c r="C413" t="s">
        <v>76</v>
      </c>
      <c r="D413">
        <v>2.2000000000000002</v>
      </c>
    </row>
    <row r="414" spans="1:4" x14ac:dyDescent="0.45">
      <c r="A414" t="s">
        <v>57</v>
      </c>
      <c r="B414">
        <v>2003</v>
      </c>
      <c r="C414" t="s">
        <v>76</v>
      </c>
      <c r="D414">
        <v>1.2</v>
      </c>
    </row>
    <row r="415" spans="1:4" x14ac:dyDescent="0.45">
      <c r="A415" t="s">
        <v>38</v>
      </c>
      <c r="B415">
        <v>2003</v>
      </c>
      <c r="C415" t="s">
        <v>76</v>
      </c>
      <c r="D415">
        <v>121.87</v>
      </c>
    </row>
    <row r="416" spans="1:4" x14ac:dyDescent="0.45">
      <c r="A416" t="s">
        <v>58</v>
      </c>
      <c r="B416">
        <v>2003</v>
      </c>
      <c r="C416" t="s">
        <v>76</v>
      </c>
      <c r="D416">
        <v>0.05</v>
      </c>
    </row>
    <row r="417" spans="1:4" x14ac:dyDescent="0.45">
      <c r="A417" t="s">
        <v>91</v>
      </c>
      <c r="B417">
        <v>2003</v>
      </c>
      <c r="C417" t="s">
        <v>76</v>
      </c>
      <c r="D417">
        <v>0.01</v>
      </c>
    </row>
    <row r="418" spans="1:4" x14ac:dyDescent="0.45">
      <c r="A418" t="s">
        <v>32</v>
      </c>
      <c r="B418">
        <v>2004</v>
      </c>
      <c r="C418" t="s">
        <v>76</v>
      </c>
      <c r="D418">
        <v>3.9</v>
      </c>
    </row>
    <row r="419" spans="1:4" x14ac:dyDescent="0.45">
      <c r="A419" t="s">
        <v>34</v>
      </c>
      <c r="B419">
        <v>2004</v>
      </c>
      <c r="C419" t="s">
        <v>76</v>
      </c>
      <c r="D419">
        <v>245.32</v>
      </c>
    </row>
    <row r="420" spans="1:4" x14ac:dyDescent="0.45">
      <c r="A420" t="s">
        <v>36</v>
      </c>
      <c r="B420">
        <v>2004</v>
      </c>
      <c r="C420" t="s">
        <v>76</v>
      </c>
      <c r="D420">
        <v>140.22999999999999</v>
      </c>
    </row>
    <row r="421" spans="1:4" x14ac:dyDescent="0.45">
      <c r="A421" t="s">
        <v>56</v>
      </c>
      <c r="B421">
        <v>2004</v>
      </c>
      <c r="C421" t="s">
        <v>76</v>
      </c>
      <c r="D421">
        <v>2.1800000000000002</v>
      </c>
    </row>
    <row r="422" spans="1:4" x14ac:dyDescent="0.45">
      <c r="A422" t="s">
        <v>57</v>
      </c>
      <c r="B422">
        <v>2004</v>
      </c>
      <c r="C422" t="s">
        <v>76</v>
      </c>
      <c r="D422">
        <v>1.5</v>
      </c>
    </row>
    <row r="423" spans="1:4" x14ac:dyDescent="0.45">
      <c r="A423" t="s">
        <v>38</v>
      </c>
      <c r="B423">
        <v>2004</v>
      </c>
      <c r="C423" t="s">
        <v>76</v>
      </c>
      <c r="D423">
        <v>111.62</v>
      </c>
    </row>
    <row r="424" spans="1:4" x14ac:dyDescent="0.45">
      <c r="A424" t="s">
        <v>58</v>
      </c>
      <c r="B424">
        <v>2004</v>
      </c>
      <c r="C424" t="s">
        <v>76</v>
      </c>
      <c r="D424">
        <v>0.06</v>
      </c>
    </row>
    <row r="425" spans="1:4" x14ac:dyDescent="0.45">
      <c r="A425" t="s">
        <v>91</v>
      </c>
      <c r="B425">
        <v>2004</v>
      </c>
      <c r="C425" t="s">
        <v>76</v>
      </c>
      <c r="D425">
        <v>0.02</v>
      </c>
    </row>
    <row r="426" spans="1:4" x14ac:dyDescent="0.45">
      <c r="A426" t="s">
        <v>32</v>
      </c>
      <c r="B426">
        <v>2005</v>
      </c>
      <c r="C426" t="s">
        <v>76</v>
      </c>
      <c r="D426">
        <v>4.6900000000000004</v>
      </c>
    </row>
    <row r="427" spans="1:4" x14ac:dyDescent="0.45">
      <c r="A427" t="s">
        <v>34</v>
      </c>
      <c r="B427">
        <v>2005</v>
      </c>
      <c r="C427" t="s">
        <v>76</v>
      </c>
      <c r="D427">
        <v>265</v>
      </c>
    </row>
    <row r="428" spans="1:4" x14ac:dyDescent="0.45">
      <c r="A428" t="s">
        <v>36</v>
      </c>
      <c r="B428">
        <v>2005</v>
      </c>
      <c r="C428" t="s">
        <v>76</v>
      </c>
      <c r="D428">
        <v>137.63</v>
      </c>
    </row>
    <row r="429" spans="1:4" x14ac:dyDescent="0.45">
      <c r="A429" t="s">
        <v>56</v>
      </c>
      <c r="B429">
        <v>2005</v>
      </c>
      <c r="C429" t="s">
        <v>76</v>
      </c>
      <c r="D429">
        <v>1.84</v>
      </c>
    </row>
    <row r="430" spans="1:4" x14ac:dyDescent="0.45">
      <c r="A430" t="s">
        <v>57</v>
      </c>
      <c r="B430">
        <v>2005</v>
      </c>
      <c r="C430" t="s">
        <v>76</v>
      </c>
      <c r="D430">
        <v>1.53</v>
      </c>
    </row>
    <row r="431" spans="1:4" x14ac:dyDescent="0.45">
      <c r="A431" t="s">
        <v>38</v>
      </c>
      <c r="B431">
        <v>2005</v>
      </c>
      <c r="C431" t="s">
        <v>76</v>
      </c>
      <c r="D431">
        <v>121.7</v>
      </c>
    </row>
    <row r="432" spans="1:4" x14ac:dyDescent="0.45">
      <c r="A432" t="s">
        <v>58</v>
      </c>
      <c r="B432">
        <v>2005</v>
      </c>
      <c r="C432" t="s">
        <v>76</v>
      </c>
      <c r="D432">
        <v>0.08</v>
      </c>
    </row>
    <row r="433" spans="1:4" x14ac:dyDescent="0.45">
      <c r="A433" t="s">
        <v>91</v>
      </c>
      <c r="B433">
        <v>2005</v>
      </c>
      <c r="C433" t="s">
        <v>76</v>
      </c>
      <c r="D433">
        <v>0.02</v>
      </c>
    </row>
    <row r="434" spans="1:4" x14ac:dyDescent="0.45">
      <c r="A434" t="s">
        <v>32</v>
      </c>
      <c r="B434">
        <v>2006</v>
      </c>
      <c r="C434" t="s">
        <v>76</v>
      </c>
      <c r="D434">
        <v>4.6500000000000004</v>
      </c>
    </row>
    <row r="435" spans="1:4" x14ac:dyDescent="0.45">
      <c r="A435" t="s">
        <v>34</v>
      </c>
      <c r="B435">
        <v>2006</v>
      </c>
      <c r="C435" t="s">
        <v>76</v>
      </c>
      <c r="D435">
        <v>258.52</v>
      </c>
    </row>
    <row r="436" spans="1:4" x14ac:dyDescent="0.45">
      <c r="A436" t="s">
        <v>36</v>
      </c>
      <c r="B436">
        <v>2006</v>
      </c>
      <c r="C436" t="s">
        <v>76</v>
      </c>
      <c r="D436">
        <v>152.29</v>
      </c>
    </row>
    <row r="437" spans="1:4" x14ac:dyDescent="0.45">
      <c r="A437" t="s">
        <v>56</v>
      </c>
      <c r="B437">
        <v>2006</v>
      </c>
      <c r="C437" t="s">
        <v>76</v>
      </c>
      <c r="D437">
        <v>2.11</v>
      </c>
    </row>
    <row r="438" spans="1:4" x14ac:dyDescent="0.45">
      <c r="A438" t="s">
        <v>57</v>
      </c>
      <c r="B438">
        <v>2006</v>
      </c>
      <c r="C438" t="s">
        <v>76</v>
      </c>
      <c r="D438">
        <v>1.59</v>
      </c>
    </row>
    <row r="439" spans="1:4" x14ac:dyDescent="0.45">
      <c r="A439" t="s">
        <v>38</v>
      </c>
      <c r="B439">
        <v>2006</v>
      </c>
      <c r="C439" t="s">
        <v>76</v>
      </c>
      <c r="D439">
        <v>101.47</v>
      </c>
    </row>
    <row r="440" spans="1:4" x14ac:dyDescent="0.45">
      <c r="A440" t="s">
        <v>58</v>
      </c>
      <c r="B440">
        <v>2006</v>
      </c>
      <c r="C440" t="s">
        <v>76</v>
      </c>
      <c r="D440">
        <v>0.1</v>
      </c>
    </row>
    <row r="441" spans="1:4" x14ac:dyDescent="0.45">
      <c r="A441" t="s">
        <v>91</v>
      </c>
      <c r="B441">
        <v>2006</v>
      </c>
      <c r="C441" t="s">
        <v>76</v>
      </c>
      <c r="D441">
        <v>0.02</v>
      </c>
    </row>
    <row r="442" spans="1:4" x14ac:dyDescent="0.45">
      <c r="A442" t="s">
        <v>32</v>
      </c>
      <c r="B442">
        <v>2007</v>
      </c>
      <c r="C442" t="s">
        <v>76</v>
      </c>
      <c r="D442">
        <v>4.8</v>
      </c>
    </row>
    <row r="443" spans="1:4" x14ac:dyDescent="0.45">
      <c r="A443" t="s">
        <v>34</v>
      </c>
      <c r="B443">
        <v>2007</v>
      </c>
      <c r="C443" t="s">
        <v>76</v>
      </c>
      <c r="D443">
        <v>263.43</v>
      </c>
    </row>
    <row r="444" spans="1:4" x14ac:dyDescent="0.45">
      <c r="A444" t="s">
        <v>36</v>
      </c>
      <c r="B444">
        <v>2007</v>
      </c>
      <c r="C444" t="s">
        <v>76</v>
      </c>
      <c r="D444">
        <v>161.43</v>
      </c>
    </row>
    <row r="445" spans="1:4" x14ac:dyDescent="0.45">
      <c r="A445" t="s">
        <v>56</v>
      </c>
      <c r="B445">
        <v>2007</v>
      </c>
      <c r="C445" t="s">
        <v>76</v>
      </c>
      <c r="D445">
        <v>1.77</v>
      </c>
    </row>
    <row r="446" spans="1:4" x14ac:dyDescent="0.45">
      <c r="A446" t="s">
        <v>57</v>
      </c>
      <c r="B446">
        <v>2007</v>
      </c>
      <c r="C446" t="s">
        <v>76</v>
      </c>
      <c r="D446">
        <v>1.46</v>
      </c>
    </row>
    <row r="447" spans="1:4" x14ac:dyDescent="0.45">
      <c r="A447" t="s">
        <v>38</v>
      </c>
      <c r="B447">
        <v>2007</v>
      </c>
      <c r="C447" t="s">
        <v>76</v>
      </c>
      <c r="D447">
        <v>121.85</v>
      </c>
    </row>
    <row r="448" spans="1:4" x14ac:dyDescent="0.45">
      <c r="A448" t="s">
        <v>58</v>
      </c>
      <c r="B448">
        <v>2007</v>
      </c>
      <c r="C448" t="s">
        <v>76</v>
      </c>
      <c r="D448">
        <v>0.11</v>
      </c>
    </row>
    <row r="449" spans="1:4" x14ac:dyDescent="0.45">
      <c r="A449" t="s">
        <v>91</v>
      </c>
      <c r="B449">
        <v>2007</v>
      </c>
      <c r="C449" t="s">
        <v>76</v>
      </c>
      <c r="D449">
        <v>0.03</v>
      </c>
    </row>
    <row r="450" spans="1:4" x14ac:dyDescent="0.45">
      <c r="A450" t="s">
        <v>32</v>
      </c>
      <c r="B450">
        <v>2008</v>
      </c>
      <c r="C450" t="s">
        <v>76</v>
      </c>
      <c r="D450">
        <v>4.5999999999999996</v>
      </c>
    </row>
    <row r="451" spans="1:4" x14ac:dyDescent="0.45">
      <c r="A451" t="s">
        <v>34</v>
      </c>
      <c r="B451">
        <v>2008</v>
      </c>
      <c r="C451" t="s">
        <v>76</v>
      </c>
      <c r="D451">
        <v>277.04000000000002</v>
      </c>
    </row>
    <row r="452" spans="1:4" x14ac:dyDescent="0.45">
      <c r="A452" t="s">
        <v>36</v>
      </c>
      <c r="B452">
        <v>2008</v>
      </c>
      <c r="C452" t="s">
        <v>76</v>
      </c>
      <c r="D452">
        <v>176.65</v>
      </c>
    </row>
    <row r="453" spans="1:4" x14ac:dyDescent="0.45">
      <c r="A453" t="s">
        <v>56</v>
      </c>
      <c r="B453">
        <v>2008</v>
      </c>
      <c r="C453" t="s">
        <v>76</v>
      </c>
      <c r="D453">
        <v>1.79</v>
      </c>
    </row>
    <row r="454" spans="1:4" x14ac:dyDescent="0.45">
      <c r="A454" t="s">
        <v>57</v>
      </c>
      <c r="B454">
        <v>2008</v>
      </c>
      <c r="C454" t="s">
        <v>76</v>
      </c>
      <c r="D454">
        <v>1.32</v>
      </c>
    </row>
    <row r="455" spans="1:4" x14ac:dyDescent="0.45">
      <c r="A455" t="s">
        <v>38</v>
      </c>
      <c r="B455">
        <v>2008</v>
      </c>
      <c r="C455" t="s">
        <v>76</v>
      </c>
      <c r="D455">
        <v>112.81</v>
      </c>
    </row>
    <row r="456" spans="1:4" x14ac:dyDescent="0.45">
      <c r="A456" t="s">
        <v>58</v>
      </c>
      <c r="B456">
        <v>2008</v>
      </c>
      <c r="C456" t="s">
        <v>76</v>
      </c>
      <c r="D456">
        <v>0.12</v>
      </c>
    </row>
    <row r="457" spans="1:4" x14ac:dyDescent="0.45">
      <c r="A457" t="s">
        <v>91</v>
      </c>
      <c r="B457">
        <v>2008</v>
      </c>
      <c r="C457" t="s">
        <v>76</v>
      </c>
      <c r="D457">
        <v>0.03</v>
      </c>
    </row>
    <row r="458" spans="1:4" x14ac:dyDescent="0.45">
      <c r="A458" t="s">
        <v>32</v>
      </c>
      <c r="B458">
        <v>2009</v>
      </c>
      <c r="C458" t="s">
        <v>76</v>
      </c>
      <c r="D458">
        <v>4.4000000000000004</v>
      </c>
    </row>
    <row r="459" spans="1:4" x14ac:dyDescent="0.45">
      <c r="A459" t="s">
        <v>34</v>
      </c>
      <c r="B459">
        <v>2009</v>
      </c>
      <c r="C459" t="s">
        <v>76</v>
      </c>
      <c r="D459">
        <v>259.12</v>
      </c>
    </row>
    <row r="460" spans="1:4" x14ac:dyDescent="0.45">
      <c r="A460" t="s">
        <v>36</v>
      </c>
      <c r="B460">
        <v>2009</v>
      </c>
      <c r="C460" t="s">
        <v>76</v>
      </c>
      <c r="D460">
        <v>176.59</v>
      </c>
    </row>
    <row r="461" spans="1:4" x14ac:dyDescent="0.45">
      <c r="A461" t="s">
        <v>56</v>
      </c>
      <c r="B461">
        <v>2009</v>
      </c>
      <c r="C461" t="s">
        <v>76</v>
      </c>
      <c r="D461">
        <v>1.67</v>
      </c>
    </row>
    <row r="462" spans="1:4" x14ac:dyDescent="0.45">
      <c r="A462" t="s">
        <v>57</v>
      </c>
      <c r="B462">
        <v>2009</v>
      </c>
      <c r="C462" t="s">
        <v>76</v>
      </c>
      <c r="D462">
        <v>1.44</v>
      </c>
    </row>
    <row r="463" spans="1:4" x14ac:dyDescent="0.45">
      <c r="A463" t="s">
        <v>38</v>
      </c>
      <c r="B463">
        <v>2009</v>
      </c>
      <c r="C463" t="s">
        <v>76</v>
      </c>
      <c r="D463">
        <v>69.28</v>
      </c>
    </row>
    <row r="464" spans="1:4" x14ac:dyDescent="0.45">
      <c r="A464" t="s">
        <v>58</v>
      </c>
      <c r="B464">
        <v>2009</v>
      </c>
      <c r="C464" t="s">
        <v>76</v>
      </c>
      <c r="D464">
        <v>0.14000000000000001</v>
      </c>
    </row>
    <row r="465" spans="1:4" x14ac:dyDescent="0.45">
      <c r="A465" t="s">
        <v>91</v>
      </c>
      <c r="B465">
        <v>2009</v>
      </c>
      <c r="C465" t="s">
        <v>76</v>
      </c>
      <c r="D465">
        <v>0.04</v>
      </c>
    </row>
    <row r="466" spans="1:4" x14ac:dyDescent="0.45">
      <c r="A466" t="s">
        <v>32</v>
      </c>
      <c r="B466">
        <v>2010</v>
      </c>
      <c r="C466" t="s">
        <v>76</v>
      </c>
      <c r="D466">
        <v>4.72</v>
      </c>
    </row>
    <row r="467" spans="1:4" x14ac:dyDescent="0.45">
      <c r="A467" t="s">
        <v>34</v>
      </c>
      <c r="B467">
        <v>2010</v>
      </c>
      <c r="C467" t="s">
        <v>76</v>
      </c>
      <c r="D467">
        <v>263</v>
      </c>
    </row>
    <row r="468" spans="1:4" x14ac:dyDescent="0.45">
      <c r="A468" t="s">
        <v>36</v>
      </c>
      <c r="B468">
        <v>2010</v>
      </c>
      <c r="C468" t="s">
        <v>76</v>
      </c>
      <c r="D468">
        <v>177.33</v>
      </c>
    </row>
    <row r="469" spans="1:4" x14ac:dyDescent="0.45">
      <c r="A469" t="s">
        <v>56</v>
      </c>
      <c r="B469">
        <v>2010</v>
      </c>
      <c r="C469" t="s">
        <v>76</v>
      </c>
      <c r="D469">
        <v>2.1</v>
      </c>
    </row>
    <row r="470" spans="1:4" x14ac:dyDescent="0.45">
      <c r="A470" t="s">
        <v>57</v>
      </c>
      <c r="B470">
        <v>2010</v>
      </c>
      <c r="C470" t="s">
        <v>76</v>
      </c>
      <c r="D470">
        <v>1.53</v>
      </c>
    </row>
    <row r="471" spans="1:4" x14ac:dyDescent="0.45">
      <c r="A471" t="s">
        <v>38</v>
      </c>
      <c r="B471">
        <v>2010</v>
      </c>
      <c r="C471" t="s">
        <v>76</v>
      </c>
      <c r="D471">
        <v>67.45</v>
      </c>
    </row>
    <row r="472" spans="1:4" x14ac:dyDescent="0.45">
      <c r="A472" t="s">
        <v>58</v>
      </c>
      <c r="B472">
        <v>2010</v>
      </c>
      <c r="C472" t="s">
        <v>76</v>
      </c>
      <c r="D472">
        <v>0.19</v>
      </c>
    </row>
    <row r="473" spans="1:4" x14ac:dyDescent="0.45">
      <c r="A473" t="s">
        <v>91</v>
      </c>
      <c r="B473">
        <v>2010</v>
      </c>
      <c r="C473" t="s">
        <v>76</v>
      </c>
      <c r="D473">
        <v>0.04</v>
      </c>
    </row>
    <row r="474" spans="1:4" x14ac:dyDescent="0.45">
      <c r="A474" t="s">
        <v>32</v>
      </c>
      <c r="B474">
        <v>2011</v>
      </c>
      <c r="C474" t="s">
        <v>76</v>
      </c>
      <c r="D474">
        <v>4.5599999999999996</v>
      </c>
    </row>
    <row r="475" spans="1:4" x14ac:dyDescent="0.45">
      <c r="A475" t="s">
        <v>34</v>
      </c>
      <c r="B475">
        <v>2011</v>
      </c>
      <c r="C475" t="s">
        <v>76</v>
      </c>
      <c r="D475">
        <v>236.59</v>
      </c>
    </row>
    <row r="476" spans="1:4" x14ac:dyDescent="0.45">
      <c r="A476" t="s">
        <v>36</v>
      </c>
      <c r="B476">
        <v>2011</v>
      </c>
      <c r="C476" t="s">
        <v>76</v>
      </c>
      <c r="D476">
        <v>206.56</v>
      </c>
    </row>
    <row r="477" spans="1:4" x14ac:dyDescent="0.45">
      <c r="A477" t="s">
        <v>56</v>
      </c>
      <c r="B477">
        <v>2011</v>
      </c>
      <c r="C477" t="s">
        <v>76</v>
      </c>
      <c r="D477">
        <v>1.96</v>
      </c>
    </row>
    <row r="478" spans="1:4" x14ac:dyDescent="0.45">
      <c r="A478" t="s">
        <v>57</v>
      </c>
      <c r="B478">
        <v>2011</v>
      </c>
      <c r="C478" t="s">
        <v>76</v>
      </c>
      <c r="D478">
        <v>0.85</v>
      </c>
    </row>
    <row r="479" spans="1:4" x14ac:dyDescent="0.45">
      <c r="A479" t="s">
        <v>38</v>
      </c>
      <c r="B479">
        <v>2011</v>
      </c>
      <c r="C479" t="s">
        <v>76</v>
      </c>
      <c r="D479">
        <v>107.17</v>
      </c>
    </row>
    <row r="480" spans="1:4" x14ac:dyDescent="0.45">
      <c r="A480" t="s">
        <v>58</v>
      </c>
      <c r="B480">
        <v>2011</v>
      </c>
      <c r="C480" t="s">
        <v>76</v>
      </c>
      <c r="D480">
        <v>0.26</v>
      </c>
    </row>
    <row r="481" spans="1:4" x14ac:dyDescent="0.45">
      <c r="A481" t="s">
        <v>91</v>
      </c>
      <c r="B481">
        <v>2011</v>
      </c>
      <c r="C481" t="s">
        <v>76</v>
      </c>
      <c r="D481">
        <v>0.05</v>
      </c>
    </row>
    <row r="482" spans="1:4" x14ac:dyDescent="0.45">
      <c r="A482" t="s">
        <v>32</v>
      </c>
      <c r="B482">
        <v>2012</v>
      </c>
      <c r="C482" t="s">
        <v>76</v>
      </c>
      <c r="D482">
        <v>4.78</v>
      </c>
    </row>
    <row r="483" spans="1:4" x14ac:dyDescent="0.45">
      <c r="A483" t="s">
        <v>34</v>
      </c>
      <c r="B483">
        <v>2012</v>
      </c>
      <c r="C483" t="s">
        <v>76</v>
      </c>
      <c r="D483">
        <v>277.44</v>
      </c>
    </row>
    <row r="484" spans="1:4" x14ac:dyDescent="0.45">
      <c r="A484" t="s">
        <v>36</v>
      </c>
      <c r="B484">
        <v>2012</v>
      </c>
      <c r="C484" t="s">
        <v>76</v>
      </c>
      <c r="D484">
        <v>236.82</v>
      </c>
    </row>
    <row r="485" spans="1:4" x14ac:dyDescent="0.45">
      <c r="A485" t="s">
        <v>56</v>
      </c>
      <c r="B485">
        <v>2012</v>
      </c>
      <c r="C485" t="s">
        <v>76</v>
      </c>
      <c r="D485">
        <v>1.83</v>
      </c>
    </row>
    <row r="486" spans="1:4" x14ac:dyDescent="0.45">
      <c r="A486" t="s">
        <v>57</v>
      </c>
      <c r="B486">
        <v>2012</v>
      </c>
      <c r="C486" t="s">
        <v>76</v>
      </c>
      <c r="D486">
        <v>0.09</v>
      </c>
    </row>
    <row r="487" spans="1:4" x14ac:dyDescent="0.45">
      <c r="A487" t="s">
        <v>38</v>
      </c>
      <c r="B487">
        <v>2012</v>
      </c>
      <c r="C487" t="s">
        <v>76</v>
      </c>
      <c r="D487">
        <v>136.71</v>
      </c>
    </row>
    <row r="488" spans="1:4" x14ac:dyDescent="0.45">
      <c r="A488" t="s">
        <v>58</v>
      </c>
      <c r="B488">
        <v>2012</v>
      </c>
      <c r="C488" t="s">
        <v>76</v>
      </c>
      <c r="D488">
        <v>0.35</v>
      </c>
    </row>
    <row r="489" spans="1:4" x14ac:dyDescent="0.45">
      <c r="A489" t="s">
        <v>91</v>
      </c>
      <c r="B489">
        <v>2012</v>
      </c>
      <c r="C489" t="s">
        <v>76</v>
      </c>
      <c r="D489">
        <v>0.05</v>
      </c>
    </row>
    <row r="490" spans="1:4" x14ac:dyDescent="0.45">
      <c r="A490" t="s">
        <v>32</v>
      </c>
      <c r="B490">
        <v>2013</v>
      </c>
      <c r="C490" t="s">
        <v>76</v>
      </c>
      <c r="D490">
        <v>5.01</v>
      </c>
    </row>
    <row r="491" spans="1:4" x14ac:dyDescent="0.45">
      <c r="A491" t="s">
        <v>34</v>
      </c>
      <c r="B491">
        <v>2013</v>
      </c>
      <c r="C491" t="s">
        <v>76</v>
      </c>
      <c r="D491">
        <v>300.67</v>
      </c>
    </row>
    <row r="492" spans="1:4" x14ac:dyDescent="0.45">
      <c r="A492" t="s">
        <v>36</v>
      </c>
      <c r="B492">
        <v>2013</v>
      </c>
      <c r="C492" t="s">
        <v>76</v>
      </c>
      <c r="D492">
        <v>230.35</v>
      </c>
    </row>
    <row r="493" spans="1:4" x14ac:dyDescent="0.45">
      <c r="A493" t="s">
        <v>56</v>
      </c>
      <c r="B493">
        <v>2013</v>
      </c>
      <c r="C493" t="s">
        <v>76</v>
      </c>
      <c r="D493">
        <v>1.88</v>
      </c>
    </row>
    <row r="494" spans="1:4" x14ac:dyDescent="0.45">
      <c r="A494" t="s">
        <v>57</v>
      </c>
      <c r="B494">
        <v>2013</v>
      </c>
      <c r="C494" t="s">
        <v>76</v>
      </c>
      <c r="D494">
        <v>0.08</v>
      </c>
    </row>
    <row r="495" spans="1:4" x14ac:dyDescent="0.45">
      <c r="A495" t="s">
        <v>38</v>
      </c>
      <c r="B495">
        <v>2013</v>
      </c>
      <c r="C495" t="s">
        <v>76</v>
      </c>
      <c r="D495">
        <v>109.54</v>
      </c>
    </row>
    <row r="496" spans="1:4" x14ac:dyDescent="0.45">
      <c r="A496" t="s">
        <v>58</v>
      </c>
      <c r="B496">
        <v>2013</v>
      </c>
      <c r="C496" t="s">
        <v>76</v>
      </c>
      <c r="D496">
        <v>0.61</v>
      </c>
    </row>
    <row r="497" spans="1:4" x14ac:dyDescent="0.45">
      <c r="A497" t="s">
        <v>91</v>
      </c>
      <c r="B497">
        <v>2013</v>
      </c>
      <c r="C497" t="s">
        <v>76</v>
      </c>
      <c r="D497">
        <v>0.06</v>
      </c>
    </row>
    <row r="498" spans="1:4" x14ac:dyDescent="0.45">
      <c r="A498" t="s">
        <v>32</v>
      </c>
      <c r="B498">
        <v>2014</v>
      </c>
      <c r="C498" t="s">
        <v>76</v>
      </c>
      <c r="D498">
        <v>5.1100000000000003</v>
      </c>
    </row>
    <row r="499" spans="1:4" x14ac:dyDescent="0.45">
      <c r="A499" t="s">
        <v>34</v>
      </c>
      <c r="B499">
        <v>2014</v>
      </c>
      <c r="C499" t="s">
        <v>76</v>
      </c>
      <c r="D499">
        <v>294.70999999999998</v>
      </c>
    </row>
    <row r="500" spans="1:4" x14ac:dyDescent="0.45">
      <c r="A500" t="s">
        <v>36</v>
      </c>
      <c r="B500">
        <v>2014</v>
      </c>
      <c r="C500" t="s">
        <v>76</v>
      </c>
      <c r="D500">
        <v>245.19</v>
      </c>
    </row>
    <row r="501" spans="1:4" x14ac:dyDescent="0.45">
      <c r="A501" t="s">
        <v>56</v>
      </c>
      <c r="B501">
        <v>2014</v>
      </c>
      <c r="C501" t="s">
        <v>76</v>
      </c>
      <c r="D501">
        <v>1.94</v>
      </c>
    </row>
    <row r="502" spans="1:4" x14ac:dyDescent="0.45">
      <c r="A502" t="s">
        <v>57</v>
      </c>
      <c r="B502">
        <v>2014</v>
      </c>
      <c r="C502" t="s">
        <v>76</v>
      </c>
      <c r="D502">
        <v>0</v>
      </c>
    </row>
    <row r="503" spans="1:4" x14ac:dyDescent="0.45">
      <c r="A503" t="s">
        <v>38</v>
      </c>
      <c r="B503">
        <v>2014</v>
      </c>
      <c r="C503" t="s">
        <v>76</v>
      </c>
      <c r="D503">
        <v>80.5</v>
      </c>
    </row>
    <row r="504" spans="1:4" x14ac:dyDescent="0.45">
      <c r="A504" t="s">
        <v>58</v>
      </c>
      <c r="B504">
        <v>2014</v>
      </c>
      <c r="C504" t="s">
        <v>76</v>
      </c>
      <c r="D504">
        <v>1.1200000000000001</v>
      </c>
    </row>
    <row r="505" spans="1:4" x14ac:dyDescent="0.45">
      <c r="A505" t="s">
        <v>91</v>
      </c>
      <c r="B505">
        <v>2014</v>
      </c>
      <c r="C505" t="s">
        <v>76</v>
      </c>
      <c r="D505">
        <v>0.06</v>
      </c>
    </row>
    <row r="506" spans="1:4" x14ac:dyDescent="0.45">
      <c r="A506" t="s">
        <v>32</v>
      </c>
      <c r="B506">
        <v>2015</v>
      </c>
      <c r="C506" t="s">
        <v>76</v>
      </c>
      <c r="D506">
        <v>6.16</v>
      </c>
    </row>
    <row r="507" spans="1:4" x14ac:dyDescent="0.45">
      <c r="A507" t="s">
        <v>34</v>
      </c>
      <c r="B507">
        <v>2015</v>
      </c>
      <c r="C507" t="s">
        <v>76</v>
      </c>
      <c r="D507">
        <v>289.77999999999997</v>
      </c>
    </row>
    <row r="508" spans="1:4" x14ac:dyDescent="0.45">
      <c r="A508" t="s">
        <v>36</v>
      </c>
      <c r="B508">
        <v>2015</v>
      </c>
      <c r="C508" t="s">
        <v>76</v>
      </c>
      <c r="D508">
        <v>227.04</v>
      </c>
    </row>
    <row r="509" spans="1:4" x14ac:dyDescent="0.45">
      <c r="A509" t="s">
        <v>56</v>
      </c>
      <c r="B509">
        <v>2015</v>
      </c>
      <c r="C509" t="s">
        <v>76</v>
      </c>
      <c r="D509">
        <v>2.04</v>
      </c>
    </row>
    <row r="510" spans="1:4" x14ac:dyDescent="0.45">
      <c r="A510" t="s">
        <v>57</v>
      </c>
      <c r="B510">
        <v>2015</v>
      </c>
      <c r="C510" t="s">
        <v>76</v>
      </c>
      <c r="D510">
        <v>0.02</v>
      </c>
    </row>
    <row r="511" spans="1:4" x14ac:dyDescent="0.45">
      <c r="A511" t="s">
        <v>38</v>
      </c>
      <c r="B511">
        <v>2015</v>
      </c>
      <c r="C511" t="s">
        <v>76</v>
      </c>
      <c r="D511">
        <v>68.72</v>
      </c>
    </row>
    <row r="512" spans="1:4" x14ac:dyDescent="0.45">
      <c r="A512" t="s">
        <v>58</v>
      </c>
      <c r="B512">
        <v>2015</v>
      </c>
      <c r="C512" t="s">
        <v>76</v>
      </c>
      <c r="D512">
        <v>1.64</v>
      </c>
    </row>
    <row r="513" spans="1:4" x14ac:dyDescent="0.45">
      <c r="A513" t="s">
        <v>91</v>
      </c>
      <c r="B513">
        <v>2015</v>
      </c>
      <c r="C513" t="s">
        <v>76</v>
      </c>
      <c r="D513">
        <v>0.06</v>
      </c>
    </row>
    <row r="514" spans="1:4" x14ac:dyDescent="0.45">
      <c r="A514" t="s">
        <v>32</v>
      </c>
      <c r="B514">
        <v>2016</v>
      </c>
      <c r="C514" t="s">
        <v>76</v>
      </c>
      <c r="D514">
        <v>5.12</v>
      </c>
    </row>
    <row r="515" spans="1:4" x14ac:dyDescent="0.45">
      <c r="A515" t="s">
        <v>34</v>
      </c>
      <c r="B515">
        <v>2016</v>
      </c>
      <c r="C515" t="s">
        <v>76</v>
      </c>
      <c r="D515">
        <v>280.66000000000003</v>
      </c>
    </row>
    <row r="516" spans="1:4" x14ac:dyDescent="0.45">
      <c r="A516" t="s">
        <v>36</v>
      </c>
      <c r="B516">
        <v>2016</v>
      </c>
      <c r="C516" t="s">
        <v>76</v>
      </c>
      <c r="D516">
        <v>249.3</v>
      </c>
    </row>
    <row r="517" spans="1:4" x14ac:dyDescent="0.45">
      <c r="A517" t="s">
        <v>56</v>
      </c>
      <c r="B517">
        <v>2016</v>
      </c>
      <c r="C517" t="s">
        <v>76</v>
      </c>
      <c r="D517">
        <v>1.89</v>
      </c>
    </row>
    <row r="518" spans="1:4" x14ac:dyDescent="0.45">
      <c r="A518" t="s">
        <v>57</v>
      </c>
      <c r="B518">
        <v>2016</v>
      </c>
      <c r="C518" t="s">
        <v>76</v>
      </c>
      <c r="D518">
        <v>0.09</v>
      </c>
    </row>
    <row r="519" spans="1:4" x14ac:dyDescent="0.45">
      <c r="A519" t="s">
        <v>38</v>
      </c>
      <c r="B519">
        <v>2016</v>
      </c>
      <c r="C519" t="s">
        <v>76</v>
      </c>
      <c r="D519">
        <v>63.98</v>
      </c>
    </row>
    <row r="520" spans="1:4" x14ac:dyDescent="0.45">
      <c r="A520" t="s">
        <v>58</v>
      </c>
      <c r="B520">
        <v>2016</v>
      </c>
      <c r="C520" t="s">
        <v>76</v>
      </c>
      <c r="D520">
        <v>2.06</v>
      </c>
    </row>
    <row r="521" spans="1:4" x14ac:dyDescent="0.45">
      <c r="A521" t="s">
        <v>91</v>
      </c>
      <c r="B521">
        <v>2016</v>
      </c>
      <c r="C521" t="s">
        <v>76</v>
      </c>
      <c r="D521">
        <v>0.06</v>
      </c>
    </row>
    <row r="522" spans="1:4" x14ac:dyDescent="0.45">
      <c r="A522" t="s">
        <v>32</v>
      </c>
      <c r="B522">
        <v>2017</v>
      </c>
      <c r="C522" t="s">
        <v>76</v>
      </c>
      <c r="D522">
        <v>5.15</v>
      </c>
    </row>
    <row r="523" spans="1:4" x14ac:dyDescent="0.45">
      <c r="A523" t="s">
        <v>34</v>
      </c>
      <c r="B523">
        <v>2017</v>
      </c>
      <c r="C523" t="s">
        <v>76</v>
      </c>
      <c r="D523">
        <v>301.27</v>
      </c>
    </row>
    <row r="524" spans="1:4" x14ac:dyDescent="0.45">
      <c r="A524" t="s">
        <v>36</v>
      </c>
      <c r="B524">
        <v>2017</v>
      </c>
      <c r="C524" t="s">
        <v>76</v>
      </c>
      <c r="D524">
        <v>252.4</v>
      </c>
    </row>
    <row r="525" spans="1:4" x14ac:dyDescent="0.45">
      <c r="A525" t="s">
        <v>56</v>
      </c>
      <c r="B525">
        <v>2017</v>
      </c>
      <c r="C525" t="s">
        <v>76</v>
      </c>
      <c r="D525">
        <v>1.88</v>
      </c>
    </row>
    <row r="526" spans="1:4" x14ac:dyDescent="0.45">
      <c r="A526" t="s">
        <v>57</v>
      </c>
      <c r="B526">
        <v>2017</v>
      </c>
      <c r="C526" t="s">
        <v>76</v>
      </c>
      <c r="D526">
        <v>0.15</v>
      </c>
    </row>
    <row r="527" spans="1:4" x14ac:dyDescent="0.45">
      <c r="A527" t="s">
        <v>38</v>
      </c>
      <c r="B527">
        <v>2017</v>
      </c>
      <c r="C527" t="s">
        <v>76</v>
      </c>
      <c r="D527">
        <v>37.43</v>
      </c>
    </row>
    <row r="528" spans="1:4" x14ac:dyDescent="0.45">
      <c r="A528" t="s">
        <v>58</v>
      </c>
      <c r="B528">
        <v>2017</v>
      </c>
      <c r="C528" t="s">
        <v>76</v>
      </c>
      <c r="D528">
        <v>2.57</v>
      </c>
    </row>
    <row r="529" spans="1:4" x14ac:dyDescent="0.45">
      <c r="A529" t="s">
        <v>91</v>
      </c>
      <c r="B529">
        <v>2017</v>
      </c>
      <c r="C529" t="s">
        <v>76</v>
      </c>
      <c r="D529">
        <v>7.0000000000000007E-2</v>
      </c>
    </row>
    <row r="530" spans="1:4" x14ac:dyDescent="0.45">
      <c r="A530" t="s">
        <v>32</v>
      </c>
      <c r="B530">
        <v>2018</v>
      </c>
      <c r="C530" t="s">
        <v>76</v>
      </c>
      <c r="D530">
        <v>5.57</v>
      </c>
    </row>
    <row r="531" spans="1:4" x14ac:dyDescent="0.45">
      <c r="A531" t="s">
        <v>34</v>
      </c>
      <c r="B531">
        <v>2018</v>
      </c>
      <c r="C531" t="s">
        <v>76</v>
      </c>
      <c r="D531">
        <v>298.95</v>
      </c>
    </row>
    <row r="532" spans="1:4" x14ac:dyDescent="0.45">
      <c r="A532" t="s">
        <v>36</v>
      </c>
      <c r="B532">
        <v>2018</v>
      </c>
      <c r="C532" t="s">
        <v>76</v>
      </c>
      <c r="D532">
        <v>242.33</v>
      </c>
    </row>
    <row r="533" spans="1:4" x14ac:dyDescent="0.45">
      <c r="A533" t="s">
        <v>56</v>
      </c>
      <c r="B533">
        <v>2018</v>
      </c>
      <c r="C533" t="s">
        <v>76</v>
      </c>
      <c r="D533">
        <v>1.92</v>
      </c>
    </row>
    <row r="534" spans="1:4" x14ac:dyDescent="0.45">
      <c r="A534" t="s">
        <v>57</v>
      </c>
      <c r="B534">
        <v>2018</v>
      </c>
      <c r="C534" t="s">
        <v>76</v>
      </c>
      <c r="D534">
        <v>0.26</v>
      </c>
    </row>
    <row r="535" spans="1:4" x14ac:dyDescent="0.45">
      <c r="A535" t="s">
        <v>38</v>
      </c>
      <c r="B535">
        <v>2018</v>
      </c>
      <c r="C535" t="s">
        <v>76</v>
      </c>
      <c r="D535">
        <v>34.35</v>
      </c>
    </row>
    <row r="536" spans="1:4" x14ac:dyDescent="0.45">
      <c r="A536" t="s">
        <v>58</v>
      </c>
      <c r="B536">
        <v>2018</v>
      </c>
      <c r="C536" t="s">
        <v>76</v>
      </c>
      <c r="D536">
        <v>2.91</v>
      </c>
    </row>
    <row r="537" spans="1:4" x14ac:dyDescent="0.45">
      <c r="A537" t="s">
        <v>91</v>
      </c>
      <c r="B537">
        <v>2018</v>
      </c>
      <c r="C537" t="s">
        <v>76</v>
      </c>
      <c r="D537">
        <v>0.08</v>
      </c>
    </row>
    <row r="538" spans="1:4" x14ac:dyDescent="0.45">
      <c r="A538" t="s">
        <v>32</v>
      </c>
      <c r="B538">
        <v>2019</v>
      </c>
      <c r="C538" t="s">
        <v>76</v>
      </c>
      <c r="D538">
        <v>5.97</v>
      </c>
    </row>
    <row r="539" spans="1:4" x14ac:dyDescent="0.45">
      <c r="A539" t="s">
        <v>34</v>
      </c>
      <c r="B539">
        <v>2019</v>
      </c>
      <c r="C539" t="s">
        <v>76</v>
      </c>
      <c r="D539">
        <v>290.69</v>
      </c>
    </row>
    <row r="540" spans="1:4" x14ac:dyDescent="0.45">
      <c r="A540" t="s">
        <v>36</v>
      </c>
      <c r="B540">
        <v>2019</v>
      </c>
      <c r="C540" t="s">
        <v>76</v>
      </c>
      <c r="D540">
        <v>226.74</v>
      </c>
    </row>
    <row r="541" spans="1:4" x14ac:dyDescent="0.45">
      <c r="A541" t="s">
        <v>56</v>
      </c>
      <c r="B541">
        <v>2019</v>
      </c>
      <c r="C541" t="s">
        <v>76</v>
      </c>
      <c r="D541">
        <v>1.76</v>
      </c>
    </row>
    <row r="542" spans="1:4" x14ac:dyDescent="0.45">
      <c r="A542" t="s">
        <v>57</v>
      </c>
      <c r="B542">
        <v>2019</v>
      </c>
      <c r="C542" t="s">
        <v>76</v>
      </c>
      <c r="D542">
        <v>0.34</v>
      </c>
    </row>
    <row r="543" spans="1:4" x14ac:dyDescent="0.45">
      <c r="A543" t="s">
        <v>38</v>
      </c>
      <c r="B543">
        <v>2019</v>
      </c>
      <c r="C543" t="s">
        <v>76</v>
      </c>
      <c r="D543">
        <v>24.76</v>
      </c>
    </row>
    <row r="544" spans="1:4" x14ac:dyDescent="0.45">
      <c r="A544" t="s">
        <v>58</v>
      </c>
      <c r="B544">
        <v>2019</v>
      </c>
      <c r="C544" t="s">
        <v>76</v>
      </c>
      <c r="D544">
        <v>3.2</v>
      </c>
    </row>
    <row r="545" spans="1:4" x14ac:dyDescent="0.45">
      <c r="A545" t="s">
        <v>91</v>
      </c>
      <c r="B545">
        <v>2019</v>
      </c>
      <c r="C545" t="s">
        <v>76</v>
      </c>
      <c r="D545">
        <v>0.08</v>
      </c>
    </row>
    <row r="546" spans="1:4" x14ac:dyDescent="0.45">
      <c r="A546" t="s">
        <v>32</v>
      </c>
      <c r="B546">
        <v>2020</v>
      </c>
      <c r="C546" t="s">
        <v>76</v>
      </c>
      <c r="D546">
        <v>6.57</v>
      </c>
    </row>
    <row r="547" spans="1:4" x14ac:dyDescent="0.45">
      <c r="A547" t="s">
        <v>34</v>
      </c>
      <c r="B547">
        <v>2020</v>
      </c>
      <c r="C547" t="s">
        <v>76</v>
      </c>
      <c r="D547">
        <v>281.89</v>
      </c>
    </row>
    <row r="548" spans="1:4" x14ac:dyDescent="0.45">
      <c r="A548" t="s">
        <v>36</v>
      </c>
      <c r="B548">
        <v>2020</v>
      </c>
      <c r="C548" t="s">
        <v>76</v>
      </c>
      <c r="D548">
        <v>222.66</v>
      </c>
    </row>
    <row r="549" spans="1:4" x14ac:dyDescent="0.45">
      <c r="A549" t="s">
        <v>56</v>
      </c>
      <c r="B549">
        <v>2020</v>
      </c>
      <c r="C549" t="s">
        <v>76</v>
      </c>
      <c r="D549">
        <v>1.86</v>
      </c>
    </row>
    <row r="550" spans="1:4" x14ac:dyDescent="0.45">
      <c r="A550" t="s">
        <v>57</v>
      </c>
      <c r="B550">
        <v>2020</v>
      </c>
      <c r="C550" t="s">
        <v>76</v>
      </c>
      <c r="D550">
        <v>0.23</v>
      </c>
    </row>
    <row r="551" spans="1:4" x14ac:dyDescent="0.45">
      <c r="A551" t="s">
        <v>38</v>
      </c>
      <c r="B551">
        <v>2020</v>
      </c>
      <c r="C551" t="s">
        <v>76</v>
      </c>
      <c r="D551">
        <v>16.649999999999999</v>
      </c>
    </row>
    <row r="552" spans="1:4" x14ac:dyDescent="0.45">
      <c r="A552" t="s">
        <v>58</v>
      </c>
      <c r="B552">
        <v>2020</v>
      </c>
      <c r="C552" t="s">
        <v>76</v>
      </c>
      <c r="D552">
        <v>3.61</v>
      </c>
    </row>
    <row r="553" spans="1:4" x14ac:dyDescent="0.45">
      <c r="A553" t="s">
        <v>91</v>
      </c>
      <c r="B553">
        <v>2020</v>
      </c>
      <c r="C553" t="s">
        <v>76</v>
      </c>
      <c r="D553">
        <v>0.1</v>
      </c>
    </row>
    <row r="554" spans="1:4" x14ac:dyDescent="0.45">
      <c r="A554" t="s">
        <v>32</v>
      </c>
      <c r="B554">
        <v>2021</v>
      </c>
      <c r="C554" t="s">
        <v>76</v>
      </c>
      <c r="D554">
        <v>7.52</v>
      </c>
    </row>
    <row r="555" spans="1:4" x14ac:dyDescent="0.45">
      <c r="A555" t="s">
        <v>34</v>
      </c>
      <c r="B555">
        <v>2021</v>
      </c>
      <c r="C555" t="s">
        <v>76</v>
      </c>
      <c r="D555">
        <v>288.12</v>
      </c>
    </row>
    <row r="556" spans="1:4" x14ac:dyDescent="0.45">
      <c r="A556" t="s">
        <v>36</v>
      </c>
      <c r="B556">
        <v>2021</v>
      </c>
      <c r="C556" t="s">
        <v>76</v>
      </c>
      <c r="D556">
        <v>209.79</v>
      </c>
    </row>
    <row r="557" spans="1:4" x14ac:dyDescent="0.45">
      <c r="A557" t="s">
        <v>56</v>
      </c>
      <c r="B557">
        <v>2021</v>
      </c>
      <c r="C557" t="s">
        <v>76</v>
      </c>
      <c r="D557">
        <v>1.89</v>
      </c>
    </row>
    <row r="558" spans="1:4" x14ac:dyDescent="0.45">
      <c r="A558" t="s">
        <v>57</v>
      </c>
      <c r="B558">
        <v>2021</v>
      </c>
      <c r="C558" t="s">
        <v>76</v>
      </c>
      <c r="D558">
        <v>0.32</v>
      </c>
    </row>
    <row r="559" spans="1:4" x14ac:dyDescent="0.45">
      <c r="A559" t="s">
        <v>38</v>
      </c>
      <c r="B559">
        <v>2021</v>
      </c>
      <c r="C559" t="s">
        <v>76</v>
      </c>
      <c r="D559">
        <v>20.58</v>
      </c>
    </row>
    <row r="560" spans="1:4" x14ac:dyDescent="0.45">
      <c r="A560" t="s">
        <v>58</v>
      </c>
      <c r="B560">
        <v>2021</v>
      </c>
      <c r="C560" t="s">
        <v>76</v>
      </c>
      <c r="D560">
        <v>4</v>
      </c>
    </row>
    <row r="561" spans="1:4" x14ac:dyDescent="0.45">
      <c r="A561" t="s">
        <v>91</v>
      </c>
      <c r="B561">
        <v>2021</v>
      </c>
      <c r="C561" t="s">
        <v>76</v>
      </c>
      <c r="D561">
        <v>0.11</v>
      </c>
    </row>
    <row r="562" spans="1:4" x14ac:dyDescent="0.45">
      <c r="A562" t="s">
        <v>32</v>
      </c>
      <c r="B562">
        <v>2022</v>
      </c>
      <c r="C562" t="s">
        <v>76</v>
      </c>
      <c r="D562">
        <v>8.18</v>
      </c>
    </row>
    <row r="563" spans="1:4" x14ac:dyDescent="0.45">
      <c r="A563" t="s">
        <v>34</v>
      </c>
      <c r="B563">
        <v>2022</v>
      </c>
      <c r="C563" t="s">
        <v>76</v>
      </c>
      <c r="D563">
        <v>289.89</v>
      </c>
    </row>
    <row r="564" spans="1:4" x14ac:dyDescent="0.45">
      <c r="A564" t="s">
        <v>36</v>
      </c>
      <c r="B564">
        <v>2022</v>
      </c>
      <c r="C564" t="s">
        <v>76</v>
      </c>
      <c r="D564">
        <v>206.02</v>
      </c>
    </row>
    <row r="565" spans="1:4" x14ac:dyDescent="0.45">
      <c r="A565" t="s">
        <v>56</v>
      </c>
      <c r="B565">
        <v>2022</v>
      </c>
      <c r="C565" t="s">
        <v>76</v>
      </c>
      <c r="D565">
        <v>1.78</v>
      </c>
    </row>
    <row r="566" spans="1:4" x14ac:dyDescent="0.45">
      <c r="A566" t="s">
        <v>57</v>
      </c>
      <c r="B566">
        <v>2022</v>
      </c>
      <c r="C566" t="s">
        <v>76</v>
      </c>
      <c r="D566">
        <v>0.27</v>
      </c>
    </row>
    <row r="567" spans="1:4" x14ac:dyDescent="0.45">
      <c r="A567" t="s">
        <v>38</v>
      </c>
      <c r="B567">
        <v>2022</v>
      </c>
      <c r="C567" t="s">
        <v>76</v>
      </c>
      <c r="D567">
        <v>30.12</v>
      </c>
    </row>
    <row r="568" spans="1:4" x14ac:dyDescent="0.45">
      <c r="A568" t="s">
        <v>58</v>
      </c>
      <c r="B568">
        <v>2022</v>
      </c>
      <c r="C568" t="s">
        <v>76</v>
      </c>
      <c r="D568">
        <v>4.33</v>
      </c>
    </row>
    <row r="569" spans="1:4" x14ac:dyDescent="0.45">
      <c r="A569" t="s">
        <v>91</v>
      </c>
      <c r="B569">
        <v>2022</v>
      </c>
      <c r="C569" t="s">
        <v>76</v>
      </c>
      <c r="D569">
        <v>0.11</v>
      </c>
    </row>
    <row r="570" spans="1:4" x14ac:dyDescent="0.45">
      <c r="A570" t="s">
        <v>32</v>
      </c>
      <c r="B570">
        <v>2023</v>
      </c>
      <c r="C570" t="s">
        <v>76</v>
      </c>
      <c r="D570">
        <v>9.09</v>
      </c>
    </row>
    <row r="571" spans="1:4" x14ac:dyDescent="0.45">
      <c r="A571" t="s">
        <v>34</v>
      </c>
      <c r="B571">
        <v>2023</v>
      </c>
      <c r="C571" t="s">
        <v>76</v>
      </c>
      <c r="D571">
        <v>271.66000000000003</v>
      </c>
    </row>
    <row r="572" spans="1:4" x14ac:dyDescent="0.45">
      <c r="A572" t="s">
        <v>36</v>
      </c>
      <c r="B572">
        <v>2023</v>
      </c>
      <c r="C572" t="s">
        <v>76</v>
      </c>
      <c r="D572">
        <v>188.71</v>
      </c>
    </row>
    <row r="573" spans="1:4" x14ac:dyDescent="0.45">
      <c r="A573" t="s">
        <v>56</v>
      </c>
      <c r="B573">
        <v>2023</v>
      </c>
      <c r="C573" t="s">
        <v>76</v>
      </c>
      <c r="D573">
        <v>1.77</v>
      </c>
    </row>
    <row r="574" spans="1:4" x14ac:dyDescent="0.45">
      <c r="A574" t="s">
        <v>57</v>
      </c>
      <c r="B574">
        <v>2023</v>
      </c>
      <c r="C574" t="s">
        <v>76</v>
      </c>
      <c r="D574">
        <v>0.41</v>
      </c>
    </row>
    <row r="575" spans="1:4" x14ac:dyDescent="0.45">
      <c r="A575" t="s">
        <v>38</v>
      </c>
      <c r="B575">
        <v>2023</v>
      </c>
      <c r="C575" t="s">
        <v>76</v>
      </c>
      <c r="D575">
        <v>23.77</v>
      </c>
    </row>
    <row r="576" spans="1:4" x14ac:dyDescent="0.45">
      <c r="A576" t="s">
        <v>58</v>
      </c>
      <c r="B576">
        <v>2023</v>
      </c>
      <c r="C576" t="s">
        <v>76</v>
      </c>
      <c r="D576">
        <v>4.6100000000000003</v>
      </c>
    </row>
    <row r="577" spans="1:4" x14ac:dyDescent="0.45">
      <c r="A577" t="s">
        <v>91</v>
      </c>
      <c r="B577">
        <v>2023</v>
      </c>
      <c r="C577" t="s">
        <v>76</v>
      </c>
      <c r="D577">
        <v>0.11</v>
      </c>
    </row>
    <row r="578" spans="1:4" x14ac:dyDescent="0.45">
      <c r="A578" t="s">
        <v>60</v>
      </c>
      <c r="B578">
        <v>2000</v>
      </c>
      <c r="C578" t="s">
        <v>74</v>
      </c>
      <c r="D578">
        <v>0</v>
      </c>
    </row>
    <row r="579" spans="1:4" x14ac:dyDescent="0.45">
      <c r="A579" t="s">
        <v>59</v>
      </c>
      <c r="B579">
        <v>2000</v>
      </c>
      <c r="C579" t="s">
        <v>74</v>
      </c>
      <c r="D579">
        <v>0</v>
      </c>
    </row>
    <row r="580" spans="1:4" x14ac:dyDescent="0.45">
      <c r="A580" t="s">
        <v>60</v>
      </c>
      <c r="B580">
        <v>2001</v>
      </c>
      <c r="C580" t="s">
        <v>74</v>
      </c>
      <c r="D580">
        <v>0</v>
      </c>
    </row>
    <row r="581" spans="1:4" x14ac:dyDescent="0.45">
      <c r="A581" t="s">
        <v>59</v>
      </c>
      <c r="B581">
        <v>2001</v>
      </c>
      <c r="C581" t="s">
        <v>74</v>
      </c>
      <c r="D581">
        <v>0</v>
      </c>
    </row>
    <row r="582" spans="1:4" x14ac:dyDescent="0.45">
      <c r="A582" t="s">
        <v>60</v>
      </c>
      <c r="B582">
        <v>2002</v>
      </c>
      <c r="C582" t="s">
        <v>74</v>
      </c>
      <c r="D582">
        <v>0</v>
      </c>
    </row>
    <row r="583" spans="1:4" x14ac:dyDescent="0.45">
      <c r="A583" t="s">
        <v>59</v>
      </c>
      <c r="B583">
        <v>2002</v>
      </c>
      <c r="C583" t="s">
        <v>74</v>
      </c>
      <c r="D583">
        <v>0</v>
      </c>
    </row>
    <row r="584" spans="1:4" x14ac:dyDescent="0.45">
      <c r="A584" t="s">
        <v>60</v>
      </c>
      <c r="B584">
        <v>2003</v>
      </c>
      <c r="C584" t="s">
        <v>74</v>
      </c>
      <c r="D584">
        <v>0</v>
      </c>
    </row>
    <row r="585" spans="1:4" x14ac:dyDescent="0.45">
      <c r="A585" t="s">
        <v>59</v>
      </c>
      <c r="B585">
        <v>2003</v>
      </c>
      <c r="C585" t="s">
        <v>74</v>
      </c>
      <c r="D585">
        <v>0</v>
      </c>
    </row>
    <row r="586" spans="1:4" x14ac:dyDescent="0.45">
      <c r="A586" t="s">
        <v>60</v>
      </c>
      <c r="B586">
        <v>2004</v>
      </c>
      <c r="C586" t="s">
        <v>74</v>
      </c>
      <c r="D586">
        <v>0</v>
      </c>
    </row>
    <row r="587" spans="1:4" x14ac:dyDescent="0.45">
      <c r="A587" t="s">
        <v>59</v>
      </c>
      <c r="B587">
        <v>2004</v>
      </c>
      <c r="C587" t="s">
        <v>74</v>
      </c>
      <c r="D587">
        <v>0</v>
      </c>
    </row>
    <row r="588" spans="1:4" x14ac:dyDescent="0.45">
      <c r="A588" t="s">
        <v>60</v>
      </c>
      <c r="B588">
        <v>2005</v>
      </c>
      <c r="C588" t="s">
        <v>74</v>
      </c>
      <c r="D588">
        <v>0</v>
      </c>
    </row>
    <row r="589" spans="1:4" x14ac:dyDescent="0.45">
      <c r="A589" t="s">
        <v>59</v>
      </c>
      <c r="B589">
        <v>2005</v>
      </c>
      <c r="C589" t="s">
        <v>74</v>
      </c>
      <c r="D589">
        <v>0</v>
      </c>
    </row>
    <row r="590" spans="1:4" x14ac:dyDescent="0.45">
      <c r="A590" t="s">
        <v>60</v>
      </c>
      <c r="B590">
        <v>2006</v>
      </c>
      <c r="C590" t="s">
        <v>74</v>
      </c>
      <c r="D590">
        <v>0</v>
      </c>
    </row>
    <row r="591" spans="1:4" x14ac:dyDescent="0.45">
      <c r="A591" t="s">
        <v>59</v>
      </c>
      <c r="B591">
        <v>2006</v>
      </c>
      <c r="C591" t="s">
        <v>74</v>
      </c>
      <c r="D591">
        <v>0</v>
      </c>
    </row>
    <row r="592" spans="1:4" x14ac:dyDescent="0.45">
      <c r="A592" t="s">
        <v>60</v>
      </c>
      <c r="B592">
        <v>2007</v>
      </c>
      <c r="C592" t="s">
        <v>74</v>
      </c>
      <c r="D592">
        <v>0</v>
      </c>
    </row>
    <row r="593" spans="1:4" x14ac:dyDescent="0.45">
      <c r="A593" t="s">
        <v>59</v>
      </c>
      <c r="B593">
        <v>2007</v>
      </c>
      <c r="C593" t="s">
        <v>74</v>
      </c>
      <c r="D593">
        <v>0</v>
      </c>
    </row>
    <row r="594" spans="1:4" x14ac:dyDescent="0.45">
      <c r="A594" t="s">
        <v>60</v>
      </c>
      <c r="B594">
        <v>2008</v>
      </c>
      <c r="C594" t="s">
        <v>74</v>
      </c>
      <c r="D594">
        <v>0</v>
      </c>
    </row>
    <row r="595" spans="1:4" x14ac:dyDescent="0.45">
      <c r="A595" t="s">
        <v>59</v>
      </c>
      <c r="B595">
        <v>2008</v>
      </c>
      <c r="C595" t="s">
        <v>74</v>
      </c>
      <c r="D595">
        <v>0</v>
      </c>
    </row>
    <row r="596" spans="1:4" x14ac:dyDescent="0.45">
      <c r="A596" t="s">
        <v>60</v>
      </c>
      <c r="B596">
        <v>2009</v>
      </c>
      <c r="C596" t="s">
        <v>74</v>
      </c>
      <c r="D596">
        <v>0</v>
      </c>
    </row>
    <row r="597" spans="1:4" x14ac:dyDescent="0.45">
      <c r="A597" t="s">
        <v>59</v>
      </c>
      <c r="B597">
        <v>2009</v>
      </c>
      <c r="C597" t="s">
        <v>74</v>
      </c>
      <c r="D597">
        <v>0</v>
      </c>
    </row>
    <row r="598" spans="1:4" x14ac:dyDescent="0.45">
      <c r="A598" t="s">
        <v>60</v>
      </c>
      <c r="B598">
        <v>2010</v>
      </c>
      <c r="C598" t="s">
        <v>74</v>
      </c>
      <c r="D598">
        <v>0</v>
      </c>
    </row>
    <row r="599" spans="1:4" x14ac:dyDescent="0.45">
      <c r="A599" t="s">
        <v>59</v>
      </c>
      <c r="B599">
        <v>2010</v>
      </c>
      <c r="C599" t="s">
        <v>74</v>
      </c>
      <c r="D599">
        <v>0</v>
      </c>
    </row>
    <row r="600" spans="1:4" x14ac:dyDescent="0.45">
      <c r="A600" t="s">
        <v>60</v>
      </c>
      <c r="B600">
        <v>2011</v>
      </c>
      <c r="C600" t="s">
        <v>74</v>
      </c>
      <c r="D600">
        <v>0</v>
      </c>
    </row>
    <row r="601" spans="1:4" x14ac:dyDescent="0.45">
      <c r="A601" t="s">
        <v>59</v>
      </c>
      <c r="B601">
        <v>2011</v>
      </c>
      <c r="C601" t="s">
        <v>74</v>
      </c>
      <c r="D601">
        <v>0</v>
      </c>
    </row>
    <row r="602" spans="1:4" x14ac:dyDescent="0.45">
      <c r="A602" t="s">
        <v>60</v>
      </c>
      <c r="B602">
        <v>2012</v>
      </c>
      <c r="C602" t="s">
        <v>74</v>
      </c>
      <c r="D602">
        <v>0</v>
      </c>
    </row>
    <row r="603" spans="1:4" x14ac:dyDescent="0.45">
      <c r="A603" t="s">
        <v>59</v>
      </c>
      <c r="B603">
        <v>2012</v>
      </c>
      <c r="C603" t="s">
        <v>74</v>
      </c>
      <c r="D603">
        <v>0</v>
      </c>
    </row>
    <row r="604" spans="1:4" x14ac:dyDescent="0.45">
      <c r="A604" t="s">
        <v>60</v>
      </c>
      <c r="B604">
        <v>2013</v>
      </c>
      <c r="C604" t="s">
        <v>74</v>
      </c>
      <c r="D604">
        <v>0</v>
      </c>
    </row>
    <row r="605" spans="1:4" x14ac:dyDescent="0.45">
      <c r="A605" t="s">
        <v>59</v>
      </c>
      <c r="B605">
        <v>2013</v>
      </c>
      <c r="C605" t="s">
        <v>74</v>
      </c>
      <c r="D605">
        <v>0</v>
      </c>
    </row>
    <row r="606" spans="1:4" x14ac:dyDescent="0.45">
      <c r="A606" t="s">
        <v>60</v>
      </c>
      <c r="B606">
        <v>2014</v>
      </c>
      <c r="C606" t="s">
        <v>74</v>
      </c>
      <c r="D606">
        <v>0</v>
      </c>
    </row>
    <row r="607" spans="1:4" x14ac:dyDescent="0.45">
      <c r="A607" t="s">
        <v>59</v>
      </c>
      <c r="B607">
        <v>2014</v>
      </c>
      <c r="C607" t="s">
        <v>74</v>
      </c>
      <c r="D607">
        <v>0</v>
      </c>
    </row>
    <row r="608" spans="1:4" x14ac:dyDescent="0.45">
      <c r="A608" t="s">
        <v>60</v>
      </c>
      <c r="B608">
        <v>2015</v>
      </c>
      <c r="C608" t="s">
        <v>74</v>
      </c>
      <c r="D608">
        <v>0</v>
      </c>
    </row>
    <row r="609" spans="1:4" x14ac:dyDescent="0.45">
      <c r="A609" t="s">
        <v>59</v>
      </c>
      <c r="B609">
        <v>2015</v>
      </c>
      <c r="C609" t="s">
        <v>74</v>
      </c>
      <c r="D609">
        <v>0</v>
      </c>
    </row>
    <row r="610" spans="1:4" x14ac:dyDescent="0.45">
      <c r="A610" t="s">
        <v>60</v>
      </c>
      <c r="B610">
        <v>2016</v>
      </c>
      <c r="C610" t="s">
        <v>74</v>
      </c>
      <c r="D610">
        <v>0</v>
      </c>
    </row>
    <row r="611" spans="1:4" x14ac:dyDescent="0.45">
      <c r="A611" t="s">
        <v>59</v>
      </c>
      <c r="B611">
        <v>2016</v>
      </c>
      <c r="C611" t="s">
        <v>74</v>
      </c>
      <c r="D611">
        <v>0</v>
      </c>
    </row>
    <row r="612" spans="1:4" x14ac:dyDescent="0.45">
      <c r="A612" t="s">
        <v>60</v>
      </c>
      <c r="B612">
        <v>2017</v>
      </c>
      <c r="C612" t="s">
        <v>74</v>
      </c>
      <c r="D612">
        <v>0</v>
      </c>
    </row>
    <row r="613" spans="1:4" x14ac:dyDescent="0.45">
      <c r="A613" t="s">
        <v>59</v>
      </c>
      <c r="B613">
        <v>2017</v>
      </c>
      <c r="C613" t="s">
        <v>74</v>
      </c>
      <c r="D613">
        <v>0</v>
      </c>
    </row>
    <row r="614" spans="1:4" x14ac:dyDescent="0.45">
      <c r="A614" t="s">
        <v>60</v>
      </c>
      <c r="B614">
        <v>2018</v>
      </c>
      <c r="C614" t="s">
        <v>74</v>
      </c>
      <c r="D614">
        <v>0</v>
      </c>
    </row>
    <row r="615" spans="1:4" x14ac:dyDescent="0.45">
      <c r="A615" t="s">
        <v>59</v>
      </c>
      <c r="B615">
        <v>2018</v>
      </c>
      <c r="C615" t="s">
        <v>74</v>
      </c>
      <c r="D615">
        <v>0</v>
      </c>
    </row>
    <row r="616" spans="1:4" x14ac:dyDescent="0.45">
      <c r="A616" t="s">
        <v>60</v>
      </c>
      <c r="B616">
        <v>2019</v>
      </c>
      <c r="C616" t="s">
        <v>74</v>
      </c>
      <c r="D616">
        <v>0</v>
      </c>
    </row>
    <row r="617" spans="1:4" x14ac:dyDescent="0.45">
      <c r="A617" t="s">
        <v>59</v>
      </c>
      <c r="B617">
        <v>2019</v>
      </c>
      <c r="C617" t="s">
        <v>74</v>
      </c>
      <c r="D617">
        <v>0</v>
      </c>
    </row>
    <row r="618" spans="1:4" x14ac:dyDescent="0.45">
      <c r="A618" t="s">
        <v>60</v>
      </c>
      <c r="B618">
        <v>2020</v>
      </c>
      <c r="C618" t="s">
        <v>74</v>
      </c>
      <c r="D618">
        <v>0</v>
      </c>
    </row>
    <row r="619" spans="1:4" x14ac:dyDescent="0.45">
      <c r="A619" t="s">
        <v>59</v>
      </c>
      <c r="B619">
        <v>2020</v>
      </c>
      <c r="C619" t="s">
        <v>74</v>
      </c>
      <c r="D619">
        <v>0</v>
      </c>
    </row>
    <row r="620" spans="1:4" x14ac:dyDescent="0.45">
      <c r="A620" t="s">
        <v>60</v>
      </c>
      <c r="B620">
        <v>2021</v>
      </c>
      <c r="C620" t="s">
        <v>74</v>
      </c>
      <c r="D620">
        <v>0</v>
      </c>
    </row>
    <row r="621" spans="1:4" x14ac:dyDescent="0.45">
      <c r="A621" t="s">
        <v>59</v>
      </c>
      <c r="B621">
        <v>2021</v>
      </c>
      <c r="C621" t="s">
        <v>74</v>
      </c>
      <c r="D621">
        <v>0</v>
      </c>
    </row>
    <row r="622" spans="1:4" x14ac:dyDescent="0.45">
      <c r="A622" t="s">
        <v>60</v>
      </c>
      <c r="B622">
        <v>2022</v>
      </c>
      <c r="C622" t="s">
        <v>74</v>
      </c>
      <c r="D622">
        <v>0</v>
      </c>
    </row>
    <row r="623" spans="1:4" x14ac:dyDescent="0.45">
      <c r="A623" t="s">
        <v>59</v>
      </c>
      <c r="B623">
        <v>2022</v>
      </c>
      <c r="C623" t="s">
        <v>74</v>
      </c>
      <c r="D623">
        <v>0</v>
      </c>
    </row>
    <row r="624" spans="1:4" x14ac:dyDescent="0.45">
      <c r="A624" t="s">
        <v>60</v>
      </c>
      <c r="B624">
        <v>2023</v>
      </c>
      <c r="C624" t="s">
        <v>74</v>
      </c>
      <c r="D624">
        <v>0</v>
      </c>
    </row>
    <row r="625" spans="1:4" x14ac:dyDescent="0.45">
      <c r="A625" t="s">
        <v>59</v>
      </c>
      <c r="B625">
        <v>2023</v>
      </c>
      <c r="C625" t="s">
        <v>74</v>
      </c>
      <c r="D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98.822199999999995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99.320399999999992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99.226400000000012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98.822199999999995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99.019599999999997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99.376799999999989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99.188799999999986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105.4962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106.8122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106.6336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106.36099999999999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106.45500000000001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106.10720000000001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106.0038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66.899799999999999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94.498200000000011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94.310200000000009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94.216200000000001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25.004000000000001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94.347800000000007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18.395800000000001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31.1892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69.663399999999996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18.405200000000001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52.348599999999998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5.5366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67.877399999999994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2.4534000000000002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9.4000000000000004E-3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55.835999999999999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2.2372000000000001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11.232999999999999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0.13159999999999999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42.948599999999999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8.4599999999999995E-2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41.529200000000003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0.41360000000000002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3.7600000000000001E-2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18.8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0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29.262200000000004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9.4000000000000004E-3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0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56.760000000000005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56.913999999999994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56.958000000000006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56.848000000000006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56.792999999999999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56.908499999999997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56.760000000000005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53.603000000000002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50.341500000000003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50.418499999999995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50.357999999999997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53.757000000000005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53.784500000000001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53.5535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66.852500000000006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59.103000000000002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59.234999999999999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59.191000000000003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47.877500000000005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61.533999999999999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66.131999999999991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79.31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61.765000000000001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70.71350000000001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57.348500000000001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22.269500000000001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68.898499999999999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18.9695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89.176999999999992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74.822000000000003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74.701000000000008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67.947000000000003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23.028500000000001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79.128500000000003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18.666999999999998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89.671999999999997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84.078499999999991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60.026999999999994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73.496499999999997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22.539000000000001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94.677000000000007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1.2705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75.575500000000005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92.614499999999992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52.618499999999997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65.945000000000007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17.347000000000001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108.35549999999999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11.648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11.676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11.683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11.668999999999999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11.661999999999999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11.683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11.648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3.9129999999999998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3.2270000000000003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3.234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3.2270000000000003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3.92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3.9269999999999996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3.9129999999999998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0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0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0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0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0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0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0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16.29505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2.5999999999999999E-3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2.5999999999999999E-3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2.5999999999999999E-3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32.26135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10.758649999999999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55.276700000000005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52.284750000000003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2.5999999999999999E-3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2.4095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1.8673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64.04025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42.812200000000004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111.17275000000001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80.319050000000004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2.5999999999999999E-3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55.6601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13.196850000000001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82.369100000000003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60.547650000000004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130.12965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94.131699999999995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2.5999999999999999E-3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125.455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38.288849999999996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94.314250000000001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66.476650000000006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139.31220000000002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103.7071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2.5999999999999999E-3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157.90545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60.796250000000001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96.602599999999995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71.74145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139.64205000000001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111.37645000000001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2.5999999999999999E-3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171.83350000000002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76.643900000000002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102.05719999999999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80.83189999999999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143.27969999999999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124.05535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2.5999999999999999E-3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177.26850000000002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80.632450000000006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104.80709999999999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88.967100000000002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144.2012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133.58865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2.0999999999999999E-3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176.3836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84.163749999999993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110.86070000000001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93.358199999999997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150.0864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143.12200000000001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1.6999999999999999E-3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175.49880000000002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87.695099999999996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116.91425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97.749400000000009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155.9717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144.5292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1E-3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166.8015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94.692400000000006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120.44155000000001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97.780799999999999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159.93790000000001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145.93635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2.9999999999999997E-4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158.10429999999999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101.68965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123.96885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97.812250000000006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163.904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145.934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2.9999999999999997E-4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145.04564999999999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108.52860000000001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126.29470000000001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90.82974999999999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163.24360000000001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145.9316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2.9999999999999997E-4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131.98694999999998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115.36754999999999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128.62055000000001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83.847250000000003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162.58320000000001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143.87115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2.0000000000000001E-4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127.53805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113.15860000000001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129.61365000000001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79.749849999999995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158.78375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141.8107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1E-4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123.08924999999999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110.94974999999999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130.60669999999999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75.652450000000002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154.98439999999999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900.02200000000005</v>
      </c>
      <c r="K268" t="s">
        <v>48</v>
      </c>
    </row>
    <row r="269" spans="1:11" x14ac:dyDescent="0.45">
      <c r="A269" t="s">
        <v>90</v>
      </c>
      <c r="B269" t="s">
        <v>4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900.02200000000005</v>
      </c>
      <c r="K269" t="s">
        <v>48</v>
      </c>
    </row>
    <row r="270" spans="1:11" x14ac:dyDescent="0.45">
      <c r="A270" t="s">
        <v>90</v>
      </c>
      <c r="B270" t="s">
        <v>0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900.02200000000005</v>
      </c>
      <c r="K270" t="s">
        <v>48</v>
      </c>
    </row>
    <row r="271" spans="1:11" x14ac:dyDescent="0.45">
      <c r="A271" t="s">
        <v>90</v>
      </c>
      <c r="B271" t="s">
        <v>6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900.02200000000005</v>
      </c>
      <c r="K271" t="s">
        <v>48</v>
      </c>
    </row>
    <row r="272" spans="1:11" x14ac:dyDescent="0.45">
      <c r="A272" t="s">
        <v>90</v>
      </c>
      <c r="B272" t="s">
        <v>5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900.02200000000005</v>
      </c>
      <c r="K272" t="s">
        <v>48</v>
      </c>
    </row>
    <row r="273" spans="1:11" x14ac:dyDescent="0.45">
      <c r="A273" t="s">
        <v>90</v>
      </c>
      <c r="B273" t="s">
        <v>2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900.02200000000005</v>
      </c>
      <c r="K273" t="s">
        <v>48</v>
      </c>
    </row>
    <row r="274" spans="1:11" x14ac:dyDescent="0.45">
      <c r="A274" t="s">
        <v>90</v>
      </c>
      <c r="B274" t="s">
        <v>1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900.02200000000005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790.71029999999996</v>
      </c>
      <c r="K275" t="s">
        <v>48</v>
      </c>
    </row>
    <row r="276" spans="1:11" x14ac:dyDescent="0.45">
      <c r="A276" t="s">
        <v>90</v>
      </c>
      <c r="B276" t="s">
        <v>4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818.84255000000007</v>
      </c>
      <c r="K276" t="s">
        <v>48</v>
      </c>
    </row>
    <row r="277" spans="1:11" x14ac:dyDescent="0.45">
      <c r="A277" t="s">
        <v>90</v>
      </c>
      <c r="B277" t="s">
        <v>0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818.84255000000007</v>
      </c>
      <c r="K277" t="s">
        <v>48</v>
      </c>
    </row>
    <row r="278" spans="1:11" x14ac:dyDescent="0.45">
      <c r="A278" t="s">
        <v>90</v>
      </c>
      <c r="B278" t="s">
        <v>6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818.84255000000007</v>
      </c>
      <c r="K278" t="s">
        <v>48</v>
      </c>
    </row>
    <row r="279" spans="1:11" x14ac:dyDescent="0.45">
      <c r="A279" t="s">
        <v>90</v>
      </c>
      <c r="B279" t="s">
        <v>5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739.26575000000003</v>
      </c>
      <c r="K279" t="s">
        <v>48</v>
      </c>
    </row>
    <row r="280" spans="1:11" x14ac:dyDescent="0.45">
      <c r="A280" t="s">
        <v>90</v>
      </c>
      <c r="B280" t="s">
        <v>2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800.18049999999994</v>
      </c>
      <c r="K280" t="s">
        <v>48</v>
      </c>
    </row>
    <row r="281" spans="1:11" x14ac:dyDescent="0.45">
      <c r="A281" t="s">
        <v>90</v>
      </c>
      <c r="B281" t="s">
        <v>1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762.21289999999999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630.58695</v>
      </c>
      <c r="K282" t="s">
        <v>48</v>
      </c>
    </row>
    <row r="283" spans="1:11" x14ac:dyDescent="0.45">
      <c r="A283" t="s">
        <v>90</v>
      </c>
      <c r="B283" t="s">
        <v>4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737.47305000000006</v>
      </c>
      <c r="K283" t="s">
        <v>48</v>
      </c>
    </row>
    <row r="284" spans="1:11" x14ac:dyDescent="0.45">
      <c r="A284" t="s">
        <v>90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737.47305000000006</v>
      </c>
      <c r="K284" t="s">
        <v>48</v>
      </c>
    </row>
    <row r="285" spans="1:11" x14ac:dyDescent="0.45">
      <c r="A285" t="s">
        <v>90</v>
      </c>
      <c r="B285" t="s">
        <v>6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737.47305000000006</v>
      </c>
      <c r="K285" t="s">
        <v>48</v>
      </c>
    </row>
    <row r="286" spans="1:11" x14ac:dyDescent="0.45">
      <c r="A286" t="s">
        <v>90</v>
      </c>
      <c r="B286" t="s">
        <v>5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380.0779</v>
      </c>
      <c r="K286" t="s">
        <v>48</v>
      </c>
    </row>
    <row r="287" spans="1:11" x14ac:dyDescent="0.45">
      <c r="A287" t="s">
        <v>90</v>
      </c>
      <c r="B287" t="s">
        <v>2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650.2953</v>
      </c>
      <c r="K287" t="s">
        <v>48</v>
      </c>
    </row>
    <row r="288" spans="1:11" x14ac:dyDescent="0.45">
      <c r="A288" t="s">
        <v>90</v>
      </c>
      <c r="B288" t="s">
        <v>1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454.75670000000002</v>
      </c>
      <c r="K288" t="s">
        <v>48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421.59135000000003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666.57940000000008</v>
      </c>
      <c r="K290" t="s">
        <v>48</v>
      </c>
    </row>
    <row r="291" spans="1:11" x14ac:dyDescent="0.45">
      <c r="A291" t="s">
        <v>90</v>
      </c>
      <c r="B291" t="s">
        <v>0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599.35220000000004</v>
      </c>
      <c r="K291" t="s">
        <v>48</v>
      </c>
    </row>
    <row r="292" spans="1:11" x14ac:dyDescent="0.45">
      <c r="A292" t="s">
        <v>90</v>
      </c>
      <c r="B292" t="s">
        <v>6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632.59105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175.54374999999999</v>
      </c>
      <c r="K293" t="s">
        <v>48</v>
      </c>
    </row>
    <row r="294" spans="1:11" x14ac:dyDescent="0.45">
      <c r="A294" t="s">
        <v>90</v>
      </c>
      <c r="B294" t="s">
        <v>2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466.88824999999997</v>
      </c>
      <c r="K294" t="s">
        <v>48</v>
      </c>
    </row>
    <row r="295" spans="1:11" x14ac:dyDescent="0.45">
      <c r="A295" t="s">
        <v>90</v>
      </c>
      <c r="B295" t="s">
        <v>1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195.16040000000001</v>
      </c>
      <c r="K295" t="s">
        <v>48</v>
      </c>
    </row>
    <row r="296" spans="1:11" x14ac:dyDescent="0.45">
      <c r="A296" t="s">
        <v>90</v>
      </c>
      <c r="B296" t="s">
        <v>3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243.93270000000001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601.90264999999999</v>
      </c>
      <c r="K297" t="s">
        <v>48</v>
      </c>
    </row>
    <row r="298" spans="1:11" x14ac:dyDescent="0.45">
      <c r="A298" t="s">
        <v>90</v>
      </c>
      <c r="B298" t="s">
        <v>0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218.97615000000002</v>
      </c>
      <c r="K298" t="s">
        <v>48</v>
      </c>
    </row>
    <row r="299" spans="1:11" x14ac:dyDescent="0.45">
      <c r="A299" t="s">
        <v>90</v>
      </c>
      <c r="B299" t="s">
        <v>6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420.28615000000002</v>
      </c>
      <c r="K299" t="s">
        <v>48</v>
      </c>
    </row>
    <row r="300" spans="1:11" x14ac:dyDescent="0.45">
      <c r="A300" t="s">
        <v>90</v>
      </c>
      <c r="B300" t="s">
        <v>5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14.96035</v>
      </c>
      <c r="K300" t="s">
        <v>48</v>
      </c>
    </row>
    <row r="301" spans="1:11" x14ac:dyDescent="0.45">
      <c r="A301" t="s">
        <v>90</v>
      </c>
      <c r="B301" t="s">
        <v>2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332.5847</v>
      </c>
      <c r="K301" t="s">
        <v>48</v>
      </c>
    </row>
    <row r="302" spans="1:11" x14ac:dyDescent="0.45">
      <c r="A302" t="s">
        <v>90</v>
      </c>
      <c r="B302" t="s">
        <v>1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7.6843500000000002</v>
      </c>
      <c r="K302" t="s">
        <v>48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129.91034999999999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538.90139999999997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-14.1548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268.06614999999999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-60.577100000000002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250.4847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-69.521999999999991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60.90605</v>
      </c>
      <c r="K310" t="s">
        <v>48</v>
      </c>
    </row>
    <row r="311" spans="1:11" x14ac:dyDescent="0.45">
      <c r="A311" t="s">
        <v>90</v>
      </c>
      <c r="B311" t="s">
        <v>4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486.7192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-89.527050000000003</v>
      </c>
      <c r="K312" t="s">
        <v>48</v>
      </c>
    </row>
    <row r="313" spans="1:11" x14ac:dyDescent="0.45">
      <c r="A313" t="s">
        <v>90</v>
      </c>
      <c r="B313" t="s">
        <v>6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156.33789999999999</v>
      </c>
      <c r="K313" t="s">
        <v>48</v>
      </c>
    </row>
    <row r="314" spans="1:11" x14ac:dyDescent="0.45">
      <c r="A314" t="s">
        <v>90</v>
      </c>
      <c r="B314" t="s">
        <v>5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-84.236850000000004</v>
      </c>
      <c r="K314" t="s">
        <v>48</v>
      </c>
    </row>
    <row r="315" spans="1:11" x14ac:dyDescent="0.45">
      <c r="A315" t="s">
        <v>90</v>
      </c>
      <c r="B315" t="s">
        <v>2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185.20339999999999</v>
      </c>
      <c r="K315" t="s">
        <v>48</v>
      </c>
    </row>
    <row r="316" spans="1:11" x14ac:dyDescent="0.45">
      <c r="A316" t="s">
        <v>90</v>
      </c>
      <c r="B316" t="s">
        <v>1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-89.232050000000001</v>
      </c>
      <c r="K316" t="s">
        <v>48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19.866900000000001</v>
      </c>
      <c r="K317" t="s">
        <v>48</v>
      </c>
    </row>
    <row r="318" spans="1:11" x14ac:dyDescent="0.45">
      <c r="A318" t="s">
        <v>90</v>
      </c>
      <c r="B318" t="s">
        <v>4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419.65030000000002</v>
      </c>
      <c r="K318" t="s">
        <v>48</v>
      </c>
    </row>
    <row r="319" spans="1:11" x14ac:dyDescent="0.45">
      <c r="A319" t="s">
        <v>90</v>
      </c>
      <c r="B319" t="s">
        <v>0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-128.09595000000002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65.184399999999997</v>
      </c>
      <c r="K320" t="s">
        <v>48</v>
      </c>
    </row>
    <row r="321" spans="1:11" x14ac:dyDescent="0.45">
      <c r="A321" t="s">
        <v>90</v>
      </c>
      <c r="B321" t="s">
        <v>5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-96.799049999999994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124.7385</v>
      </c>
      <c r="K322" t="s">
        <v>48</v>
      </c>
    </row>
    <row r="323" spans="1:11" x14ac:dyDescent="0.45">
      <c r="A323" t="s">
        <v>90</v>
      </c>
      <c r="B323" t="s">
        <v>1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-97.1755</v>
      </c>
      <c r="K323" t="s">
        <v>48</v>
      </c>
    </row>
    <row r="324" spans="1:11" x14ac:dyDescent="0.45">
      <c r="A324" t="s">
        <v>90</v>
      </c>
      <c r="B324" t="s">
        <v>3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-15.84845</v>
      </c>
      <c r="K324" t="s">
        <v>48</v>
      </c>
    </row>
    <row r="325" spans="1:11" x14ac:dyDescent="0.45">
      <c r="A325" t="s">
        <v>90</v>
      </c>
      <c r="B325" t="s">
        <v>4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350.57159999999999</v>
      </c>
      <c r="K325" t="s">
        <v>48</v>
      </c>
    </row>
    <row r="326" spans="1:11" x14ac:dyDescent="0.45">
      <c r="A326" t="s">
        <v>90</v>
      </c>
      <c r="B326" t="s">
        <v>0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-154.30964999999998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8.0581499999999995</v>
      </c>
      <c r="K327" t="s">
        <v>48</v>
      </c>
    </row>
    <row r="328" spans="1:11" x14ac:dyDescent="0.45">
      <c r="A328" t="s">
        <v>90</v>
      </c>
      <c r="B328" t="s">
        <v>5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-106.05115000000001</v>
      </c>
      <c r="K328" t="s">
        <v>48</v>
      </c>
    </row>
    <row r="329" spans="1:11" x14ac:dyDescent="0.45">
      <c r="A329" t="s">
        <v>90</v>
      </c>
      <c r="B329" t="s">
        <v>2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69.866500000000002</v>
      </c>
      <c r="K329" t="s">
        <v>48</v>
      </c>
    </row>
    <row r="330" spans="1:11" x14ac:dyDescent="0.45">
      <c r="A330" t="s">
        <v>90</v>
      </c>
      <c r="B330" t="s">
        <v>1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-101.1277</v>
      </c>
      <c r="K330" t="s">
        <v>48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-36.640549999999998</v>
      </c>
      <c r="K331" t="s">
        <v>48</v>
      </c>
    </row>
    <row r="332" spans="1:11" x14ac:dyDescent="0.45">
      <c r="A332" t="s">
        <v>90</v>
      </c>
      <c r="B332" t="s">
        <v>4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313.46839999999997</v>
      </c>
      <c r="K332" t="s">
        <v>48</v>
      </c>
    </row>
    <row r="333" spans="1:11" x14ac:dyDescent="0.45">
      <c r="A333" t="s">
        <v>90</v>
      </c>
      <c r="B333" t="s">
        <v>0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-169.04955000000001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-8.2002500000000005</v>
      </c>
      <c r="K334" t="s">
        <v>48</v>
      </c>
    </row>
    <row r="335" spans="1:11" x14ac:dyDescent="0.45">
      <c r="A335" t="s">
        <v>90</v>
      </c>
      <c r="B335" t="s">
        <v>5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-114.18559999999999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39.4041</v>
      </c>
      <c r="K336" t="s">
        <v>48</v>
      </c>
    </row>
    <row r="337" spans="1:11" x14ac:dyDescent="0.45">
      <c r="A337" t="s">
        <v>90</v>
      </c>
      <c r="B337" t="s">
        <v>1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-114.884</v>
      </c>
      <c r="K337" t="s">
        <v>48</v>
      </c>
    </row>
    <row r="338" spans="1:11" x14ac:dyDescent="0.45">
      <c r="A338" t="s">
        <v>90</v>
      </c>
      <c r="B338" t="s">
        <v>3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-57.432499999999997</v>
      </c>
      <c r="K338" t="s">
        <v>48</v>
      </c>
    </row>
    <row r="339" spans="1:11" x14ac:dyDescent="0.45">
      <c r="A339" t="s">
        <v>90</v>
      </c>
      <c r="B339" t="s">
        <v>4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276.36525</v>
      </c>
      <c r="K339" t="s">
        <v>48</v>
      </c>
    </row>
    <row r="340" spans="1:11" x14ac:dyDescent="0.45">
      <c r="A340" t="s">
        <v>90</v>
      </c>
      <c r="B340" t="s">
        <v>0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-183.7894</v>
      </c>
      <c r="K340" t="s">
        <v>48</v>
      </c>
    </row>
    <row r="341" spans="1:11" x14ac:dyDescent="0.45">
      <c r="A341" t="s">
        <v>90</v>
      </c>
      <c r="B341" t="s">
        <v>6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-24.458550000000002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-122.3201</v>
      </c>
      <c r="K342" t="s">
        <v>48</v>
      </c>
    </row>
    <row r="343" spans="1:11" x14ac:dyDescent="0.45">
      <c r="A343" t="s">
        <v>90</v>
      </c>
      <c r="B343" t="s">
        <v>2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8.9416999999999991</v>
      </c>
      <c r="K343" t="s">
        <v>48</v>
      </c>
    </row>
    <row r="344" spans="1:11" x14ac:dyDescent="0.45">
      <c r="A344" t="s">
        <v>90</v>
      </c>
      <c r="B344" t="s">
        <v>1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-128.64019999999999</v>
      </c>
      <c r="K344" t="s">
        <v>48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-63.638449999999999</v>
      </c>
      <c r="K345" t="s">
        <v>48</v>
      </c>
    </row>
    <row r="346" spans="1:11" x14ac:dyDescent="0.45">
      <c r="A346" t="s">
        <v>90</v>
      </c>
      <c r="B346" t="s">
        <v>4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243.32055000000003</v>
      </c>
      <c r="K346" t="s">
        <v>48</v>
      </c>
    </row>
    <row r="347" spans="1:11" x14ac:dyDescent="0.45">
      <c r="A347" t="s">
        <v>90</v>
      </c>
      <c r="B347" t="s">
        <v>0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-179.2362</v>
      </c>
      <c r="K347" t="s">
        <v>48</v>
      </c>
    </row>
    <row r="348" spans="1:11" x14ac:dyDescent="0.45">
      <c r="A348" t="s">
        <v>90</v>
      </c>
      <c r="B348" t="s">
        <v>6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-37.139699999999998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-130.60890000000001</v>
      </c>
      <c r="K349" t="s">
        <v>48</v>
      </c>
    </row>
    <row r="350" spans="1:11" x14ac:dyDescent="0.45">
      <c r="A350" t="s">
        <v>90</v>
      </c>
      <c r="B350" t="s">
        <v>2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-9.8256499999999996</v>
      </c>
      <c r="K350" t="s">
        <v>48</v>
      </c>
    </row>
    <row r="351" spans="1:11" x14ac:dyDescent="0.45">
      <c r="A351" t="s">
        <v>90</v>
      </c>
      <c r="B351" t="s">
        <v>1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-138.19765000000001</v>
      </c>
      <c r="K351" t="s">
        <v>48</v>
      </c>
    </row>
    <row r="352" spans="1:11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-69.844349999999991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210.27590000000001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-174.68304999999998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-49.820949999999996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-138.89769999999999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-28.593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-147.75490000000002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-75.766400000000004</v>
      </c>
      <c r="K359" t="s">
        <v>48</v>
      </c>
    </row>
    <row r="360" spans="1:11" x14ac:dyDescent="0.45">
      <c r="A360" t="s">
        <v>90</v>
      </c>
      <c r="B360" t="s">
        <v>4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185.96039999999999</v>
      </c>
      <c r="K360" t="s">
        <v>48</v>
      </c>
    </row>
    <row r="361" spans="1:11" x14ac:dyDescent="0.45">
      <c r="A361" t="s">
        <v>90</v>
      </c>
      <c r="B361" t="s">
        <v>0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-165.37880000000001</v>
      </c>
      <c r="K361" t="s">
        <v>48</v>
      </c>
    </row>
    <row r="362" spans="1:11" x14ac:dyDescent="0.45">
      <c r="A362" t="s">
        <v>90</v>
      </c>
      <c r="B362" t="s">
        <v>6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-60.652349999999998</v>
      </c>
      <c r="K362" t="s">
        <v>48</v>
      </c>
    </row>
    <row r="363" spans="1:11" x14ac:dyDescent="0.45">
      <c r="A363" t="s">
        <v>90</v>
      </c>
      <c r="B363" t="s">
        <v>5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-145.05255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-38.752949999999998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-156.9958</v>
      </c>
      <c r="K365" t="s">
        <v>48</v>
      </c>
    </row>
    <row r="366" spans="1:11" x14ac:dyDescent="0.45">
      <c r="A366" t="s">
        <v>90</v>
      </c>
      <c r="B366" t="s">
        <v>3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-81.688400000000001</v>
      </c>
      <c r="K366" t="s">
        <v>48</v>
      </c>
    </row>
    <row r="367" spans="1:11" x14ac:dyDescent="0.45">
      <c r="A367" t="s">
        <v>90</v>
      </c>
      <c r="B367" t="s">
        <v>4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161.64485000000002</v>
      </c>
      <c r="K367" t="s">
        <v>48</v>
      </c>
    </row>
    <row r="368" spans="1:11" x14ac:dyDescent="0.45">
      <c r="A368" t="s">
        <v>90</v>
      </c>
      <c r="B368" t="s">
        <v>0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-156.0745</v>
      </c>
      <c r="K368" t="s">
        <v>48</v>
      </c>
    </row>
    <row r="369" spans="1:11" x14ac:dyDescent="0.45">
      <c r="A369" t="s">
        <v>90</v>
      </c>
      <c r="B369" t="s">
        <v>6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-71.483650000000011</v>
      </c>
      <c r="K369" t="s">
        <v>48</v>
      </c>
    </row>
    <row r="370" spans="1:11" x14ac:dyDescent="0.45">
      <c r="A370" t="s">
        <v>90</v>
      </c>
      <c r="B370" t="s">
        <v>5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-151.20729999999998</v>
      </c>
      <c r="K370" t="s">
        <v>48</v>
      </c>
    </row>
    <row r="371" spans="1:11" x14ac:dyDescent="0.45">
      <c r="A371" t="s">
        <v>90</v>
      </c>
      <c r="B371" t="s">
        <v>2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-48.912850000000006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-166.23660000000001</v>
      </c>
      <c r="K372" t="s">
        <v>48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-91.769900000000007</v>
      </c>
      <c r="K373" t="s">
        <v>48</v>
      </c>
    </row>
    <row r="374" spans="1:11" x14ac:dyDescent="0.45">
      <c r="A374" t="s">
        <v>90</v>
      </c>
      <c r="B374" t="s">
        <v>4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142.69380000000001</v>
      </c>
      <c r="K374" t="s">
        <v>48</v>
      </c>
    </row>
    <row r="375" spans="1:11" x14ac:dyDescent="0.45">
      <c r="A375" t="s">
        <v>90</v>
      </c>
      <c r="B375" t="s">
        <v>0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-155.18185</v>
      </c>
      <c r="K375" t="s">
        <v>48</v>
      </c>
    </row>
    <row r="376" spans="1:11" x14ac:dyDescent="0.45">
      <c r="A376" t="s">
        <v>90</v>
      </c>
      <c r="B376" t="s">
        <v>6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-79.823700000000002</v>
      </c>
      <c r="K376" t="s">
        <v>48</v>
      </c>
    </row>
    <row r="377" spans="1:11" x14ac:dyDescent="0.45">
      <c r="A377" t="s">
        <v>90</v>
      </c>
      <c r="B377" t="s">
        <v>5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-155.5941</v>
      </c>
      <c r="K377" t="s">
        <v>48</v>
      </c>
    </row>
    <row r="378" spans="1:11" x14ac:dyDescent="0.45">
      <c r="A378" t="s">
        <v>90</v>
      </c>
      <c r="B378" t="s">
        <v>2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-52.049599999999998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-175.59089999999998</v>
      </c>
      <c r="K379" t="s">
        <v>48</v>
      </c>
    </row>
    <row r="380" spans="1:11" x14ac:dyDescent="0.45">
      <c r="A380" t="s">
        <v>90</v>
      </c>
      <c r="B380" t="s">
        <v>3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-101.85124999999999</v>
      </c>
      <c r="K380" t="s">
        <v>48</v>
      </c>
    </row>
    <row r="381" spans="1:11" x14ac:dyDescent="0.45">
      <c r="A381" t="s">
        <v>90</v>
      </c>
      <c r="B381" t="s">
        <v>4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123.7427</v>
      </c>
      <c r="K381" t="s">
        <v>48</v>
      </c>
    </row>
    <row r="382" spans="1:11" x14ac:dyDescent="0.45">
      <c r="A382" t="s">
        <v>90</v>
      </c>
      <c r="B382" t="s">
        <v>0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-154.28909999999999</v>
      </c>
      <c r="K382" t="s">
        <v>48</v>
      </c>
    </row>
    <row r="383" spans="1:11" x14ac:dyDescent="0.45">
      <c r="A383" t="s">
        <v>90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-88.163700000000006</v>
      </c>
      <c r="K383" t="s">
        <v>48</v>
      </c>
    </row>
    <row r="384" spans="1:11" x14ac:dyDescent="0.45">
      <c r="A384" t="s">
        <v>90</v>
      </c>
      <c r="B384" t="s">
        <v>5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-159.98085</v>
      </c>
      <c r="K384" t="s">
        <v>48</v>
      </c>
    </row>
    <row r="385" spans="1:11" x14ac:dyDescent="0.45">
      <c r="A385" t="s">
        <v>90</v>
      </c>
      <c r="B385" t="s">
        <v>2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-55.186300000000003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-184.94524999999999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920.46720000000005</v>
      </c>
      <c r="K387" t="s">
        <v>51</v>
      </c>
    </row>
    <row r="388" spans="1:11" x14ac:dyDescent="0.45">
      <c r="A388" t="s">
        <v>90</v>
      </c>
      <c r="B388" t="s">
        <v>4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920.46720000000005</v>
      </c>
      <c r="K388" t="s">
        <v>51</v>
      </c>
    </row>
    <row r="389" spans="1:11" x14ac:dyDescent="0.45">
      <c r="A389" t="s">
        <v>90</v>
      </c>
      <c r="B389" t="s">
        <v>0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920.46720000000005</v>
      </c>
      <c r="K389" t="s">
        <v>51</v>
      </c>
    </row>
    <row r="390" spans="1:11" x14ac:dyDescent="0.45">
      <c r="A390" t="s">
        <v>90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920.46720000000005</v>
      </c>
      <c r="K390" t="s">
        <v>51</v>
      </c>
    </row>
    <row r="391" spans="1:11" x14ac:dyDescent="0.45">
      <c r="A391" t="s">
        <v>90</v>
      </c>
      <c r="B391" t="s">
        <v>5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920.46720000000005</v>
      </c>
      <c r="K391" t="s">
        <v>51</v>
      </c>
    </row>
    <row r="392" spans="1:11" x14ac:dyDescent="0.45">
      <c r="A392" t="s">
        <v>90</v>
      </c>
      <c r="B392" t="s">
        <v>2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920.46720000000005</v>
      </c>
      <c r="K392" t="s">
        <v>51</v>
      </c>
    </row>
    <row r="393" spans="1:11" x14ac:dyDescent="0.45">
      <c r="A393" t="s">
        <v>90</v>
      </c>
      <c r="B393" t="s">
        <v>1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920.46720000000005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809.9742</v>
      </c>
      <c r="K394" t="s">
        <v>51</v>
      </c>
    </row>
    <row r="395" spans="1:11" x14ac:dyDescent="0.45">
      <c r="A395" t="s">
        <v>90</v>
      </c>
      <c r="B395" t="s">
        <v>4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837.88720000000001</v>
      </c>
      <c r="K395" t="s">
        <v>51</v>
      </c>
    </row>
    <row r="396" spans="1:11" x14ac:dyDescent="0.45">
      <c r="A396" t="s">
        <v>90</v>
      </c>
      <c r="B396" t="s">
        <v>0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837.88720000000001</v>
      </c>
      <c r="K396" t="s">
        <v>51</v>
      </c>
    </row>
    <row r="397" spans="1:11" x14ac:dyDescent="0.45">
      <c r="A397" t="s">
        <v>90</v>
      </c>
      <c r="B397" t="s">
        <v>6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837.88720000000001</v>
      </c>
      <c r="K397" t="s">
        <v>51</v>
      </c>
    </row>
    <row r="398" spans="1:11" x14ac:dyDescent="0.45">
      <c r="A398" t="s">
        <v>90</v>
      </c>
      <c r="B398" t="s">
        <v>5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761.20675000000006</v>
      </c>
      <c r="K398" t="s">
        <v>51</v>
      </c>
    </row>
    <row r="399" spans="1:11" x14ac:dyDescent="0.45">
      <c r="A399" t="s">
        <v>90</v>
      </c>
      <c r="B399" t="s">
        <v>2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819.43984999999998</v>
      </c>
      <c r="K399" t="s">
        <v>51</v>
      </c>
    </row>
    <row r="400" spans="1:11" x14ac:dyDescent="0.45">
      <c r="A400" t="s">
        <v>90</v>
      </c>
      <c r="B400" t="s">
        <v>1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782.47344999999996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651.22360000000003</v>
      </c>
      <c r="K401" t="s">
        <v>51</v>
      </c>
    </row>
    <row r="402" spans="1:11" x14ac:dyDescent="0.45">
      <c r="A402" t="s">
        <v>90</v>
      </c>
      <c r="B402" t="s">
        <v>4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756.9864</v>
      </c>
      <c r="K402" t="s">
        <v>51</v>
      </c>
    </row>
    <row r="403" spans="1:11" x14ac:dyDescent="0.45">
      <c r="A403" t="s">
        <v>90</v>
      </c>
      <c r="B403" t="s">
        <v>0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756.9864</v>
      </c>
      <c r="K403" t="s">
        <v>51</v>
      </c>
    </row>
    <row r="404" spans="1:11" x14ac:dyDescent="0.45">
      <c r="A404" t="s">
        <v>90</v>
      </c>
      <c r="B404" t="s">
        <v>6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756.9864</v>
      </c>
      <c r="K404" t="s">
        <v>51</v>
      </c>
    </row>
    <row r="405" spans="1:11" x14ac:dyDescent="0.45">
      <c r="A405" t="s">
        <v>90</v>
      </c>
      <c r="B405" t="s">
        <v>5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413.30370000000005</v>
      </c>
      <c r="K405" t="s">
        <v>51</v>
      </c>
    </row>
    <row r="406" spans="1:11" x14ac:dyDescent="0.45">
      <c r="A406" t="s">
        <v>90</v>
      </c>
      <c r="B406" t="s">
        <v>2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671.08005000000003</v>
      </c>
      <c r="K406" t="s">
        <v>51</v>
      </c>
    </row>
    <row r="407" spans="1:11" x14ac:dyDescent="0.45">
      <c r="A407" t="s">
        <v>90</v>
      </c>
      <c r="B407" t="s">
        <v>1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485.78874999999999</v>
      </c>
      <c r="K407" t="s">
        <v>51</v>
      </c>
    </row>
    <row r="408" spans="1:11" x14ac:dyDescent="0.45">
      <c r="A408" t="s">
        <v>90</v>
      </c>
      <c r="B408" t="s">
        <v>3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448.68040000000002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688.83834999999999</v>
      </c>
      <c r="K409" t="s">
        <v>51</v>
      </c>
    </row>
    <row r="410" spans="1:11" x14ac:dyDescent="0.45">
      <c r="A410" t="s">
        <v>90</v>
      </c>
      <c r="B410" t="s">
        <v>0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629.47365000000002</v>
      </c>
      <c r="K410" t="s">
        <v>51</v>
      </c>
    </row>
    <row r="411" spans="1:11" x14ac:dyDescent="0.45">
      <c r="A411" t="s">
        <v>90</v>
      </c>
      <c r="B411" t="s">
        <v>6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664.21285</v>
      </c>
      <c r="K411" t="s">
        <v>51</v>
      </c>
    </row>
    <row r="412" spans="1:11" x14ac:dyDescent="0.45">
      <c r="A412" t="s">
        <v>90</v>
      </c>
      <c r="B412" t="s">
        <v>5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212.07</v>
      </c>
      <c r="K412" t="s">
        <v>51</v>
      </c>
    </row>
    <row r="413" spans="1:11" x14ac:dyDescent="0.45">
      <c r="A413" t="s">
        <v>90</v>
      </c>
      <c r="B413" t="s">
        <v>2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493.86739999999998</v>
      </c>
      <c r="K413" t="s">
        <v>51</v>
      </c>
    </row>
    <row r="414" spans="1:11" x14ac:dyDescent="0.45">
      <c r="A414" t="s">
        <v>90</v>
      </c>
      <c r="B414" t="s">
        <v>1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233.98230000000001</v>
      </c>
      <c r="K414" t="s">
        <v>51</v>
      </c>
    </row>
    <row r="415" spans="1:11" x14ac:dyDescent="0.45">
      <c r="A415" t="s">
        <v>90</v>
      </c>
      <c r="B415" t="s">
        <v>3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276.60315000000003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628.12310000000002</v>
      </c>
      <c r="K416" t="s">
        <v>51</v>
      </c>
    </row>
    <row r="417" spans="1:11" x14ac:dyDescent="0.45">
      <c r="A417" t="s">
        <v>90</v>
      </c>
      <c r="B417" t="s">
        <v>0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253.73795000000001</v>
      </c>
      <c r="K417" t="s">
        <v>51</v>
      </c>
    </row>
    <row r="418" spans="1:11" x14ac:dyDescent="0.45">
      <c r="A418" t="s">
        <v>90</v>
      </c>
      <c r="B418" t="s">
        <v>6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448.63625000000002</v>
      </c>
      <c r="K418" t="s">
        <v>51</v>
      </c>
    </row>
    <row r="419" spans="1:11" x14ac:dyDescent="0.45">
      <c r="A419" t="s">
        <v>90</v>
      </c>
      <c r="B419" t="s">
        <v>5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56.285399999999996</v>
      </c>
      <c r="K419" t="s">
        <v>51</v>
      </c>
    </row>
    <row r="420" spans="1:11" x14ac:dyDescent="0.45">
      <c r="A420" t="s">
        <v>90</v>
      </c>
      <c r="B420" t="s">
        <v>2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365.11469999999997</v>
      </c>
      <c r="K420" t="s">
        <v>51</v>
      </c>
    </row>
    <row r="421" spans="1:11" x14ac:dyDescent="0.45">
      <c r="A421" t="s">
        <v>90</v>
      </c>
      <c r="B421" t="s">
        <v>1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47.462850000000003</v>
      </c>
      <c r="K421" t="s">
        <v>51</v>
      </c>
    </row>
    <row r="422" spans="1:11" x14ac:dyDescent="0.45">
      <c r="A422" t="s">
        <v>90</v>
      </c>
      <c r="B422" t="s">
        <v>3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168.2063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569.35750000000007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26.489599999999999</v>
      </c>
      <c r="K424" t="s">
        <v>51</v>
      </c>
    </row>
    <row r="425" spans="1:11" x14ac:dyDescent="0.45">
      <c r="A425" t="s">
        <v>90</v>
      </c>
      <c r="B425" t="s">
        <v>6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300.74515000000002</v>
      </c>
      <c r="K425" t="s">
        <v>51</v>
      </c>
    </row>
    <row r="426" spans="1:11" x14ac:dyDescent="0.45">
      <c r="A426" t="s">
        <v>90</v>
      </c>
      <c r="B426" t="s">
        <v>5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-15.357800000000001</v>
      </c>
      <c r="K426" t="s">
        <v>51</v>
      </c>
    </row>
    <row r="427" spans="1:11" x14ac:dyDescent="0.45">
      <c r="A427" t="s">
        <v>90</v>
      </c>
      <c r="B427" t="s">
        <v>2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288.60295000000002</v>
      </c>
      <c r="K427" t="s">
        <v>51</v>
      </c>
    </row>
    <row r="428" spans="1:11" x14ac:dyDescent="0.45">
      <c r="A428" t="s">
        <v>90</v>
      </c>
      <c r="B428" t="s">
        <v>1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-25.247399999999999</v>
      </c>
      <c r="K428" t="s">
        <v>51</v>
      </c>
    </row>
    <row r="429" spans="1:11" x14ac:dyDescent="0.45">
      <c r="A429" t="s">
        <v>90</v>
      </c>
      <c r="B429" t="s">
        <v>3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104.1361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521.06704999999999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-43.672249999999998</v>
      </c>
      <c r="K431" t="s">
        <v>51</v>
      </c>
    </row>
    <row r="432" spans="1:11" x14ac:dyDescent="0.45">
      <c r="A432" t="s">
        <v>90</v>
      </c>
      <c r="B432" t="s">
        <v>6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193.13810000000001</v>
      </c>
      <c r="K432" t="s">
        <v>51</v>
      </c>
    </row>
    <row r="433" spans="1:11" x14ac:dyDescent="0.45">
      <c r="A433" t="s">
        <v>90</v>
      </c>
      <c r="B433" t="s">
        <v>5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-35.429949999999998</v>
      </c>
      <c r="K433" t="s">
        <v>51</v>
      </c>
    </row>
    <row r="434" spans="1:11" x14ac:dyDescent="0.45">
      <c r="A434" t="s">
        <v>90</v>
      </c>
      <c r="B434" t="s">
        <v>2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228.40064999999998</v>
      </c>
      <c r="K434" t="s">
        <v>51</v>
      </c>
    </row>
    <row r="435" spans="1:11" x14ac:dyDescent="0.45">
      <c r="A435" t="s">
        <v>90</v>
      </c>
      <c r="B435" t="s">
        <v>1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-40.550849999999997</v>
      </c>
      <c r="K435" t="s">
        <v>51</v>
      </c>
    </row>
    <row r="436" spans="1:11" x14ac:dyDescent="0.45">
      <c r="A436" t="s">
        <v>90</v>
      </c>
      <c r="B436" t="s">
        <v>3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67.881799999999998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455.52930000000003</v>
      </c>
      <c r="K437" t="s">
        <v>51</v>
      </c>
    </row>
    <row r="438" spans="1:11" x14ac:dyDescent="0.45">
      <c r="A438" t="s">
        <v>90</v>
      </c>
      <c r="B438" t="s">
        <v>0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-78.113100000000003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110.61765</v>
      </c>
      <c r="K439" t="s">
        <v>51</v>
      </c>
    </row>
    <row r="440" spans="1:11" x14ac:dyDescent="0.45">
      <c r="A440" t="s">
        <v>90</v>
      </c>
      <c r="B440" t="s">
        <v>5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-45.414749999999998</v>
      </c>
      <c r="K440" t="s">
        <v>51</v>
      </c>
    </row>
    <row r="441" spans="1:11" x14ac:dyDescent="0.45">
      <c r="A441" t="s">
        <v>90</v>
      </c>
      <c r="B441" t="s">
        <v>2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172.9119</v>
      </c>
      <c r="K441" t="s">
        <v>51</v>
      </c>
    </row>
    <row r="442" spans="1:11" x14ac:dyDescent="0.45">
      <c r="A442" t="s">
        <v>90</v>
      </c>
      <c r="B442" t="s">
        <v>1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-44.501400000000004</v>
      </c>
      <c r="K442" t="s">
        <v>51</v>
      </c>
    </row>
    <row r="443" spans="1:11" x14ac:dyDescent="0.45">
      <c r="A443" t="s">
        <v>90</v>
      </c>
      <c r="B443" t="s">
        <v>3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33.417550000000006</v>
      </c>
      <c r="K443" t="s">
        <v>51</v>
      </c>
    </row>
    <row r="444" spans="1:11" x14ac:dyDescent="0.45">
      <c r="A444" t="s">
        <v>90</v>
      </c>
      <c r="B444" t="s">
        <v>4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387.78779999999995</v>
      </c>
      <c r="K444" t="s">
        <v>51</v>
      </c>
    </row>
    <row r="445" spans="1:11" x14ac:dyDescent="0.45">
      <c r="A445" t="s">
        <v>90</v>
      </c>
      <c r="B445" t="s">
        <v>0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-102.39070000000001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56.725000000000001</v>
      </c>
      <c r="K446" t="s">
        <v>51</v>
      </c>
    </row>
    <row r="447" spans="1:11" x14ac:dyDescent="0.45">
      <c r="A447" t="s">
        <v>90</v>
      </c>
      <c r="B447" t="s">
        <v>5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-54.443350000000002</v>
      </c>
      <c r="K447" t="s">
        <v>51</v>
      </c>
    </row>
    <row r="448" spans="1:11" x14ac:dyDescent="0.45">
      <c r="A448" t="s">
        <v>90</v>
      </c>
      <c r="B448" t="s">
        <v>2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119.31995000000001</v>
      </c>
      <c r="K448" t="s">
        <v>51</v>
      </c>
    </row>
    <row r="449" spans="1:11" x14ac:dyDescent="0.45">
      <c r="A449" t="s">
        <v>90</v>
      </c>
      <c r="B449" t="s">
        <v>1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-48.567050000000002</v>
      </c>
      <c r="K449" t="s">
        <v>51</v>
      </c>
    </row>
    <row r="450" spans="1:11" x14ac:dyDescent="0.45">
      <c r="A450" t="s">
        <v>90</v>
      </c>
      <c r="B450" t="s">
        <v>3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13.33475</v>
      </c>
      <c r="K450" t="s">
        <v>51</v>
      </c>
    </row>
    <row r="451" spans="1:11" x14ac:dyDescent="0.45">
      <c r="A451" t="s">
        <v>90</v>
      </c>
      <c r="B451" t="s">
        <v>4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351.7099</v>
      </c>
      <c r="K451" t="s">
        <v>51</v>
      </c>
    </row>
    <row r="452" spans="1:11" x14ac:dyDescent="0.45">
      <c r="A452" t="s">
        <v>90</v>
      </c>
      <c r="B452" t="s">
        <v>0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-117.3613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41.24485</v>
      </c>
      <c r="K453" t="s">
        <v>51</v>
      </c>
    </row>
    <row r="454" spans="1:11" x14ac:dyDescent="0.45">
      <c r="A454" t="s">
        <v>90</v>
      </c>
      <c r="B454" t="s">
        <v>5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-62.518500000000003</v>
      </c>
      <c r="K454" t="s">
        <v>51</v>
      </c>
    </row>
    <row r="455" spans="1:11" x14ac:dyDescent="0.45">
      <c r="A455" t="s">
        <v>90</v>
      </c>
      <c r="B455" t="s">
        <v>2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88.792500000000004</v>
      </c>
      <c r="K455" t="s">
        <v>51</v>
      </c>
    </row>
    <row r="456" spans="1:11" x14ac:dyDescent="0.45">
      <c r="A456" t="s">
        <v>90</v>
      </c>
      <c r="B456" t="s">
        <v>1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-62.650000000000006</v>
      </c>
      <c r="K456" t="s">
        <v>51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-6.7480000000000002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315.63200000000001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-132.33179999999999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25.764749999999999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-70.593700000000013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58.265000000000001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-76.732900000000001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-12.71</v>
      </c>
      <c r="K464" t="s">
        <v>51</v>
      </c>
    </row>
    <row r="465" spans="1:11" x14ac:dyDescent="0.45">
      <c r="A465" t="s">
        <v>90</v>
      </c>
      <c r="B465" t="s">
        <v>4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283.47754999999995</v>
      </c>
      <c r="K465" t="s">
        <v>51</v>
      </c>
    </row>
    <row r="466" spans="1:11" x14ac:dyDescent="0.45">
      <c r="A466" t="s">
        <v>90</v>
      </c>
      <c r="B466" t="s">
        <v>0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-127.88030000000001</v>
      </c>
      <c r="K466" t="s">
        <v>51</v>
      </c>
    </row>
    <row r="467" spans="1:11" x14ac:dyDescent="0.45">
      <c r="A467" t="s">
        <v>90</v>
      </c>
      <c r="B467" t="s">
        <v>6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13.539399999999999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-78.856549999999999</v>
      </c>
      <c r="K468" t="s">
        <v>51</v>
      </c>
    </row>
    <row r="469" spans="1:11" x14ac:dyDescent="0.45">
      <c r="A469" t="s">
        <v>90</v>
      </c>
      <c r="B469" t="s">
        <v>2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39.36</v>
      </c>
      <c r="K469" t="s">
        <v>51</v>
      </c>
    </row>
    <row r="470" spans="1:11" x14ac:dyDescent="0.45">
      <c r="A470" t="s">
        <v>90</v>
      </c>
      <c r="B470" t="s">
        <v>1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-86.421099999999996</v>
      </c>
      <c r="K470" t="s">
        <v>51</v>
      </c>
    </row>
    <row r="471" spans="1:11" x14ac:dyDescent="0.45">
      <c r="A471" t="s">
        <v>90</v>
      </c>
      <c r="B471" t="s">
        <v>3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-18.671999999999997</v>
      </c>
      <c r="K471" t="s">
        <v>51</v>
      </c>
    </row>
    <row r="472" spans="1:11" x14ac:dyDescent="0.45">
      <c r="A472" t="s">
        <v>90</v>
      </c>
      <c r="B472" t="s">
        <v>4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251.32310000000001</v>
      </c>
      <c r="K472" t="s">
        <v>51</v>
      </c>
    </row>
    <row r="473" spans="1:11" x14ac:dyDescent="0.45">
      <c r="A473" t="s">
        <v>90</v>
      </c>
      <c r="B473" t="s">
        <v>0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-123.4288</v>
      </c>
      <c r="K473" t="s">
        <v>51</v>
      </c>
    </row>
    <row r="474" spans="1:11" x14ac:dyDescent="0.45">
      <c r="A474" t="s">
        <v>90</v>
      </c>
      <c r="B474" t="s">
        <v>6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1.3140000000000001</v>
      </c>
      <c r="K474" t="s">
        <v>51</v>
      </c>
    </row>
    <row r="475" spans="1:11" x14ac:dyDescent="0.45">
      <c r="A475" t="s">
        <v>90</v>
      </c>
      <c r="B475" t="s">
        <v>5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-87.119450000000001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20.45495</v>
      </c>
      <c r="K476" t="s">
        <v>51</v>
      </c>
    </row>
    <row r="477" spans="1:11" x14ac:dyDescent="0.45">
      <c r="A477" t="s">
        <v>90</v>
      </c>
      <c r="B477" t="s">
        <v>1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-96.109250000000003</v>
      </c>
      <c r="K477" t="s">
        <v>51</v>
      </c>
    </row>
    <row r="478" spans="1:11" x14ac:dyDescent="0.45">
      <c r="A478" t="s">
        <v>90</v>
      </c>
      <c r="B478" t="s">
        <v>3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-24.437550000000002</v>
      </c>
      <c r="K478" t="s">
        <v>51</v>
      </c>
    </row>
    <row r="479" spans="1:11" x14ac:dyDescent="0.45">
      <c r="A479" t="s">
        <v>90</v>
      </c>
      <c r="B479" t="s">
        <v>4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227.60825</v>
      </c>
      <c r="K479" t="s">
        <v>51</v>
      </c>
    </row>
    <row r="480" spans="1:11" x14ac:dyDescent="0.45">
      <c r="A480" t="s">
        <v>90</v>
      </c>
      <c r="B480" t="s">
        <v>0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-114.1575</v>
      </c>
      <c r="K480" t="s">
        <v>51</v>
      </c>
    </row>
    <row r="481" spans="1:11" x14ac:dyDescent="0.45">
      <c r="A481" t="s">
        <v>90</v>
      </c>
      <c r="B481" t="s">
        <v>6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-9.2910000000000004</v>
      </c>
      <c r="K481" t="s">
        <v>51</v>
      </c>
    </row>
    <row r="482" spans="1:11" x14ac:dyDescent="0.45">
      <c r="A482" t="s">
        <v>90</v>
      </c>
      <c r="B482" t="s">
        <v>5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-93.278700000000001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10.095600000000001</v>
      </c>
      <c r="K483" t="s">
        <v>51</v>
      </c>
    </row>
    <row r="484" spans="1:11" x14ac:dyDescent="0.45">
      <c r="A484" t="s">
        <v>90</v>
      </c>
      <c r="B484" t="s">
        <v>1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-105.3086</v>
      </c>
      <c r="K484" t="s">
        <v>51</v>
      </c>
    </row>
    <row r="485" spans="1:11" x14ac:dyDescent="0.45">
      <c r="A485" t="s">
        <v>90</v>
      </c>
      <c r="B485" t="s">
        <v>3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-30.203150000000001</v>
      </c>
      <c r="K485" t="s">
        <v>51</v>
      </c>
    </row>
    <row r="486" spans="1:11" x14ac:dyDescent="0.45">
      <c r="A486" t="s">
        <v>90</v>
      </c>
      <c r="B486" t="s">
        <v>4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203.89335</v>
      </c>
      <c r="K486" t="s">
        <v>51</v>
      </c>
    </row>
    <row r="487" spans="1:11" x14ac:dyDescent="0.45">
      <c r="A487" t="s">
        <v>90</v>
      </c>
      <c r="B487" t="s">
        <v>0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-104.8862</v>
      </c>
      <c r="K487" t="s">
        <v>51</v>
      </c>
    </row>
    <row r="488" spans="1:11" x14ac:dyDescent="0.45">
      <c r="A488" t="s">
        <v>90</v>
      </c>
      <c r="B488" t="s">
        <v>6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-19.896000000000001</v>
      </c>
      <c r="K488" t="s">
        <v>51</v>
      </c>
    </row>
    <row r="489" spans="1:11" x14ac:dyDescent="0.45">
      <c r="A489" t="s">
        <v>90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-99.437899999999999</v>
      </c>
      <c r="K489" t="s">
        <v>51</v>
      </c>
    </row>
    <row r="490" spans="1:11" x14ac:dyDescent="0.45">
      <c r="A490" t="s">
        <v>90</v>
      </c>
      <c r="B490" t="s">
        <v>2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-0.26369999999999993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-114.50790000000001</v>
      </c>
      <c r="K491" t="s">
        <v>51</v>
      </c>
    </row>
    <row r="492" spans="1:11" x14ac:dyDescent="0.45">
      <c r="A492" t="s">
        <v>90</v>
      </c>
      <c r="B492" t="s">
        <v>3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-40.116200000000006</v>
      </c>
      <c r="K492" t="s">
        <v>51</v>
      </c>
    </row>
    <row r="493" spans="1:11" x14ac:dyDescent="0.45">
      <c r="A493" t="s">
        <v>90</v>
      </c>
      <c r="B493" t="s">
        <v>4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185.62555</v>
      </c>
      <c r="K493" t="s">
        <v>51</v>
      </c>
    </row>
    <row r="494" spans="1:11" x14ac:dyDescent="0.45">
      <c r="A494" t="s">
        <v>90</v>
      </c>
      <c r="B494" t="s">
        <v>0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-103.79785</v>
      </c>
      <c r="K494" t="s">
        <v>51</v>
      </c>
    </row>
    <row r="495" spans="1:11" x14ac:dyDescent="0.45">
      <c r="A495" t="s">
        <v>90</v>
      </c>
      <c r="B495" t="s">
        <v>6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-28.240349999999999</v>
      </c>
      <c r="K495" t="s">
        <v>51</v>
      </c>
    </row>
    <row r="496" spans="1:11" x14ac:dyDescent="0.45">
      <c r="A496" t="s">
        <v>90</v>
      </c>
      <c r="B496" t="s">
        <v>5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-103.82585</v>
      </c>
      <c r="K496" t="s">
        <v>51</v>
      </c>
    </row>
    <row r="497" spans="1:11" x14ac:dyDescent="0.45">
      <c r="A497" t="s">
        <v>90</v>
      </c>
      <c r="B497" t="s">
        <v>2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-3.2885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-123.64750000000001</v>
      </c>
      <c r="K498" t="s">
        <v>51</v>
      </c>
    </row>
    <row r="499" spans="1:11" x14ac:dyDescent="0.45">
      <c r="A499" t="s">
        <v>90</v>
      </c>
      <c r="B499" t="s">
        <v>3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-50.029250000000005</v>
      </c>
      <c r="K499" t="s">
        <v>51</v>
      </c>
    </row>
    <row r="500" spans="1:11" x14ac:dyDescent="0.45">
      <c r="A500" t="s">
        <v>90</v>
      </c>
      <c r="B500" t="s">
        <v>4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167.35775000000001</v>
      </c>
      <c r="K500" t="s">
        <v>51</v>
      </c>
    </row>
    <row r="501" spans="1:11" x14ac:dyDescent="0.45">
      <c r="A501" t="s">
        <v>90</v>
      </c>
      <c r="B501" t="s">
        <v>0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-102.70945</v>
      </c>
      <c r="K501" t="s">
        <v>51</v>
      </c>
    </row>
    <row r="502" spans="1:11" x14ac:dyDescent="0.45">
      <c r="A502" t="s">
        <v>90</v>
      </c>
      <c r="B502" t="s">
        <v>6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-36.584699999999998</v>
      </c>
      <c r="K502" t="s">
        <v>51</v>
      </c>
    </row>
    <row r="503" spans="1:11" x14ac:dyDescent="0.45">
      <c r="A503" t="s">
        <v>90</v>
      </c>
      <c r="B503" t="s">
        <v>5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-108.21379999999999</v>
      </c>
      <c r="K503" t="s">
        <v>51</v>
      </c>
    </row>
    <row r="504" spans="1:11" x14ac:dyDescent="0.45">
      <c r="A504" t="s">
        <v>90</v>
      </c>
      <c r="B504" t="s">
        <v>2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-6.3132999999999999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-132.78715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1.2218</v>
      </c>
      <c r="K506" t="s">
        <v>24</v>
      </c>
    </row>
    <row r="507" spans="1:11" x14ac:dyDescent="0.45">
      <c r="A507" t="s">
        <v>90</v>
      </c>
      <c r="B507" t="s">
        <v>4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1.2218</v>
      </c>
      <c r="K507" t="s">
        <v>24</v>
      </c>
    </row>
    <row r="508" spans="1:11" x14ac:dyDescent="0.45">
      <c r="A508" t="s">
        <v>90</v>
      </c>
      <c r="B508" t="s">
        <v>0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1.2218</v>
      </c>
      <c r="K508" t="s">
        <v>24</v>
      </c>
    </row>
    <row r="509" spans="1:11" x14ac:dyDescent="0.45">
      <c r="A509" t="s">
        <v>90</v>
      </c>
      <c r="B509" t="s">
        <v>6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1.2218</v>
      </c>
      <c r="K509" t="s">
        <v>24</v>
      </c>
    </row>
    <row r="510" spans="1:11" x14ac:dyDescent="0.45">
      <c r="A510" t="s">
        <v>90</v>
      </c>
      <c r="B510" t="s">
        <v>5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1.2218</v>
      </c>
      <c r="K510" t="s">
        <v>24</v>
      </c>
    </row>
    <row r="511" spans="1:11" x14ac:dyDescent="0.45">
      <c r="A511" t="s">
        <v>90</v>
      </c>
      <c r="B511" t="s">
        <v>2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1.2218</v>
      </c>
      <c r="K511" t="s">
        <v>24</v>
      </c>
    </row>
    <row r="512" spans="1:11" x14ac:dyDescent="0.45">
      <c r="A512" t="s">
        <v>90</v>
      </c>
      <c r="B512" t="s">
        <v>1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1.2218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1.2575499999999999</v>
      </c>
      <c r="K513" t="s">
        <v>24</v>
      </c>
    </row>
    <row r="514" spans="1:11" x14ac:dyDescent="0.45">
      <c r="A514" t="s">
        <v>90</v>
      </c>
      <c r="B514" t="s">
        <v>4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1.25265</v>
      </c>
      <c r="K514" t="s">
        <v>24</v>
      </c>
    </row>
    <row r="515" spans="1:11" x14ac:dyDescent="0.45">
      <c r="A515" t="s">
        <v>90</v>
      </c>
      <c r="B515" t="s">
        <v>0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1.25265</v>
      </c>
      <c r="K515" t="s">
        <v>24</v>
      </c>
    </row>
    <row r="516" spans="1:11" x14ac:dyDescent="0.45">
      <c r="A516" t="s">
        <v>90</v>
      </c>
      <c r="B516" t="s">
        <v>6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1.25265</v>
      </c>
      <c r="K516" t="s">
        <v>24</v>
      </c>
    </row>
    <row r="517" spans="1:11" x14ac:dyDescent="0.45">
      <c r="A517" t="s">
        <v>90</v>
      </c>
      <c r="B517" t="s">
        <v>5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0.91205000000000003</v>
      </c>
      <c r="K517" t="s">
        <v>24</v>
      </c>
    </row>
    <row r="518" spans="1:11" x14ac:dyDescent="0.45">
      <c r="A518" t="s">
        <v>90</v>
      </c>
      <c r="B518" t="s">
        <v>2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1.25505</v>
      </c>
      <c r="K518" t="s">
        <v>24</v>
      </c>
    </row>
    <row r="519" spans="1:11" x14ac:dyDescent="0.45">
      <c r="A519" t="s">
        <v>90</v>
      </c>
      <c r="B519" t="s">
        <v>1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1.2505500000000001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1.2805500000000001</v>
      </c>
      <c r="K520" t="s">
        <v>24</v>
      </c>
    </row>
    <row r="521" spans="1:11" x14ac:dyDescent="0.45">
      <c r="A521" t="s">
        <v>90</v>
      </c>
      <c r="B521" t="s">
        <v>4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1.2681499999999999</v>
      </c>
      <c r="K521" t="s">
        <v>24</v>
      </c>
    </row>
    <row r="522" spans="1:11" x14ac:dyDescent="0.45">
      <c r="A522" t="s">
        <v>90</v>
      </c>
      <c r="B522" t="s">
        <v>0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1.2681499999999999</v>
      </c>
      <c r="K522" t="s">
        <v>24</v>
      </c>
    </row>
    <row r="523" spans="1:11" x14ac:dyDescent="0.45">
      <c r="A523" t="s">
        <v>90</v>
      </c>
      <c r="B523" t="s">
        <v>6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1.2681499999999999</v>
      </c>
      <c r="K523" t="s">
        <v>24</v>
      </c>
    </row>
    <row r="524" spans="1:11" x14ac:dyDescent="0.45">
      <c r="A524" t="s">
        <v>90</v>
      </c>
      <c r="B524" t="s">
        <v>5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0.76295000000000002</v>
      </c>
      <c r="K524" t="s">
        <v>24</v>
      </c>
    </row>
    <row r="525" spans="1:11" x14ac:dyDescent="0.45">
      <c r="A525" t="s">
        <v>90</v>
      </c>
      <c r="B525" t="s">
        <v>2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1.2858499999999999</v>
      </c>
      <c r="K525" t="s">
        <v>24</v>
      </c>
    </row>
    <row r="526" spans="1:11" x14ac:dyDescent="0.45">
      <c r="A526" t="s">
        <v>90</v>
      </c>
      <c r="B526" t="s">
        <v>1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1.2355499999999999</v>
      </c>
      <c r="K526" t="s">
        <v>24</v>
      </c>
    </row>
    <row r="527" spans="1:11" x14ac:dyDescent="0.45">
      <c r="A527" t="s">
        <v>90</v>
      </c>
      <c r="B527" t="s">
        <v>3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1.2152000000000001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1.21455</v>
      </c>
      <c r="K528" t="s">
        <v>24</v>
      </c>
    </row>
    <row r="529" spans="1:11" x14ac:dyDescent="0.45">
      <c r="A529" t="s">
        <v>90</v>
      </c>
      <c r="B529" t="s">
        <v>0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1.2073999999999998</v>
      </c>
      <c r="K529" t="s">
        <v>24</v>
      </c>
    </row>
    <row r="530" spans="1:11" x14ac:dyDescent="0.45">
      <c r="A530" t="s">
        <v>90</v>
      </c>
      <c r="B530" t="s">
        <v>6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1.1592500000000001</v>
      </c>
      <c r="K530" t="s">
        <v>24</v>
      </c>
    </row>
    <row r="531" spans="1:11" x14ac:dyDescent="0.45">
      <c r="A531" t="s">
        <v>90</v>
      </c>
      <c r="B531" t="s">
        <v>5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0.60394999999999999</v>
      </c>
      <c r="K531" t="s">
        <v>24</v>
      </c>
    </row>
    <row r="532" spans="1:11" x14ac:dyDescent="0.45">
      <c r="A532" t="s">
        <v>90</v>
      </c>
      <c r="B532" t="s">
        <v>2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1.2105000000000001</v>
      </c>
      <c r="K532" t="s">
        <v>24</v>
      </c>
    </row>
    <row r="533" spans="1:11" x14ac:dyDescent="0.45">
      <c r="A533" t="s">
        <v>90</v>
      </c>
      <c r="B533" t="s">
        <v>1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1.1758500000000001</v>
      </c>
      <c r="K533" t="s">
        <v>24</v>
      </c>
    </row>
    <row r="534" spans="1:11" x14ac:dyDescent="0.45">
      <c r="A534" t="s">
        <v>90</v>
      </c>
      <c r="B534" t="s">
        <v>3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1.1231499999999999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1.13365</v>
      </c>
      <c r="K535" t="s">
        <v>24</v>
      </c>
    </row>
    <row r="536" spans="1:11" x14ac:dyDescent="0.45">
      <c r="A536" t="s">
        <v>90</v>
      </c>
      <c r="B536" t="s">
        <v>0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1.1244999999999998</v>
      </c>
      <c r="K536" t="s">
        <v>24</v>
      </c>
    </row>
    <row r="537" spans="1:11" x14ac:dyDescent="0.45">
      <c r="A537" t="s">
        <v>90</v>
      </c>
      <c r="B537" t="s">
        <v>6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1.0946499999999999</v>
      </c>
      <c r="K537" t="s">
        <v>24</v>
      </c>
    </row>
    <row r="538" spans="1:11" x14ac:dyDescent="0.45">
      <c r="A538" t="s">
        <v>90</v>
      </c>
      <c r="B538" t="s">
        <v>5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0.51634999999999998</v>
      </c>
      <c r="K538" t="s">
        <v>24</v>
      </c>
    </row>
    <row r="539" spans="1:11" x14ac:dyDescent="0.45">
      <c r="A539" t="s">
        <v>90</v>
      </c>
      <c r="B539" t="s">
        <v>2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1.14425</v>
      </c>
      <c r="K539" t="s">
        <v>24</v>
      </c>
    </row>
    <row r="540" spans="1:11" x14ac:dyDescent="0.45">
      <c r="A540" t="s">
        <v>90</v>
      </c>
      <c r="B540" t="s">
        <v>1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1.1576499999999998</v>
      </c>
      <c r="K540" t="s">
        <v>24</v>
      </c>
    </row>
    <row r="541" spans="1:11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1.0735999999999999</v>
      </c>
      <c r="K541" t="s">
        <v>24</v>
      </c>
    </row>
    <row r="542" spans="1:11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1.0608499999999998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1.0519500000000002</v>
      </c>
      <c r="K543" t="s">
        <v>24</v>
      </c>
    </row>
    <row r="544" spans="1:11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1.0530999999999999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0.49390000000000001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1.0985499999999999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1.1762999999999999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1.04775</v>
      </c>
      <c r="K548" t="s">
        <v>24</v>
      </c>
    </row>
    <row r="549" spans="1:11" x14ac:dyDescent="0.45">
      <c r="A549" t="s">
        <v>90</v>
      </c>
      <c r="B549" t="s">
        <v>4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0.99564999999999992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1.0768499999999999</v>
      </c>
      <c r="K550" t="s">
        <v>24</v>
      </c>
    </row>
    <row r="551" spans="1:11" x14ac:dyDescent="0.45">
      <c r="A551" t="s">
        <v>90</v>
      </c>
      <c r="B551" t="s">
        <v>6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0.99459999999999993</v>
      </c>
      <c r="K551" t="s">
        <v>24</v>
      </c>
    </row>
    <row r="552" spans="1:11" x14ac:dyDescent="0.45">
      <c r="A552" t="s">
        <v>90</v>
      </c>
      <c r="B552" t="s">
        <v>5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0.47499999999999998</v>
      </c>
      <c r="K552" t="s">
        <v>24</v>
      </c>
    </row>
    <row r="553" spans="1:11" x14ac:dyDescent="0.45">
      <c r="A553" t="s">
        <v>90</v>
      </c>
      <c r="B553" t="s">
        <v>2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1.0623</v>
      </c>
      <c r="K553" t="s">
        <v>24</v>
      </c>
    </row>
    <row r="554" spans="1:11" x14ac:dyDescent="0.45">
      <c r="A554" t="s">
        <v>90</v>
      </c>
      <c r="B554" t="s">
        <v>1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1.161</v>
      </c>
      <c r="K554" t="s">
        <v>24</v>
      </c>
    </row>
    <row r="555" spans="1:11" x14ac:dyDescent="0.45">
      <c r="A555" t="s">
        <v>90</v>
      </c>
      <c r="B555" t="s">
        <v>3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1.0124</v>
      </c>
      <c r="K555" t="s">
        <v>24</v>
      </c>
    </row>
    <row r="556" spans="1:11" x14ac:dyDescent="0.45">
      <c r="A556" t="s">
        <v>90</v>
      </c>
      <c r="B556" t="s">
        <v>4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0.9113</v>
      </c>
      <c r="K556" t="s">
        <v>24</v>
      </c>
    </row>
    <row r="557" spans="1:11" x14ac:dyDescent="0.45">
      <c r="A557" t="s">
        <v>90</v>
      </c>
      <c r="B557" t="s">
        <v>0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1.0575000000000001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0.92344999999999999</v>
      </c>
      <c r="K558" t="s">
        <v>24</v>
      </c>
    </row>
    <row r="559" spans="1:11" x14ac:dyDescent="0.45">
      <c r="A559" t="s">
        <v>90</v>
      </c>
      <c r="B559" t="s">
        <v>5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0.43709999999999999</v>
      </c>
      <c r="K559" t="s">
        <v>24</v>
      </c>
    </row>
    <row r="560" spans="1:11" x14ac:dyDescent="0.45">
      <c r="A560" t="s">
        <v>90</v>
      </c>
      <c r="B560" t="s">
        <v>2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0.97825000000000006</v>
      </c>
      <c r="K560" t="s">
        <v>24</v>
      </c>
    </row>
    <row r="561" spans="1:11" x14ac:dyDescent="0.45">
      <c r="A561" t="s">
        <v>90</v>
      </c>
      <c r="B561" t="s">
        <v>1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1.09945</v>
      </c>
      <c r="K561" t="s">
        <v>24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0.94385000000000008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0.82455000000000001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0.9859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0.83584999999999998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0.39395000000000002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0.89205000000000001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0.98875000000000002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0.85785</v>
      </c>
      <c r="K569" t="s">
        <v>24</v>
      </c>
    </row>
    <row r="570" spans="1:11" x14ac:dyDescent="0.45">
      <c r="A570" t="s">
        <v>90</v>
      </c>
      <c r="B570" t="s">
        <v>4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0.74524999999999997</v>
      </c>
      <c r="K570" t="s">
        <v>24</v>
      </c>
    </row>
    <row r="571" spans="1:11" x14ac:dyDescent="0.45">
      <c r="A571" t="s">
        <v>90</v>
      </c>
      <c r="B571" t="s">
        <v>0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0.88589999999999991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0.78665000000000007</v>
      </c>
      <c r="K572" t="s">
        <v>24</v>
      </c>
    </row>
    <row r="573" spans="1:11" x14ac:dyDescent="0.45">
      <c r="A573" t="s">
        <v>90</v>
      </c>
      <c r="B573" t="s">
        <v>5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0.36449999999999999</v>
      </c>
      <c r="K573" t="s">
        <v>24</v>
      </c>
    </row>
    <row r="574" spans="1:11" x14ac:dyDescent="0.45">
      <c r="A574" t="s">
        <v>90</v>
      </c>
      <c r="B574" t="s">
        <v>2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0.81394999999999995</v>
      </c>
      <c r="K574" t="s">
        <v>24</v>
      </c>
    </row>
    <row r="575" spans="1:11" x14ac:dyDescent="0.45">
      <c r="A575" t="s">
        <v>90</v>
      </c>
      <c r="B575" t="s">
        <v>1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0.89424999999999999</v>
      </c>
      <c r="K575" t="s">
        <v>24</v>
      </c>
    </row>
    <row r="576" spans="1:11" x14ac:dyDescent="0.45">
      <c r="A576" t="s">
        <v>90</v>
      </c>
      <c r="B576" t="s">
        <v>3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0.77190000000000003</v>
      </c>
      <c r="K576" t="s">
        <v>24</v>
      </c>
    </row>
    <row r="577" spans="1:11" x14ac:dyDescent="0.45">
      <c r="A577" t="s">
        <v>90</v>
      </c>
      <c r="B577" t="s">
        <v>4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0.66605000000000003</v>
      </c>
      <c r="K577" t="s">
        <v>24</v>
      </c>
    </row>
    <row r="578" spans="1:11" x14ac:dyDescent="0.45">
      <c r="A578" t="s">
        <v>90</v>
      </c>
      <c r="B578" t="s">
        <v>0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0.78594999999999993</v>
      </c>
      <c r="K578" t="s">
        <v>24</v>
      </c>
    </row>
    <row r="579" spans="1:11" x14ac:dyDescent="0.45">
      <c r="A579" t="s">
        <v>90</v>
      </c>
      <c r="B579" t="s">
        <v>6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0.73740000000000006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0.33515</v>
      </c>
      <c r="K580" t="s">
        <v>24</v>
      </c>
    </row>
    <row r="581" spans="1:11" x14ac:dyDescent="0.45">
      <c r="A581" t="s">
        <v>90</v>
      </c>
      <c r="B581" t="s">
        <v>2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0.73585</v>
      </c>
      <c r="K581" t="s">
        <v>24</v>
      </c>
    </row>
    <row r="582" spans="1:11" x14ac:dyDescent="0.45">
      <c r="A582" t="s">
        <v>90</v>
      </c>
      <c r="B582" t="s">
        <v>1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0.79974999999999996</v>
      </c>
      <c r="K582" t="s">
        <v>24</v>
      </c>
    </row>
    <row r="583" spans="1:11" x14ac:dyDescent="0.45">
      <c r="A583" t="s">
        <v>90</v>
      </c>
      <c r="B583" t="s">
        <v>3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0.70280000000000009</v>
      </c>
      <c r="K583" t="s">
        <v>24</v>
      </c>
    </row>
    <row r="584" spans="1:11" x14ac:dyDescent="0.45">
      <c r="A584" t="s">
        <v>90</v>
      </c>
      <c r="B584" t="s">
        <v>4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0.60099999999999998</v>
      </c>
      <c r="K584" t="s">
        <v>24</v>
      </c>
    </row>
    <row r="585" spans="1:11" x14ac:dyDescent="0.45">
      <c r="A585" t="s">
        <v>90</v>
      </c>
      <c r="B585" t="s">
        <v>0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0.71629999999999994</v>
      </c>
      <c r="K585" t="s">
        <v>24</v>
      </c>
    </row>
    <row r="586" spans="1:11" x14ac:dyDescent="0.45">
      <c r="A586" t="s">
        <v>90</v>
      </c>
      <c r="B586" t="s">
        <v>6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0.67704999999999993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0.31985000000000002</v>
      </c>
      <c r="K587" t="s">
        <v>24</v>
      </c>
    </row>
    <row r="588" spans="1:11" x14ac:dyDescent="0.45">
      <c r="A588" t="s">
        <v>90</v>
      </c>
      <c r="B588" t="s">
        <v>2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0.67359999999999998</v>
      </c>
      <c r="K588" t="s">
        <v>24</v>
      </c>
    </row>
    <row r="589" spans="1:11" x14ac:dyDescent="0.45">
      <c r="A589" t="s">
        <v>90</v>
      </c>
      <c r="B589" t="s">
        <v>1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0.72894999999999999</v>
      </c>
      <c r="K589" t="s">
        <v>24</v>
      </c>
    </row>
    <row r="590" spans="1:11" x14ac:dyDescent="0.45">
      <c r="A590" t="s">
        <v>90</v>
      </c>
      <c r="B590" t="s">
        <v>3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0.63379999999999992</v>
      </c>
      <c r="K590" t="s">
        <v>24</v>
      </c>
    </row>
    <row r="591" spans="1:11" x14ac:dyDescent="0.45">
      <c r="A591" t="s">
        <v>90</v>
      </c>
      <c r="B591" t="s">
        <v>4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0.53600000000000003</v>
      </c>
      <c r="K591" t="s">
        <v>24</v>
      </c>
    </row>
    <row r="592" spans="1:11" x14ac:dyDescent="0.45">
      <c r="A592" t="s">
        <v>90</v>
      </c>
      <c r="B592" t="s">
        <v>0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0.64670000000000005</v>
      </c>
      <c r="K592" t="s">
        <v>24</v>
      </c>
    </row>
    <row r="593" spans="1:11" x14ac:dyDescent="0.45">
      <c r="A593" t="s">
        <v>90</v>
      </c>
      <c r="B593" t="s">
        <v>6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0.61670000000000003</v>
      </c>
      <c r="K593" t="s">
        <v>24</v>
      </c>
    </row>
    <row r="594" spans="1:11" x14ac:dyDescent="0.45">
      <c r="A594" t="s">
        <v>90</v>
      </c>
      <c r="B594" t="s">
        <v>5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0.30454999999999999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0.61139999999999994</v>
      </c>
      <c r="K595" t="s">
        <v>24</v>
      </c>
    </row>
    <row r="596" spans="1:11" x14ac:dyDescent="0.45">
      <c r="A596" t="s">
        <v>90</v>
      </c>
      <c r="B596" t="s">
        <v>1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0.65825</v>
      </c>
      <c r="K596" t="s">
        <v>24</v>
      </c>
    </row>
    <row r="597" spans="1:11" x14ac:dyDescent="0.45">
      <c r="A597" t="s">
        <v>90</v>
      </c>
      <c r="B597" t="s">
        <v>3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0.58165</v>
      </c>
      <c r="K597" t="s">
        <v>24</v>
      </c>
    </row>
    <row r="598" spans="1:11" x14ac:dyDescent="0.45">
      <c r="A598" t="s">
        <v>90</v>
      </c>
      <c r="B598" t="s">
        <v>4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0.49015000000000003</v>
      </c>
      <c r="K598" t="s">
        <v>24</v>
      </c>
    </row>
    <row r="599" spans="1:11" x14ac:dyDescent="0.45">
      <c r="A599" t="s">
        <v>90</v>
      </c>
      <c r="B599" t="s">
        <v>0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0.59989999999999999</v>
      </c>
      <c r="K599" t="s">
        <v>24</v>
      </c>
    </row>
    <row r="600" spans="1:11" x14ac:dyDescent="0.45">
      <c r="A600" t="s">
        <v>90</v>
      </c>
      <c r="B600" t="s">
        <v>6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0.56380000000000008</v>
      </c>
      <c r="K600" t="s">
        <v>24</v>
      </c>
    </row>
    <row r="601" spans="1:11" x14ac:dyDescent="0.45">
      <c r="A601" t="s">
        <v>90</v>
      </c>
      <c r="B601" t="s">
        <v>5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0.29580000000000001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0.56035000000000001</v>
      </c>
      <c r="K602" t="s">
        <v>24</v>
      </c>
    </row>
    <row r="603" spans="1:11" x14ac:dyDescent="0.45">
      <c r="A603" t="s">
        <v>90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0.60949999999999993</v>
      </c>
      <c r="K603" t="s">
        <v>24</v>
      </c>
    </row>
    <row r="604" spans="1:11" x14ac:dyDescent="0.45">
      <c r="A604" t="s">
        <v>90</v>
      </c>
      <c r="B604" t="s">
        <v>3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0.52950000000000008</v>
      </c>
      <c r="K604" t="s">
        <v>24</v>
      </c>
    </row>
    <row r="605" spans="1:11" x14ac:dyDescent="0.45">
      <c r="A605" t="s">
        <v>90</v>
      </c>
      <c r="B605" t="s">
        <v>4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0.44435000000000002</v>
      </c>
      <c r="K605" t="s">
        <v>24</v>
      </c>
    </row>
    <row r="606" spans="1:11" x14ac:dyDescent="0.45">
      <c r="A606" t="s">
        <v>90</v>
      </c>
      <c r="B606" t="s">
        <v>0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0.55320000000000003</v>
      </c>
      <c r="K606" t="s">
        <v>24</v>
      </c>
    </row>
    <row r="607" spans="1:11" x14ac:dyDescent="0.45">
      <c r="A607" t="s">
        <v>90</v>
      </c>
      <c r="B607" t="s">
        <v>6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0.51095000000000002</v>
      </c>
      <c r="K607" t="s">
        <v>24</v>
      </c>
    </row>
    <row r="608" spans="1:11" x14ac:dyDescent="0.45">
      <c r="A608" t="s">
        <v>90</v>
      </c>
      <c r="B608" t="s">
        <v>5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0.28710000000000002</v>
      </c>
      <c r="K608" t="s">
        <v>24</v>
      </c>
    </row>
    <row r="609" spans="1:11" x14ac:dyDescent="0.45">
      <c r="A609" t="s">
        <v>90</v>
      </c>
      <c r="B609" t="s">
        <v>2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0.50934999999999997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0.56075000000000008</v>
      </c>
      <c r="K610" t="s">
        <v>24</v>
      </c>
    </row>
    <row r="611" spans="1:11" x14ac:dyDescent="0.45">
      <c r="A611" t="s">
        <v>90</v>
      </c>
      <c r="B611" t="s">
        <v>3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0.48020000000000002</v>
      </c>
      <c r="K611" t="s">
        <v>24</v>
      </c>
    </row>
    <row r="612" spans="1:11" x14ac:dyDescent="0.45">
      <c r="A612" t="s">
        <v>90</v>
      </c>
      <c r="B612" t="s">
        <v>4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0.40760000000000002</v>
      </c>
      <c r="K612" t="s">
        <v>24</v>
      </c>
    </row>
    <row r="613" spans="1:11" x14ac:dyDescent="0.45">
      <c r="A613" t="s">
        <v>90</v>
      </c>
      <c r="B613" t="s">
        <v>0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0.49920000000000003</v>
      </c>
      <c r="K613" t="s">
        <v>24</v>
      </c>
    </row>
    <row r="614" spans="1:11" x14ac:dyDescent="0.45">
      <c r="A614" t="s">
        <v>90</v>
      </c>
      <c r="B614" t="s">
        <v>6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0.46325</v>
      </c>
      <c r="K614" t="s">
        <v>24</v>
      </c>
    </row>
    <row r="615" spans="1:11" x14ac:dyDescent="0.45">
      <c r="A615" t="s">
        <v>90</v>
      </c>
      <c r="B615" t="s">
        <v>5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0.27205000000000001</v>
      </c>
      <c r="K615" t="s">
        <v>24</v>
      </c>
    </row>
    <row r="616" spans="1:11" x14ac:dyDescent="0.45">
      <c r="A616" t="s">
        <v>90</v>
      </c>
      <c r="B616" t="s">
        <v>2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0.46055000000000001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0.51200000000000001</v>
      </c>
      <c r="K617" t="s">
        <v>24</v>
      </c>
    </row>
    <row r="618" spans="1:11" x14ac:dyDescent="0.45">
      <c r="A618" t="s">
        <v>90</v>
      </c>
      <c r="B618" t="s">
        <v>3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0.43085000000000001</v>
      </c>
      <c r="K618" t="s">
        <v>24</v>
      </c>
    </row>
    <row r="619" spans="1:11" x14ac:dyDescent="0.45">
      <c r="A619" t="s">
        <v>90</v>
      </c>
      <c r="B619" t="s">
        <v>4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0.37085000000000001</v>
      </c>
      <c r="K619" t="s">
        <v>24</v>
      </c>
    </row>
    <row r="620" spans="1:11" x14ac:dyDescent="0.45">
      <c r="A620" t="s">
        <v>90</v>
      </c>
      <c r="B620" t="s">
        <v>0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0.44524999999999998</v>
      </c>
      <c r="K620" t="s">
        <v>24</v>
      </c>
    </row>
    <row r="621" spans="1:11" x14ac:dyDescent="0.45">
      <c r="A621" t="s">
        <v>90</v>
      </c>
      <c r="B621" t="s">
        <v>6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0.41554999999999997</v>
      </c>
      <c r="K621" t="s">
        <v>24</v>
      </c>
    </row>
    <row r="622" spans="1:11" x14ac:dyDescent="0.45">
      <c r="A622" t="s">
        <v>90</v>
      </c>
      <c r="B622" t="s">
        <v>5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0.25695000000000001</v>
      </c>
      <c r="K622" t="s">
        <v>24</v>
      </c>
    </row>
    <row r="623" spans="1:11" x14ac:dyDescent="0.45">
      <c r="A623" t="s">
        <v>90</v>
      </c>
      <c r="B623" t="s">
        <v>2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0.4118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0.4632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2.0394000000000001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2.0394000000000001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2.0394000000000001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2.0394000000000001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2.0394000000000001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2.0394000000000001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2.0394000000000001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2.1076999999999999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2.10345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2.10345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2.10345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2.2579000000000002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2.1056999999999997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2.09145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2.1222500000000002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2.11625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2.11625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2.11625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2.0359500000000001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2.1327500000000001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2.02325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2.0345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2.0722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2.03715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2.1023000000000001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1.879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2.0175999999999998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2.0474999999999999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1.9111500000000001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1.97525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1.7717000000000001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1.9698500000000001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1.8006500000000001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1.9419999999999999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2.0359499999999997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1.8618000000000001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1.8609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1.79535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1.9579499999999999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1.8714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1.8988499999999999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2.1458500000000003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1.8728500000000001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1.7806999999999999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1.99285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1.8847499999999999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1.9031500000000001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1.8927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2.1780499999999998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1.8536000000000001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1.68065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2.0089999999999999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1.7917999999999998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1.7974000000000001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1.7594500000000002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2.0478000000000001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1.92265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1.6537999999999999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2.0528500000000003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1.7525499999999998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1.7679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1.7683500000000001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2.0118499999999999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1.8469500000000001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1.60365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1.9148000000000001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1.7283999999999999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1.6874500000000001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1.7131500000000002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1.9222000000000001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1.7711999999999999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1.5535000000000001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1.7767499999999998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1.70425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1.6070000000000002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1.6578999999999999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1.8326500000000001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1.7424499999999998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1.5347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1.7439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1.6841999999999999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1.6167500000000001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1.6402000000000001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1.8285499999999999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1.7137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1.5158499999999999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1.71105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1.6642000000000001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1.62645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1.6224499999999999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1.8244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1.7057500000000001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1.5127000000000002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1.7094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1.6466499999999999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1.6347499999999999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1.6051500000000001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1.8100499999999999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1.6978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1.5095499999999999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1.7078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1.6291000000000002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1.6430499999999999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1.5878999999999999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1.79575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1.6715499999999999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1.49925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1.6776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1.5983000000000001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1.6216999999999999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1.5587500000000001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1.7647499999999998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1.6454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1.48895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1.6474500000000001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1.5674999999999999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1.6003500000000002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1.5295999999999998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1.7338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8.3000000000000004E-2</v>
      </c>
      <c r="K744" t="s">
        <v>27</v>
      </c>
    </row>
    <row r="745" spans="1:11" x14ac:dyDescent="0.45">
      <c r="A745" t="s">
        <v>90</v>
      </c>
      <c r="B745" t="s">
        <v>4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8.3000000000000004E-2</v>
      </c>
      <c r="K745" t="s">
        <v>27</v>
      </c>
    </row>
    <row r="746" spans="1:11" x14ac:dyDescent="0.45">
      <c r="A746" t="s">
        <v>90</v>
      </c>
      <c r="B746" t="s">
        <v>0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8.3000000000000004E-2</v>
      </c>
      <c r="K746" t="s">
        <v>27</v>
      </c>
    </row>
    <row r="747" spans="1:11" x14ac:dyDescent="0.45">
      <c r="A747" t="s">
        <v>90</v>
      </c>
      <c r="B747" t="s">
        <v>6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8.3000000000000004E-2</v>
      </c>
      <c r="K747" t="s">
        <v>27</v>
      </c>
    </row>
    <row r="748" spans="1:11" x14ac:dyDescent="0.45">
      <c r="A748" t="s">
        <v>90</v>
      </c>
      <c r="B748" t="s">
        <v>5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8.3000000000000004E-2</v>
      </c>
      <c r="K748" t="s">
        <v>27</v>
      </c>
    </row>
    <row r="749" spans="1:11" x14ac:dyDescent="0.45">
      <c r="A749" t="s">
        <v>90</v>
      </c>
      <c r="B749" t="s">
        <v>2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8.3000000000000004E-2</v>
      </c>
      <c r="K749" t="s">
        <v>27</v>
      </c>
    </row>
    <row r="750" spans="1:11" x14ac:dyDescent="0.45">
      <c r="A750" t="s">
        <v>90</v>
      </c>
      <c r="B750" t="s">
        <v>1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8.3000000000000004E-2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9.6500000000000002E-2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0.10290000000000001</v>
      </c>
      <c r="K752" t="s">
        <v>27</v>
      </c>
    </row>
    <row r="753" spans="1:11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0.10290000000000001</v>
      </c>
      <c r="K753" t="s">
        <v>27</v>
      </c>
    </row>
    <row r="754" spans="1:11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0.10290000000000001</v>
      </c>
      <c r="K754" t="s">
        <v>27</v>
      </c>
    </row>
    <row r="755" spans="1:11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9.1499999999999998E-2</v>
      </c>
      <c r="K755" t="s">
        <v>27</v>
      </c>
    </row>
    <row r="756" spans="1:11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0.104</v>
      </c>
      <c r="K756" t="s">
        <v>27</v>
      </c>
    </row>
    <row r="757" spans="1:11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9.9750000000000005E-2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0.18245</v>
      </c>
      <c r="K758" t="s">
        <v>27</v>
      </c>
    </row>
    <row r="759" spans="1:11" x14ac:dyDescent="0.45">
      <c r="A759" t="s">
        <v>90</v>
      </c>
      <c r="B759" t="s">
        <v>4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0.17580000000000001</v>
      </c>
      <c r="K759" t="s">
        <v>27</v>
      </c>
    </row>
    <row r="760" spans="1:11" x14ac:dyDescent="0.45">
      <c r="A760" t="s">
        <v>90</v>
      </c>
      <c r="B760" t="s">
        <v>0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0.17580000000000001</v>
      </c>
      <c r="K760" t="s">
        <v>27</v>
      </c>
    </row>
    <row r="761" spans="1:11" x14ac:dyDescent="0.45">
      <c r="A761" t="s">
        <v>90</v>
      </c>
      <c r="B761" t="s">
        <v>6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0.17580000000000001</v>
      </c>
      <c r="K761" t="s">
        <v>27</v>
      </c>
    </row>
    <row r="762" spans="1:11" x14ac:dyDescent="0.45">
      <c r="A762" t="s">
        <v>90</v>
      </c>
      <c r="B762" t="s">
        <v>5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0.16694999999999999</v>
      </c>
      <c r="K762" t="s">
        <v>27</v>
      </c>
    </row>
    <row r="763" spans="1:11" x14ac:dyDescent="0.45">
      <c r="A763" t="s">
        <v>90</v>
      </c>
      <c r="B763" t="s">
        <v>2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0.17835000000000001</v>
      </c>
      <c r="K763" t="s">
        <v>27</v>
      </c>
    </row>
    <row r="764" spans="1:11" x14ac:dyDescent="0.45">
      <c r="A764" t="s">
        <v>90</v>
      </c>
      <c r="B764" t="s">
        <v>1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0.1885</v>
      </c>
      <c r="K764" t="s">
        <v>27</v>
      </c>
    </row>
    <row r="765" spans="1:11" x14ac:dyDescent="0.45">
      <c r="A765" t="s">
        <v>90</v>
      </c>
      <c r="B765" t="s">
        <v>3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0.33289999999999997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0.2843</v>
      </c>
      <c r="K766" t="s">
        <v>27</v>
      </c>
    </row>
    <row r="767" spans="1:11" x14ac:dyDescent="0.45">
      <c r="A767" t="s">
        <v>90</v>
      </c>
      <c r="B767" t="s">
        <v>0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0.29530000000000001</v>
      </c>
      <c r="K767" t="s">
        <v>27</v>
      </c>
    </row>
    <row r="768" spans="1:11" x14ac:dyDescent="0.45">
      <c r="A768" t="s">
        <v>90</v>
      </c>
      <c r="B768" t="s">
        <v>6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0.29425000000000001</v>
      </c>
      <c r="K768" t="s">
        <v>27</v>
      </c>
    </row>
    <row r="769" spans="1:11" x14ac:dyDescent="0.45">
      <c r="A769" t="s">
        <v>90</v>
      </c>
      <c r="B769" t="s">
        <v>5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0.30220000000000002</v>
      </c>
      <c r="K769" t="s">
        <v>27</v>
      </c>
    </row>
    <row r="770" spans="1:11" x14ac:dyDescent="0.45">
      <c r="A770" t="s">
        <v>90</v>
      </c>
      <c r="B770" t="s">
        <v>2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0.28739999999999999</v>
      </c>
      <c r="K770" t="s">
        <v>27</v>
      </c>
    </row>
    <row r="771" spans="1:11" x14ac:dyDescent="0.45">
      <c r="A771" t="s">
        <v>90</v>
      </c>
      <c r="B771" t="s">
        <v>1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0.35335</v>
      </c>
      <c r="K771" t="s">
        <v>27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0.47189999999999999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0.38129999999999997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0.3931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0.39749999999999996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0.42000000000000004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0.38374999999999998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0.49809999999999999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0.52784999999999993</v>
      </c>
      <c r="K779" t="s">
        <v>27</v>
      </c>
    </row>
    <row r="780" spans="1:11" x14ac:dyDescent="0.45">
      <c r="A780" t="s">
        <v>90</v>
      </c>
      <c r="B780" t="s">
        <v>4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0.42364999999999997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0.44425000000000003</v>
      </c>
      <c r="K781" t="s">
        <v>27</v>
      </c>
    </row>
    <row r="782" spans="1:11" x14ac:dyDescent="0.45">
      <c r="A782" t="s">
        <v>90</v>
      </c>
      <c r="B782" t="s">
        <v>6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0.44530000000000003</v>
      </c>
      <c r="K782" t="s">
        <v>27</v>
      </c>
    </row>
    <row r="783" spans="1:11" x14ac:dyDescent="0.45">
      <c r="A783" t="s">
        <v>90</v>
      </c>
      <c r="B783" t="s">
        <v>5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0.45130000000000003</v>
      </c>
      <c r="K783" t="s">
        <v>27</v>
      </c>
    </row>
    <row r="784" spans="1:11" x14ac:dyDescent="0.45">
      <c r="A784" t="s">
        <v>90</v>
      </c>
      <c r="B784" t="s">
        <v>2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0.42615000000000003</v>
      </c>
      <c r="K784" t="s">
        <v>27</v>
      </c>
    </row>
    <row r="785" spans="1:11" x14ac:dyDescent="0.45">
      <c r="A785" t="s">
        <v>90</v>
      </c>
      <c r="B785" t="s">
        <v>1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0.54869999999999997</v>
      </c>
      <c r="K785" t="s">
        <v>27</v>
      </c>
    </row>
    <row r="786" spans="1:11" x14ac:dyDescent="0.45">
      <c r="A786" t="s">
        <v>90</v>
      </c>
      <c r="B786" t="s">
        <v>3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0.53384999999999994</v>
      </c>
      <c r="K786" t="s">
        <v>27</v>
      </c>
    </row>
    <row r="787" spans="1:11" x14ac:dyDescent="0.45">
      <c r="A787" t="s">
        <v>90</v>
      </c>
      <c r="B787" t="s">
        <v>4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0.43279999999999996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0.46009999999999995</v>
      </c>
      <c r="K788" t="s">
        <v>27</v>
      </c>
    </row>
    <row r="789" spans="1:11" x14ac:dyDescent="0.45">
      <c r="A789" t="s">
        <v>90</v>
      </c>
      <c r="B789" t="s">
        <v>6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0.45445000000000002</v>
      </c>
      <c r="K789" t="s">
        <v>27</v>
      </c>
    </row>
    <row r="790" spans="1:11" x14ac:dyDescent="0.45">
      <c r="A790" t="s">
        <v>90</v>
      </c>
      <c r="B790" t="s">
        <v>5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0.41794999999999999</v>
      </c>
      <c r="K790" t="s">
        <v>27</v>
      </c>
    </row>
    <row r="791" spans="1:11" x14ac:dyDescent="0.45">
      <c r="A791" t="s">
        <v>90</v>
      </c>
      <c r="B791" t="s">
        <v>2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0.43615000000000004</v>
      </c>
      <c r="K791" t="s">
        <v>27</v>
      </c>
    </row>
    <row r="792" spans="1:11" x14ac:dyDescent="0.45">
      <c r="A792" t="s">
        <v>90</v>
      </c>
      <c r="B792" t="s">
        <v>1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0.54499999999999993</v>
      </c>
      <c r="K792" t="s">
        <v>27</v>
      </c>
    </row>
    <row r="793" spans="1:11" x14ac:dyDescent="0.45">
      <c r="A793" t="s">
        <v>90</v>
      </c>
      <c r="B793" t="s">
        <v>3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0.53594999999999993</v>
      </c>
      <c r="K793" t="s">
        <v>27</v>
      </c>
    </row>
    <row r="794" spans="1:11" x14ac:dyDescent="0.45">
      <c r="A794" t="s">
        <v>90</v>
      </c>
      <c r="B794" t="s">
        <v>4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0.44345000000000001</v>
      </c>
      <c r="K794" t="s">
        <v>27</v>
      </c>
    </row>
    <row r="795" spans="1:11" x14ac:dyDescent="0.45">
      <c r="A795" t="s">
        <v>90</v>
      </c>
      <c r="B795" t="s">
        <v>0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0.46429999999999999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0.46150000000000002</v>
      </c>
      <c r="K796" t="s">
        <v>27</v>
      </c>
    </row>
    <row r="797" spans="1:11" x14ac:dyDescent="0.45">
      <c r="A797" t="s">
        <v>90</v>
      </c>
      <c r="B797" t="s">
        <v>5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0.44884999999999997</v>
      </c>
      <c r="K797" t="s">
        <v>27</v>
      </c>
    </row>
    <row r="798" spans="1:11" x14ac:dyDescent="0.45">
      <c r="A798" t="s">
        <v>90</v>
      </c>
      <c r="B798" t="s">
        <v>2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0.44779999999999998</v>
      </c>
      <c r="K798" t="s">
        <v>27</v>
      </c>
    </row>
    <row r="799" spans="1:11" x14ac:dyDescent="0.45">
      <c r="A799" t="s">
        <v>90</v>
      </c>
      <c r="B799" t="s">
        <v>1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0.54200000000000004</v>
      </c>
      <c r="K799" t="s">
        <v>27</v>
      </c>
    </row>
    <row r="800" spans="1:11" x14ac:dyDescent="0.45">
      <c r="A800" t="s">
        <v>90</v>
      </c>
      <c r="B800" t="s">
        <v>3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0.53859999999999997</v>
      </c>
      <c r="K800" t="s">
        <v>27</v>
      </c>
    </row>
    <row r="801" spans="1:11" x14ac:dyDescent="0.45">
      <c r="A801" t="s">
        <v>90</v>
      </c>
      <c r="B801" t="s">
        <v>4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0.44730000000000003</v>
      </c>
      <c r="K801" t="s">
        <v>27</v>
      </c>
    </row>
    <row r="802" spans="1:11" x14ac:dyDescent="0.45">
      <c r="A802" t="s">
        <v>90</v>
      </c>
      <c r="B802" t="s">
        <v>0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0.47060000000000002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0.46475</v>
      </c>
      <c r="K803" t="s">
        <v>27</v>
      </c>
    </row>
    <row r="804" spans="1:11" x14ac:dyDescent="0.45">
      <c r="A804" t="s">
        <v>90</v>
      </c>
      <c r="B804" t="s">
        <v>5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0.45250000000000001</v>
      </c>
      <c r="K804" t="s">
        <v>27</v>
      </c>
    </row>
    <row r="805" spans="1:11" x14ac:dyDescent="0.45">
      <c r="A805" t="s">
        <v>90</v>
      </c>
      <c r="B805" t="s">
        <v>2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0.45329999999999998</v>
      </c>
      <c r="K805" t="s">
        <v>27</v>
      </c>
    </row>
    <row r="806" spans="1:11" x14ac:dyDescent="0.45">
      <c r="A806" t="s">
        <v>90</v>
      </c>
      <c r="B806" t="s">
        <v>1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0.54200000000000004</v>
      </c>
      <c r="K806" t="s">
        <v>27</v>
      </c>
    </row>
    <row r="807" spans="1:11" x14ac:dyDescent="0.45">
      <c r="A807" t="s">
        <v>90</v>
      </c>
      <c r="B807" t="s">
        <v>3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0.54160000000000008</v>
      </c>
      <c r="K807" t="s">
        <v>27</v>
      </c>
    </row>
    <row r="808" spans="1:11" x14ac:dyDescent="0.45">
      <c r="A808" t="s">
        <v>90</v>
      </c>
      <c r="B808" t="s">
        <v>4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0.45250000000000001</v>
      </c>
      <c r="K808" t="s">
        <v>27</v>
      </c>
    </row>
    <row r="809" spans="1:11" x14ac:dyDescent="0.45">
      <c r="A809" t="s">
        <v>90</v>
      </c>
      <c r="B809" t="s">
        <v>0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0.47765000000000002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0.47004999999999997</v>
      </c>
      <c r="K810" t="s">
        <v>27</v>
      </c>
    </row>
    <row r="811" spans="1:11" x14ac:dyDescent="0.45">
      <c r="A811" t="s">
        <v>90</v>
      </c>
      <c r="B811" t="s">
        <v>5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0.45429999999999998</v>
      </c>
      <c r="K811" t="s">
        <v>27</v>
      </c>
    </row>
    <row r="812" spans="1:11" x14ac:dyDescent="0.45">
      <c r="A812" t="s">
        <v>90</v>
      </c>
      <c r="B812" t="s">
        <v>2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0.45960000000000001</v>
      </c>
      <c r="K812" t="s">
        <v>27</v>
      </c>
    </row>
    <row r="813" spans="1:11" x14ac:dyDescent="0.45">
      <c r="A813" t="s">
        <v>90</v>
      </c>
      <c r="B813" t="s">
        <v>1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0.54665000000000008</v>
      </c>
      <c r="K813" t="s">
        <v>27</v>
      </c>
    </row>
    <row r="814" spans="1:11" x14ac:dyDescent="0.45">
      <c r="A814" t="s">
        <v>90</v>
      </c>
      <c r="B814" t="s">
        <v>3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0.54459999999999997</v>
      </c>
      <c r="K814" t="s">
        <v>27</v>
      </c>
    </row>
    <row r="815" spans="1:11" x14ac:dyDescent="0.45">
      <c r="A815" t="s">
        <v>90</v>
      </c>
      <c r="B815" t="s">
        <v>4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0.45779999999999998</v>
      </c>
      <c r="K815" t="s">
        <v>27</v>
      </c>
    </row>
    <row r="816" spans="1:11" x14ac:dyDescent="0.45">
      <c r="A816" t="s">
        <v>90</v>
      </c>
      <c r="B816" t="s">
        <v>0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0.48470000000000002</v>
      </c>
      <c r="K816" t="s">
        <v>27</v>
      </c>
    </row>
    <row r="817" spans="1:11" x14ac:dyDescent="0.45">
      <c r="A817" t="s">
        <v>90</v>
      </c>
      <c r="B817" t="s">
        <v>6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0.4753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0.45610000000000001</v>
      </c>
      <c r="K818" t="s">
        <v>27</v>
      </c>
    </row>
    <row r="819" spans="1:11" x14ac:dyDescent="0.45">
      <c r="A819" t="s">
        <v>90</v>
      </c>
      <c r="B819" t="s">
        <v>2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0.46589999999999998</v>
      </c>
      <c r="K819" t="s">
        <v>27</v>
      </c>
    </row>
    <row r="820" spans="1:11" x14ac:dyDescent="0.45">
      <c r="A820" t="s">
        <v>90</v>
      </c>
      <c r="B820" t="s">
        <v>1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0.55130000000000001</v>
      </c>
      <c r="K820" t="s">
        <v>27</v>
      </c>
    </row>
    <row r="821" spans="1:11" x14ac:dyDescent="0.45">
      <c r="A821" t="s">
        <v>90</v>
      </c>
      <c r="B821" t="s">
        <v>3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0.5474</v>
      </c>
      <c r="K821" t="s">
        <v>27</v>
      </c>
    </row>
    <row r="822" spans="1:11" x14ac:dyDescent="0.45">
      <c r="A822" t="s">
        <v>90</v>
      </c>
      <c r="B822" t="s">
        <v>4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0.46165</v>
      </c>
      <c r="K822" t="s">
        <v>27</v>
      </c>
    </row>
    <row r="823" spans="1:11" x14ac:dyDescent="0.45">
      <c r="A823" t="s">
        <v>90</v>
      </c>
      <c r="B823" t="s">
        <v>0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0.49019999999999997</v>
      </c>
      <c r="K823" t="s">
        <v>27</v>
      </c>
    </row>
    <row r="824" spans="1:11" x14ac:dyDescent="0.45">
      <c r="A824" t="s">
        <v>90</v>
      </c>
      <c r="B824" t="s">
        <v>6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0.4773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0.45884999999999998</v>
      </c>
      <c r="K825" t="s">
        <v>27</v>
      </c>
    </row>
    <row r="826" spans="1:11" x14ac:dyDescent="0.45">
      <c r="A826" t="s">
        <v>90</v>
      </c>
      <c r="B826" t="s">
        <v>2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0.47055000000000002</v>
      </c>
      <c r="K826" t="s">
        <v>27</v>
      </c>
    </row>
    <row r="827" spans="1:11" x14ac:dyDescent="0.45">
      <c r="A827" t="s">
        <v>90</v>
      </c>
      <c r="B827" t="s">
        <v>1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0.55624999999999991</v>
      </c>
      <c r="K827" t="s">
        <v>27</v>
      </c>
    </row>
    <row r="828" spans="1:11" x14ac:dyDescent="0.45">
      <c r="A828" t="s">
        <v>90</v>
      </c>
      <c r="B828" t="s">
        <v>3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0.55014999999999992</v>
      </c>
      <c r="K828" t="s">
        <v>27</v>
      </c>
    </row>
    <row r="829" spans="1:11" x14ac:dyDescent="0.45">
      <c r="A829" t="s">
        <v>90</v>
      </c>
      <c r="B829" t="s">
        <v>4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0.46550000000000002</v>
      </c>
      <c r="K829" t="s">
        <v>27</v>
      </c>
    </row>
    <row r="830" spans="1:11" x14ac:dyDescent="0.45">
      <c r="A830" t="s">
        <v>90</v>
      </c>
      <c r="B830" t="s">
        <v>0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0.49574999999999997</v>
      </c>
      <c r="K830" t="s">
        <v>27</v>
      </c>
    </row>
    <row r="831" spans="1:11" x14ac:dyDescent="0.45">
      <c r="A831" t="s">
        <v>90</v>
      </c>
      <c r="B831" t="s">
        <v>6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0.47925000000000001</v>
      </c>
      <c r="K831" t="s">
        <v>27</v>
      </c>
    </row>
    <row r="832" spans="1:11" x14ac:dyDescent="0.45">
      <c r="A832" t="s">
        <v>90</v>
      </c>
      <c r="B832" t="s">
        <v>5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0.46165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0.47514999999999996</v>
      </c>
      <c r="K833" t="s">
        <v>27</v>
      </c>
    </row>
    <row r="834" spans="1:11" x14ac:dyDescent="0.45">
      <c r="A834" t="s">
        <v>90</v>
      </c>
      <c r="B834" t="s">
        <v>1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0.56119999999999992</v>
      </c>
      <c r="K834" t="s">
        <v>27</v>
      </c>
    </row>
    <row r="835" spans="1:11" x14ac:dyDescent="0.45">
      <c r="A835" t="s">
        <v>90</v>
      </c>
      <c r="B835" t="s">
        <v>3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0.54794999999999994</v>
      </c>
      <c r="K835" t="s">
        <v>27</v>
      </c>
    </row>
    <row r="836" spans="1:11" x14ac:dyDescent="0.45">
      <c r="A836" t="s">
        <v>90</v>
      </c>
      <c r="B836" t="s">
        <v>4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0.46445000000000003</v>
      </c>
      <c r="K836" t="s">
        <v>27</v>
      </c>
    </row>
    <row r="837" spans="1:11" x14ac:dyDescent="0.45">
      <c r="A837" t="s">
        <v>90</v>
      </c>
      <c r="B837" t="s">
        <v>0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0.49635000000000001</v>
      </c>
      <c r="K837" t="s">
        <v>27</v>
      </c>
    </row>
    <row r="838" spans="1:11" x14ac:dyDescent="0.45">
      <c r="A838" t="s">
        <v>90</v>
      </c>
      <c r="B838" t="s">
        <v>6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0.47914999999999996</v>
      </c>
      <c r="K838" t="s">
        <v>27</v>
      </c>
    </row>
    <row r="839" spans="1:11" x14ac:dyDescent="0.45">
      <c r="A839" t="s">
        <v>90</v>
      </c>
      <c r="B839" t="s">
        <v>5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0.45940000000000003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0.47449999999999998</v>
      </c>
      <c r="K840" t="s">
        <v>27</v>
      </c>
    </row>
    <row r="841" spans="1:11" x14ac:dyDescent="0.45">
      <c r="A841" t="s">
        <v>90</v>
      </c>
      <c r="B841" t="s">
        <v>1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0.56014999999999993</v>
      </c>
      <c r="K841" t="s">
        <v>27</v>
      </c>
    </row>
    <row r="842" spans="1:11" x14ac:dyDescent="0.45">
      <c r="A842" t="s">
        <v>90</v>
      </c>
      <c r="B842" t="s">
        <v>3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0.54574999999999996</v>
      </c>
      <c r="K842" t="s">
        <v>27</v>
      </c>
    </row>
    <row r="843" spans="1:11" x14ac:dyDescent="0.45">
      <c r="A843" t="s">
        <v>90</v>
      </c>
      <c r="B843" t="s">
        <v>4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0.46330000000000005</v>
      </c>
      <c r="K843" t="s">
        <v>27</v>
      </c>
    </row>
    <row r="844" spans="1:11" x14ac:dyDescent="0.45">
      <c r="A844" t="s">
        <v>90</v>
      </c>
      <c r="B844" t="s">
        <v>0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0.49695</v>
      </c>
      <c r="K844" t="s">
        <v>27</v>
      </c>
    </row>
    <row r="845" spans="1:11" x14ac:dyDescent="0.45">
      <c r="A845" t="s">
        <v>90</v>
      </c>
      <c r="B845" t="s">
        <v>6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0.47899999999999998</v>
      </c>
      <c r="K845" t="s">
        <v>27</v>
      </c>
    </row>
    <row r="846" spans="1:11" x14ac:dyDescent="0.45">
      <c r="A846" t="s">
        <v>90</v>
      </c>
      <c r="B846" t="s">
        <v>5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0.45725000000000005</v>
      </c>
      <c r="K846" t="s">
        <v>27</v>
      </c>
    </row>
    <row r="847" spans="1:11" x14ac:dyDescent="0.45">
      <c r="A847" t="s">
        <v>90</v>
      </c>
      <c r="B847" t="s">
        <v>2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0.4738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0.55905000000000005</v>
      </c>
      <c r="K848" t="s">
        <v>27</v>
      </c>
    </row>
    <row r="849" spans="1:11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0.54239999999999999</v>
      </c>
      <c r="K849" t="s">
        <v>27</v>
      </c>
    </row>
    <row r="850" spans="1:11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0.46140000000000003</v>
      </c>
      <c r="K850" t="s">
        <v>27</v>
      </c>
    </row>
    <row r="851" spans="1:11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0.49595</v>
      </c>
      <c r="K851" t="s">
        <v>27</v>
      </c>
    </row>
    <row r="852" spans="1:11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0.47814999999999996</v>
      </c>
      <c r="K852" t="s">
        <v>27</v>
      </c>
    </row>
    <row r="853" spans="1:11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0.45394999999999996</v>
      </c>
      <c r="K853" t="s">
        <v>27</v>
      </c>
    </row>
    <row r="854" spans="1:11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0.47160000000000002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0.55659999999999998</v>
      </c>
      <c r="K855" t="s">
        <v>27</v>
      </c>
    </row>
    <row r="856" spans="1:11" x14ac:dyDescent="0.45">
      <c r="A856" t="s">
        <v>90</v>
      </c>
      <c r="B856" t="s">
        <v>3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0.53900000000000003</v>
      </c>
      <c r="K856" t="s">
        <v>27</v>
      </c>
    </row>
    <row r="857" spans="1:11" x14ac:dyDescent="0.45">
      <c r="A857" t="s">
        <v>90</v>
      </c>
      <c r="B857" t="s">
        <v>4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0.45950000000000002</v>
      </c>
      <c r="K857" t="s">
        <v>27</v>
      </c>
    </row>
    <row r="858" spans="1:11" x14ac:dyDescent="0.45">
      <c r="A858" t="s">
        <v>90</v>
      </c>
      <c r="B858" t="s">
        <v>0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0.495</v>
      </c>
      <c r="K858" t="s">
        <v>27</v>
      </c>
    </row>
    <row r="859" spans="1:11" x14ac:dyDescent="0.45">
      <c r="A859" t="s">
        <v>90</v>
      </c>
      <c r="B859" t="s">
        <v>6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0.4773</v>
      </c>
      <c r="K859" t="s">
        <v>27</v>
      </c>
    </row>
    <row r="860" spans="1:11" x14ac:dyDescent="0.45">
      <c r="A860" t="s">
        <v>90</v>
      </c>
      <c r="B860" t="s">
        <v>5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0.45069999999999999</v>
      </c>
      <c r="K860" t="s">
        <v>27</v>
      </c>
    </row>
    <row r="861" spans="1:11" x14ac:dyDescent="0.45">
      <c r="A861" t="s">
        <v>90</v>
      </c>
      <c r="B861" t="s">
        <v>2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0.46939999999999998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0.55420000000000003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4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45">
      <c r="A865" t="s">
        <v>90</v>
      </c>
      <c r="B865" t="s">
        <v>0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45">
      <c r="A866" t="s">
        <v>90</v>
      </c>
      <c r="B866" t="s">
        <v>6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45">
      <c r="A867" t="s">
        <v>90</v>
      </c>
      <c r="B867" t="s">
        <v>5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45">
      <c r="A868" t="s">
        <v>90</v>
      </c>
      <c r="B868" t="s">
        <v>2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45">
      <c r="A869" t="s">
        <v>90</v>
      </c>
      <c r="B869" t="s">
        <v>1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45">
      <c r="A871" t="s">
        <v>90</v>
      </c>
      <c r="B871" t="s">
        <v>4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5.7637999999999998</v>
      </c>
      <c r="K871" t="s">
        <v>29</v>
      </c>
    </row>
    <row r="872" spans="1:11" x14ac:dyDescent="0.45">
      <c r="A872" t="s">
        <v>90</v>
      </c>
      <c r="B872" t="s">
        <v>0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5.7637999999999998</v>
      </c>
      <c r="K872" t="s">
        <v>29</v>
      </c>
    </row>
    <row r="873" spans="1:11" x14ac:dyDescent="0.45">
      <c r="A873" t="s">
        <v>90</v>
      </c>
      <c r="B873" t="s">
        <v>6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5.7637999999999998</v>
      </c>
      <c r="K873" t="s">
        <v>29</v>
      </c>
    </row>
    <row r="874" spans="1:11" x14ac:dyDescent="0.45">
      <c r="A874" t="s">
        <v>90</v>
      </c>
      <c r="B874" t="s">
        <v>5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45">
      <c r="A875" t="s">
        <v>90</v>
      </c>
      <c r="B875" t="s">
        <v>2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45">
      <c r="A876" t="s">
        <v>90</v>
      </c>
      <c r="B876" t="s">
        <v>1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5.5214499999999997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5.3145500000000006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5.3145500000000006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5.3145500000000006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5.2363499999999998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5.7596500000000006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45">
      <c r="A886" t="s">
        <v>90</v>
      </c>
      <c r="B886" t="s">
        <v>0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45">
      <c r="A887" t="s">
        <v>90</v>
      </c>
      <c r="B887" t="s">
        <v>6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45">
      <c r="A888" t="s">
        <v>90</v>
      </c>
      <c r="B888" t="s">
        <v>5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7.7720500000000001</v>
      </c>
      <c r="K888" t="s">
        <v>29</v>
      </c>
    </row>
    <row r="889" spans="1:11" x14ac:dyDescent="0.45">
      <c r="A889" t="s">
        <v>90</v>
      </c>
      <c r="B889" t="s">
        <v>2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45">
      <c r="A890" t="s">
        <v>90</v>
      </c>
      <c r="B890" t="s">
        <v>1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45">
      <c r="A891" t="s">
        <v>90</v>
      </c>
      <c r="B891" t="s">
        <v>3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45">
      <c r="A893" t="s">
        <v>90</v>
      </c>
      <c r="B893" t="s">
        <v>0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45">
      <c r="A894" t="s">
        <v>90</v>
      </c>
      <c r="B894" t="s">
        <v>6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45">
      <c r="A895" t="s">
        <v>90</v>
      </c>
      <c r="B895" t="s">
        <v>5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45">
      <c r="A896" t="s">
        <v>90</v>
      </c>
      <c r="B896" t="s">
        <v>2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45">
      <c r="A897" t="s">
        <v>90</v>
      </c>
      <c r="B897" t="s">
        <v>1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45">
      <c r="A898" t="s">
        <v>90</v>
      </c>
      <c r="B898" t="s">
        <v>3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45">
      <c r="A899" t="s">
        <v>90</v>
      </c>
      <c r="B899" t="s">
        <v>4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9.1586999999999996</v>
      </c>
      <c r="K900" t="s">
        <v>29</v>
      </c>
    </row>
    <row r="901" spans="1:11" x14ac:dyDescent="0.45">
      <c r="A901" t="s">
        <v>90</v>
      </c>
      <c r="B901" t="s">
        <v>6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6.6602499999999996</v>
      </c>
      <c r="K901" t="s">
        <v>29</v>
      </c>
    </row>
    <row r="902" spans="1:11" x14ac:dyDescent="0.45">
      <c r="A902" t="s">
        <v>90</v>
      </c>
      <c r="B902" t="s">
        <v>5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45">
      <c r="A903" t="s">
        <v>90</v>
      </c>
      <c r="B903" t="s">
        <v>2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45">
      <c r="A904" t="s">
        <v>90</v>
      </c>
      <c r="B904" t="s">
        <v>1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45">
      <c r="A905" t="s">
        <v>90</v>
      </c>
      <c r="B905" t="s">
        <v>3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45">
      <c r="A906" t="s">
        <v>90</v>
      </c>
      <c r="B906" t="s">
        <v>4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3.6767000000000003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45">
      <c r="A909" t="s">
        <v>90</v>
      </c>
      <c r="B909" t="s">
        <v>5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45">
      <c r="A910" t="s">
        <v>90</v>
      </c>
      <c r="B910" t="s">
        <v>2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45">
      <c r="A911" t="s">
        <v>90</v>
      </c>
      <c r="B911" t="s">
        <v>1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45">
      <c r="A912" t="s">
        <v>90</v>
      </c>
      <c r="B912" t="s">
        <v>3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45">
      <c r="A913" t="s">
        <v>90</v>
      </c>
      <c r="B913" t="s">
        <v>4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45">
      <c r="A914" t="s">
        <v>90</v>
      </c>
      <c r="B914" t="s">
        <v>0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45">
      <c r="A916" t="s">
        <v>90</v>
      </c>
      <c r="B916" t="s">
        <v>5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45">
      <c r="A917" t="s">
        <v>90</v>
      </c>
      <c r="B917" t="s">
        <v>2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45">
      <c r="A918" t="s">
        <v>90</v>
      </c>
      <c r="B918" t="s">
        <v>1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45">
      <c r="A919" t="s">
        <v>90</v>
      </c>
      <c r="B919" t="s">
        <v>3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45">
      <c r="A920" t="s">
        <v>90</v>
      </c>
      <c r="B920" t="s">
        <v>4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45">
      <c r="A921" t="s">
        <v>90</v>
      </c>
      <c r="B921" t="s">
        <v>0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5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45">
      <c r="A924" t="s">
        <v>90</v>
      </c>
      <c r="B924" t="s">
        <v>2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45">
      <c r="A925" t="s">
        <v>90</v>
      </c>
      <c r="B925" t="s">
        <v>1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45">
      <c r="A926" t="s">
        <v>90</v>
      </c>
      <c r="B926" t="s">
        <v>3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45">
      <c r="A927" t="s">
        <v>90</v>
      </c>
      <c r="B927" t="s">
        <v>4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45">
      <c r="A928" t="s">
        <v>90</v>
      </c>
      <c r="B928" t="s">
        <v>0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45">
      <c r="A930" t="s">
        <v>90</v>
      </c>
      <c r="B930" t="s">
        <v>5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45">
      <c r="A931" t="s">
        <v>90</v>
      </c>
      <c r="B931" t="s">
        <v>2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45">
      <c r="A932" t="s">
        <v>90</v>
      </c>
      <c r="B932" t="s">
        <v>1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45">
      <c r="A933" t="s">
        <v>90</v>
      </c>
      <c r="B933" t="s">
        <v>3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45">
      <c r="A934" t="s">
        <v>90</v>
      </c>
      <c r="B934" t="s">
        <v>4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45">
      <c r="A935" t="s">
        <v>90</v>
      </c>
      <c r="B935" t="s">
        <v>0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45">
      <c r="A936" t="s">
        <v>90</v>
      </c>
      <c r="B936" t="s">
        <v>6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45">
      <c r="A938" t="s">
        <v>90</v>
      </c>
      <c r="B938" t="s">
        <v>2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45">
      <c r="A939" t="s">
        <v>90</v>
      </c>
      <c r="B939" t="s">
        <v>1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45">
      <c r="A940" t="s">
        <v>90</v>
      </c>
      <c r="B940" t="s">
        <v>3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45">
      <c r="A941" t="s">
        <v>90</v>
      </c>
      <c r="B941" t="s">
        <v>4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45">
      <c r="A942" t="s">
        <v>90</v>
      </c>
      <c r="B942" t="s">
        <v>0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45">
      <c r="A943" t="s">
        <v>90</v>
      </c>
      <c r="B943" t="s">
        <v>6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45">
      <c r="A945" t="s">
        <v>90</v>
      </c>
      <c r="B945" t="s">
        <v>2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45">
      <c r="A946" t="s">
        <v>90</v>
      </c>
      <c r="B946" t="s">
        <v>1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45">
      <c r="A947" t="s">
        <v>90</v>
      </c>
      <c r="B947" t="s">
        <v>3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45">
      <c r="A948" t="s">
        <v>90</v>
      </c>
      <c r="B948" t="s">
        <v>4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45">
      <c r="A949" t="s">
        <v>90</v>
      </c>
      <c r="B949" t="s">
        <v>0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45">
      <c r="A950" t="s">
        <v>90</v>
      </c>
      <c r="B950" t="s">
        <v>6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45">
      <c r="A951" t="s">
        <v>90</v>
      </c>
      <c r="B951" t="s">
        <v>5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45">
      <c r="A953" t="s">
        <v>90</v>
      </c>
      <c r="B953" t="s">
        <v>1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45">
      <c r="A954" t="s">
        <v>90</v>
      </c>
      <c r="B954" t="s">
        <v>3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45">
      <c r="A955" t="s">
        <v>90</v>
      </c>
      <c r="B955" t="s">
        <v>4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45">
      <c r="A956" t="s">
        <v>90</v>
      </c>
      <c r="B956" t="s">
        <v>0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45">
      <c r="A957" t="s">
        <v>90</v>
      </c>
      <c r="B957" t="s">
        <v>6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45">
      <c r="A958" t="s">
        <v>90</v>
      </c>
      <c r="B958" t="s">
        <v>5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45">
      <c r="A960" t="s">
        <v>90</v>
      </c>
      <c r="B960" t="s">
        <v>1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45">
      <c r="A961" t="s">
        <v>90</v>
      </c>
      <c r="B961" t="s">
        <v>3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45">
      <c r="A962" t="s">
        <v>90</v>
      </c>
      <c r="B962" t="s">
        <v>4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45">
      <c r="A963" t="s">
        <v>90</v>
      </c>
      <c r="B963" t="s">
        <v>0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45">
      <c r="A964" t="s">
        <v>90</v>
      </c>
      <c r="B964" t="s">
        <v>6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45">
      <c r="A965" t="s">
        <v>90</v>
      </c>
      <c r="B965" t="s">
        <v>5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45">
      <c r="A966" t="s">
        <v>90</v>
      </c>
      <c r="B966" t="s">
        <v>2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45">
      <c r="A968" t="s">
        <v>90</v>
      </c>
      <c r="B968" t="s">
        <v>3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45">
      <c r="A969" t="s">
        <v>90</v>
      </c>
      <c r="B969" t="s">
        <v>4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45">
      <c r="A970" t="s">
        <v>90</v>
      </c>
      <c r="B970" t="s">
        <v>0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45">
      <c r="A972" t="s">
        <v>90</v>
      </c>
      <c r="B972" t="s">
        <v>5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45">
      <c r="A973" t="s">
        <v>90</v>
      </c>
      <c r="B973" t="s">
        <v>2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2.2931499999999998</v>
      </c>
      <c r="K989" t="s">
        <v>33</v>
      </c>
    </row>
    <row r="990" spans="1:11" x14ac:dyDescent="0.45">
      <c r="A990" t="s">
        <v>90</v>
      </c>
      <c r="B990" t="s">
        <v>4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45">
      <c r="A991" t="s">
        <v>90</v>
      </c>
      <c r="B991" t="s">
        <v>0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45">
      <c r="A993" t="s">
        <v>90</v>
      </c>
      <c r="B993" t="s">
        <v>5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2.3917000000000002</v>
      </c>
      <c r="K993" t="s">
        <v>33</v>
      </c>
    </row>
    <row r="994" spans="1:11" x14ac:dyDescent="0.45">
      <c r="A994" t="s">
        <v>90</v>
      </c>
      <c r="B994" t="s">
        <v>2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2.1265499999999999</v>
      </c>
      <c r="K994" t="s">
        <v>33</v>
      </c>
    </row>
    <row r="995" spans="1:11" x14ac:dyDescent="0.45">
      <c r="A995" t="s">
        <v>90</v>
      </c>
      <c r="B995" t="s">
        <v>1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1.6815500000000001</v>
      </c>
      <c r="K996" t="s">
        <v>33</v>
      </c>
    </row>
    <row r="997" spans="1:11" x14ac:dyDescent="0.45">
      <c r="A997" t="s">
        <v>90</v>
      </c>
      <c r="B997" t="s">
        <v>4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2.2603</v>
      </c>
      <c r="K997" t="s">
        <v>33</v>
      </c>
    </row>
    <row r="998" spans="1:11" x14ac:dyDescent="0.45">
      <c r="A998" t="s">
        <v>90</v>
      </c>
      <c r="B998" t="s">
        <v>0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2.2603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2.2603</v>
      </c>
      <c r="K999" t="s">
        <v>33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2.0793499999999998</v>
      </c>
      <c r="K1001" t="s">
        <v>33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1.7697500000000002</v>
      </c>
      <c r="K1002" t="s">
        <v>33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1.4066000000000001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2.2480000000000002</v>
      </c>
      <c r="K1006" t="s">
        <v>33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1.1793999999999998</v>
      </c>
      <c r="K1007" t="s">
        <v>33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2.0721499999999997</v>
      </c>
      <c r="K1008" t="s">
        <v>33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1.43615</v>
      </c>
      <c r="K1009" t="s">
        <v>33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1.3738000000000001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2.3685499999999999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1.7654000000000001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1.33395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1.9228499999999999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2.4756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1.4248000000000001</v>
      </c>
      <c r="K1019" t="s">
        <v>33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1.5163500000000001</v>
      </c>
      <c r="K1020" t="s">
        <v>33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1.8179000000000001</v>
      </c>
      <c r="K1022" t="s">
        <v>33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1.52275</v>
      </c>
      <c r="K1024" t="s">
        <v>33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1.7825</v>
      </c>
      <c r="K1027" t="s">
        <v>33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1.8801999999999999</v>
      </c>
      <c r="K1029" t="s">
        <v>33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4.5418000000000003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4.6098499999999998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4.6098499999999998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4.6098499999999998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4.3525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4.2876500000000002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5.2576499999999999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4.9910999999999994</v>
      </c>
      <c r="K1123" t="s">
        <v>35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5.7725000000000009</v>
      </c>
      <c r="K1124" t="s">
        <v>35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5.0059500000000003</v>
      </c>
      <c r="K1125" t="s">
        <v>35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4.73515</v>
      </c>
      <c r="K1127" t="s">
        <v>35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5.1192500000000001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5.2395999999999994</v>
      </c>
      <c r="K1130" t="s">
        <v>35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5.3309499999999996</v>
      </c>
      <c r="K1131" t="s">
        <v>35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5.21265</v>
      </c>
      <c r="K1132" t="s">
        <v>35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4.6886000000000001</v>
      </c>
      <c r="K1133" t="s">
        <v>35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5.0500000000000007</v>
      </c>
      <c r="K1134" t="s">
        <v>35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5.8657500000000002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4.8432000000000004</v>
      </c>
      <c r="K1136" t="s">
        <v>35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5.4906499999999996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4.7379999999999995</v>
      </c>
      <c r="K1138" t="s">
        <v>35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5.5383499999999994</v>
      </c>
      <c r="K1139" t="s">
        <v>35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5.3989500000000001</v>
      </c>
      <c r="K1141" t="s">
        <v>35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4.9245999999999999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4.8777499999999998</v>
      </c>
      <c r="K1143" t="s">
        <v>35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5.7312499999999993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5.4856999999999996</v>
      </c>
      <c r="K1146" t="s">
        <v>35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5.3637499999999996</v>
      </c>
      <c r="K1148" t="s">
        <v>35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78.737700000000004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78.737700000000004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78.737700000000004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78.737700000000004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78.737700000000004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78.737700000000004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78.737700000000004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81.093500000000006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82.604200000000006</v>
      </c>
      <c r="K1228" t="s">
        <v>37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82.604200000000006</v>
      </c>
      <c r="K1229" t="s">
        <v>37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82.604200000000006</v>
      </c>
      <c r="K1230" t="s">
        <v>37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45.935299999999998</v>
      </c>
      <c r="K1231" t="s">
        <v>37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82.815899999999999</v>
      </c>
      <c r="K1232" t="s">
        <v>37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75.199600000000004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86.246250000000003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84.792349999999999</v>
      </c>
      <c r="K1235" t="s">
        <v>37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84.792349999999999</v>
      </c>
      <c r="K1236" t="s">
        <v>37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84.792349999999999</v>
      </c>
      <c r="K1237" t="s">
        <v>37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67.117750000000001</v>
      </c>
      <c r="K1238" t="s">
        <v>37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83.956099999999992</v>
      </c>
      <c r="K1239" t="s">
        <v>37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88.106650000000002</v>
      </c>
      <c r="K1240" t="s">
        <v>37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79.285750000000007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83.163899999999998</v>
      </c>
      <c r="K1242" t="s">
        <v>37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62.3279</v>
      </c>
      <c r="K1243" t="s">
        <v>37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72.850400000000008</v>
      </c>
      <c r="K1244" t="s">
        <v>37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71.067099999999996</v>
      </c>
      <c r="K1245" t="s">
        <v>37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83.070600000000013</v>
      </c>
      <c r="K1246" t="s">
        <v>37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79.169199999999989</v>
      </c>
      <c r="K1247" t="s">
        <v>37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79.938449999999989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90.837000000000003</v>
      </c>
      <c r="K1249" t="s">
        <v>37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94.717749999999995</v>
      </c>
      <c r="K1250" t="s">
        <v>37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90.880949999999999</v>
      </c>
      <c r="K1251" t="s">
        <v>37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79.774050000000003</v>
      </c>
      <c r="K1252" t="s">
        <v>37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89.313800000000001</v>
      </c>
      <c r="K1253" t="s">
        <v>37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88.990650000000002</v>
      </c>
      <c r="K1254" t="s">
        <v>37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89.892949999999999</v>
      </c>
      <c r="K1255" t="s">
        <v>37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103.39265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120.7218</v>
      </c>
      <c r="K1257" t="s">
        <v>37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104.1241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72.303599999999989</v>
      </c>
      <c r="K1259" t="s">
        <v>37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101.54575</v>
      </c>
      <c r="K1260" t="s">
        <v>37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73.928850000000011</v>
      </c>
      <c r="K1261" t="s">
        <v>37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108.3527</v>
      </c>
      <c r="K1262" t="s">
        <v>37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115.06595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125.28805</v>
      </c>
      <c r="K1264" t="s">
        <v>37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122.49039999999999</v>
      </c>
      <c r="K1265" t="s">
        <v>37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109.06280000000001</v>
      </c>
      <c r="K1266" t="s">
        <v>37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114.10075000000001</v>
      </c>
      <c r="K1267" t="s">
        <v>37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118.1207</v>
      </c>
      <c r="K1268" t="s">
        <v>37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115.85429999999999</v>
      </c>
      <c r="K1269" t="s">
        <v>37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121.22194999999999</v>
      </c>
      <c r="K1270" t="s">
        <v>37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136.55355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132.89855</v>
      </c>
      <c r="K1272" t="s">
        <v>37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109.3991</v>
      </c>
      <c r="K1273" t="s">
        <v>37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121.34790000000001</v>
      </c>
      <c r="K1274" t="s">
        <v>37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114.7801</v>
      </c>
      <c r="K1275" t="s">
        <v>37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177.9982</v>
      </c>
      <c r="K1276" t="s">
        <v>37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184.06694999999999</v>
      </c>
      <c r="K1277" t="s">
        <v>37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218.73599999999999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213.67635000000001</v>
      </c>
      <c r="K1279" t="s">
        <v>37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174.12195</v>
      </c>
      <c r="K1280" t="s">
        <v>37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189.18955</v>
      </c>
      <c r="K1281" t="s">
        <v>37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172.7732</v>
      </c>
      <c r="K1282" t="s">
        <v>37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221.93164999999999</v>
      </c>
      <c r="K1283" t="s">
        <v>37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228.38990000000001</v>
      </c>
      <c r="K1284" t="s">
        <v>37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284.43849999999998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248.55085</v>
      </c>
      <c r="K1286" t="s">
        <v>37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227.51510000000002</v>
      </c>
      <c r="K1287" t="s">
        <v>37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232.09100000000001</v>
      </c>
      <c r="K1288" t="s">
        <v>37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208.77044999999998</v>
      </c>
      <c r="K1289" t="s">
        <v>37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265.86514999999997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272.71285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350.14089999999999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283.42534999999998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280.90824999999995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274.99249999999995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244.76769999999999</v>
      </c>
      <c r="K1296" t="s">
        <v>37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265.00514999999996</v>
      </c>
      <c r="K1297" t="s">
        <v>37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278.43619999999999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374.93560000000002</v>
      </c>
      <c r="K1299" t="s">
        <v>37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286.27895000000001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278.03139999999996</v>
      </c>
      <c r="K1301" t="s">
        <v>37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279.5333</v>
      </c>
      <c r="K1302" t="s">
        <v>37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236.09365</v>
      </c>
      <c r="K1303" t="s">
        <v>37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264.14510000000001</v>
      </c>
      <c r="K1304" t="s">
        <v>37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284.15949999999998</v>
      </c>
      <c r="K1305" t="s">
        <v>37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399.73025000000001</v>
      </c>
      <c r="K1306" t="s">
        <v>37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289.13250000000005</v>
      </c>
      <c r="K1307" t="s">
        <v>37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275.15465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284.07405</v>
      </c>
      <c r="K1309" t="s">
        <v>37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227.41955000000002</v>
      </c>
      <c r="K1310" t="s">
        <v>37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257.19974999999999</v>
      </c>
      <c r="K1311" t="s">
        <v>37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282.31835000000001</v>
      </c>
      <c r="K1312" t="s">
        <v>37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398.41669999999999</v>
      </c>
      <c r="K1313" t="s">
        <v>37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277.32574999999997</v>
      </c>
      <c r="K1314" t="s">
        <v>37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280.2294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285.06175000000002</v>
      </c>
      <c r="K1316" t="s">
        <v>37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223.75485</v>
      </c>
      <c r="K1317" t="s">
        <v>37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250.2544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280.47710000000001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397.10315000000003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265.51900000000001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285.30414999999999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286.04949999999997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220.09014999999999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252.83704999999998</v>
      </c>
      <c r="K1325" t="s">
        <v>37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274.56005000000005</v>
      </c>
      <c r="K1326" t="s">
        <v>37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403.06004999999999</v>
      </c>
      <c r="K1327" t="s">
        <v>37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278.51930000000004</v>
      </c>
      <c r="K1328" t="s">
        <v>37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282.74360000000001</v>
      </c>
      <c r="K1329" t="s">
        <v>37</v>
      </c>
    </row>
    <row r="1330" spans="1:12" x14ac:dyDescent="0.45">
      <c r="A1330" t="s">
        <v>90</v>
      </c>
      <c r="B1330" t="s">
        <v>2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290.8537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245.16185000000002</v>
      </c>
      <c r="K1331" t="s">
        <v>37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255.41970000000001</v>
      </c>
      <c r="K1332" t="s">
        <v>37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268.64294999999998</v>
      </c>
      <c r="K1333" t="s">
        <v>37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409.01694999999995</v>
      </c>
      <c r="K1334" t="s">
        <v>37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291.51954999999998</v>
      </c>
      <c r="K1335" t="s">
        <v>37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280.18304999999998</v>
      </c>
      <c r="K1336" t="s">
        <v>37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295.65795000000003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270.23365000000001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1.075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2020</v>
      </c>
      <c r="J1340">
        <v>1.075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2020</v>
      </c>
      <c r="J1341">
        <v>1.075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2020</v>
      </c>
      <c r="J1342">
        <v>1.075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2020</v>
      </c>
      <c r="J1343">
        <v>1.075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2020</v>
      </c>
      <c r="J1344">
        <v>1.075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2020</v>
      </c>
      <c r="J1345">
        <v>1.075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2025</v>
      </c>
      <c r="J1346">
        <v>0.65700000000000003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2025</v>
      </c>
      <c r="J1347">
        <v>0.72460000000000002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2025</v>
      </c>
      <c r="J1348">
        <v>0.72460000000000002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2025</v>
      </c>
      <c r="J1349">
        <v>0.72460000000000002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2025</v>
      </c>
      <c r="J1350">
        <v>0.61009999999999998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2025</v>
      </c>
      <c r="J1351">
        <v>0.67559999999999998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2025</v>
      </c>
      <c r="J1352">
        <v>0.60880000000000001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2030</v>
      </c>
      <c r="J1353">
        <v>0.48730000000000001</v>
      </c>
      <c r="K1353" t="s">
        <v>52</v>
      </c>
      <c r="L1353">
        <v>94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2030</v>
      </c>
      <c r="J1354">
        <v>0.55979999999999996</v>
      </c>
      <c r="K1354" t="s">
        <v>52</v>
      </c>
      <c r="L1354">
        <v>94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2030</v>
      </c>
      <c r="J1355">
        <v>0.55979999999999996</v>
      </c>
      <c r="K1355" t="s">
        <v>52</v>
      </c>
      <c r="L1355">
        <v>94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2030</v>
      </c>
      <c r="J1356">
        <v>0.55979999999999996</v>
      </c>
      <c r="K1356" t="s">
        <v>52</v>
      </c>
      <c r="L1356">
        <v>94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2030</v>
      </c>
      <c r="J1357">
        <v>0.17180000000000001</v>
      </c>
      <c r="K1357" t="s">
        <v>52</v>
      </c>
      <c r="L1357">
        <v>94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0.50080000000000002</v>
      </c>
      <c r="K1358" t="s">
        <v>52</v>
      </c>
      <c r="L1358">
        <v>94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2030</v>
      </c>
      <c r="J1359">
        <v>0.17069999999999999</v>
      </c>
      <c r="K1359" t="s">
        <v>52</v>
      </c>
      <c r="L1359">
        <v>94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2035</v>
      </c>
      <c r="J1360">
        <v>0.1575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2035</v>
      </c>
      <c r="J1361">
        <v>0.41849999999999998</v>
      </c>
      <c r="K1361" t="s">
        <v>52</v>
      </c>
      <c r="L1361">
        <v>94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2035</v>
      </c>
      <c r="J1362">
        <v>0.33600000000000002</v>
      </c>
      <c r="K1362" t="s">
        <v>52</v>
      </c>
      <c r="L1362">
        <v>94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2035</v>
      </c>
      <c r="J1363">
        <v>0.38790000000000002</v>
      </c>
      <c r="K1363" t="s">
        <v>52</v>
      </c>
      <c r="L1363">
        <v>94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2035</v>
      </c>
      <c r="J1364">
        <v>9.7999999999999997E-3</v>
      </c>
      <c r="K1364" t="s">
        <v>52</v>
      </c>
      <c r="L1364">
        <v>94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2035</v>
      </c>
      <c r="J1365">
        <v>0.16750000000000001</v>
      </c>
      <c r="K1365" t="s">
        <v>52</v>
      </c>
      <c r="L1365">
        <v>94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2035</v>
      </c>
      <c r="J1366">
        <v>9.7999999999999997E-3</v>
      </c>
      <c r="K1366" t="s">
        <v>52</v>
      </c>
      <c r="L1366">
        <v>94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2040</v>
      </c>
      <c r="J1367">
        <v>2.6100000000000002E-2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2040</v>
      </c>
      <c r="J1368">
        <v>0.35160000000000002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2040</v>
      </c>
      <c r="J1369">
        <v>0.10979999999999999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2040</v>
      </c>
      <c r="J1370">
        <v>0.16209999999999999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2040</v>
      </c>
      <c r="J1371">
        <v>3.0000000000000001E-3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2040</v>
      </c>
      <c r="J1372">
        <v>2.93E-2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2040</v>
      </c>
      <c r="J1373">
        <v>3.0000000000000001E-3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2045</v>
      </c>
      <c r="J1374">
        <v>1.7899999999999999E-2</v>
      </c>
      <c r="K1374" t="s">
        <v>52</v>
      </c>
      <c r="L1374">
        <v>94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2045</v>
      </c>
      <c r="J1375">
        <v>0.2797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2045</v>
      </c>
      <c r="J1376">
        <v>1.8800000000000001E-2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2045</v>
      </c>
      <c r="J1377">
        <v>4.0300000000000002E-2</v>
      </c>
      <c r="K1377" t="s">
        <v>52</v>
      </c>
      <c r="L1377">
        <v>94</v>
      </c>
    </row>
    <row r="1378" spans="1:12" x14ac:dyDescent="0.45">
      <c r="A1378" t="s">
        <v>90</v>
      </c>
      <c r="B1378" t="s">
        <v>5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2.0000000000000001E-4</v>
      </c>
      <c r="K1378" t="s">
        <v>52</v>
      </c>
      <c r="L1378">
        <v>94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2045</v>
      </c>
      <c r="J1379">
        <v>2.5899999999999999E-2</v>
      </c>
      <c r="K1379" t="s">
        <v>52</v>
      </c>
      <c r="L1379">
        <v>94</v>
      </c>
    </row>
    <row r="1380" spans="1:12" x14ac:dyDescent="0.45">
      <c r="A1380" t="s">
        <v>90</v>
      </c>
      <c r="B1380" t="s">
        <v>1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2045</v>
      </c>
      <c r="J1380">
        <v>2.0000000000000001E-4</v>
      </c>
      <c r="K1380" t="s">
        <v>52</v>
      </c>
      <c r="L1380">
        <v>94</v>
      </c>
    </row>
    <row r="1381" spans="1:12" x14ac:dyDescent="0.45">
      <c r="A1381" t="s">
        <v>90</v>
      </c>
      <c r="B1381" t="s">
        <v>3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2050</v>
      </c>
      <c r="J1381">
        <v>1.0200000000000001E-2</v>
      </c>
      <c r="K1381" t="s">
        <v>52</v>
      </c>
      <c r="L1381">
        <v>94</v>
      </c>
    </row>
    <row r="1382" spans="1:12" x14ac:dyDescent="0.45">
      <c r="A1382" t="s">
        <v>90</v>
      </c>
      <c r="B1382" t="s">
        <v>4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2050</v>
      </c>
      <c r="J1382">
        <v>0.20680000000000001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2050</v>
      </c>
      <c r="J1383">
        <v>5.3E-3</v>
      </c>
      <c r="K1383" t="s">
        <v>52</v>
      </c>
      <c r="L1383">
        <v>94</v>
      </c>
    </row>
    <row r="1384" spans="1:12" x14ac:dyDescent="0.45">
      <c r="A1384" t="s">
        <v>90</v>
      </c>
      <c r="B1384" t="s">
        <v>6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2050</v>
      </c>
      <c r="J1384">
        <v>2.4400000000000002E-2</v>
      </c>
      <c r="K1384" t="s">
        <v>52</v>
      </c>
      <c r="L1384">
        <v>94</v>
      </c>
    </row>
    <row r="1385" spans="1:12" x14ac:dyDescent="0.45">
      <c r="A1385" t="s">
        <v>90</v>
      </c>
      <c r="B1385" t="s">
        <v>5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2050</v>
      </c>
      <c r="J1385">
        <v>2.0000000000000001E-4</v>
      </c>
      <c r="K1385" t="s">
        <v>52</v>
      </c>
      <c r="L1385">
        <v>94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2050</v>
      </c>
      <c r="J1386">
        <v>2.1600000000000001E-2</v>
      </c>
      <c r="K1386" t="s">
        <v>52</v>
      </c>
      <c r="L1386">
        <v>94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2050</v>
      </c>
      <c r="J1387">
        <v>1E-4</v>
      </c>
      <c r="K1387" t="s">
        <v>52</v>
      </c>
      <c r="L1387">
        <v>94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2055</v>
      </c>
      <c r="J1388">
        <v>3.8999999999999998E-3</v>
      </c>
      <c r="K1388" t="s">
        <v>52</v>
      </c>
      <c r="L1388">
        <v>94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2055</v>
      </c>
      <c r="J1389">
        <v>0.13780000000000001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2055</v>
      </c>
      <c r="J1390">
        <v>2.0000000000000001E-4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2055</v>
      </c>
      <c r="J1391">
        <v>1.1049999999999999E-2</v>
      </c>
      <c r="K1391" t="s">
        <v>52</v>
      </c>
      <c r="L1391">
        <v>94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2055</v>
      </c>
      <c r="J1392">
        <v>1E-4</v>
      </c>
      <c r="K1392" t="s">
        <v>52</v>
      </c>
      <c r="L1392">
        <v>94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2055</v>
      </c>
      <c r="J1393">
        <v>1.5699999999999999E-2</v>
      </c>
      <c r="K1393" t="s">
        <v>52</v>
      </c>
      <c r="L1393">
        <v>94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2055</v>
      </c>
      <c r="J1394">
        <v>1E-4</v>
      </c>
      <c r="K1394" t="s">
        <v>52</v>
      </c>
      <c r="L1394">
        <v>94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2060</v>
      </c>
      <c r="J1395">
        <v>2.0000000000000001E-4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2060</v>
      </c>
      <c r="J1396">
        <v>6.6699999999999995E-2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2060</v>
      </c>
      <c r="J1397">
        <v>1E-4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4.1000000000000003E-3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2060</v>
      </c>
      <c r="J1399">
        <v>1E-4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2060</v>
      </c>
      <c r="J1400">
        <v>6.7000000000000002E-3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2060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2065</v>
      </c>
      <c r="J1402">
        <v>1E-4</v>
      </c>
      <c r="K1402" t="s">
        <v>52</v>
      </c>
      <c r="L1402">
        <v>94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2065</v>
      </c>
      <c r="J1403">
        <v>4.7050000000000002E-2</v>
      </c>
      <c r="K1403" t="s">
        <v>52</v>
      </c>
      <c r="L1403">
        <v>94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2065</v>
      </c>
      <c r="J1404">
        <v>1E-4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2065</v>
      </c>
      <c r="J1405">
        <v>2.0999999999999999E-3</v>
      </c>
      <c r="K1405" t="s">
        <v>52</v>
      </c>
      <c r="L1405">
        <v>94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2065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2065</v>
      </c>
      <c r="J1407">
        <v>3.3999999999999998E-3</v>
      </c>
      <c r="K1407" t="s">
        <v>52</v>
      </c>
      <c r="L1407">
        <v>94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2065</v>
      </c>
      <c r="J1408">
        <v>0</v>
      </c>
      <c r="K1408" t="s">
        <v>52</v>
      </c>
      <c r="L1408">
        <v>94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2070</v>
      </c>
      <c r="J1410">
        <v>2.7400000000000001E-2</v>
      </c>
      <c r="K1410" t="s">
        <v>52</v>
      </c>
      <c r="L1410">
        <v>94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2070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2070</v>
      </c>
      <c r="J1412">
        <v>1E-4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2070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2075</v>
      </c>
      <c r="J1417">
        <v>1.7499999999999998E-2</v>
      </c>
      <c r="K1417" t="s">
        <v>52</v>
      </c>
      <c r="L1417">
        <v>94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2075</v>
      </c>
      <c r="J1419">
        <v>5.0000000000000002E-5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2075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2080</v>
      </c>
      <c r="J1424">
        <v>7.6500000000000005E-3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2080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2080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4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2085</v>
      </c>
      <c r="J1431">
        <v>4.45E-3</v>
      </c>
      <c r="K1431" t="s">
        <v>52</v>
      </c>
      <c r="L1431">
        <v>94</v>
      </c>
    </row>
    <row r="1432" spans="1:12" x14ac:dyDescent="0.45">
      <c r="A1432" t="s">
        <v>90</v>
      </c>
      <c r="B1432" t="s">
        <v>0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2085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5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2085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1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3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4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1.2000000000000001E-3</v>
      </c>
      <c r="K1438" t="s">
        <v>52</v>
      </c>
      <c r="L1438">
        <v>94</v>
      </c>
    </row>
    <row r="1439" spans="1:12" x14ac:dyDescent="0.45">
      <c r="A1439" t="s">
        <v>90</v>
      </c>
      <c r="B1439" t="s">
        <v>0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6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2090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2090</v>
      </c>
      <c r="J1442">
        <v>0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2095</v>
      </c>
      <c r="J1445">
        <v>6.0000000000000006E-4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2095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2095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2100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2100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2100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1.0499000000000001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2020</v>
      </c>
      <c r="J1459">
        <v>1.0499000000000001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2020</v>
      </c>
      <c r="J1460">
        <v>1.0499000000000001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2020</v>
      </c>
      <c r="J1461">
        <v>1.0499000000000001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2020</v>
      </c>
      <c r="J1462">
        <v>1.0499000000000001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2020</v>
      </c>
      <c r="J1463">
        <v>1.0499000000000001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2020</v>
      </c>
      <c r="J1464">
        <v>1.0499000000000001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2025</v>
      </c>
      <c r="J1465">
        <v>1.1377999999999999</v>
      </c>
      <c r="K1465" t="s">
        <v>53</v>
      </c>
      <c r="L1465">
        <v>55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2025</v>
      </c>
      <c r="J1466">
        <v>1.2057</v>
      </c>
      <c r="K1466" t="s">
        <v>53</v>
      </c>
      <c r="L1466">
        <v>55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2025</v>
      </c>
      <c r="J1467">
        <v>1.2057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2025</v>
      </c>
      <c r="J1468">
        <v>1.2057</v>
      </c>
      <c r="K1468" t="s">
        <v>53</v>
      </c>
      <c r="L1468">
        <v>55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2025</v>
      </c>
      <c r="J1469">
        <v>1.0607</v>
      </c>
      <c r="K1469" t="s">
        <v>53</v>
      </c>
      <c r="L1469">
        <v>55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2025</v>
      </c>
      <c r="J1470">
        <v>1.1669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2025</v>
      </c>
      <c r="J1471">
        <v>1.0876999999999999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2030</v>
      </c>
      <c r="J1472">
        <v>1.0654999999999999</v>
      </c>
      <c r="K1472" t="s">
        <v>53</v>
      </c>
      <c r="L1472">
        <v>55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2030</v>
      </c>
      <c r="J1473">
        <v>1.3305</v>
      </c>
      <c r="K1473" t="s">
        <v>53</v>
      </c>
      <c r="L1473">
        <v>55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2030</v>
      </c>
      <c r="J1474">
        <v>1.3305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2030</v>
      </c>
      <c r="J1475">
        <v>1.3305</v>
      </c>
      <c r="K1475" t="s">
        <v>53</v>
      </c>
      <c r="L1475">
        <v>55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2030</v>
      </c>
      <c r="J1476">
        <v>0.83220000000000005</v>
      </c>
      <c r="K1476" t="s">
        <v>53</v>
      </c>
      <c r="L1476">
        <v>55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1.1564000000000001</v>
      </c>
      <c r="K1477" t="s">
        <v>53</v>
      </c>
      <c r="L1477">
        <v>55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2030</v>
      </c>
      <c r="J1478">
        <v>0.83760000000000001</v>
      </c>
      <c r="K1478" t="s">
        <v>53</v>
      </c>
      <c r="L1478">
        <v>55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2035</v>
      </c>
      <c r="J1479">
        <v>0.95989999999999998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2035</v>
      </c>
      <c r="J1480">
        <v>1.4560999999999999</v>
      </c>
      <c r="K1480" t="s">
        <v>53</v>
      </c>
      <c r="L1480">
        <v>55</v>
      </c>
    </row>
    <row r="1481" spans="1:12" x14ac:dyDescent="0.45">
      <c r="A1481" t="s">
        <v>90</v>
      </c>
      <c r="B1481" t="s">
        <v>0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2035</v>
      </c>
      <c r="J1481">
        <v>1.3364</v>
      </c>
      <c r="K1481" t="s">
        <v>53</v>
      </c>
      <c r="L1481">
        <v>55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2035</v>
      </c>
      <c r="J1482">
        <v>1.4196</v>
      </c>
      <c r="K1482" t="s">
        <v>53</v>
      </c>
      <c r="L1482">
        <v>55</v>
      </c>
    </row>
    <row r="1483" spans="1:12" x14ac:dyDescent="0.45">
      <c r="A1483" t="s">
        <v>90</v>
      </c>
      <c r="B1483" t="s">
        <v>5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2035</v>
      </c>
      <c r="J1483">
        <v>0.3624</v>
      </c>
      <c r="K1483" t="s">
        <v>53</v>
      </c>
      <c r="L1483">
        <v>55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2035</v>
      </c>
      <c r="J1484">
        <v>1.1032</v>
      </c>
      <c r="K1484" t="s">
        <v>53</v>
      </c>
      <c r="L1484">
        <v>55</v>
      </c>
    </row>
    <row r="1485" spans="1:12" x14ac:dyDescent="0.45">
      <c r="A1485" t="s">
        <v>90</v>
      </c>
      <c r="B1485" t="s">
        <v>1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2035</v>
      </c>
      <c r="J1485">
        <v>0.35210000000000002</v>
      </c>
      <c r="K1485" t="s">
        <v>53</v>
      </c>
      <c r="L1485">
        <v>55</v>
      </c>
    </row>
    <row r="1486" spans="1:12" x14ac:dyDescent="0.45">
      <c r="A1486" t="s">
        <v>90</v>
      </c>
      <c r="B1486" t="s">
        <v>3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2040</v>
      </c>
      <c r="J1486">
        <v>0.61240000000000006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2040</v>
      </c>
      <c r="J1487">
        <v>1.4295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2040</v>
      </c>
      <c r="J1488">
        <v>0.62480000000000002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2040</v>
      </c>
      <c r="J1489">
        <v>1.2788999999999999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2040</v>
      </c>
      <c r="J1490">
        <v>1.15E-2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2040</v>
      </c>
      <c r="J1491">
        <v>0.92689999999999995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2040</v>
      </c>
      <c r="J1492">
        <v>1.6999999999999999E-3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2045</v>
      </c>
      <c r="J1493">
        <v>0.25650000000000001</v>
      </c>
      <c r="K1493" t="s">
        <v>53</v>
      </c>
      <c r="L1493">
        <v>55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2045</v>
      </c>
      <c r="J1494">
        <v>1.3443000000000001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2045</v>
      </c>
      <c r="J1495">
        <v>6.8099999999999994E-2</v>
      </c>
      <c r="K1495" t="s">
        <v>53</v>
      </c>
      <c r="L1495">
        <v>55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2045</v>
      </c>
      <c r="J1496">
        <v>1.0866</v>
      </c>
      <c r="K1496" t="s">
        <v>53</v>
      </c>
      <c r="L1496">
        <v>55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3.3E-3</v>
      </c>
      <c r="K1497" t="s">
        <v>53</v>
      </c>
      <c r="L1497">
        <v>55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2045</v>
      </c>
      <c r="J1498">
        <v>0.68230000000000002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2045</v>
      </c>
      <c r="J1499">
        <v>1.1000000000000001E-3</v>
      </c>
      <c r="K1499" t="s">
        <v>53</v>
      </c>
      <c r="L1499">
        <v>55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2050</v>
      </c>
      <c r="J1500">
        <v>5.2900000000000003E-2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2050</v>
      </c>
      <c r="J1501">
        <v>1.21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2050</v>
      </c>
      <c r="J1502">
        <v>1.37E-2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2050</v>
      </c>
      <c r="J1503">
        <v>0.58089999999999997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2050</v>
      </c>
      <c r="J1504">
        <v>2.3999999999999998E-3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2050</v>
      </c>
      <c r="J1505">
        <v>0.46910000000000002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2050</v>
      </c>
      <c r="J1506">
        <v>6.9999999999999999E-4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2055</v>
      </c>
      <c r="J1507">
        <v>2.9899999999999999E-2</v>
      </c>
      <c r="K1507" t="s">
        <v>53</v>
      </c>
      <c r="L1507">
        <v>55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2055</v>
      </c>
      <c r="J1508">
        <v>1.0270000000000001</v>
      </c>
      <c r="K1508" t="s">
        <v>53</v>
      </c>
      <c r="L1508">
        <v>55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2055</v>
      </c>
      <c r="J1509">
        <v>8.0000000000000002E-3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2055</v>
      </c>
      <c r="J1510">
        <v>0.29330000000000001</v>
      </c>
      <c r="K1510" t="s">
        <v>53</v>
      </c>
      <c r="L1510">
        <v>55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2055</v>
      </c>
      <c r="J1511">
        <v>1.5499999999999999E-3</v>
      </c>
      <c r="K1511" t="s">
        <v>53</v>
      </c>
      <c r="L1511">
        <v>55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2055</v>
      </c>
      <c r="J1512">
        <v>0.21679999999999999</v>
      </c>
      <c r="K1512" t="s">
        <v>53</v>
      </c>
      <c r="L1512">
        <v>55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2055</v>
      </c>
      <c r="J1513">
        <v>6.9999999999999999E-4</v>
      </c>
      <c r="K1513" t="s">
        <v>53</v>
      </c>
      <c r="L1513">
        <v>55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2060</v>
      </c>
      <c r="J1514">
        <v>2.315E-2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2060</v>
      </c>
      <c r="J1515">
        <v>0.78970000000000007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2060</v>
      </c>
      <c r="J1516">
        <v>4.1999999999999997E-3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3.9599999999999996E-2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2060</v>
      </c>
      <c r="J1518">
        <v>1.0500000000000002E-3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2060</v>
      </c>
      <c r="J1519">
        <v>4.385E-2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2060</v>
      </c>
      <c r="J1520">
        <v>2.5000000000000001E-4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2065</v>
      </c>
      <c r="J1521">
        <v>1.435E-2</v>
      </c>
      <c r="K1521" t="s">
        <v>53</v>
      </c>
      <c r="L1521">
        <v>55</v>
      </c>
    </row>
    <row r="1522" spans="1:12" x14ac:dyDescent="0.45">
      <c r="A1522" t="s">
        <v>90</v>
      </c>
      <c r="B1522" t="s">
        <v>4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2065</v>
      </c>
      <c r="J1522">
        <v>0.61875000000000002</v>
      </c>
      <c r="K1522" t="s">
        <v>53</v>
      </c>
      <c r="L1522">
        <v>55</v>
      </c>
    </row>
    <row r="1523" spans="1:12" x14ac:dyDescent="0.45">
      <c r="A1523" t="s">
        <v>90</v>
      </c>
      <c r="B1523" t="s">
        <v>0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2065</v>
      </c>
      <c r="J1523">
        <v>2.15E-3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2065</v>
      </c>
      <c r="J1524">
        <v>2.8150000000000001E-2</v>
      </c>
      <c r="K1524" t="s">
        <v>53</v>
      </c>
      <c r="L1524">
        <v>55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2065</v>
      </c>
      <c r="J1525">
        <v>5.4999999999999992E-4</v>
      </c>
      <c r="K1525" t="s">
        <v>53</v>
      </c>
      <c r="L1525">
        <v>55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2065</v>
      </c>
      <c r="J1526">
        <v>3.5299999999999998E-2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2065</v>
      </c>
      <c r="J1527">
        <v>1E-4</v>
      </c>
      <c r="K1527" t="s">
        <v>53</v>
      </c>
      <c r="L1527">
        <v>55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2070</v>
      </c>
      <c r="J1528">
        <v>5.4999999999999997E-3</v>
      </c>
      <c r="K1528" t="s">
        <v>53</v>
      </c>
      <c r="L1528">
        <v>55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2070</v>
      </c>
      <c r="J1529">
        <v>0.44774999999999998</v>
      </c>
      <c r="K1529" t="s">
        <v>53</v>
      </c>
      <c r="L1529">
        <v>55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2070</v>
      </c>
      <c r="J1530">
        <v>1E-4</v>
      </c>
      <c r="K1530" t="s">
        <v>53</v>
      </c>
      <c r="L1530">
        <v>55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2070</v>
      </c>
      <c r="J1531">
        <v>1.6649999999999998E-2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2070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2070</v>
      </c>
      <c r="J1533">
        <v>2.6750000000000003E-2</v>
      </c>
      <c r="K1533" t="s">
        <v>53</v>
      </c>
      <c r="L1533">
        <v>55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2075</v>
      </c>
      <c r="J1535">
        <v>4.5999999999999999E-3</v>
      </c>
      <c r="K1535" t="s">
        <v>53</v>
      </c>
      <c r="L1535">
        <v>55</v>
      </c>
    </row>
    <row r="1536" spans="1:12" x14ac:dyDescent="0.45">
      <c r="A1536" t="s">
        <v>90</v>
      </c>
      <c r="B1536" t="s">
        <v>4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2075</v>
      </c>
      <c r="J1536">
        <v>0.31864999999999999</v>
      </c>
      <c r="K1536" t="s">
        <v>53</v>
      </c>
      <c r="L1536">
        <v>55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1E-4</v>
      </c>
      <c r="K1537" t="s">
        <v>53</v>
      </c>
      <c r="L1537">
        <v>55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2075</v>
      </c>
      <c r="J1538">
        <v>1.575E-2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2075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2075</v>
      </c>
      <c r="J1540">
        <v>2.6200000000000001E-2</v>
      </c>
      <c r="K1540" t="s">
        <v>53</v>
      </c>
      <c r="L1540">
        <v>55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2080</v>
      </c>
      <c r="J1542">
        <v>3.7000000000000002E-3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2080</v>
      </c>
      <c r="J1543">
        <v>0.18955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2080</v>
      </c>
      <c r="J1545">
        <v>1.485E-2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2080</v>
      </c>
      <c r="J1547">
        <v>2.5599999999999998E-2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2085</v>
      </c>
      <c r="J1549">
        <v>3.65E-3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2085</v>
      </c>
      <c r="J1550">
        <v>0.14069999999999999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2085</v>
      </c>
      <c r="J1552">
        <v>1.4249999999999999E-2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2085</v>
      </c>
      <c r="J1554">
        <v>2.7200000000000002E-2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2090</v>
      </c>
      <c r="J1556">
        <v>3.5499999999999998E-3</v>
      </c>
      <c r="K1556" t="s">
        <v>53</v>
      </c>
      <c r="L1556">
        <v>55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9.1899999999999996E-2</v>
      </c>
      <c r="K1557" t="s">
        <v>53</v>
      </c>
      <c r="L1557">
        <v>55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2090</v>
      </c>
      <c r="J1559">
        <v>1.3600000000000001E-2</v>
      </c>
      <c r="K1559" t="s">
        <v>53</v>
      </c>
      <c r="L1559">
        <v>55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2090</v>
      </c>
      <c r="J1561">
        <v>2.8799999999999999E-2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2095</v>
      </c>
      <c r="J1563">
        <v>3.3E-3</v>
      </c>
      <c r="K1563" t="s">
        <v>53</v>
      </c>
      <c r="L1563">
        <v>55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2095</v>
      </c>
      <c r="J1564">
        <v>8.0799999999999997E-2</v>
      </c>
      <c r="K1564" t="s">
        <v>53</v>
      </c>
      <c r="L1564">
        <v>55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2095</v>
      </c>
      <c r="J1566">
        <v>1.37E-2</v>
      </c>
      <c r="K1566" t="s">
        <v>53</v>
      </c>
      <c r="L1566">
        <v>55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2095</v>
      </c>
      <c r="J1568">
        <v>2.8899999999999999E-2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3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2100</v>
      </c>
      <c r="J1570">
        <v>3.0499999999999998E-3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2100</v>
      </c>
      <c r="J1571">
        <v>6.9699999999999998E-2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2100</v>
      </c>
      <c r="J1573">
        <v>1.38E-2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2100</v>
      </c>
      <c r="J1575">
        <v>2.895E-2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6.3899999999999998E-2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2020</v>
      </c>
      <c r="J1578">
        <v>6.3899999999999998E-2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2020</v>
      </c>
      <c r="J1579">
        <v>6.3899999999999998E-2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2020</v>
      </c>
      <c r="J1580">
        <v>6.3899999999999998E-2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2020</v>
      </c>
      <c r="J1581">
        <v>6.3899999999999998E-2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2020</v>
      </c>
      <c r="J1582">
        <v>6.3899999999999998E-2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2020</v>
      </c>
      <c r="J1583">
        <v>6.3899999999999998E-2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2025</v>
      </c>
      <c r="J1584">
        <v>5.1400000000000001E-2</v>
      </c>
      <c r="K1584" t="s">
        <v>54</v>
      </c>
      <c r="L1584">
        <v>70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2025</v>
      </c>
      <c r="J1585">
        <v>5.1400000000000001E-2</v>
      </c>
      <c r="K1585" t="s">
        <v>54</v>
      </c>
      <c r="L1585">
        <v>70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2025</v>
      </c>
      <c r="J1586">
        <v>5.1400000000000001E-2</v>
      </c>
      <c r="K1586" t="s">
        <v>54</v>
      </c>
      <c r="L1586">
        <v>70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2025</v>
      </c>
      <c r="J1587">
        <v>5.1400000000000001E-2</v>
      </c>
      <c r="K1587" t="s">
        <v>54</v>
      </c>
      <c r="L1587">
        <v>70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2025</v>
      </c>
      <c r="J1588">
        <v>5.1400000000000001E-2</v>
      </c>
      <c r="K1588" t="s">
        <v>54</v>
      </c>
      <c r="L1588">
        <v>70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2025</v>
      </c>
      <c r="J1589">
        <v>5.1400000000000001E-2</v>
      </c>
      <c r="K1589" t="s">
        <v>54</v>
      </c>
      <c r="L1589">
        <v>70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2025</v>
      </c>
      <c r="J1590">
        <v>5.1400000000000001E-2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2030</v>
      </c>
      <c r="J1591">
        <v>1.41E-2</v>
      </c>
      <c r="K1591" t="s">
        <v>54</v>
      </c>
      <c r="L1591">
        <v>70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2030</v>
      </c>
      <c r="J1592">
        <v>1.41E-2</v>
      </c>
      <c r="K1592" t="s">
        <v>54</v>
      </c>
      <c r="L1592">
        <v>70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2030</v>
      </c>
      <c r="J1593">
        <v>1.41E-2</v>
      </c>
      <c r="K1593" t="s">
        <v>54</v>
      </c>
      <c r="L1593">
        <v>70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2030</v>
      </c>
      <c r="J1594">
        <v>1.41E-2</v>
      </c>
      <c r="K1594" t="s">
        <v>54</v>
      </c>
      <c r="L1594">
        <v>70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2030</v>
      </c>
      <c r="J1595">
        <v>1.41E-2</v>
      </c>
      <c r="K1595" t="s">
        <v>54</v>
      </c>
      <c r="L1595">
        <v>70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1.41E-2</v>
      </c>
      <c r="K1596" t="s">
        <v>54</v>
      </c>
      <c r="L1596">
        <v>70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2030</v>
      </c>
      <c r="J1597">
        <v>1.41E-2</v>
      </c>
      <c r="K1597" t="s">
        <v>54</v>
      </c>
      <c r="L1597">
        <v>70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4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6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5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3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4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0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45">
      <c r="A1630" t="s">
        <v>90</v>
      </c>
      <c r="B1630" t="s">
        <v>5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2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4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0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6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5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45">
      <c r="A1680" t="s">
        <v>90</v>
      </c>
      <c r="B1680" t="s">
        <v>2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7.4999999999999997E-3</v>
      </c>
      <c r="K1696" t="s">
        <v>85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2020</v>
      </c>
      <c r="J1697">
        <v>7.4999999999999997E-3</v>
      </c>
      <c r="K1697" t="s">
        <v>85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2020</v>
      </c>
      <c r="J1698">
        <v>7.4999999999999997E-3</v>
      </c>
      <c r="K1698" t="s">
        <v>85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2020</v>
      </c>
      <c r="J1699">
        <v>7.4999999999999997E-3</v>
      </c>
      <c r="K1699" t="s">
        <v>85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2020</v>
      </c>
      <c r="J1700">
        <v>7.4999999999999997E-3</v>
      </c>
      <c r="K1700" t="s">
        <v>85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2020</v>
      </c>
      <c r="J1701">
        <v>7.4999999999999997E-3</v>
      </c>
      <c r="K1701" t="s">
        <v>85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2020</v>
      </c>
      <c r="J1702">
        <v>7.4999999999999997E-3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2025</v>
      </c>
      <c r="J1703">
        <v>3.8550000000000001E-2</v>
      </c>
      <c r="K1703" t="s">
        <v>85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2025</v>
      </c>
      <c r="J1704">
        <v>3.7100000000000001E-2</v>
      </c>
      <c r="K1704" t="s">
        <v>85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2025</v>
      </c>
      <c r="J1705">
        <v>3.7100000000000001E-2</v>
      </c>
      <c r="K1705" t="s">
        <v>85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2025</v>
      </c>
      <c r="J1706">
        <v>3.7100000000000001E-2</v>
      </c>
      <c r="K1706" t="s">
        <v>85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2025</v>
      </c>
      <c r="J1707">
        <v>2.3400000000000001E-2</v>
      </c>
      <c r="K1707" t="s">
        <v>85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2025</v>
      </c>
      <c r="J1708">
        <v>3.9599999999999996E-2</v>
      </c>
      <c r="K1708" t="s">
        <v>85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3.4850000000000006E-2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8.4650000000000003E-2</v>
      </c>
      <c r="K1710" t="s">
        <v>85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2030</v>
      </c>
      <c r="J1711">
        <v>7.5999999999999998E-2</v>
      </c>
      <c r="K1711" t="s">
        <v>85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2030</v>
      </c>
      <c r="J1712">
        <v>7.5999999999999998E-2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2030</v>
      </c>
      <c r="J1713">
        <v>7.5999999999999998E-2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2030</v>
      </c>
      <c r="J1714">
        <v>5.7599999999999998E-2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8.3549999999999999E-2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2030</v>
      </c>
      <c r="J1716">
        <v>0.11465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2035</v>
      </c>
      <c r="J1717">
        <v>0.1326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2035</v>
      </c>
      <c r="J1718">
        <v>0.11260000000000001</v>
      </c>
      <c r="K1718" t="s">
        <v>85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2035</v>
      </c>
      <c r="J1719">
        <v>0.1038</v>
      </c>
      <c r="K1719" t="s">
        <v>85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2035</v>
      </c>
      <c r="J1720">
        <v>0.10145</v>
      </c>
      <c r="K1720" t="s">
        <v>85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2035</v>
      </c>
      <c r="J1721">
        <v>0.14095000000000002</v>
      </c>
      <c r="K1721" t="s">
        <v>85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2035</v>
      </c>
      <c r="J1722">
        <v>0.12655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2035</v>
      </c>
      <c r="J1723">
        <v>0.27065</v>
      </c>
      <c r="K1723" t="s">
        <v>85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2040</v>
      </c>
      <c r="J1724">
        <v>0.18675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2040</v>
      </c>
      <c r="J1725">
        <v>0.14424999999999999</v>
      </c>
      <c r="K1725" t="s">
        <v>85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2040</v>
      </c>
      <c r="J1726">
        <v>0.18164999999999998</v>
      </c>
      <c r="K1726" t="s">
        <v>85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2040</v>
      </c>
      <c r="J1727">
        <v>0.14635000000000001</v>
      </c>
      <c r="K1727" t="s">
        <v>85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2040</v>
      </c>
      <c r="J1728">
        <v>0.23594999999999999</v>
      </c>
      <c r="K1728" t="s">
        <v>85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2040</v>
      </c>
      <c r="J1729">
        <v>0.16060000000000002</v>
      </c>
      <c r="K1729" t="s">
        <v>85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2040</v>
      </c>
      <c r="J1730">
        <v>0.45824999999999999</v>
      </c>
      <c r="K1730" t="s">
        <v>85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2045</v>
      </c>
      <c r="J1731">
        <v>0.24159999999999998</v>
      </c>
      <c r="K1731" t="s">
        <v>85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2045</v>
      </c>
      <c r="J1732">
        <v>0.17554999999999998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2045</v>
      </c>
      <c r="J1733">
        <v>0.40225</v>
      </c>
      <c r="K1733" t="s">
        <v>85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2045</v>
      </c>
      <c r="J1734">
        <v>0.17004999999999998</v>
      </c>
      <c r="K1734" t="s">
        <v>85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0.28315000000000001</v>
      </c>
      <c r="K1735" t="s">
        <v>85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2045</v>
      </c>
      <c r="J1736">
        <v>0.19274999999999998</v>
      </c>
      <c r="K1736" t="s">
        <v>85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2045</v>
      </c>
      <c r="J1737">
        <v>0.52659999999999996</v>
      </c>
      <c r="K1737" t="s">
        <v>85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2050</v>
      </c>
      <c r="J1738">
        <v>0.28249999999999997</v>
      </c>
      <c r="K1738" t="s">
        <v>85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2050</v>
      </c>
      <c r="J1739">
        <v>0.20700000000000002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2050</v>
      </c>
      <c r="J1740">
        <v>0.56984999999999997</v>
      </c>
      <c r="K1740" t="s">
        <v>85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2050</v>
      </c>
      <c r="J1741">
        <v>0.19134999999999999</v>
      </c>
      <c r="K1741" t="s">
        <v>85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2050</v>
      </c>
      <c r="J1742">
        <v>0.2833</v>
      </c>
      <c r="K1742" t="s">
        <v>85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2050</v>
      </c>
      <c r="J1743">
        <v>0.21129999999999999</v>
      </c>
      <c r="K1743" t="s">
        <v>85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2050</v>
      </c>
      <c r="J1744">
        <v>0.54339999999999999</v>
      </c>
      <c r="K1744" t="s">
        <v>85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2055</v>
      </c>
      <c r="J1745">
        <v>0.30269999999999997</v>
      </c>
      <c r="K1745" t="s">
        <v>85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2055</v>
      </c>
      <c r="J1746">
        <v>0.21129999999999999</v>
      </c>
      <c r="K1746" t="s">
        <v>85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2055</v>
      </c>
      <c r="J1747">
        <v>0.65854999999999997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2055</v>
      </c>
      <c r="J1748">
        <v>0.23035</v>
      </c>
      <c r="K1748" t="s">
        <v>85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2055</v>
      </c>
      <c r="J1749">
        <v>0.26900000000000002</v>
      </c>
      <c r="K1749" t="s">
        <v>85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2055</v>
      </c>
      <c r="J1750">
        <v>0.22789999999999999</v>
      </c>
      <c r="K1750" t="s">
        <v>85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2055</v>
      </c>
      <c r="J1751">
        <v>0.54449999999999998</v>
      </c>
      <c r="K1751" t="s">
        <v>85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2060</v>
      </c>
      <c r="J1752">
        <v>0.35955000000000004</v>
      </c>
      <c r="K1752" t="s">
        <v>85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2060</v>
      </c>
      <c r="J1753">
        <v>0.2112</v>
      </c>
      <c r="K1753" t="s">
        <v>85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2060</v>
      </c>
      <c r="J1754">
        <v>0.83614999999999995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0.45440000000000003</v>
      </c>
      <c r="K1755" t="s">
        <v>85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2060</v>
      </c>
      <c r="J1756">
        <v>0.25185000000000002</v>
      </c>
      <c r="K1756" t="s">
        <v>85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2060</v>
      </c>
      <c r="J1757">
        <v>0.2928</v>
      </c>
      <c r="K1757" t="s">
        <v>85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2060</v>
      </c>
      <c r="J1758">
        <v>0.56279999999999997</v>
      </c>
      <c r="K1758" t="s">
        <v>85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2065</v>
      </c>
      <c r="J1759">
        <v>0.36970000000000003</v>
      </c>
      <c r="K1759" t="s">
        <v>85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2065</v>
      </c>
      <c r="J1760">
        <v>0.20465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2065</v>
      </c>
      <c r="J1761">
        <v>0.99385000000000001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2065</v>
      </c>
      <c r="J1762">
        <v>0.49209999999999998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2065</v>
      </c>
      <c r="J1763">
        <v>0.24804999999999999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2065</v>
      </c>
      <c r="J1764">
        <v>0.37885000000000002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2065</v>
      </c>
      <c r="J1765">
        <v>0.64305000000000001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2070</v>
      </c>
      <c r="J1766">
        <v>0.37975000000000003</v>
      </c>
      <c r="K1766" t="s">
        <v>85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2070</v>
      </c>
      <c r="J1767">
        <v>0.19814999999999999</v>
      </c>
      <c r="K1767" t="s">
        <v>85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2070</v>
      </c>
      <c r="J1768">
        <v>1.1515499999999999</v>
      </c>
      <c r="K1768" t="s">
        <v>85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2070</v>
      </c>
      <c r="J1769">
        <v>0.52980000000000005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2070</v>
      </c>
      <c r="J1770">
        <v>0.24424999999999999</v>
      </c>
      <c r="K1770" t="s">
        <v>85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2070</v>
      </c>
      <c r="J1771">
        <v>0.46495000000000003</v>
      </c>
      <c r="K1771" t="s">
        <v>85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2070</v>
      </c>
      <c r="J1772">
        <v>0.72324999999999995</v>
      </c>
      <c r="K1772" t="s">
        <v>85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2075</v>
      </c>
      <c r="J1773">
        <v>0.36480000000000001</v>
      </c>
      <c r="K1773" t="s">
        <v>85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2075</v>
      </c>
      <c r="J1774">
        <v>0.20105000000000001</v>
      </c>
      <c r="K1774" t="s">
        <v>85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1.2416</v>
      </c>
      <c r="K1775" t="s">
        <v>85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2075</v>
      </c>
      <c r="J1776">
        <v>0.53950000000000009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2075</v>
      </c>
      <c r="J1777">
        <v>0.23520000000000002</v>
      </c>
      <c r="K1777" t="s">
        <v>85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2075</v>
      </c>
      <c r="J1778">
        <v>0.59384999999999999</v>
      </c>
      <c r="K1778" t="s">
        <v>85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2075</v>
      </c>
      <c r="J1779">
        <v>0.81939999999999991</v>
      </c>
      <c r="K1779" t="s">
        <v>85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2080</v>
      </c>
      <c r="J1780">
        <v>0.34984999999999999</v>
      </c>
      <c r="K1780" t="s">
        <v>85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2080</v>
      </c>
      <c r="J1781">
        <v>0.2039</v>
      </c>
      <c r="K1781" t="s">
        <v>85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2080</v>
      </c>
      <c r="J1782">
        <v>1.3317000000000001</v>
      </c>
      <c r="K1782" t="s">
        <v>85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2080</v>
      </c>
      <c r="J1783">
        <v>0.54920000000000002</v>
      </c>
      <c r="K1783" t="s">
        <v>85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2080</v>
      </c>
      <c r="J1784">
        <v>0.22614999999999999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2080</v>
      </c>
      <c r="J1785">
        <v>0.72270000000000001</v>
      </c>
      <c r="K1785" t="s">
        <v>85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2080</v>
      </c>
      <c r="J1786">
        <v>0.91554999999999997</v>
      </c>
      <c r="K1786" t="s">
        <v>85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2085</v>
      </c>
      <c r="J1787">
        <v>0.3175</v>
      </c>
      <c r="K1787" t="s">
        <v>85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2085</v>
      </c>
      <c r="J1788">
        <v>0.18709999999999999</v>
      </c>
      <c r="K1788" t="s">
        <v>85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2085</v>
      </c>
      <c r="J1789">
        <v>1.3454999999999999</v>
      </c>
      <c r="K1789" t="s">
        <v>85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2085</v>
      </c>
      <c r="J1790">
        <v>0.54310000000000003</v>
      </c>
      <c r="K1790" t="s">
        <v>85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2085</v>
      </c>
      <c r="J1791">
        <v>0.23270000000000002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2085</v>
      </c>
      <c r="J1792">
        <v>0.85065000000000002</v>
      </c>
      <c r="K1792" t="s">
        <v>85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2085</v>
      </c>
      <c r="J1793">
        <v>0.99229999999999996</v>
      </c>
      <c r="K1793" t="s">
        <v>85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2090</v>
      </c>
      <c r="J1794">
        <v>0.28520000000000001</v>
      </c>
      <c r="K1794" t="s">
        <v>85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0.17025000000000001</v>
      </c>
      <c r="K1795" t="s">
        <v>85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2090</v>
      </c>
      <c r="J1796">
        <v>1.3592500000000001</v>
      </c>
      <c r="K1796" t="s">
        <v>85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2090</v>
      </c>
      <c r="J1797">
        <v>0.53700000000000003</v>
      </c>
      <c r="K1797" t="s">
        <v>85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2090</v>
      </c>
      <c r="J1798">
        <v>0.23914999999999997</v>
      </c>
      <c r="K1798" t="s">
        <v>85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2090</v>
      </c>
      <c r="J1799">
        <v>0.97860000000000003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2090</v>
      </c>
      <c r="J1800">
        <v>1.069</v>
      </c>
      <c r="K1800" t="s">
        <v>85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2095</v>
      </c>
      <c r="J1801">
        <v>0.26629999999999998</v>
      </c>
      <c r="K1801" t="s">
        <v>85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2095</v>
      </c>
      <c r="J1802">
        <v>0.16134999999999999</v>
      </c>
      <c r="K1802" t="s">
        <v>85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2095</v>
      </c>
      <c r="J1803">
        <v>1.31545</v>
      </c>
      <c r="K1803" t="s">
        <v>85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2095</v>
      </c>
      <c r="J1804">
        <v>0.54920000000000002</v>
      </c>
      <c r="K1804" t="s">
        <v>85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2095</v>
      </c>
      <c r="J1805">
        <v>0.24210000000000001</v>
      </c>
      <c r="K1805" t="s">
        <v>85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2095</v>
      </c>
      <c r="J1806">
        <v>1.0222500000000001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2095</v>
      </c>
      <c r="J1807">
        <v>1.1084499999999999</v>
      </c>
      <c r="K1807" t="s">
        <v>85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0.24735000000000001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0.15245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1.2717000000000001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0.56140000000000001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0.245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1.0660000000000001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1.14785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7.0054999999999996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17.283300000000001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48.888199999999998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81.035399999999996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115.4705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0.59360000000000002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0.58160000000000001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0.51839999999999997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0.48559999999999998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0.46949999999999997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0.44590000000000002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0.4456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2.0792000000000002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2.0388000000000002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2.0415000000000001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2.0716000000000001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2.093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2.2115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2.3875000000000002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6.8900000000000003E-2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6.9099999999999995E-2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0.1585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0.31330000000000002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0.48549999999999999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0.71179999999999999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0.97860000000000003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2.6800000000000001E-2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98.822199999999995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105.4962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66.899799999999999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31.1892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9.4000000000000004E-3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56.760000000000005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53.603000000000002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66.852500000000006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79.31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89.176999999999992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89.671999999999997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75.575500000000005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11.648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3.9129999999999998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0.26850000000000002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3.8207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7.7228000000000003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2.3683000000000001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2.5983999999999998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1.2038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0.26240000000000002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-4.0500000000000001E-2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1.5056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1.3682000000000001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2.9129999999999998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3.4967999999999999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4.2759999999999998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5.2468000000000004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5.9450000000000003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6.1581000000000001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6.4595000000000002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2.8328000000000002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4.1067999999999998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4.7018000000000004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5.4592000000000001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5.4024999999999999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784.98979999999995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848.495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680.10799999999995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544.91070000000002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428.4074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312.70080000000002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146.68389999999999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863.6037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917.12559999999996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762.29740000000004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632.98320000000001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521.82730000000004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408.04079999999999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243.4288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0.59219999999999995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0.54169999999999996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0.51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0.49120000000000003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0.48060000000000003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0.47449999999999998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0.43149999999999999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2.0964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2.0514999999999999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2.0844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2.0933999999999999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2.1804999999999999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2.2469000000000001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2.3119000000000001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6.93E-2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6.8699999999999997E-2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6.93E-2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6.6400000000000001E-2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6.3899999999999998E-2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8.6199999999999999E-2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0.16239999999999999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99.320399999999992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106.8122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94.498200000000011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69.663399999999996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55.835999999999999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41.529200000000003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29.262200000000004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56.913999999999994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50.341500000000003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59.103000000000002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61.765000000000001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74.822000000000003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84.078499999999991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92.614499999999992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11.676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3.2270000000000003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0.26850000000000002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1.7135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3.6775000000000002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2.5796999999999999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4.6501999999999999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2.3683000000000001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2.3483000000000001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2.2496999999999998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2.4874000000000001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2.3651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2.3742000000000001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1.9457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2.9129999999999998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3.5131000000000001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3.7275999999999998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4.5518999999999998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4.8532000000000002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5.1563999999999997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5.8865999999999996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2.8328000000000002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4.1978999999999997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4.6555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4.9057000000000004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5.2948000000000004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5.9989999999999997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6.1571999999999996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779.22940000000006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822.4144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814.27290000000005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722.22339999999997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720.73490000000004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692.54499999999996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657.67219999999998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858.07470000000001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896.85180000000003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906.01469999999995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820.92729999999995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826.58219999999994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805.68640000000005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778.16060000000004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19.469100000000001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41.450499999999998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60.176900000000003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84.446100000000001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0.58879999999999999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0.53610000000000002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0.50260000000000005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0.48409999999999997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0.48110000000000003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0.4582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0.4602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2.0948000000000002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2.0478999999999998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2.0792999999999999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2.0358999999999998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2.0884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2.1627999999999998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2.3662000000000001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6.9500000000000006E-2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6.8900000000000003E-2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6.9500000000000006E-2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0.16470000000000001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0.33139999999999997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0.58609999999999995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0.85780000000000001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1.0500000000000001E-2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1.43E-2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1.2699999999999999E-2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5.11E-2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99.226400000000012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106.6336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94.310200000000009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18.405200000000001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2.2372000000000001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0.41360000000000002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9.4000000000000004E-3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56.958000000000006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50.418499999999995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59.234999999999999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70.71350000000001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74.701000000000008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60.026999999999994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52.618499999999997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11.683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3.234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0.26850000000000002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1.7135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3.6775000000000002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9.6150000000000002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2.3683000000000001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2.3483000000000001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2.2496999999999998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-0.61160000000000003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-1.0741000000000001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1.6774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2.3736999999999999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2.9129999999999998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3.5131000000000001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3.7275999999999998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5.9414999999999996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6.3577000000000004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6.3399000000000001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6.7363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2.8328000000000002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4.1978999999999997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4.6555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4.9973000000000001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5.0701999999999998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5.1131000000000002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778.92790000000002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826.09019999999998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822.11059999999998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560.22879999999998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413.08769999999998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234.9922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85.528400000000005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857.81359999999995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896.36720000000003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905.49630000000002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648.46979999999996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506.71539999999999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330.3639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182.67179999999999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6.6233000000000004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17.772300000000001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36.885599999999997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65.333200000000005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0.59260000000000002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0.54400000000000004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0.51370000000000005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0.48570000000000002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0.46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0.4466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0.438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2.0844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2.0350000000000001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2.0663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2.0348999999999999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2.0078999999999998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2.0324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2.1099000000000001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6.8699999999999997E-2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6.8199999999999997E-2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6.8900000000000003E-2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0.14779999999999999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0.30149999999999999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0.54169999999999996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0.78339999999999999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6.4000000000000003E-3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6.1000000000000004E-3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9.2999999999999992E-3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98.822199999999995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106.36099999999999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94.216200000000001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52.348599999999998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11.232999999999999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56.848000000000006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50.357999999999997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59.191000000000003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57.348500000000001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67.947000000000003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73.496499999999997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65.945000000000007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11.668999999999999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3.2270000000000003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0.26850000000000002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1.7135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3.6775000000000002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7.2866999999999997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7.2085999999999997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2.3683000000000001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2.3483000000000001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2.2496999999999998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2.3079999999999998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0.995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1.4261999999999999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1.6794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2.9129999999999998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3.5131000000000001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3.7275999999999998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4.5408999999999997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5.56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6.0492999999999997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6.3625999999999996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2.8328000000000002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4.1978999999999997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4.6555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5.2846000000000002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5.2473000000000001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5.8779000000000003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6.2058999999999997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780.19560000000001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826.90419999999995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822.18510000000003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625.75030000000004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447.78579999999999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314.18950000000001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169.69900000000001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858.94600000000003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899.04489999999998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909.51559999999995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720.09010000000001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550.09519999999998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422.13940000000002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282.83940000000001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56.781700000000001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78.943600000000004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77.802800000000005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89.311400000000006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76.812899999999999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0.5958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0.59340000000000004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0.55900000000000005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0.50729999999999997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0.4234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0.36170000000000002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0.31769999999999998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2.0956999999999999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2.073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1.5065999999999999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1.2892999999999999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1.1292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1.0456000000000001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0.93020000000000003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6.5699999999999995E-2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6.7000000000000004E-2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0.16159999999999999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0.30370000000000003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0.53420000000000001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0.84099999999999997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1.0508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0.1053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0.2404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0.38979999999999998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0.45229999999999998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0.35970000000000002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99.019599999999997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106.45500000000001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25.004000000000001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5.5366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0.13159999999999999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3.7600000000000001E-2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56.792999999999999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53.757000000000005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47.877500000000005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22.269500000000001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23.028500000000001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22.539000000000001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17.347000000000001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11.661999999999999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3.92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0.26850000000000002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7.4447000000000001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2.3683000000000001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2.5983999999999998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-7.1683000000000003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-0.78190000000000004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1.9414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4.8968999999999996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5.8563999999999998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2.9129999999999998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3.4967999999999999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4.1238000000000001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4.1384999999999996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6.8028000000000004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6.9385000000000003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7.7877000000000001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2.8328000000000002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4.1067999999999998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1.3662000000000001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4.6071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2.9676999999999998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7.2615999999999996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2.4935999999999998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784.91189999999995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849.74959999999999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377.53750000000002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183.25190000000001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75.840800000000002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-12.1623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-76.227199999999996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863.28480000000002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917.91930000000002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460.19130000000001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266.0394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163.36240000000001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83.045199999999994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18.792999999999999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4.0129999999999999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0.59650000000000003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0.58530000000000004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0.53890000000000005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0.51639999999999997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0.50219999999999998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0.50290000000000001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0.48120000000000002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2.0889000000000002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2.0528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2.0787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2.0809000000000002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2.1534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2.2179000000000002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2.2904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6.7299999999999999E-2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6.8099999999999994E-2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6.8500000000000005E-2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6.5500000000000003E-2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6.2899999999999998E-2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0.13089999999999999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0.22339999999999999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99.376799999999989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106.10720000000001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94.347800000000007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67.877399999999994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42.948599999999999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18.8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56.908499999999997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53.784500000000001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61.533999999999999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68.898499999999999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79.128500000000003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94.677000000000007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108.35549999999999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11.683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3.9269999999999996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0.26850000000000002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2.4015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3.6486999999999998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6.4512999999999998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5.6748000000000003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2.3683000000000001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2.5983999999999998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1.8240000000000001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2.7765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1.7403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1.5592999999999999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2.9129999999999998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3.4967999999999999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3.8595000000000002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4.5469999999999997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5.0536000000000003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5.7999000000000001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6.0880999999999998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2.8328000000000002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4.1067999999999998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4.7458999999999998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4.8170999999999999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5.0681000000000003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5.8914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6.1878000000000002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781.51369999999997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840.55859999999996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832.99950000000001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740.79470000000003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705.32029999999997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662.61389999999994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627.51919999999996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860.24559999999997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911.4579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919.34010000000001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834.41020000000003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806.26239999999996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768.75649999999996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738.67840000000001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84.797899999999998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86.0214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102.97629999999999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47.502099999999999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41.5824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0.60389999999999999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0.59899999999999998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0.62539999999999996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0.75039999999999996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0.93700000000000006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1.0789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1.1238999999999999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2.0798000000000001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2.0402999999999998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1.9654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2.19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2.4826999999999999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2.6034999999999999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2.8168000000000002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6.8699999999999997E-2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6.9099999999999995E-2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0.16470000000000001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0.3135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0.56969999999999998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0.7712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0.76490000000000002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0.1588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0.32440000000000002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0.53410000000000002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0.40760000000000002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0.42070000000000002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99.188799999999986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106.0038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18.395800000000001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2.4534000000000002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8.4599999999999995E-2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56.760000000000005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53.5535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66.131999999999991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18.9695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18.666999999999998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1.2705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11.648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3.9129999999999998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0.26850000000000002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38.0672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24.8935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35.280299999999997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41.032499999999999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39.885599999999997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2.3683000000000001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2.5983999999999998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5.1734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4.0110000000000001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7.0616000000000003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8.6442999999999994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9.9466999999999999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2.9129999999999998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3.4967999999999999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16.742899999999999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4.5358000000000001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8.7399000000000004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9.7347000000000001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11.2705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2.8328000000000002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4.1067999999999998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5.1775000000000002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6.9626000000000001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3.2671999999999999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3.7713000000000001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783.04729999999995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845.25450000000001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430.26490000000001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193.52780000000001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69.257099999999994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-9.9139999999999997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-49.2956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861.60889999999995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913.74390000000005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517.38250000000005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286.17860000000002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163.70519999999999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82.882199999999997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41.4268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20.9132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51.952300000000001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79.9422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93.6006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100.5976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110.5219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123.0545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132.7209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142.38730000000001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143.73169999999999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145.0761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145.1549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145.2336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143.23490000000001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141.2362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1.2218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1.2567999999999999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1.2758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1.2172000000000001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1.1165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1.0663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1.0412999999999999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1.0076000000000001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0.93310000000000004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0.84650000000000003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0.76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0.69210000000000005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0.62429999999999997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0.57310000000000005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0.52200000000000002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0.47370000000000001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0.4254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2.0394000000000001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2.1074999999999999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2.1122000000000001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2.0259999999999998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1.8857999999999999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1.8333999999999999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1.8447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1.8464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1.8974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1.8180000000000001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1.7385999999999999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1.7098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1.6811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1.6746000000000001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1.6680999999999999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1.6431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1.6182000000000001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8.3000000000000004E-2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9.7000000000000003E-2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0.18260000000000001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0.3327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0.46589999999999998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0.51800000000000002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0.5212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0.53029999999999999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0.53169999999999995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0.53400000000000003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0.5363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0.53890000000000005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0.54149999999999998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0.53949999999999998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0.53749999999999998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0.53420000000000001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0.53090000000000004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7.4999999999999997E-3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3.9300000000000002E-2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8.5900000000000004E-2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0.13389999999999999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0.18709999999999999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0.24049999999999999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0.27939999999999998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0.29799999999999999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0.35039999999999999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0.35820000000000002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0.3659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0.35139999999999999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0.33689999999999998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0.30559999999999998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0.27429999999999999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0.25580000000000003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0.23719999999999999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1.075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0.64700000000000002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0.43070000000000003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0.1182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2.6100000000000002E-2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1.7899999999999999E-2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1.0200000000000001E-2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3.8999999999999998E-3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2.0000000000000001E-4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1E-4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1.0499000000000001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1.1241000000000001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1.038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0.92700000000000005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0.54820000000000002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0.2339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5.2900000000000003E-2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2.81E-2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2.2100000000000002E-2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1.4E-2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5.8999999999999999E-3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5.3E-3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4.7000000000000002E-3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4.5999999999999999E-3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4.4999999999999997E-3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4.1000000000000003E-3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3.8E-3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6.3899999999999998E-2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5.1400000000000001E-2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1.41E-2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78.737700000000004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81.218500000000006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88.049300000000002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77.545000000000002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79.532399999999996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89.528199999999998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107.6431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114.8601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176.95009999999999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219.84350000000001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262.73689999999999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262.20769999999999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261.67840000000001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255.01519999999999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248.352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251.64259999999999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254.9332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900.02200000000005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785.00779999999997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603.10590000000002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405.24079999999998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231.97730000000001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122.9451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56.867699999999999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19.4634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-14.893599999999999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-37.404699999999998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-59.915599999999998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-64.5184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-69.121099999999998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-75.301599999999993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-81.481999999999999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-92.080799999999996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-102.6795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920.46720000000005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804.3492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624.26430000000005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432.55500000000001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264.92239999999998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161.34059999999999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100.17449999999999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67.521100000000004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34.417000000000002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12.6153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-9.1864000000000008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-13.545400000000001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-17.904399999999999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-23.9313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-29.958200000000001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-40.389000000000003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-50.819800000000001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2.5999999999999999E-3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2.5999999999999999E-3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2.5999999999999999E-3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2.5999999999999999E-3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2.5999999999999999E-3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2.5999999999999999E-3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2.5999999999999999E-3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2.0999999999999999E-3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1.6999999999999999E-3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1E-3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2.9999999999999997E-4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2.9999999999999997E-4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2.9999999999999997E-4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2.0000000000000001E-4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1E-4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1.2218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1.2524999999999999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1.2675000000000001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1.2130000000000001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1.1305000000000001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1.0549999999999999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0.98629999999999995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0.89859999999999995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0.80779999999999996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0.72660000000000002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0.64549999999999996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0.58150000000000002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0.51749999999999996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0.47270000000000001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0.4279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0.39150000000000001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0.35520000000000002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2.0394000000000001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2.1036999999999999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2.1153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2.0665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1.9632000000000001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1.8401000000000001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1.7462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1.6615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1.6255999999999999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1.5699000000000001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1.5142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1.4918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1.4694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1.4652000000000001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1.4610000000000001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1.4490000000000001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1.4370000000000001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8.3000000000000004E-2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0.10290000000000001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0.17580000000000001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0.2838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0.37980000000000003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0.42070000000000002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0.42849999999999999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0.43740000000000001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0.439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0.44240000000000002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0.44590000000000002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0.44900000000000001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0.45200000000000001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0.45050000000000001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0.44890000000000002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0.44650000000000001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0.44409999999999999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7.4999999999999997E-3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3.7100000000000001E-2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7.5999999999999998E-2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0.1124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0.14369999999999999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0.1741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0.2044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0.20780000000000001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0.20649999999999999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0.20030000000000001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0.19409999999999999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0.19520000000000001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0.1963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0.1789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0.1615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0.1517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0.1419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1.075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0.72070000000000001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0.55510000000000004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0.4118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0.34189999999999998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0.26850000000000002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0.19500000000000001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0.1323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6.1699999999999998E-2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4.24E-2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2.3199999999999998E-2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1.41E-2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5.1000000000000004E-3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2.8E-3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5.0000000000000001E-4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2.0000000000000001E-4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1.0499000000000001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1.2014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1.3207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1.4396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1.4074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1.3183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1.1820999999999999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1.0137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0.78039999999999998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0.61150000000000004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0.4425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0.31640000000000001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0.1903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0.14230000000000001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9.4299999999999995E-2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8.3099999999999993E-2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7.1800000000000003E-2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6.3899999999999998E-2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5.1400000000000001E-2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1.41E-2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78.737700000000004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82.581500000000005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84.679900000000004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82.962000000000003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90.683300000000003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102.9567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114.3291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120.2497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182.37909999999999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226.0008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269.6225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275.93939999999998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282.25619999999998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279.1918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276.12729999999999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268.92520000000002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261.72309999999999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900.02200000000005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818.2645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734.94960000000003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659.9941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592.90599999999995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527.76480000000004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473.2842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413.86599999999999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345.13369999999998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306.51920000000001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267.90460000000002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237.15960000000001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206.41470000000001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182.75020000000001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159.0857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140.43610000000001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121.7864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920.46720000000005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837.29330000000004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754.66909999999996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682.59270000000004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619.45069999999998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558.51589999999999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508.00830000000002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449.92860000000002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382.60289999999998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345.05009999999999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307.49720000000002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277.64839999999998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247.7996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224.72280000000001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201.64599999999999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183.67150000000001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165.6969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2.5999999999999999E-3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2.4706000000000001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76.465100000000007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131.0966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160.2012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174.1285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181.67699999999999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182.97800000000001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184.2792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176.73650000000001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169.19399999999999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155.3186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141.44319999999999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135.09520000000001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128.7474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1.2218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1.2524999999999999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1.2675000000000001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1.2142999999999999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1.1177999999999999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1.0379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1.0646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1.0437000000000001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0.97330000000000005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0.87429999999999997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0.77539999999999998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0.70650000000000002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0.63770000000000004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0.59179999999999999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0.54600000000000004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0.49280000000000002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0.43969999999999998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2.0394000000000001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2.1036999999999999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2.1153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2.0192999999999999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1.7634000000000001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1.772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1.9377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1.9805999999999999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2.0272000000000001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1.889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1.7507999999999999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1.7155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1.6801999999999999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1.6791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1.6780999999999999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1.649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1.62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8.3000000000000004E-2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0.10290000000000001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0.17580000000000001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0.29430000000000001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0.39119999999999999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0.436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0.4476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0.45810000000000001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0.46350000000000002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0.46989999999999998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0.4763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0.48170000000000002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0.48709999999999998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0.48799999999999999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0.4889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0.48809999999999998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0.4874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7.4999999999999997E-3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3.7100000000000001E-2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7.5999999999999998E-2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0.104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0.17899999999999999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0.39679999999999999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0.56330000000000002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0.64290000000000003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0.79290000000000005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0.93189999999999995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1.0708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1.1414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1.212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1.2103999999999999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1.2088000000000001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1.1672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1.1255999999999999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1.075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0.72070000000000001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0.55510000000000004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0.33169999999999999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0.1066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1.84E-2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5.1999999999999998E-3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2.0000000000000001E-4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1E-4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1.0499000000000001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1.2014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1.3207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1.3123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0.60740000000000005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6.0699999999999997E-2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1.37E-2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7.9000000000000008E-3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4.1999999999999997E-3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2.0999999999999999E-3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1E-4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1E-4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6.3899999999999998E-2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5.1400000000000001E-2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1.41E-2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78.737700000000004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82.581500000000005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84.679900000000004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60.622599999999998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94.609899999999996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120.8524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124.27070000000001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136.0444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218.66839999999999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285.36509999999998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352.06169999999997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373.53629999999998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395.01080000000002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393.05160000000001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391.0924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399.13589999999999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407.17939999999999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900.02200000000005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818.2645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734.94960000000003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594.95929999999998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195.2184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-19.486699999999999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-90.947599999999994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-130.66050000000001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-157.15729999999999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-173.90010000000001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-190.64279999999999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-187.58250000000001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-184.5223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-173.54509999999999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-162.56780000000001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-160.03039999999999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-157.49289999999999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920.46720000000005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837.29330000000004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754.66909999999996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621.37980000000005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232.81649999999999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23.533100000000001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-44.027799999999999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-79.840299999999999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-104.9859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-121.9014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-138.8168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-135.82169999999999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-132.82669999999999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-121.8783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-110.9299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-108.2448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-105.5596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2.5999999999999999E-3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2.2321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38.760399999999997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72.933700000000002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80.531199999999998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87.163600000000002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88.681200000000004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91.420699999999997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94.160399999999996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103.25660000000001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112.35290000000001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118.4877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124.6225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125.8389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127.0553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1.2218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1.2524999999999999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1.2675000000000001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1.1488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1.1037999999999999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1.0389999999999999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0.98129999999999995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0.90920000000000001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0.82620000000000005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0.77729999999999999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0.72840000000000005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0.6663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0.60429999999999995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0.55410000000000004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0.50390000000000001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0.45829999999999999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0.41270000000000001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2.0394000000000001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2.1036999999999999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2.1153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2.1080000000000001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1.9651000000000001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1.9308000000000001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1.8726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1.7766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1.7487999999999999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1.7141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1.6795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1.6577999999999999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1.6361000000000001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1.623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1.6099000000000001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1.5842000000000001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1.5585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8.3000000000000004E-2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0.10290000000000001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0.17580000000000001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0.29730000000000001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0.3997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0.44230000000000003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0.44540000000000002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0.45660000000000001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0.45939999999999998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0.46389999999999998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0.46839999999999998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0.47010000000000002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0.47170000000000001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0.47189999999999999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0.47210000000000002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0.47239999999999999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0.47270000000000001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7.4999999999999997E-3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3.7100000000000001E-2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7.5999999999999998E-2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0.1007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0.14860000000000001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0.16539999999999999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0.18779999999999999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0.23780000000000001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0.48089999999999999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0.51739999999999997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0.55379999999999996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0.54810000000000003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0.54239999999999999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0.50190000000000001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0.46150000000000002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0.41860000000000003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0.37569999999999998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1.075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0.72070000000000001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0.55510000000000004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0.3639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0.13950000000000001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2.7699999999999999E-2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1.3599999999999999E-2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1.8E-3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2.9999999999999997E-4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2.0000000000000001E-4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1E-4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1.0499000000000001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1.2014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1.3207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1.3975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1.2529999999999999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0.996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0.58089999999999997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0.25119999999999998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3.9E-2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2.6200000000000001E-2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1.3299999999999999E-2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1.24E-2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1.14E-2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9.5999999999999992E-3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7.7999999999999996E-3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6.1999999999999998E-3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4.4999999999999997E-3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6.3899999999999998E-2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5.1400000000000001E-2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1.41E-2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78.737700000000004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82.581500000000005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84.679900000000004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68.433000000000007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89.581000000000003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100.1572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118.3986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126.6277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211.4213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245.1722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278.92309999999998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276.4049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273.88670000000002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268.72750000000002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263.5684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275.61200000000002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287.65559999999999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900.02200000000005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818.2645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734.94960000000003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620.05769999999995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356.01150000000001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209.91579999999999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120.39749999999999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48.189399999999999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-5.431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-20.723700000000001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-36.016300000000001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-49.067399999999999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-62.118600000000001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-72.960499999999996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-83.802400000000006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-92.831400000000002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-101.86060000000001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920.46720000000005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837.29330000000004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754.66909999999996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645.52020000000005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390.08609999999999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249.47389999999999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164.77029999999999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96.98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44.581299999999999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29.965499999999999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15.3498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2.9744000000000002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-9.4009999999999998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-19.942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-30.483000000000001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-39.516800000000003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-48.550699999999999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32.445599999999999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63.9724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83.565700000000007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97.281899999999993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100.89239999999999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105.06270000000001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107.90009999999999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112.53700000000001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117.1737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120.76049999999999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124.3473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126.3635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128.3794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129.00020000000001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129.6208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1.2218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0.91090000000000004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0.76200000000000001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0.60160000000000002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0.51259999999999994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0.4884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0.47089999999999999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0.43059999999999998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0.38679999999999998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0.35849999999999999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0.33029999999999998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0.31530000000000002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0.30020000000000002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0.2913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0.28249999999999997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0.26889999999999997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0.25519999999999998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2.0394000000000001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2.2565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2.0344000000000002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1.8736999999999999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1.7899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1.8546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1.8792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1.7726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1.7399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1.6598999999999999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1.5799000000000001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1.5909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1.6017999999999999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1.6108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1.6197999999999999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1.5976999999999999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1.5757000000000001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8.3000000000000004E-2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9.1499999999999998E-2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0.16669999999999999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0.29920000000000002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0.41320000000000001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0.44169999999999998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0.40749999999999997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0.44350000000000001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0.44679999999999997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0.44829999999999998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0.44990000000000002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0.45279999999999998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0.45579999999999998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0.4536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0.45150000000000001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0.44819999999999999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0.44490000000000002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7.4999999999999997E-3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2.3400000000000001E-2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5.6399999999999999E-2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0.13569999999999999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0.22489999999999999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0.27060000000000001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0.27379999999999999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0.2641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0.24790000000000001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0.2412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0.2344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0.22700000000000001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0.21959999999999999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0.22470000000000001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0.22969999999999999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0.22770000000000001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0.22570000000000001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1.075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0.60650000000000004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0.16919999999999999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9.9000000000000008E-3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3.0000000000000001E-3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2.9999999999999997E-4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2.0000000000000001E-4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1E-4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1.0499000000000001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1.0565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0.83220000000000005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0.3624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1.38E-2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3.8E-3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2.8E-3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1.6999999999999999E-3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1.1000000000000001E-3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5.9999999999999995E-4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6.3899999999999998E-2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5.1400000000000001E-2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1.41E-2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78.737700000000004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45.911200000000001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67.215999999999994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71.149799999999999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79.556700000000006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70.510099999999994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116.21550000000001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104.5581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171.82560000000001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223.4974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275.16919999999999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269.44200000000001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263.7149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269.5856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275.45639999999997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282.15370000000001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288.851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900.02200000000005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737.875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380.00990000000002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175.55799999999999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15.4282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-60.058199999999999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-84.673000000000002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-97.082999999999998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-106.57129999999999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-113.5902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-120.6092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-128.8897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-137.17019999999999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-143.6737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-150.17699999999999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-154.0668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-157.95650000000001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920.46720000000005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759.83920000000001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410.39409999999998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212.13300000000001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56.7791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-14.8283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-35.882399999999997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-45.674700000000001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-54.945300000000003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-61.895000000000003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-68.844800000000006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-77.105099999999993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-85.365499999999997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-91.880300000000005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-98.394999999999996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-102.2547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-106.1144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10.542999999999999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40.153500000000001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59.9129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65.657200000000003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70.418400000000005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78.841399999999993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86.096500000000006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90.001999999999995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93.907700000000006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96.478300000000004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99.049000000000007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94.617599999999996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90.186300000000003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84.870199999999997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79.554000000000002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1.2218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1.2597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1.2894000000000001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1.2112000000000001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1.1443000000000001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1.0941000000000001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1.0545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0.96699999999999997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0.87560000000000004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0.79869999999999997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0.72189999999999999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0.66159999999999997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0.60129999999999995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0.55110000000000003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0.501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0.45290000000000002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0.40489999999999998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2.0394000000000001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2.1122000000000001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2.1389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2.0182000000000002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1.9338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1.8771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1.8556999999999999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1.7349000000000001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1.7250000000000001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1.6772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1.6294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1.6065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1.5834999999999999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1.5683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1.5531999999999999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1.5237000000000001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1.4942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8.3000000000000004E-2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0.104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0.17829999999999999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0.2868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0.38219999999999998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0.42330000000000001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0.43180000000000002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0.44180000000000003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0.44519999999999998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0.45050000000000001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0.45579999999999998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0.46010000000000001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0.46439999999999998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0.46389999999999998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0.46339999999999998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0.4612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0.45889999999999997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7.4999999999999997E-3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3.9699999999999999E-2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8.3599999999999994E-2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0.12609999999999999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0.159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0.19059999999999999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0.2082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0.2225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0.27650000000000002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0.31709999999999999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0.35780000000000001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0.4607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0.5635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0.67579999999999996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0.78800000000000003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0.85460000000000003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0.92130000000000001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1.075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0.67169999999999996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0.498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0.1656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2.93E-2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2.5899999999999999E-2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2.1700000000000001E-2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1.5699999999999999E-2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6.7000000000000002E-3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3.3999999999999998E-3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1.0499000000000001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1.1591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1.1353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1.0737000000000001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0.89670000000000005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0.65469999999999995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0.4531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0.20979999999999999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4.2500000000000003E-2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3.2899999999999999E-2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2.3300000000000001E-2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2.3199999999999998E-2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2.3E-2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2.4400000000000002E-2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2.5899999999999999E-2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2.6599999999999999E-2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2.7300000000000001E-2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6.3899999999999998E-2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5.1400000000000001E-2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1.41E-2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78.737700000000004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82.906800000000004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83.713499999999996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83.064400000000006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88.977800000000002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101.34310000000001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113.4363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120.7303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187.3793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228.56569999999999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269.75209999999998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277.27519999999998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284.79829999999998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283.42380000000003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282.04930000000002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290.31319999999999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298.57709999999997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900.02200000000005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799.34699999999998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650.58659999999998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468.32420000000002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330.71359999999999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248.79310000000001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183.1602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123.1977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71.626999999999995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42.763300000000001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13.899699999999999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-8.2987000000000002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-30.4971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-40.5471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-50.597000000000001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-53.9377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-57.278300000000002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920.46720000000005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818.61689999999999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671.34479999999996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495.33409999999998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363.33569999999997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286.98270000000002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226.4434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171.44329999999999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121.1574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92.412400000000005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63.667400000000001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41.403100000000002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19.1388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8.8986000000000001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-1.3414999999999999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-4.6559999999999997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-7.9705000000000004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51.714599999999997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110.32040000000001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129.29859999999999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139.06360000000001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140.04660000000001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143.94810000000001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145.02709999999999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150.17859999999999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155.33019999999999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159.21899999999999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163.1078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162.12639999999999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161.14500000000001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157.73099999999999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154.31710000000001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1.2218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1.2516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1.2369000000000001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1.173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1.1457999999999999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1.1644000000000001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1.1476999999999999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1.0847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0.97399999999999998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0.88119999999999998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0.78849999999999998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0.71940000000000004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0.65039999999999998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0.6028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0.55530000000000002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0.50629999999999997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0.45729999999999998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2.0394000000000001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2.0931000000000002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2.0278999999999998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2.0293999999999999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1.9984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2.0966999999999998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2.1183999999999998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2.0213000000000001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1.9826999999999999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1.8935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1.8044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1.8009999999999999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1.7975000000000001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1.7845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1.7715000000000001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1.7406999999999999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1.71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8.3000000000000004E-2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9.9599999999999994E-2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0.188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0.35120000000000001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0.4894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0.53710000000000002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0.53139999999999998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0.53539999999999999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0.53490000000000004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0.53920000000000001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0.54349999999999998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0.54849999999999999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0.55349999999999999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0.55269999999999997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0.55179999999999996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0.54930000000000001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0.54690000000000005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7.4999999999999997E-3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3.4700000000000002E-2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0.1052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0.2485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0.42480000000000001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0.51980000000000004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0.54100000000000004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0.54420000000000002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0.5635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0.63990000000000002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0.71630000000000005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0.81189999999999996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0.90759999999999996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0.98670000000000002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1.0658000000000001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1.1053999999999999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1.145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1.075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0.60819999999999996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0.17030000000000001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9.7999999999999997E-3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3.0000000000000001E-3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2.0000000000000001E-4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1E-4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1.0499000000000001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1.0878000000000001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0.85940000000000005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0.37009999999999998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3.5000000000000001E-3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2.5000000000000001E-3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1.8E-3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1E-3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4.0000000000000002E-4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2.0000000000000001E-4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6.3899999999999998E-2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5.1400000000000001E-2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1.41E-2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78.737700000000004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75.204899999999995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88.025999999999996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78.853099999999998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88.609099999999998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75.496200000000002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117.36750000000001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115.49460000000001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173.57560000000001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209.4888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245.40199999999999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237.43369999999999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229.46530000000001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226.9597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224.45410000000001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245.91730000000001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267.38060000000002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900.02200000000005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762.40700000000004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462.73399999999998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203.95830000000001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11.3375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-68.590599999999995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-89.2791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-97.956999999999994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-102.3404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-115.49420000000001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-128.64779999999999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-138.38200000000001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-148.11600000000001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-157.6156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-167.11519999999999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-176.25579999999999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-185.3965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920.46720000000005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782.60879999999997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489.48669999999998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237.45699999999999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51.036200000000001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-24.346900000000002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-40.631900000000002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-45.339700000000001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-49.816200000000002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-63.270600000000002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-76.724900000000005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-86.579300000000003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-96.433599999999998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-105.89879999999999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-115.364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-124.2967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-133.2294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19.584900000000001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52.617199999999997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80.695899999999995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94.662800000000004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101.9605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112.23099999999999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125.0562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134.4564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143.85669999999999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145.32669999999999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146.79660000000001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146.7131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146.62960000000001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144.50739999999999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142.3852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1.2218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1.2592000000000001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1.2853000000000001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1.2132000000000001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1.1297999999999999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1.0809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1.0542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1.0172000000000001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0.9546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0.86919999999999997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0.78380000000000005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0.71350000000000002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0.64329999999999998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0.59019999999999995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0.53700000000000003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0.48670000000000002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0.43630000000000002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2.0394000000000001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2.1095999999999999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2.1322999999999999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2.0284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1.9093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1.86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1.8668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1.8608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1.9479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1.8758999999999999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1.8038000000000001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1.7750999999999999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1.7463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1.7369000000000001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1.7275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1.7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1.6726000000000001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8.3000000000000004E-2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9.6600000000000005E-2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0.1825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0.33310000000000001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0.47049999999999997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0.52569999999999995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0.53120000000000001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0.54159999999999997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0.54549999999999998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0.54920000000000002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0.55289999999999995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0.55589999999999995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0.55879999999999996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0.55640000000000001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0.55400000000000005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0.55059999999999998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0.54710000000000003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7.4999999999999997E-3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3.8899999999999997E-2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8.4500000000000006E-2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0.1313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0.18640000000000001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0.2427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0.28560000000000002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0.30740000000000001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0.36870000000000003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0.38119999999999998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0.39360000000000001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0.37819999999999998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0.36280000000000001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0.32940000000000003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0.29609999999999997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0.27679999999999999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0.25750000000000001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1.075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0.6613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0.4904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0.15959999999999999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2.6200000000000001E-2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1.7899999999999999E-2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1.0200000000000001E-2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3.8999999999999998E-3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2.0000000000000001E-4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1E-4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1.0499000000000001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1.1377999999999999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1.0661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0.9647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0.66369999999999996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0.33529999999999999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0.1116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3.1699999999999999E-2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2.4199999999999999E-2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1.47E-2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5.1000000000000004E-3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3.8999999999999998E-3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2.7000000000000001E-3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2.7000000000000001E-3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2.5999999999999999E-3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2.5000000000000001E-3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2.3E-3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6.3899999999999998E-2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5.1400000000000001E-2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1.41E-2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78.737700000000004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80.968500000000006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85.814599999999999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81.268699999999995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80.344499999999996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90.440399999999997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109.06229999999999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116.8485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179.0463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224.0198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268.99340000000001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267.80259999999998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266.61180000000002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259.3843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252.1568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254.03149999999999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255.90620000000001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900.02200000000005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791.03880000000004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626.52560000000005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423.69510000000002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248.6816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136.87559999999999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64.944400000000002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20.270399999999999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-16.8033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-35.876399999999997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-54.949399999999997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-62.758499999999998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-70.567599999999999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-76.231200000000001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-81.894800000000004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-91.459000000000003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-101.023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920.46720000000005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810.42529999999999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647.2826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450.89960000000002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281.39789999999999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175.072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108.0977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68.242500000000007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32.418100000000003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14.0542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-4.3095999999999997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-11.874599999999999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-19.439599999999999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-24.9438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-30.4481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-39.843400000000003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-49.238700000000001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2.5999999999999999E-3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2.5999999999999999E-3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2.5999999999999999E-3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2.5999999999999999E-3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2.5999999999999999E-3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2.5999999999999999E-3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2.5999999999999999E-3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2.0999999999999999E-3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1.6999999999999999E-3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1E-3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2.9999999999999997E-4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2.9999999999999997E-4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2.9999999999999997E-4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2.0000000000000001E-4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1E-4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1.2218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1.2543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1.2687999999999999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1.2161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1.1368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1.0667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1.0049999999999999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0.92400000000000004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0.84130000000000005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0.76390000000000002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0.68659999999999999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0.62050000000000005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0.55449999999999999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0.50760000000000005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0.46079999999999999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0.42370000000000002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0.38650000000000001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2.0394000000000001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2.1052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2.1172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2.0707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1.9722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1.8559000000000001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1.7726999999999999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1.6998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1.6819999999999999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1.6374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1.5928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1.5775999999999999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1.5623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1.5602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1.5581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1.5495000000000001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1.5408999999999999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8.3000000000000004E-2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0.10299999999999999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0.17580000000000001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0.2848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0.38279999999999997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0.42659999999999998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0.43709999999999999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0.44950000000000001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0.4556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0.46260000000000001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0.46970000000000001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0.4743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0.47899999999999998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0.47839999999999999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0.47770000000000001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0.4763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0.47489999999999999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7.4999999999999997E-3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3.7100000000000001E-2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7.5999999999999998E-2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0.1128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0.14480000000000001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0.17699999999999999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0.20960000000000001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0.21479999999999999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0.21590000000000001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0.20899999999999999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0.20219999999999999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0.2069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0.21149999999999999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0.1953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0.17899999999999999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0.17100000000000001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0.16300000000000001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1.075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0.72960000000000003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0.56289999999999996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0.41970000000000002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0.35160000000000002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0.2797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0.20680000000000001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0.14330000000000001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7.17E-2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5.1700000000000003E-2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3.1600000000000003E-2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2.0899999999999998E-2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1.0200000000000001E-2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6.1000000000000004E-3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1.9E-3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1E-3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1.0499000000000001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1.2057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1.3305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1.4560999999999999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1.4295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1.3443000000000001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1.21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1.0403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0.79900000000000004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0.626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0.45300000000000001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0.32090000000000002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0.1888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0.1391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8.9499999999999996E-2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7.85E-2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6.7599999999999993E-2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6.3899999999999998E-2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5.1400000000000001E-2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1.41E-2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78.737700000000004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82.626900000000006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84.904799999999994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83.365799999999993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90.990700000000004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103.82859999999999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115.8028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122.1942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185.75479999999999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230.779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275.8032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280.93299999999999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286.06279999999998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285.44490000000002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284.82690000000002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280.19490000000002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275.56279999999998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900.02200000000005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819.42060000000004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737.05740000000003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665.14120000000003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599.9144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536.53240000000005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484.2466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425.43459999999999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356.0095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320.41759999999999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284.82589999999999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249.48150000000001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214.1371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189.17060000000001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164.20400000000001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144.95150000000001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125.699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920.46720000000005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838.48109999999997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756.61929999999995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687.45960000000002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626.22199999999998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567.09960000000001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518.72109999999998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461.13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392.97269999999997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358.36970000000002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323.76679999999999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289.30669999999998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254.8466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230.49369999999999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206.14070000000001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187.5796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169.01859999999999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2.5999999999999999E-3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2.3445999999999998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55.356400000000001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124.1365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155.6097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169.5385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172.86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169.78919999999999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166.7184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156.8665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147.0146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134.77269999999999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122.5307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119.98090000000001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117.4311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1.2218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1.2543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1.2687999999999999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1.2063999999999999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1.1312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1.0660000000000001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1.0891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1.0712999999999999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0.99850000000000005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0.89749999999999996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0.79649999999999999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0.72609999999999997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0.65569999999999995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0.60799999999999998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0.56040000000000001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0.50560000000000005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0.45079999999999998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2.0394000000000001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2.1052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2.1172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2.0384000000000002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1.7685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1.7878000000000001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1.9794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2.0373999999999999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2.0785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1.9406000000000001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1.8027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1.7723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1.7419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1.7397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1.7375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1.7061999999999999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1.6749000000000001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8.3000000000000004E-2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0.10299999999999999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0.17580000000000001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0.29630000000000001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0.39500000000000002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0.44230000000000003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0.45729999999999998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0.47049999999999997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0.47770000000000001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0.4854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0.49309999999999998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0.49869999999999998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0.50439999999999996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0.50470000000000004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0.505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0.50380000000000003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0.50260000000000005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7.4999999999999997E-3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3.7100000000000001E-2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7.5999999999999998E-2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0.1036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0.18429999999999999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0.40770000000000001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0.57640000000000002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0.67420000000000002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0.87939999999999996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1.0558000000000001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1.2323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1.3418000000000001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1.4514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1.4805999999999999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1.5097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1.4637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1.4177999999999999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1.075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0.72960000000000003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0.56289999999999996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0.33860000000000001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0.112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1.8800000000000001E-2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5.3E-3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2.0000000000000001E-4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1E-4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1.0499000000000001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1.2057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1.3305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1.3364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0.62629999999999997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7.4499999999999997E-2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1.37E-2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8.0999999999999996E-3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4.1999999999999997E-3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2.2000000000000001E-3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1E-4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1E-4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6.3899999999999998E-2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5.1400000000000001E-2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1.41E-2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78.737700000000004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82.626900000000006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84.904799999999994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64.033199999999994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94.825599999999994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120.5912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127.29300000000001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137.06270000000001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218.80359999999999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283.51190000000003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348.2201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376.3349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404.44970000000001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403.78179999999998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403.1139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406.98419999999999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410.85449999999997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900.02200000000005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819.42060000000004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737.05740000000003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603.74509999999998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217.9186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-13.9686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-88.665199999999999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-125.5314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-151.46199999999999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-164.19900000000001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-176.93600000000001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-170.88990000000001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-164.84379999999999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-157.21250000000001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-149.5812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-150.33330000000001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-151.08529999999999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920.46720000000005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838.48109999999997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756.61929999999995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628.55380000000002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253.5335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27.5229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-43.316699999999997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-76.385900000000007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-99.795500000000004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-112.8212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-125.8468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-119.9389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-114.0309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-106.4367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-98.842500000000001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-99.350899999999996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-99.859300000000005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2.5999999999999999E-3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1.5024999999999999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8.6213999999999995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39.692100000000003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56.259300000000003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66.124200000000002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72.583699999999993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76.906800000000004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81.229799999999997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86.128200000000007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91.026399999999995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98.569500000000005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106.1126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100.4783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94.844200000000001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1.2218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1.2543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1.2687999999999999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1.1697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1.0895999999999999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1.0671999999999999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1.0079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0.93769999999999998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0.84550000000000003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0.79600000000000004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0.74639999999999995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0.68779999999999997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0.62909999999999999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0.57350000000000001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0.51800000000000002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0.46820000000000001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0.41839999999999999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2.0394000000000001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2.1052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2.1172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2.1036999999999999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1.962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1.9419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1.8934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1.8069999999999999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1.7563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1.7426999999999999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1.7290000000000001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1.7105999999999999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1.6922999999999999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1.6702999999999999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1.6483000000000001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1.6124000000000001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1.5765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8.3000000000000004E-2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0.10299999999999999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0.17580000000000001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0.29509999999999997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0.3977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0.44340000000000002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0.45200000000000001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0.46639999999999998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0.47010000000000002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0.47620000000000001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0.48220000000000002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0.48449999999999999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0.48680000000000001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0.4864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0.4859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0.4839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0.4819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7.4999999999999997E-3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3.7100000000000001E-2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7.5999999999999998E-2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0.1022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0.14710000000000001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0.17469999999999999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0.19489999999999999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0.22289999999999999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0.4279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0.46679999999999999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0.50580000000000003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0.53090000000000004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0.55600000000000005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0.58430000000000004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0.61250000000000004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0.67979999999999996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0.74709999999999999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1.075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0.72960000000000003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0.56289999999999996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0.38790000000000002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0.16739999999999999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5.2299999999999999E-2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3.5700000000000003E-2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2.0299999999999999E-2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7.9000000000000008E-3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4.0000000000000001E-3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1E-4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1E-4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1.0499000000000001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1.2057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1.3305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1.4196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1.2788999999999999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1.1037999999999999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0.6895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0.33539999999999998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4.02E-2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3.0099999999999998E-2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0.02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1.9099999999999999E-2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1.83E-2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1.89E-2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1.9400000000000001E-2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2.12E-2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2.3099999999999999E-2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6.3899999999999998E-2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5.1400000000000001E-2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1.41E-2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78.737700000000004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82.626900000000006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84.904799999999994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77.267799999999994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92.180899999999994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108.09099999999999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126.5822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139.1694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215.9314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251.92949999999999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287.92759999999998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296.15300000000002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304.37830000000002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285.92399999999998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267.46960000000001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281.42660000000001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295.38350000000003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900.02200000000005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819.42060000000004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737.05740000000003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639.43179999999995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417.72230000000002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259.8295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156.24299999999999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82.179400000000001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21.5473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4.3231999999999999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-12.9008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-25.212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-37.523299999999999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-48.344200000000001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-59.164900000000003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-66.816000000000003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-74.466800000000006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920.46720000000005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838.48109999999997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756.61929999999995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662.30920000000003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446.15660000000003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292.50150000000002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192.9366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124.25530000000001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68.868700000000004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52.5242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36.179699999999997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24.104399999999998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12.029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1.36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-9.3089999999999993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-16.963899999999999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-24.6187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31.323899999999998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63.054099999999998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81.495000000000005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93.616500000000002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96.128900000000002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99.051699999999997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101.7141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109.1844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116.65479999999999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120.12260000000001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123.5904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126.2259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128.86170000000001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130.22710000000001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131.5926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1.2218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0.91439999999999999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0.76470000000000005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0.60629999999999995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0.52010000000000001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0.49940000000000001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0.47910000000000003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0.44359999999999999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0.40110000000000001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0.3705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0.34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0.32440000000000002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0.30890000000000001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0.30030000000000001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0.29170000000000001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0.2752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0.25869999999999999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2.0394000000000001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2.2614000000000001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2.0402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1.8843000000000001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1.8113999999999999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1.8882000000000001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1.9271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1.8222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1.7959000000000001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1.7150000000000001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1.6341000000000001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1.6426000000000001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1.6511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1.6587000000000001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1.6662999999999999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1.6456999999999999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1.625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8.3000000000000004E-2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9.1499999999999998E-2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0.16719999999999999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0.3014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0.41860000000000003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0.44950000000000001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0.4163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0.45419999999999999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0.4582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0.46029999999999999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0.46229999999999999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0.46489999999999998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0.46750000000000003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0.4652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0.46300000000000002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0.4597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0.45650000000000002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7.4999999999999997E-3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2.3400000000000001E-2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5.74E-2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0.14000000000000001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0.23480000000000001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0.28389999999999999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0.28560000000000002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0.27389999999999998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0.25580000000000003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0.25490000000000002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0.25409999999999999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0.24340000000000001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0.23269999999999999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0.2407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0.24859999999999999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0.25650000000000001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0.26429999999999998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1.075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0.61539999999999995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0.1757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9.7999999999999997E-3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3.0000000000000001E-3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2.0000000000000001E-4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2.0000000000000001E-4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1E-4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1.0499000000000001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1.0616000000000001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0.8357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0.36280000000000001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1.15E-2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3.3E-3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2.3999999999999998E-3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1.4E-3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1E-3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5.0000000000000001E-4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6.3899999999999998E-2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5.1400000000000001E-2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1.41E-2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78.737700000000004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45.959400000000002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67.019499999999994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70.984399999999994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79.991399999999999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74.314700000000002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110.18680000000001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114.2401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176.41829999999999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231.53280000000001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286.64729999999997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286.62079999999997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286.59440000000001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290.8732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295.15190000000001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283.33350000000002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271.51510000000002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900.02200000000005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740.25890000000004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383.6524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175.52950000000001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14.4925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-61.095999999999997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-84.433800000000005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-96.515100000000004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-105.53100000000001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-114.78100000000001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-124.03100000000001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-132.32810000000001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-140.62520000000001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-146.4314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-152.23759999999999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-157.12139999999999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-162.0052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920.46720000000005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762.1155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414.99900000000002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212.00700000000001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55.791699999999999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-15.8873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-35.668599999999998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-45.154800000000002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-53.941400000000002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-63.142000000000003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-72.342600000000004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-80.608000000000004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-88.873400000000004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-94.677099999999996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-100.4808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-105.39700000000001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-110.31319999999999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18.796500000000002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47.633000000000003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61.182400000000001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67.296099999999996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73.064499999999995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82.822400000000002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91.837699999999998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96.714399999999998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101.5911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99.083299999999994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96.575500000000005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87.041899999999998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77.508200000000002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74.629499999999993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71.750900000000001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1.2218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1.2562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1.2861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1.2098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1.1442000000000001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1.103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1.0701000000000001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0.98950000000000005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0.90849999999999997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0.82920000000000005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0.74980000000000002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0.68559999999999999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0.62150000000000005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0.5696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0.51770000000000005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0.46820000000000001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0.41870000000000002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2.0394000000000001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2.1074999999999999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2.1337000000000002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2.0169999999999999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1.9384999999999999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1.8936999999999999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1.8848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1.784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1.8117000000000001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1.7491000000000001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1.6863999999999999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1.6738999999999999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1.6614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1.6419999999999999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1.6226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1.5938000000000001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1.5649999999999999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8.3000000000000004E-2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0.104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0.1784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0.28799999999999998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0.38529999999999998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0.42899999999999999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0.4405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0.45379999999999998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0.46139999999999998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0.46870000000000001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0.47599999999999998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0.48099999999999998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0.4859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0.48509999999999998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0.48420000000000002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0.48199999999999998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0.47989999999999999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7.4999999999999997E-3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0.04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8.3500000000000005E-2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0.127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0.16220000000000001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0.19489999999999999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0.21440000000000001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0.23330000000000001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0.30909999999999999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0.44059999999999999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0.57210000000000005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0.72699999999999998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0.88190000000000002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1.0255000000000001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1.1692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1.1899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1.2107000000000001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1.075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0.68079999999999996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0.50460000000000005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0.17019999999999999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2.93E-2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2.5899999999999999E-2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2.1600000000000001E-2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1.5699999999999999E-2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6.7000000000000002E-3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3.3999999999999998E-3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1.0499000000000001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1.1678999999999999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1.157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1.1037999999999999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0.9274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0.68769999999999998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0.47789999999999999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0.2238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4.5199999999999997E-2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3.7699999999999997E-2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3.0200000000000001E-2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2.92E-2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2.8199999999999999E-2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0.03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3.1699999999999999E-2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3.1199999999999999E-2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3.0599999999999999E-2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6.3899999999999998E-2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5.1400000000000001E-2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1.41E-2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78.737700000000004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82.724999999999994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84.198700000000002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83.1708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89.649799999999999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101.7484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114.76519999999999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121.96550000000001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190.99979999999999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235.6163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280.23289999999997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281.79140000000001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283.34980000000002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286.69970000000001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290.04969999999997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291.39420000000001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292.73880000000003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900.02200000000005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801.01400000000001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642.68669999999997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465.45229999999998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333.6823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252.1763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187.2466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126.27930000000001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68.105999999999995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36.044899999999998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3.9836999999999998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-11.352600000000001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-26.6889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-36.958799999999997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-47.228700000000003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-50.161499999999997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-53.094299999999997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920.46720000000005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820.26279999999997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663.45569999999998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492.40069999999997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366.21260000000001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290.22320000000002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230.3579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174.38050000000001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117.4825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85.172600000000003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52.8626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37.316899999999997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21.771100000000001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11.2926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0.81410000000000005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-1.921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-4.6561000000000003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54.777500000000003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112.02509999999999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130.9607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139.5608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139.23750000000001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142.6113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143.37530000000001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149.99420000000001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156.61320000000001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160.6568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164.7002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164.36080000000001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164.0214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159.8365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155.65170000000001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1.2218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1.2513000000000001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1.2362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1.1787000000000001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1.1695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1.1881999999999999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1.1742999999999999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1.1142000000000001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1.0035000000000001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0.9073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0.81100000000000005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0.73850000000000005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0.66610000000000003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0.61619999999999997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0.56620000000000004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0.51770000000000005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0.46910000000000002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2.0394000000000001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2.0922999999999998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2.0247000000000002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2.0442999999999998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2.0297999999999998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2.1377999999999999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2.1684999999999999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2.0743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2.0409999999999999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1.9509000000000001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1.8609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1.8561000000000001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1.8512999999999999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1.8355999999999999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1.82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1.7887999999999999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1.7576000000000001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8.3000000000000004E-2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9.9900000000000003E-2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0.189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0.35549999999999998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0.49669999999999997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0.54669999999999996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0.54279999999999995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0.54859999999999998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0.54910000000000003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0.55410000000000004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0.55910000000000004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0.56399999999999995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0.56889999999999996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0.56759999999999999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0.56630000000000003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0.56389999999999996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0.5615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7.4999999999999997E-3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3.5000000000000003E-2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0.1145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0.26700000000000002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0.4501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0.53339999999999999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0.54579999999999995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0.54479999999999995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0.56210000000000004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0.6462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0.73019999999999996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0.82689999999999997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0.92349999999999999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0.99790000000000001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1.0722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1.1114999999999999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1.1507000000000001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1.075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0.61350000000000005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0.17419999999999999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9.7999999999999997E-3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3.0000000000000001E-3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2.0000000000000001E-4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1E-4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1.0499000000000001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1.0876999999999999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0.83760000000000001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0.35210000000000002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1.6999999999999999E-3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1.1000000000000001E-3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6.9999999999999999E-4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4.0000000000000002E-4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1E-4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6.3899999999999998E-2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5.1400000000000001E-2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1.41E-2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78.737700000000004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75.194299999999998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88.187299999999993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79.485299999999995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89.372200000000007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74.145300000000006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118.9277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114.0656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171.9708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208.0521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244.13339999999999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234.75360000000001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225.37379999999999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220.55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215.72620000000001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244.40639999999999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273.08670000000001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900.02200000000005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762.01880000000006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456.45179999999999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196.79300000000001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4.0312000000000001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-70.453400000000002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-89.185000000000002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-96.394000000000005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-99.915000000000006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-114.27379999999999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-128.6326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-138.01329999999999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-147.3938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-156.376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-165.358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-174.92599999999999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-184.494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920.46720000000005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782.33810000000005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482.0908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230.5076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43.889499999999998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-26.1479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-40.469799999999999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-43.6631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-47.317900000000002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-62.029400000000003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-76.740899999999996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-86.262900000000002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-95.784899999999993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-104.7184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-113.65179999999999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-122.9983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-132.3449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13.0052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53.522500000000001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82.658799999999999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97.280900000000003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105.4537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1.2218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1.2583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1.2871999999999999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1.2243999999999999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1.1311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1.0813999999999999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1.0581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2.0394000000000001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2.1078999999999999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2.1337999999999999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2.0406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1.913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1.8635999999999999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1.8789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8.3000000000000004E-2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9.64E-2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0.18240000000000001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0.3342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0.4733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0.53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0.53649999999999998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7.4999999999999997E-3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3.8199999999999998E-2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8.48E-2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0.1341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0.1925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0.25240000000000001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0.30420000000000003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1.075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0.65700000000000003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0.48730000000000001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0.1575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2.41E-2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1.6E-2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8.6E-3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1.0499000000000001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1.1388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1.0654999999999999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0.95989999999999998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0.61240000000000006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0.25650000000000001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3.6499999999999998E-2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6.3899999999999998E-2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5.1400000000000001E-2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1.41E-2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78.737700000000004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81.274299999999997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86.677899999999994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81.026499999999999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81.277799999999999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90.2577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110.074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900.02200000000005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790.3818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634.64829999999995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419.48759999999999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239.18379999999999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122.1313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47.575000000000003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920.46720000000005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809.5231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655.16459999999995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446.46120000000002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271.80840000000001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160.29249999999999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90.686400000000006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2.5999999999999999E-3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2.5999999999999999E-3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2.5999999999999999E-3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2.5999999999999999E-3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2.5999999999999999E-3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1.2218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1.2527999999999999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1.2689999999999999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1.2185999999999999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1.1413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1.0741000000000001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1.0159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2.0394000000000001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2.1032000000000002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2.1177999999999999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2.0737000000000001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1.9782999999999999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1.8658999999999999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1.7887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8.3000000000000004E-2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0.10290000000000001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0.17580000000000001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0.2853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0.3846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0.42980000000000002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0.442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7.4999999999999997E-3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3.7199999999999997E-2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7.6100000000000001E-2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0.1129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0.1457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0.1789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0.2127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1.075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0.72460000000000002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0.55979999999999996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0.41849999999999998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0.35199999999999998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0.28179999999999999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0.2102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1.0499000000000001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1.2057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1.3326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1.4619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1.4388000000000001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1.3562000000000001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1.2224999999999999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6.3899999999999998E-2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5.1400000000000001E-2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1.41E-2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78.737700000000004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82.728999999999999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85.019499999999994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83.570499999999996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91.216999999999999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104.33580000000001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116.5301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900.02200000000005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817.83090000000004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737.88869999999997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668.01760000000002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603.89089999999999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541.2704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489.1918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920.46720000000005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836.81079999999997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757.35350000000005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690.21709999999996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630.02419999999995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571.61540000000002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523.41300000000001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2.5999999999999999E-3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2.3483999999999998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55.963799999999999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126.7735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161.9778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1.2218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1.2527999999999999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1.2689999999999999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1.2083999999999999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1.1352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1.0739000000000001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1.0996999999999999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2.0394000000000001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2.1032000000000002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2.1177999999999999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2.0409000000000002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1.7748999999999999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1.8028999999999999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2.0063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8.3000000000000004E-2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0.10290000000000001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0.17580000000000001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0.29659999999999997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0.39689999999999998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0.44619999999999999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0.46289999999999998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7.4999999999999997E-3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3.7199999999999997E-2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7.6100000000000001E-2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0.104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0.18690000000000001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0.4219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0.61109999999999998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1.075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0.72460000000000002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0.55979999999999996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0.33600000000000002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0.10979999999999999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1.89E-2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5.4000000000000003E-3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1.0499000000000001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1.2057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1.3326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1.3393999999999999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0.62480000000000002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6.8099999999999994E-2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1.3599999999999999E-2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6.3899999999999998E-2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5.1400000000000001E-2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1.41E-2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78.737700000000004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82.728999999999999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85.019499999999994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64.824600000000004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95.132300000000001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121.6833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126.30540000000001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900.02200000000005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817.83090000000004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737.88869999999997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607.07000000000005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220.03370000000001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-14.340999999999999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-90.388900000000007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920.46720000000005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836.81079999999997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757.35350000000005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630.39350000000002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253.94239999999999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25.456299999999999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-46.5685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2.5999999999999999E-3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1.4975000000000001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8.3186999999999998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19.158999999999999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29.8673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1.2218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1.2527999999999999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1.2689999999999999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1.1865000000000001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1.0996999999999999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1.0749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1.0222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2.0394000000000001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2.1032000000000002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2.1177999999999999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2.1009000000000002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1.9745999999999999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1.974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1.8761000000000001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8.3000000000000004E-2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0.10290000000000001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0.17580000000000001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0.29339999999999999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0.39729999999999999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0.44719999999999999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0.45689999999999997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7.4999999999999997E-3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3.7199999999999997E-2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7.6100000000000001E-2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0.1056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0.14560000000000001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0.1799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0.21560000000000001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1.075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0.72460000000000002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0.55979999999999996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0.38819999999999999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0.16209999999999999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4.0300000000000002E-2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2.4400000000000002E-2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1.0499000000000001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1.2057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1.3326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1.4287000000000001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1.2831999999999999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1.0866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0.57740000000000002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6.3899999999999998E-2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5.1400000000000001E-2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1.41E-2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78.737700000000004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82.728999999999999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85.019499999999994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80.946299999999994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93.410499999999999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111.1375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134.10419999999999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900.02200000000005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817.83090000000004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737.88869999999997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643.32100000000003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422.85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276.30279999999999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156.43279999999999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920.46720000000005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836.81079999999997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757.35350000000005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666.11649999999997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451.11590000000001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308.98880000000003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193.33959999999999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32.077100000000002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64.108099999999993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83.243200000000002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95.012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97.076300000000003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1.2218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0.91320000000000001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0.76390000000000002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0.60780000000000001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0.52259999999999995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0.50239999999999996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0.48170000000000002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2.0394000000000001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2.2593000000000001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2.0375000000000001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1.8896999999999999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1.8209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1.9015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1.9402999999999999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8.3000000000000004E-2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9.1499999999999998E-2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0.16750000000000001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0.30299999999999999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0.4214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0.4531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0.41959999999999997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7.4999999999999997E-3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2.3400000000000001E-2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5.7799999999999997E-2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0.1419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0.23710000000000001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0.28239999999999998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0.28100000000000003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1.075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0.61009999999999998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0.17180000000000001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9.7999999999999997E-3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3.0000000000000001E-3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2.0000000000000001E-4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2.0000000000000001E-4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1.0499000000000001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1.0607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0.82879999999999998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0.35709999999999997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7.3000000000000001E-3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3.3E-3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2.3E-3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6.3899999999999998E-2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5.1400000000000001E-2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1.41E-2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78.737700000000004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46.112200000000001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67.363200000000006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71.202600000000004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80.425200000000004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74.097099999999998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107.9388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900.02200000000005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738.27260000000001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380.14589999999998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173.24350000000001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11.9095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-61.974600000000002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-84.039900000000003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920.46720000000005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760.298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411.60840000000002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209.9701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53.380499999999998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-16.6584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-35.191299999999998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10.974299999999999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45.4709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62.631500000000003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69.573599999999999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75.931399999999996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1.2218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1.2539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1.2856000000000001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1.2135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1.1489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1.1086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1.0784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2.0394000000000001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2.1038999999999999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2.1318000000000001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2.0169000000000001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1.9455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1.9039999999999999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1.9006000000000001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8.3000000000000004E-2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0.104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0.17860000000000001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0.28889999999999999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0.38740000000000002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0.43240000000000001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0.44529999999999997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7.4999999999999997E-3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3.95E-2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8.3599999999999994E-2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0.1283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0.16470000000000001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0.19889999999999999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0.21920000000000001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1.075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0.67559999999999998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0.50080000000000002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0.16750000000000001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2.92E-2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2.58E-2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2.1600000000000001E-2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1.0499000000000001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1.1669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1.1564000000000001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1.1032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0.92689999999999995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0.68230000000000002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0.46910000000000002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6.3899999999999998E-2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5.1400000000000001E-2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1.41E-2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78.737700000000004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82.979699999999994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84.222099999999998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83.076800000000006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89.883099999999999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102.33499999999999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115.5198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900.02200000000005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798.93409999999994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650.00400000000002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464.79489999999998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331.4871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248.1146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180.7859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920.46720000000005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818.21069999999997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670.81529999999998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491.77499999999998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364.01679999999999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286.12430000000001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223.82220000000001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55.7759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113.61369999999999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133.49260000000001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141.34139999999999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140.18559999999999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1.2218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1.2498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1.2349000000000001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1.181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1.1798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1.1949000000000001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1.1817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2.0394000000000001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2.0905999999999998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2.0217999999999998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2.0507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2.0421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2.1539000000000001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2.1876000000000002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8.3000000000000004E-2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0.1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0.18940000000000001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0.3574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0.4995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0.55069999999999997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0.54720000000000002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7.4999999999999997E-3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3.5200000000000002E-2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0.1148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0.27429999999999999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0.46639999999999998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0.53900000000000003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0.5464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1.075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0.60880000000000001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0.17069999999999999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9.7999999999999997E-3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3.0000000000000001E-3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2.0000000000000001E-4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1E-4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1.0499000000000001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1.0875999999999999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0.82989999999999997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0.3453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1.6999999999999999E-3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1.1000000000000001E-3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6.9999999999999999E-4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6.3899999999999998E-2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5.1400000000000001E-2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1.41E-2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78.737700000000004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75.506699999999995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89.299499999999995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79.845799999999997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90.434200000000004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73.712400000000002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118.87390000000001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900.02200000000005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760.36789999999996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453.0616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193.4084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-1.0815999999999999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-70.533500000000004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-89.404700000000005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920.46720000000005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780.69600000000003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480.08800000000002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227.0497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38.658099999999997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-26.477499999999999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-40.9373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2025-09-20T19:08:01Z</dcterms:modified>
</cp:coreProperties>
</file>