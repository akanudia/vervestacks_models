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SuppXLS\"/>
    </mc:Choice>
  </mc:AlternateContent>
  <xr:revisionPtr revIDLastSave="0" documentId="8_{C3C4D582-26D4-4228-A9F4-844A5D204361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11" i="7"/>
  <c r="C9" i="7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<sst xmlns="http://schemas.openxmlformats.org/spreadsheetml/2006/main" count="7226" uniqueCount="278">
  <si>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</si>
  <si>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</si>
  <si>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</si>
  <si>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</si>
  <si>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</si>
  <si>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</si>
  <si>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</si>
  <si>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</si>
  <si>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</si>
  <si>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</si>
  <si>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</si>
  <si>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</si>
  <si>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</si>
  <si>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</si>
  <si>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</si>
  <si>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</si>
  <si>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</si>
  <si>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</si>
  <si>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</si>
  <si>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</si>
  <si>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</si>
  <si>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</si>
  <si>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</si>
  <si>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</si>
  <si>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</si>
  <si>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</si>
  <si>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</si>
  <si>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</si>
  <si>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</si>
  <si>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</si>
  <si>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</si>
  <si>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</si>
  <si>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</si>
  <si>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</si>
  <si>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</si>
  <si>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</si>
  <si>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</si>
  <si>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</si>
  <si>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</si>
  <si>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</si>
  <si>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</si>
  <si>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</si>
  <si>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</si>
  <si>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</si>
  <si>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</si>
  <si>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</si>
  <si>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</si>
  <si>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</si>
  <si>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</si>
  <si>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</si>
  <si>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</si>
  <si>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</si>
  <si>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</si>
  <si>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</si>
  <si>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</si>
  <si>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</si>
  <si>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</si>
  <si>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</si>
  <si>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</si>
  <si>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</si>
  <si>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</si>
  <si>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</si>
  <si>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</si>
  <si>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</si>
  <si>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</si>
  <si>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</si>
  <si>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</si>
  <si>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</si>
  <si>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</si>
  <si>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</si>
  <si>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</si>
  <si>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</si>
  <si>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</si>
  <si>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</si>
  <si>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</si>
  <si>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</si>
  <si>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</si>
  <si>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</si>
  <si>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</si>
  <si>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</si>
  <si>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</si>
  <si>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</si>
  <si>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</si>
  <si>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</si>
  <si>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</si>
  <si>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</si>
  <si>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</si>
  <si>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</si>
  <si>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</si>
  <si>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</si>
  <si>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</si>
  <si>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</si>
  <si>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</si>
  <si>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</si>
  <si>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</si>
  <si>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</si>
  <si>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</si>
  <si>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</si>
  <si>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</si>
  <si>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</si>
  <si>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</si>
  <si>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</si>
  <si>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</si>
  <si>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</si>
  <si>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</si>
  <si>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</si>
  <si>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</si>
  <si>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</si>
  <si>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</si>
  <si>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</si>
  <si>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</si>
  <si>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</si>
  <si>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</si>
  <si>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</si>
  <si>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</si>
  <si>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</si>
  <si>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</si>
  <si>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</si>
  <si>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</si>
  <si>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</si>
  <si>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</si>
  <si>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</si>
  <si>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</si>
  <si>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</si>
  <si>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</si>
  <si>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</si>
  <si>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</si>
  <si>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</si>
  <si>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</si>
  <si>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</si>
  <si>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</si>
  <si>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</si>
  <si>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</si>
  <si>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</si>
  <si>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</si>
  <si>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</si>
  <si>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</si>
  <si>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</si>
  <si>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</si>
  <si>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</si>
  <si>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</si>
  <si>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</si>
  <si>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</si>
  <si>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BEL</t>
  </si>
  <si>
    <t>R10EUROPE</t>
  </si>
  <si>
    <t>Zeebrugge LNG, pellet imports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</si>
  <si>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</si>
  <si>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</si>
  <si>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</si>
  <si>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</si>
  <si>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</si>
  <si>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</si>
  <si>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</si>
  <si>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</si>
  <si>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</si>
  <si>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</si>
  <si>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</si>
  <si>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</si>
  <si>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</si>
  <si>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</si>
  <si>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</si>
  <si>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</si>
  <si>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</si>
  <si>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S01,S02,S03,S04,S05,S06,S07</t>
  </si>
  <si>
    <t>S04</t>
  </si>
  <si>
    <t>H04</t>
  </si>
  <si>
    <t>S05</t>
  </si>
  <si>
    <t>H05</t>
  </si>
  <si>
    <t>S06</t>
  </si>
  <si>
    <t>H06</t>
  </si>
  <si>
    <t>S07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</si>
  <si>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</si>
  <si>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</si>
  <si>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</si>
  <si>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</si>
  <si>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</si>
  <si>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</si>
  <si>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</si>
  <si>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</si>
  <si>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</si>
  <si>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</si>
  <si>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</si>
  <si>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</si>
  <si>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</si>
  <si>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</si>
  <si>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</si>
  <si>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</si>
  <si>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</si>
  <si>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</si>
  <si>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</si>
  <si>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</si>
  <si>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</si>
  <si>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</si>
  <si>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</si>
  <si>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</si>
  <si>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</si>
  <si>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</si>
  <si>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</si>
  <si>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</si>
  <si>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</si>
  <si>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</si>
  <si>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</si>
  <si>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</si>
  <si>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</si>
  <si>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</si>
  <si>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</si>
  <si>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</si>
  <si>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</si>
  <si>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</si>
  <si>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</si>
  <si>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</si>
  <si>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</si>
  <si>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</si>
  <si>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</si>
  <si>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</si>
  <si>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</si>
  <si>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</si>
  <si>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</si>
  <si>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</si>
  <si>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</si>
  <si>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</si>
  <si>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</si>
  <si>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</si>
  <si>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</si>
  <si>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</si>
  <si>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</si>
  <si>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</si>
  <si>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</si>
  <si>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</si>
  <si>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</si>
  <si>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</si>
  <si>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</si>
  <si>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</si>
  <si>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</si>
  <si>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</si>
  <si>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</si>
  <si>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</si>
  <si>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</si>
  <si>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</si>
  <si>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</si>
  <si>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</si>
  <si>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</si>
  <si>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</si>
  <si>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</si>
  <si>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</si>
  <si>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</si>
  <si>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</si>
  <si>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</si>
  <si>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S04aH03,S07aH04,S03aH03,S01aH04,S01aH03,S05aH03,S03aH04,S04aH04,S05aH04,S06aH03,S02aH03,S07aH03,S06aH04,S02aH04</t>
  </si>
  <si>
    <t>N</t>
  </si>
  <si>
    <t>S02aH01,S05aH02,S05aH06,S02aH02,S06aH06,S04aH02,S05aH01,S07aH02,S07aH06,S01aH05,S03aH06,S06aH05,S01aH02,S03aH01,S01aH06,S07aH01,S04aH05,S06aH01,S01aH01,S04aH01,S04aH06,S06aH02,S03aH02,S07aH05,S02aH05,S02aH06,S03aH05,S05aH05</t>
  </si>
  <si>
    <t>com_pkflx</t>
  </si>
  <si>
    <t>ncap_afs</t>
  </si>
  <si>
    <t>pset_ci</t>
  </si>
  <si>
    <t>hydro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</si>
  <si>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</si>
  <si>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</si>
  <si>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</si>
  <si>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</si>
  <si>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</si>
  <si>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</si>
  <si>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</si>
  <si>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</si>
  <si>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</si>
  <si>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</si>
  <si>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</si>
  <si>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</si>
  <si>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</si>
  <si>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</si>
  <si>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</si>
  <si>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</si>
  <si>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</si>
  <si>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</si>
  <si>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</si>
  <si>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</si>
  <si>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</si>
  <si>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FaP,SaP,WaD,FaD,WaP,SaD,RaD,RaP</t>
  </si>
  <si>
    <t>SaN,WaN,FaN,RaP,RaN,FaP,SaP,WaP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</si>
</sst>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87.039999999999992</c:v>
                </c:pt>
                <c:pt idx="1">
                  <c:v>91.391999999999996</c:v>
                </c:pt>
                <c:pt idx="2">
                  <c:v>101.83679999999998</c:v>
                </c:pt>
                <c:pt idx="3">
                  <c:v>114.89279999999999</c:v>
                </c:pt>
                <c:pt idx="4">
                  <c:v>130.56</c:v>
                </c:pt>
                <c:pt idx="5">
                  <c:v>146.22719999999998</c:v>
                </c:pt>
                <c:pt idx="6">
                  <c:v>157.54239999999999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87.039999999999992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87.039999999999992</v>
      </c>
      <c r="U14" s="8">
        <f t="shared" ref="U14:Z14" si="3">$S$12*J15</f>
        <v>91.391999999999996</v>
      </c>
      <c r="V14" s="8">
        <f t="shared" si="3"/>
        <v>101.83679999999998</v>
      </c>
      <c r="W14" s="8">
        <f t="shared" si="3"/>
        <v>114.89279999999999</v>
      </c>
      <c r="X14" s="8">
        <f t="shared" si="3"/>
        <v>130.56</v>
      </c>
      <c r="Y14" s="8">
        <f t="shared" si="3"/>
        <v>146.22719999999998</v>
      </c>
      <c r="Z14" s="8">
        <f t="shared" si="3"/>
        <v>157.54239999999999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1.0183679999999999</v>
      </c>
      <c r="W18" s="6">
        <f t="shared" si="7"/>
        <v>1.1489279999999999</v>
      </c>
      <c r="X18" s="6">
        <f t="shared" si="7"/>
        <v>1.3056000000000001</v>
      </c>
      <c r="Y18" s="6">
        <f t="shared" si="7"/>
        <v>2.9245439999999996</v>
      </c>
      <c r="Z18" s="6">
        <f t="shared" si="7"/>
        <v>4.7262719999999998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31.334399999999995</v>
      </c>
      <c r="U19" s="6">
        <f t="shared" si="7"/>
        <v>29.245439999999999</v>
      </c>
      <c r="V19" s="6">
        <f t="shared" si="7"/>
        <v>31.569407999999996</v>
      </c>
      <c r="W19" s="6">
        <f t="shared" si="7"/>
        <v>33.318911999999997</v>
      </c>
      <c r="X19" s="6">
        <f t="shared" si="7"/>
        <v>37.862400000000001</v>
      </c>
      <c r="Y19" s="6">
        <f t="shared" si="7"/>
        <v>42.40588799999999</v>
      </c>
      <c r="Z19" s="6">
        <f t="shared" si="7"/>
        <v>47.262719999999995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52.223999999999997</v>
      </c>
      <c r="U20" s="6">
        <f t="shared" si="7"/>
        <v>54.835199999999993</v>
      </c>
      <c r="V20" s="6">
        <f t="shared" si="7"/>
        <v>61.102079999999987</v>
      </c>
      <c r="W20" s="6">
        <f t="shared" si="7"/>
        <v>65.488895999999997</v>
      </c>
      <c r="X20" s="6">
        <f t="shared" si="7"/>
        <v>70.502400000000009</v>
      </c>
      <c r="Y20" s="6">
        <f t="shared" si="7"/>
        <v>76.038143999999988</v>
      </c>
      <c r="Z20" s="6">
        <f t="shared" si="7"/>
        <v>83.497472000000002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2.6111999999999997</v>
      </c>
      <c r="U21" s="6">
        <f t="shared" ref="U21:Z21" si="8">T21</f>
        <v>2.6111999999999997</v>
      </c>
      <c r="V21" s="6">
        <f t="shared" si="8"/>
        <v>2.6111999999999997</v>
      </c>
      <c r="W21" s="6">
        <f t="shared" si="8"/>
        <v>2.6111999999999997</v>
      </c>
      <c r="X21" s="6">
        <f t="shared" si="8"/>
        <v>2.6111999999999997</v>
      </c>
      <c r="Y21" s="6">
        <f t="shared" si="8"/>
        <v>2.6111999999999997</v>
      </c>
      <c r="Z21" s="6">
        <f t="shared" si="8"/>
        <v>2.6111999999999997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0.87040000000000362</v>
      </c>
      <c r="U22" s="6">
        <f t="shared" si="9"/>
        <v>4.700160000000011</v>
      </c>
      <c r="V22" s="6">
        <f t="shared" si="9"/>
        <v>6.5541120000000035</v>
      </c>
      <c r="W22" s="6">
        <f t="shared" si="9"/>
        <v>13.473792000000003</v>
      </c>
      <c r="X22" s="6">
        <f t="shared" si="9"/>
        <v>19.584000000000003</v>
      </c>
      <c r="Y22" s="6">
        <f t="shared" si="9"/>
        <v>25.171968000000007</v>
      </c>
      <c r="Z22" s="6">
        <f t="shared" si="9"/>
        <v>24.171008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16.350000000000001</v>
      </c>
      <c r="S28" t="s">
        <v>32</v>
      </c>
      <c r="T28" s="3">
        <f>Q28</f>
        <v>16.350000000000001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-23.88</v>
      </c>
      <c r="S29" t="s">
        <v>35</v>
      </c>
      <c r="T29" s="3">
        <f>-1*Q29</f>
        <v>23.88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15.2</v>
      </c>
      <c r="J46">
        <f t="shared" si="12"/>
        <v>15.504</v>
      </c>
      <c r="K46">
        <f t="shared" si="12"/>
        <v>16.111999999999998</v>
      </c>
      <c r="L46">
        <f t="shared" si="12"/>
        <v>16.263999999999999</v>
      </c>
      <c r="M46">
        <f t="shared" si="12"/>
        <v>16.416</v>
      </c>
      <c r="N46">
        <f t="shared" si="12"/>
        <v>16.72</v>
      </c>
      <c r="O46">
        <f t="shared" si="12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30</v>
      </c>
      <c r="O48">
        <f>VLOOKUP($E$5,$AK$9:$AM$15,3,FALSE)*I48</f>
        <v>90</v>
      </c>
      <c r="R48">
        <f>HLOOKUP($G48&amp;"_"&amp;R$44,fuel_prices!$B$10:$I$11,2,FALSE)</f>
        <v>26</v>
      </c>
      <c r="S48">
        <f>HLOOKUP($G48&amp;"_"&amp;S$44,fuel_prices!$B$10:$I$11,2,FALSE)</f>
        <v>34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4.3499999999999996</v>
      </c>
      <c r="D84">
        <v>10.28</v>
      </c>
      <c r="E84">
        <v>15.28</v>
      </c>
      <c r="F84" t="s">
        <v>149</v>
      </c>
    </row>
    <row r="85" spans="1:6" x14ac:dyDescent="0.45">
      <c r="A85" t="s">
        <v>32</v>
      </c>
      <c r="B85" t="s">
        <v>148</v>
      </c>
      <c r="C85">
        <v>0</v>
      </c>
      <c r="D85">
        <v>0</v>
      </c>
      <c r="E85">
        <v>0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26</v>
      </c>
      <c r="I11">
        <v>34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48.9</v>
      </c>
      <c r="D11">
        <v>36.229999999999997</v>
      </c>
      <c r="E11">
        <v>1.44</v>
      </c>
      <c r="F11">
        <v>0</v>
      </c>
      <c r="G11">
        <v>11.65</v>
      </c>
      <c r="H11">
        <v>-7.32</v>
      </c>
      <c r="I11">
        <v>82.77</v>
      </c>
    </row>
    <row r="12" spans="1:9" x14ac:dyDescent="0.45">
      <c r="A12" t="s">
        <v>143</v>
      </c>
      <c r="B12">
        <v>2001</v>
      </c>
      <c r="C12">
        <v>48.27</v>
      </c>
      <c r="D12">
        <v>37.450000000000003</v>
      </c>
      <c r="E12">
        <v>1.46</v>
      </c>
      <c r="F12">
        <v>0</v>
      </c>
      <c r="G12">
        <v>15.82</v>
      </c>
      <c r="H12">
        <v>-6.71</v>
      </c>
      <c r="I12">
        <v>78.62</v>
      </c>
    </row>
    <row r="13" spans="1:9" x14ac:dyDescent="0.45">
      <c r="A13" t="s">
        <v>143</v>
      </c>
      <c r="B13">
        <v>2002</v>
      </c>
      <c r="C13">
        <v>48.45</v>
      </c>
      <c r="D13">
        <v>38.06</v>
      </c>
      <c r="E13">
        <v>1.45</v>
      </c>
      <c r="F13">
        <v>0</v>
      </c>
      <c r="G13">
        <v>16.66</v>
      </c>
      <c r="H13">
        <v>-9.07</v>
      </c>
      <c r="I13">
        <v>80.94</v>
      </c>
    </row>
    <row r="14" spans="1:9" x14ac:dyDescent="0.45">
      <c r="A14" t="s">
        <v>143</v>
      </c>
      <c r="B14">
        <v>2003</v>
      </c>
      <c r="C14">
        <v>49.69</v>
      </c>
      <c r="D14">
        <v>38.21</v>
      </c>
      <c r="E14">
        <v>1.49</v>
      </c>
      <c r="F14">
        <v>0</v>
      </c>
      <c r="G14">
        <v>14.66</v>
      </c>
      <c r="H14">
        <v>-8.25</v>
      </c>
      <c r="I14">
        <v>83.56</v>
      </c>
    </row>
    <row r="15" spans="1:9" x14ac:dyDescent="0.45">
      <c r="A15" t="s">
        <v>143</v>
      </c>
      <c r="B15">
        <v>2004</v>
      </c>
      <c r="C15">
        <v>48.23</v>
      </c>
      <c r="D15">
        <v>40.11</v>
      </c>
      <c r="E15">
        <v>1.66</v>
      </c>
      <c r="F15">
        <v>0</v>
      </c>
      <c r="G15">
        <v>14.57</v>
      </c>
      <c r="H15">
        <v>-6.79</v>
      </c>
      <c r="I15">
        <v>82.92</v>
      </c>
    </row>
    <row r="16" spans="1:9" x14ac:dyDescent="0.45">
      <c r="A16" t="s">
        <v>143</v>
      </c>
      <c r="B16">
        <v>2005</v>
      </c>
      <c r="C16">
        <v>47.96</v>
      </c>
      <c r="D16">
        <v>40.82</v>
      </c>
      <c r="E16">
        <v>1.67</v>
      </c>
      <c r="F16">
        <v>0</v>
      </c>
      <c r="G16">
        <v>14.33</v>
      </c>
      <c r="H16">
        <v>-8.02</v>
      </c>
      <c r="I16">
        <v>84.36</v>
      </c>
    </row>
    <row r="17" spans="1:9" x14ac:dyDescent="0.45">
      <c r="A17" t="s">
        <v>143</v>
      </c>
      <c r="B17">
        <v>2006</v>
      </c>
      <c r="C17">
        <v>50.37</v>
      </c>
      <c r="D17">
        <v>41.12</v>
      </c>
      <c r="E17">
        <v>1.74</v>
      </c>
      <c r="F17">
        <v>0</v>
      </c>
      <c r="G17">
        <v>18.850000000000001</v>
      </c>
      <c r="H17">
        <v>-8.6999999999999993</v>
      </c>
      <c r="I17">
        <v>83.32</v>
      </c>
    </row>
    <row r="18" spans="1:9" x14ac:dyDescent="0.45">
      <c r="A18" t="s">
        <v>143</v>
      </c>
      <c r="B18">
        <v>2007</v>
      </c>
      <c r="C18">
        <v>50.36</v>
      </c>
      <c r="D18">
        <v>41.45</v>
      </c>
      <c r="E18">
        <v>1.72</v>
      </c>
      <c r="F18">
        <v>0</v>
      </c>
      <c r="G18">
        <v>15.82</v>
      </c>
      <c r="H18">
        <v>-9.0399999999999991</v>
      </c>
      <c r="I18">
        <v>86.81</v>
      </c>
    </row>
    <row r="19" spans="1:9" x14ac:dyDescent="0.45">
      <c r="A19" t="s">
        <v>143</v>
      </c>
      <c r="B19">
        <v>2008</v>
      </c>
      <c r="C19">
        <v>49.13</v>
      </c>
      <c r="D19">
        <v>42.62</v>
      </c>
      <c r="E19">
        <v>1.76</v>
      </c>
      <c r="F19">
        <v>0</v>
      </c>
      <c r="G19">
        <v>17.16</v>
      </c>
      <c r="H19">
        <v>-6.56</v>
      </c>
      <c r="I19">
        <v>83.05</v>
      </c>
    </row>
    <row r="20" spans="1:9" x14ac:dyDescent="0.45">
      <c r="A20" t="s">
        <v>143</v>
      </c>
      <c r="B20">
        <v>2009</v>
      </c>
      <c r="C20">
        <v>43.2</v>
      </c>
      <c r="D20">
        <v>43.33</v>
      </c>
      <c r="E20">
        <v>1.66</v>
      </c>
      <c r="F20">
        <v>0</v>
      </c>
      <c r="G20">
        <v>9.49</v>
      </c>
      <c r="H20">
        <v>-11.32</v>
      </c>
      <c r="I20">
        <v>89.75</v>
      </c>
    </row>
    <row r="21" spans="1:9" x14ac:dyDescent="0.45">
      <c r="A21" t="s">
        <v>143</v>
      </c>
      <c r="B21">
        <v>2010</v>
      </c>
      <c r="C21">
        <v>49.16</v>
      </c>
      <c r="D21">
        <v>43.82</v>
      </c>
      <c r="E21">
        <v>1.71</v>
      </c>
      <c r="F21">
        <v>0</v>
      </c>
      <c r="G21">
        <v>12.4</v>
      </c>
      <c r="H21">
        <v>-11.84</v>
      </c>
      <c r="I21">
        <v>93.23</v>
      </c>
    </row>
    <row r="22" spans="1:9" x14ac:dyDescent="0.45">
      <c r="A22" t="s">
        <v>143</v>
      </c>
      <c r="B22">
        <v>2011</v>
      </c>
      <c r="C22">
        <v>48.2</v>
      </c>
      <c r="D22">
        <v>42.35</v>
      </c>
      <c r="E22">
        <v>1.64</v>
      </c>
      <c r="F22">
        <v>0</v>
      </c>
      <c r="G22">
        <v>13.19</v>
      </c>
      <c r="H22">
        <v>-10.65</v>
      </c>
      <c r="I22">
        <v>89.36</v>
      </c>
    </row>
    <row r="23" spans="1:9" x14ac:dyDescent="0.45">
      <c r="A23" t="s">
        <v>143</v>
      </c>
      <c r="B23">
        <v>2012</v>
      </c>
      <c r="C23">
        <v>47.01</v>
      </c>
      <c r="D23">
        <v>43.16</v>
      </c>
      <c r="E23">
        <v>1.55</v>
      </c>
      <c r="F23">
        <v>0</v>
      </c>
      <c r="G23">
        <v>16.850000000000001</v>
      </c>
      <c r="H23">
        <v>-6.91</v>
      </c>
      <c r="I23">
        <v>81.739999999999995</v>
      </c>
    </row>
    <row r="24" spans="1:9" x14ac:dyDescent="0.45">
      <c r="A24" t="s">
        <v>143</v>
      </c>
      <c r="B24">
        <v>2013</v>
      </c>
      <c r="C24">
        <v>46.41</v>
      </c>
      <c r="D24">
        <v>43.5</v>
      </c>
      <c r="E24">
        <v>1.6</v>
      </c>
      <c r="F24">
        <v>0</v>
      </c>
      <c r="G24">
        <v>17.239999999999998</v>
      </c>
      <c r="H24">
        <v>-7.6</v>
      </c>
      <c r="I24">
        <v>82.17</v>
      </c>
    </row>
    <row r="25" spans="1:9" x14ac:dyDescent="0.45">
      <c r="A25" t="s">
        <v>143</v>
      </c>
      <c r="B25">
        <v>2014</v>
      </c>
      <c r="C25">
        <v>46</v>
      </c>
      <c r="D25">
        <v>41.5</v>
      </c>
      <c r="E25">
        <v>1.53</v>
      </c>
      <c r="F25">
        <v>0.01</v>
      </c>
      <c r="G25">
        <v>21.79</v>
      </c>
      <c r="H25">
        <v>-4.1900000000000004</v>
      </c>
      <c r="I25">
        <v>71.37</v>
      </c>
    </row>
    <row r="26" spans="1:9" x14ac:dyDescent="0.45">
      <c r="A26" t="s">
        <v>143</v>
      </c>
      <c r="B26">
        <v>2015</v>
      </c>
      <c r="C26">
        <v>45.76</v>
      </c>
      <c r="D26">
        <v>41.78</v>
      </c>
      <c r="E26">
        <v>1.55</v>
      </c>
      <c r="F26">
        <v>0.01</v>
      </c>
      <c r="G26">
        <v>23.71</v>
      </c>
      <c r="H26">
        <v>-2.72</v>
      </c>
      <c r="I26">
        <v>68.61</v>
      </c>
    </row>
    <row r="27" spans="1:9" x14ac:dyDescent="0.45">
      <c r="A27" t="s">
        <v>143</v>
      </c>
      <c r="B27">
        <v>2016</v>
      </c>
      <c r="C27">
        <v>46.91</v>
      </c>
      <c r="D27">
        <v>42.05</v>
      </c>
      <c r="E27">
        <v>1.56</v>
      </c>
      <c r="F27">
        <v>0.03</v>
      </c>
      <c r="G27">
        <v>14.65</v>
      </c>
      <c r="H27">
        <v>-8.4700000000000006</v>
      </c>
      <c r="I27">
        <v>84.49</v>
      </c>
    </row>
    <row r="28" spans="1:9" x14ac:dyDescent="0.45">
      <c r="A28" t="s">
        <v>143</v>
      </c>
      <c r="B28">
        <v>2017</v>
      </c>
      <c r="C28">
        <v>47.55</v>
      </c>
      <c r="D28">
        <v>41.72</v>
      </c>
      <c r="E28">
        <v>1.59</v>
      </c>
      <c r="F28">
        <v>0.05</v>
      </c>
      <c r="G28">
        <v>14.19</v>
      </c>
      <c r="H28">
        <v>-8.17</v>
      </c>
      <c r="I28">
        <v>85.49</v>
      </c>
    </row>
    <row r="29" spans="1:9" x14ac:dyDescent="0.45">
      <c r="A29" t="s">
        <v>143</v>
      </c>
      <c r="B29">
        <v>2018</v>
      </c>
      <c r="C29">
        <v>47.44</v>
      </c>
      <c r="D29">
        <v>41.9</v>
      </c>
      <c r="E29">
        <v>1.6</v>
      </c>
      <c r="F29">
        <v>7.0000000000000007E-2</v>
      </c>
      <c r="G29">
        <v>21.64</v>
      </c>
      <c r="H29">
        <v>-4.3099999999999996</v>
      </c>
      <c r="I29">
        <v>74.02</v>
      </c>
    </row>
    <row r="30" spans="1:9" x14ac:dyDescent="0.45">
      <c r="A30" t="s">
        <v>143</v>
      </c>
      <c r="B30">
        <v>2019</v>
      </c>
      <c r="C30">
        <v>47.29</v>
      </c>
      <c r="D30">
        <v>41.64</v>
      </c>
      <c r="E30">
        <v>1.61</v>
      </c>
      <c r="F30">
        <v>0.12</v>
      </c>
      <c r="G30">
        <v>12.73</v>
      </c>
      <c r="H30">
        <v>-14.59</v>
      </c>
      <c r="I30">
        <v>92.77</v>
      </c>
    </row>
    <row r="31" spans="1:9" x14ac:dyDescent="0.45">
      <c r="A31" t="s">
        <v>143</v>
      </c>
      <c r="B31">
        <v>2020</v>
      </c>
      <c r="C31">
        <v>44.7</v>
      </c>
      <c r="D31">
        <v>40.869999999999997</v>
      </c>
      <c r="E31">
        <v>1.46</v>
      </c>
      <c r="F31">
        <v>0.14000000000000001</v>
      </c>
      <c r="G31">
        <v>13.72</v>
      </c>
      <c r="H31">
        <v>-14.05</v>
      </c>
      <c r="I31">
        <v>88.41</v>
      </c>
    </row>
    <row r="32" spans="1:9" x14ac:dyDescent="0.45">
      <c r="A32" t="s">
        <v>143</v>
      </c>
      <c r="B32">
        <v>2021</v>
      </c>
      <c r="C32">
        <v>47.3</v>
      </c>
      <c r="D32">
        <v>41.27</v>
      </c>
      <c r="E32">
        <v>1.52</v>
      </c>
      <c r="F32">
        <v>0.25</v>
      </c>
      <c r="G32">
        <v>15.19</v>
      </c>
      <c r="H32">
        <v>-23.07</v>
      </c>
      <c r="I32">
        <v>99.53</v>
      </c>
    </row>
    <row r="33" spans="1:9" x14ac:dyDescent="0.45">
      <c r="A33" t="s">
        <v>143</v>
      </c>
      <c r="B33">
        <v>2022</v>
      </c>
      <c r="C33">
        <v>45.88</v>
      </c>
      <c r="D33">
        <v>37.119999999999997</v>
      </c>
      <c r="E33">
        <v>1.48</v>
      </c>
      <c r="F33">
        <v>0.48</v>
      </c>
      <c r="G33">
        <v>16.350000000000001</v>
      </c>
      <c r="H33">
        <v>-23.88</v>
      </c>
      <c r="I33">
        <v>94.57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0" x14ac:dyDescent="0.45">
      <c r="A10" t="str">
        <f>IFERROR(Veda!D5,"ts_12t")</f>
        <v>ts_annual</v>
      </c>
      <c r="B10" s="15"/>
      <c r="C10" s="15" t="s">
        <v>246</v>
      </c>
      <c r="D10" t="s">
        <v>126</v>
      </c>
      <c r="F10" t="s">
        <v>246</v>
      </c>
      <c r="G10" t="s">
        <v>106</v>
      </c>
      <c r="I10" t="s">
        <v>246</v>
      </c>
      <c r="J10" t="s">
        <v>131</v>
      </c>
    </row>
    <row r="11" spans="1:10" x14ac:dyDescent="0.45">
      <c r="B11" s="15"/>
      <c r="C11" s="15" t="s">
        <v>247</v>
      </c>
      <c r="D11" t="s">
        <v>248</v>
      </c>
      <c r="F11" t="s">
        <v>247</v>
      </c>
      <c r="G11" t="s">
        <v>257</v>
      </c>
      <c r="I11" t="s">
        <v>247</v>
      </c>
      <c r="J11" t="s">
        <v>276</v>
      </c>
    </row>
    <row r="12" spans="1:10" x14ac:dyDescent="0.45">
      <c r="B12" s="15"/>
      <c r="C12" s="15" t="s">
        <v>249</v>
      </c>
      <c r="D12" t="s">
        <v>250</v>
      </c>
      <c r="F12" t="s">
        <v>249</v>
      </c>
      <c r="G12" t="s">
        <v>257</v>
      </c>
      <c r="I12" t="s">
        <v>249</v>
      </c>
      <c r="J12" t="s">
        <v>277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2023-6983-4B05-86B3-F8337114AA43}">
  <dimension ref="A9:G13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</row>
    <row r="11" spans="1:7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156</v>
      </c>
    </row>
    <row r="12" spans="1:7" x14ac:dyDescent="0.45">
      <c r="C12" t="s">
        <v>159</v>
      </c>
      <c r="E12" t="s">
        <v>160</v>
      </c>
      <c r="G12" t="s">
        <v>156</v>
      </c>
    </row>
    <row r="13" spans="1:7" x14ac:dyDescent="0.45">
      <c r="C13" t="s">
        <v>161</v>
      </c>
      <c r="E13" t="s">
        <v>162</v>
      </c>
      <c r="G13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71EC-CA9B-4B42-9AC9-F381EA32EB2C}">
  <dimension ref="A9:AN4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171</v>
      </c>
      <c r="L10" t="s">
        <v>30</v>
      </c>
      <c r="N10" t="s">
        <v>13</v>
      </c>
      <c r="O10" t="s">
        <v>121</v>
      </c>
      <c r="P10" t="s">
        <v>171</v>
      </c>
      <c r="Q10" t="s">
        <v>30</v>
      </c>
      <c r="S10" t="s">
        <v>13</v>
      </c>
      <c r="T10" t="s">
        <v>121</v>
      </c>
      <c r="U10" t="s">
        <v>171</v>
      </c>
      <c r="V10" t="s">
        <v>30</v>
      </c>
      <c r="X10" t="s">
        <v>245</v>
      </c>
      <c r="Y10" t="s">
        <v>171</v>
      </c>
      <c r="Z10" t="s">
        <v>121</v>
      </c>
      <c r="AA10" t="s">
        <v>13</v>
      </c>
      <c r="AC10" t="s">
        <v>13</v>
      </c>
      <c r="AD10" t="s">
        <v>121</v>
      </c>
      <c r="AE10" t="s">
        <v>171</v>
      </c>
      <c r="AG10" t="s">
        <v>13</v>
      </c>
      <c r="AH10" t="s">
        <v>121</v>
      </c>
      <c r="AI10" t="s">
        <v>251</v>
      </c>
      <c r="AK10" t="s">
        <v>47</v>
      </c>
      <c r="AL10" t="s">
        <v>121</v>
      </c>
      <c r="AM10" t="s">
        <v>252</v>
      </c>
      <c r="AN10" t="s">
        <v>253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163</v>
      </c>
      <c r="G11" t="s">
        <v>156</v>
      </c>
      <c r="I11" t="s">
        <v>172</v>
      </c>
      <c r="J11" t="s">
        <v>173</v>
      </c>
      <c r="K11">
        <v>0</v>
      </c>
      <c r="L11" t="s">
        <v>174</v>
      </c>
      <c r="N11" t="s">
        <v>225</v>
      </c>
      <c r="O11" t="s">
        <v>173</v>
      </c>
      <c r="P11">
        <v>1.9719587638700433E-2</v>
      </c>
      <c r="Q11" t="s">
        <v>174</v>
      </c>
      <c r="S11" t="s">
        <v>235</v>
      </c>
      <c r="T11" t="s">
        <v>173</v>
      </c>
      <c r="U11">
        <v>1.9719587638700433E-2</v>
      </c>
      <c r="V11" t="s">
        <v>174</v>
      </c>
      <c r="X11">
        <v>1.7694063926940638E-2</v>
      </c>
      <c r="Y11">
        <v>2.7539798954163875E-3</v>
      </c>
      <c r="Z11" t="s">
        <v>173</v>
      </c>
      <c r="AA11" t="s">
        <v>25</v>
      </c>
      <c r="AC11" t="s">
        <v>22</v>
      </c>
      <c r="AD11" t="s">
        <v>173</v>
      </c>
      <c r="AE11">
        <v>1.6736976329167895E-2</v>
      </c>
      <c r="AG11" t="s">
        <v>96</v>
      </c>
      <c r="AH11" t="s">
        <v>173</v>
      </c>
      <c r="AI11">
        <v>0.10204093048927376</v>
      </c>
      <c r="AK11">
        <v>2020</v>
      </c>
      <c r="AL11" t="s">
        <v>155</v>
      </c>
      <c r="AM11">
        <v>0.36656891495601168</v>
      </c>
      <c r="AN11" t="s">
        <v>254</v>
      </c>
    </row>
    <row r="12" spans="1:40" x14ac:dyDescent="0.45">
      <c r="C12" t="s">
        <v>159</v>
      </c>
      <c r="E12" t="s">
        <v>160</v>
      </c>
      <c r="G12" t="s">
        <v>156</v>
      </c>
      <c r="I12" t="s">
        <v>172</v>
      </c>
      <c r="J12" t="s">
        <v>175</v>
      </c>
      <c r="K12">
        <v>0</v>
      </c>
      <c r="L12" t="s">
        <v>174</v>
      </c>
      <c r="N12" t="s">
        <v>225</v>
      </c>
      <c r="O12" t="s">
        <v>175</v>
      </c>
      <c r="P12">
        <v>3.8563605039376005E-3</v>
      </c>
      <c r="Q12" t="s">
        <v>174</v>
      </c>
      <c r="S12" t="s">
        <v>235</v>
      </c>
      <c r="T12" t="s">
        <v>175</v>
      </c>
      <c r="U12">
        <v>3.8563605039376005E-3</v>
      </c>
      <c r="V12" t="s">
        <v>174</v>
      </c>
      <c r="X12">
        <v>3.5388127853881279E-3</v>
      </c>
      <c r="Y12">
        <v>1.7880317231434744E-3</v>
      </c>
      <c r="Z12" t="s">
        <v>175</v>
      </c>
      <c r="AA12" t="s">
        <v>25</v>
      </c>
      <c r="AC12" t="s">
        <v>22</v>
      </c>
      <c r="AD12" t="s">
        <v>175</v>
      </c>
      <c r="AE12">
        <v>4.1353560155800119E-3</v>
      </c>
      <c r="AG12" t="s">
        <v>96</v>
      </c>
      <c r="AH12" t="s">
        <v>175</v>
      </c>
      <c r="AI12">
        <v>9.4112604391350052E-2</v>
      </c>
      <c r="AK12">
        <v>2020</v>
      </c>
      <c r="AL12" t="s">
        <v>159</v>
      </c>
      <c r="AM12">
        <v>0.25280614824552528</v>
      </c>
      <c r="AN12" t="s">
        <v>254</v>
      </c>
    </row>
    <row r="13" spans="1:40" x14ac:dyDescent="0.45">
      <c r="C13" t="s">
        <v>161</v>
      </c>
      <c r="E13" t="s">
        <v>162</v>
      </c>
      <c r="G13" t="s">
        <v>156</v>
      </c>
      <c r="I13" t="s">
        <v>172</v>
      </c>
      <c r="J13" t="s">
        <v>176</v>
      </c>
      <c r="K13">
        <v>1.3968848272694077E-5</v>
      </c>
      <c r="L13" t="s">
        <v>174</v>
      </c>
      <c r="N13" t="s">
        <v>225</v>
      </c>
      <c r="O13" t="s">
        <v>176</v>
      </c>
      <c r="P13">
        <v>1.1139311178843292E-2</v>
      </c>
      <c r="Q13" t="s">
        <v>174</v>
      </c>
      <c r="S13" t="s">
        <v>235</v>
      </c>
      <c r="T13" t="s">
        <v>176</v>
      </c>
      <c r="U13">
        <v>1.1139311178843292E-2</v>
      </c>
      <c r="V13" t="s">
        <v>174</v>
      </c>
      <c r="X13">
        <v>1.0616438356164383E-2</v>
      </c>
      <c r="Y13">
        <v>1.5670967688470115E-2</v>
      </c>
      <c r="Z13" t="s">
        <v>176</v>
      </c>
      <c r="AA13" t="s">
        <v>25</v>
      </c>
      <c r="AC13" t="s">
        <v>22</v>
      </c>
      <c r="AD13" t="s">
        <v>176</v>
      </c>
      <c r="AE13">
        <v>1.4523179116219016E-2</v>
      </c>
      <c r="AG13" t="s">
        <v>96</v>
      </c>
      <c r="AH13" t="s">
        <v>176</v>
      </c>
      <c r="AI13">
        <v>8.5413665548859541E-2</v>
      </c>
      <c r="AK13">
        <v>2020</v>
      </c>
      <c r="AL13" t="s">
        <v>161</v>
      </c>
      <c r="AM13">
        <v>0.12524437927663729</v>
      </c>
      <c r="AN13" t="s">
        <v>254</v>
      </c>
    </row>
    <row r="14" spans="1:40" x14ac:dyDescent="0.45">
      <c r="C14" t="s">
        <v>164</v>
      </c>
      <c r="E14" t="s">
        <v>165</v>
      </c>
      <c r="G14" t="s">
        <v>156</v>
      </c>
      <c r="I14" t="s">
        <v>172</v>
      </c>
      <c r="J14" t="s">
        <v>177</v>
      </c>
      <c r="K14">
        <v>2.087676898905939E-2</v>
      </c>
      <c r="L14" t="s">
        <v>174</v>
      </c>
      <c r="N14" t="s">
        <v>225</v>
      </c>
      <c r="O14" t="s">
        <v>177</v>
      </c>
      <c r="P14">
        <v>2.2160039786984463E-2</v>
      </c>
      <c r="Q14" t="s">
        <v>174</v>
      </c>
      <c r="S14" t="s">
        <v>235</v>
      </c>
      <c r="T14" t="s">
        <v>177</v>
      </c>
      <c r="U14">
        <v>2.2160039786984463E-2</v>
      </c>
      <c r="V14" t="s">
        <v>174</v>
      </c>
      <c r="X14">
        <v>2.4771689497716895E-2</v>
      </c>
      <c r="Y14">
        <v>3.2246227282897846E-2</v>
      </c>
      <c r="Z14" t="s">
        <v>177</v>
      </c>
      <c r="AA14" t="s">
        <v>25</v>
      </c>
      <c r="AC14" t="s">
        <v>22</v>
      </c>
      <c r="AD14" t="s">
        <v>177</v>
      </c>
      <c r="AE14">
        <v>3.5291112852949197E-2</v>
      </c>
      <c r="AG14" t="s">
        <v>96</v>
      </c>
      <c r="AH14" t="s">
        <v>177</v>
      </c>
      <c r="AI14">
        <v>6.4639613817225827E-2</v>
      </c>
      <c r="AK14">
        <v>2020</v>
      </c>
      <c r="AL14" t="s">
        <v>164</v>
      </c>
      <c r="AM14">
        <v>0</v>
      </c>
      <c r="AN14" t="s">
        <v>254</v>
      </c>
    </row>
    <row r="15" spans="1:40" x14ac:dyDescent="0.45">
      <c r="C15" t="s">
        <v>166</v>
      </c>
      <c r="E15" t="s">
        <v>167</v>
      </c>
      <c r="G15" t="s">
        <v>156</v>
      </c>
      <c r="I15" t="s">
        <v>172</v>
      </c>
      <c r="J15" t="s">
        <v>178</v>
      </c>
      <c r="K15">
        <v>1.6668521545258404E-3</v>
      </c>
      <c r="L15" t="s">
        <v>174</v>
      </c>
      <c r="N15" t="s">
        <v>225</v>
      </c>
      <c r="O15" t="s">
        <v>178</v>
      </c>
      <c r="P15">
        <v>2.5828056549886385E-2</v>
      </c>
      <c r="Q15" t="s">
        <v>174</v>
      </c>
      <c r="S15" t="s">
        <v>235</v>
      </c>
      <c r="T15" t="s">
        <v>178</v>
      </c>
      <c r="U15">
        <v>2.5828056549886385E-2</v>
      </c>
      <c r="V15" t="s">
        <v>174</v>
      </c>
      <c r="X15">
        <v>2.4771689497716895E-2</v>
      </c>
      <c r="Y15">
        <v>3.1547456264657874E-2</v>
      </c>
      <c r="Z15" t="s">
        <v>178</v>
      </c>
      <c r="AA15" t="s">
        <v>25</v>
      </c>
      <c r="AC15" t="s">
        <v>22</v>
      </c>
      <c r="AD15" t="s">
        <v>178</v>
      </c>
      <c r="AE15">
        <v>3.2002478418655167E-2</v>
      </c>
      <c r="AG15" t="s">
        <v>96</v>
      </c>
      <c r="AH15" t="s">
        <v>178</v>
      </c>
      <c r="AI15">
        <v>0.13104363169129174</v>
      </c>
      <c r="AK15">
        <v>2020</v>
      </c>
      <c r="AL15" t="s">
        <v>166</v>
      </c>
      <c r="AM15">
        <v>6.1094819159335248E-2</v>
      </c>
      <c r="AN15" t="s">
        <v>254</v>
      </c>
    </row>
    <row r="16" spans="1:40" x14ac:dyDescent="0.45">
      <c r="C16" t="s">
        <v>168</v>
      </c>
      <c r="E16" t="s">
        <v>169</v>
      </c>
      <c r="G16" t="s">
        <v>156</v>
      </c>
      <c r="I16" t="s">
        <v>172</v>
      </c>
      <c r="J16" t="s">
        <v>179</v>
      </c>
      <c r="K16">
        <v>0</v>
      </c>
      <c r="L16" t="s">
        <v>174</v>
      </c>
      <c r="N16" t="s">
        <v>225</v>
      </c>
      <c r="O16" t="s">
        <v>179</v>
      </c>
      <c r="P16">
        <v>3.9190418048612461E-3</v>
      </c>
      <c r="Q16" t="s">
        <v>174</v>
      </c>
      <c r="S16" t="s">
        <v>235</v>
      </c>
      <c r="T16" t="s">
        <v>179</v>
      </c>
      <c r="U16">
        <v>3.9190418048612461E-3</v>
      </c>
      <c r="V16" t="s">
        <v>174</v>
      </c>
      <c r="X16">
        <v>3.5388127853881279E-3</v>
      </c>
      <c r="Y16">
        <v>9.2484399472938378E-4</v>
      </c>
      <c r="Z16" t="s">
        <v>179</v>
      </c>
      <c r="AA16" t="s">
        <v>25</v>
      </c>
      <c r="AC16" t="s">
        <v>22</v>
      </c>
      <c r="AD16" t="s">
        <v>179</v>
      </c>
      <c r="AE16">
        <v>3.3994880199666251E-3</v>
      </c>
      <c r="AG16" t="s">
        <v>96</v>
      </c>
      <c r="AH16" t="s">
        <v>179</v>
      </c>
      <c r="AI16">
        <v>3.6904031639072965E-2</v>
      </c>
      <c r="AK16">
        <v>2020</v>
      </c>
      <c r="AL16" t="s">
        <v>168</v>
      </c>
      <c r="AM16">
        <v>0.12626262626262619</v>
      </c>
      <c r="AN16" t="s">
        <v>254</v>
      </c>
    </row>
    <row r="17" spans="3:40" x14ac:dyDescent="0.45">
      <c r="C17" t="s">
        <v>170</v>
      </c>
      <c r="I17" t="s">
        <v>172</v>
      </c>
      <c r="J17" t="s">
        <v>180</v>
      </c>
      <c r="K17">
        <v>0</v>
      </c>
      <c r="L17" t="s">
        <v>174</v>
      </c>
      <c r="N17" t="s">
        <v>225</v>
      </c>
      <c r="O17" t="s">
        <v>180</v>
      </c>
      <c r="P17">
        <v>3.826635867880266E-2</v>
      </c>
      <c r="Q17" t="s">
        <v>174</v>
      </c>
      <c r="S17" t="s">
        <v>235</v>
      </c>
      <c r="T17" t="s">
        <v>180</v>
      </c>
      <c r="U17">
        <v>3.826635867880266E-2</v>
      </c>
      <c r="V17" t="s">
        <v>174</v>
      </c>
      <c r="X17">
        <v>3.3675799086757989E-2</v>
      </c>
      <c r="Y17">
        <v>5.2414456074053829E-3</v>
      </c>
      <c r="Z17" t="s">
        <v>180</v>
      </c>
      <c r="AA17" t="s">
        <v>25</v>
      </c>
      <c r="AC17" t="s">
        <v>22</v>
      </c>
      <c r="AD17" t="s">
        <v>180</v>
      </c>
      <c r="AE17">
        <v>3.0798294304171411E-2</v>
      </c>
      <c r="AG17" t="s">
        <v>96</v>
      </c>
      <c r="AH17" t="s">
        <v>180</v>
      </c>
      <c r="AI17">
        <v>0.13697386072334594</v>
      </c>
      <c r="AK17">
        <v>2020</v>
      </c>
      <c r="AL17" t="s">
        <v>170</v>
      </c>
      <c r="AM17">
        <v>0.2443792766373411</v>
      </c>
      <c r="AN17" t="s">
        <v>254</v>
      </c>
    </row>
    <row r="18" spans="3:40" x14ac:dyDescent="0.45">
      <c r="I18" t="s">
        <v>172</v>
      </c>
      <c r="J18" t="s">
        <v>181</v>
      </c>
      <c r="K18">
        <v>0</v>
      </c>
      <c r="L18" t="s">
        <v>174</v>
      </c>
      <c r="N18" t="s">
        <v>225</v>
      </c>
      <c r="O18" t="s">
        <v>181</v>
      </c>
      <c r="P18">
        <v>7.6283340428192044E-3</v>
      </c>
      <c r="Q18" t="s">
        <v>174</v>
      </c>
      <c r="S18" t="s">
        <v>235</v>
      </c>
      <c r="T18" t="s">
        <v>181</v>
      </c>
      <c r="U18">
        <v>7.6283340428192044E-3</v>
      </c>
      <c r="V18" t="s">
        <v>174</v>
      </c>
      <c r="X18">
        <v>6.735159817351598E-3</v>
      </c>
      <c r="Y18">
        <v>3.4030281182408089E-3</v>
      </c>
      <c r="Z18" t="s">
        <v>181</v>
      </c>
      <c r="AA18" t="s">
        <v>25</v>
      </c>
      <c r="AC18" t="s">
        <v>22</v>
      </c>
      <c r="AD18" t="s">
        <v>181</v>
      </c>
      <c r="AE18">
        <v>7.8616811332391442E-3</v>
      </c>
      <c r="AG18" t="s">
        <v>96</v>
      </c>
      <c r="AH18" t="s">
        <v>181</v>
      </c>
      <c r="AI18">
        <v>0.10289825808166708</v>
      </c>
      <c r="AK18">
        <v>2021</v>
      </c>
      <c r="AL18" t="s">
        <v>155</v>
      </c>
      <c r="AM18">
        <v>0.36656891495601168</v>
      </c>
      <c r="AN18" t="s">
        <v>254</v>
      </c>
    </row>
    <row r="19" spans="3:40" x14ac:dyDescent="0.45">
      <c r="I19" t="s">
        <v>172</v>
      </c>
      <c r="J19" t="s">
        <v>182</v>
      </c>
      <c r="K19">
        <v>1.1241751262546838E-2</v>
      </c>
      <c r="L19" t="s">
        <v>174</v>
      </c>
      <c r="N19" t="s">
        <v>225</v>
      </c>
      <c r="O19" t="s">
        <v>182</v>
      </c>
      <c r="P19">
        <v>2.2259620976904419E-2</v>
      </c>
      <c r="Q19" t="s">
        <v>174</v>
      </c>
      <c r="S19" t="s">
        <v>235</v>
      </c>
      <c r="T19" t="s">
        <v>182</v>
      </c>
      <c r="U19">
        <v>2.2259620976904419E-2</v>
      </c>
      <c r="V19" t="s">
        <v>174</v>
      </c>
      <c r="X19">
        <v>2.0205479452054795E-2</v>
      </c>
      <c r="Y19">
        <v>2.9825390116765705E-2</v>
      </c>
      <c r="Z19" t="s">
        <v>182</v>
      </c>
      <c r="AA19" t="s">
        <v>25</v>
      </c>
      <c r="AC19" t="s">
        <v>22</v>
      </c>
      <c r="AD19" t="s">
        <v>182</v>
      </c>
      <c r="AE19">
        <v>2.7136593772891893E-2</v>
      </c>
      <c r="AG19" t="s">
        <v>96</v>
      </c>
      <c r="AH19" t="s">
        <v>182</v>
      </c>
      <c r="AI19">
        <v>0.11487929505998506</v>
      </c>
      <c r="AK19">
        <v>2021</v>
      </c>
      <c r="AL19" t="s">
        <v>159</v>
      </c>
      <c r="AM19">
        <v>0.38620653540008376</v>
      </c>
      <c r="AN19" t="s">
        <v>254</v>
      </c>
    </row>
    <row r="20" spans="3:40" x14ac:dyDescent="0.45">
      <c r="I20" t="s">
        <v>172</v>
      </c>
      <c r="J20" t="s">
        <v>183</v>
      </c>
      <c r="K20">
        <v>0.1070705419666796</v>
      </c>
      <c r="L20" t="s">
        <v>174</v>
      </c>
      <c r="N20" t="s">
        <v>225</v>
      </c>
      <c r="O20" t="s">
        <v>183</v>
      </c>
      <c r="P20">
        <v>4.7022158336395753E-2</v>
      </c>
      <c r="Q20" t="s">
        <v>174</v>
      </c>
      <c r="S20" t="s">
        <v>235</v>
      </c>
      <c r="T20" t="s">
        <v>183</v>
      </c>
      <c r="U20">
        <v>4.7022158336395753E-2</v>
      </c>
      <c r="V20" t="s">
        <v>174</v>
      </c>
      <c r="X20">
        <v>4.714611872146119E-2</v>
      </c>
      <c r="Y20">
        <v>6.137185192551526E-2</v>
      </c>
      <c r="Z20" t="s">
        <v>183</v>
      </c>
      <c r="AA20" t="s">
        <v>25</v>
      </c>
      <c r="AC20" t="s">
        <v>22</v>
      </c>
      <c r="AD20" t="s">
        <v>183</v>
      </c>
      <c r="AE20">
        <v>6.4830335487388507E-2</v>
      </c>
      <c r="AG20" t="s">
        <v>96</v>
      </c>
      <c r="AH20" t="s">
        <v>183</v>
      </c>
      <c r="AI20">
        <v>9.0293974078976547E-2</v>
      </c>
      <c r="AK20">
        <v>2021</v>
      </c>
      <c r="AL20" t="s">
        <v>161</v>
      </c>
      <c r="AM20">
        <v>0.21688660801564025</v>
      </c>
      <c r="AN20" t="s">
        <v>254</v>
      </c>
    </row>
    <row r="21" spans="3:40" x14ac:dyDescent="0.45">
      <c r="I21" t="s">
        <v>172</v>
      </c>
      <c r="J21" t="s">
        <v>184</v>
      </c>
      <c r="K21">
        <v>1.5549776098747503E-2</v>
      </c>
      <c r="L21" t="s">
        <v>174</v>
      </c>
      <c r="N21" t="s">
        <v>225</v>
      </c>
      <c r="O21" t="s">
        <v>184</v>
      </c>
      <c r="P21">
        <v>5.3132687637087166E-2</v>
      </c>
      <c r="Q21" t="s">
        <v>174</v>
      </c>
      <c r="S21" t="s">
        <v>235</v>
      </c>
      <c r="T21" t="s">
        <v>184</v>
      </c>
      <c r="U21">
        <v>5.3132687637087166E-2</v>
      </c>
      <c r="V21" t="s">
        <v>174</v>
      </c>
      <c r="X21">
        <v>4.714611872146119E-2</v>
      </c>
      <c r="Y21">
        <v>6.0041932890800467E-2</v>
      </c>
      <c r="Z21" t="s">
        <v>184</v>
      </c>
      <c r="AA21" t="s">
        <v>25</v>
      </c>
      <c r="AC21" t="s">
        <v>22</v>
      </c>
      <c r="AD21" t="s">
        <v>184</v>
      </c>
      <c r="AE21">
        <v>5.884415781196603E-2</v>
      </c>
      <c r="AG21" t="s">
        <v>96</v>
      </c>
      <c r="AH21" t="s">
        <v>184</v>
      </c>
      <c r="AI21">
        <v>0.15771686997499335</v>
      </c>
      <c r="AK21">
        <v>2021</v>
      </c>
      <c r="AL21" t="s">
        <v>164</v>
      </c>
      <c r="AM21">
        <v>0.2443792766373411</v>
      </c>
      <c r="AN21" t="s">
        <v>254</v>
      </c>
    </row>
    <row r="22" spans="3:40" x14ac:dyDescent="0.45">
      <c r="I22" t="s">
        <v>172</v>
      </c>
      <c r="J22" t="s">
        <v>185</v>
      </c>
      <c r="K22">
        <v>0</v>
      </c>
      <c r="L22" t="s">
        <v>174</v>
      </c>
      <c r="N22" t="s">
        <v>225</v>
      </c>
      <c r="O22" t="s">
        <v>185</v>
      </c>
      <c r="P22">
        <v>7.2884658194708914E-3</v>
      </c>
      <c r="Q22" t="s">
        <v>174</v>
      </c>
      <c r="S22" t="s">
        <v>235</v>
      </c>
      <c r="T22" t="s">
        <v>185</v>
      </c>
      <c r="U22">
        <v>7.2884658194708914E-3</v>
      </c>
      <c r="V22" t="s">
        <v>174</v>
      </c>
      <c r="X22">
        <v>6.735159817351598E-3</v>
      </c>
      <c r="Y22">
        <v>1.7601869577107631E-3</v>
      </c>
      <c r="Z22" t="s">
        <v>185</v>
      </c>
      <c r="AA22" t="s">
        <v>25</v>
      </c>
      <c r="AC22" t="s">
        <v>22</v>
      </c>
      <c r="AD22" t="s">
        <v>185</v>
      </c>
      <c r="AE22">
        <v>6.2091966138914838E-3</v>
      </c>
      <c r="AG22" t="s">
        <v>96</v>
      </c>
      <c r="AH22" t="s">
        <v>185</v>
      </c>
      <c r="AI22">
        <v>7.4222450757832625E-2</v>
      </c>
      <c r="AK22">
        <v>2021</v>
      </c>
      <c r="AL22" t="s">
        <v>166</v>
      </c>
      <c r="AM22">
        <v>0.18532095144998365</v>
      </c>
      <c r="AN22" t="s">
        <v>254</v>
      </c>
    </row>
    <row r="23" spans="3:40" x14ac:dyDescent="0.45">
      <c r="I23" t="s">
        <v>172</v>
      </c>
      <c r="J23" t="s">
        <v>186</v>
      </c>
      <c r="K23">
        <v>0</v>
      </c>
      <c r="L23" t="s">
        <v>174</v>
      </c>
      <c r="N23" t="s">
        <v>225</v>
      </c>
      <c r="O23" t="s">
        <v>186</v>
      </c>
      <c r="P23">
        <v>5.9710457149653867E-2</v>
      </c>
      <c r="Q23" t="s">
        <v>174</v>
      </c>
      <c r="S23" t="s">
        <v>235</v>
      </c>
      <c r="T23" t="s">
        <v>186</v>
      </c>
      <c r="U23">
        <v>5.9710457149653867E-2</v>
      </c>
      <c r="V23" t="s">
        <v>174</v>
      </c>
      <c r="X23">
        <v>6.9634703196347028E-2</v>
      </c>
      <c r="Y23">
        <v>1.0838243459380621E-2</v>
      </c>
      <c r="Z23" t="s">
        <v>186</v>
      </c>
      <c r="AA23" t="s">
        <v>25</v>
      </c>
      <c r="AC23" t="s">
        <v>22</v>
      </c>
      <c r="AD23" t="s">
        <v>186</v>
      </c>
      <c r="AE23">
        <v>4.2240474526205538E-2</v>
      </c>
      <c r="AG23" t="s">
        <v>96</v>
      </c>
      <c r="AH23" t="s">
        <v>186</v>
      </c>
      <c r="AI23">
        <v>0.24340027374644468</v>
      </c>
      <c r="AK23">
        <v>2021</v>
      </c>
      <c r="AL23" t="s">
        <v>168</v>
      </c>
      <c r="AM23">
        <v>0.25252525252525249</v>
      </c>
      <c r="AN23" t="s">
        <v>254</v>
      </c>
    </row>
    <row r="24" spans="3:40" x14ac:dyDescent="0.45">
      <c r="I24" t="s">
        <v>172</v>
      </c>
      <c r="J24" t="s">
        <v>187</v>
      </c>
      <c r="K24">
        <v>6.9317721918699844E-3</v>
      </c>
      <c r="L24" t="s">
        <v>174</v>
      </c>
      <c r="N24" t="s">
        <v>225</v>
      </c>
      <c r="O24" t="s">
        <v>187</v>
      </c>
      <c r="P24">
        <v>1.1597021541908606E-2</v>
      </c>
      <c r="Q24" t="s">
        <v>174</v>
      </c>
      <c r="S24" t="s">
        <v>235</v>
      </c>
      <c r="T24" t="s">
        <v>187</v>
      </c>
      <c r="U24">
        <v>1.1597021541908606E-2</v>
      </c>
      <c r="V24" t="s">
        <v>174</v>
      </c>
      <c r="X24">
        <v>1.3926940639269407E-2</v>
      </c>
      <c r="Y24">
        <v>7.0367700072098078E-3</v>
      </c>
      <c r="Z24" t="s">
        <v>187</v>
      </c>
      <c r="AA24" t="s">
        <v>25</v>
      </c>
      <c r="AC24" t="s">
        <v>22</v>
      </c>
      <c r="AD24" t="s">
        <v>187</v>
      </c>
      <c r="AE24">
        <v>1.1364276628525417E-2</v>
      </c>
      <c r="AG24" t="s">
        <v>96</v>
      </c>
      <c r="AH24" t="s">
        <v>187</v>
      </c>
      <c r="AI24">
        <v>0.19370877264894992</v>
      </c>
      <c r="AK24">
        <v>2021</v>
      </c>
      <c r="AL24" t="s">
        <v>170</v>
      </c>
      <c r="AM24">
        <v>0</v>
      </c>
      <c r="AN24" t="s">
        <v>254</v>
      </c>
    </row>
    <row r="25" spans="3:40" x14ac:dyDescent="0.45">
      <c r="I25" t="s">
        <v>172</v>
      </c>
      <c r="J25" t="s">
        <v>188</v>
      </c>
      <c r="K25">
        <v>8.198168939493107E-2</v>
      </c>
      <c r="L25" t="s">
        <v>174</v>
      </c>
      <c r="N25" t="s">
        <v>225</v>
      </c>
      <c r="O25" t="s">
        <v>188</v>
      </c>
      <c r="P25">
        <v>3.1964675645930168E-2</v>
      </c>
      <c r="Q25" t="s">
        <v>174</v>
      </c>
      <c r="S25" t="s">
        <v>235</v>
      </c>
      <c r="T25" t="s">
        <v>188</v>
      </c>
      <c r="U25">
        <v>3.1964675645930168E-2</v>
      </c>
      <c r="V25" t="s">
        <v>174</v>
      </c>
      <c r="X25">
        <v>4.1780821917808221E-2</v>
      </c>
      <c r="Y25">
        <v>6.1672840580430779E-2</v>
      </c>
      <c r="Z25" t="s">
        <v>188</v>
      </c>
      <c r="AA25" t="s">
        <v>25</v>
      </c>
      <c r="AC25" t="s">
        <v>22</v>
      </c>
      <c r="AD25" t="s">
        <v>188</v>
      </c>
      <c r="AE25">
        <v>4.284813829357112E-2</v>
      </c>
      <c r="AG25" t="s">
        <v>96</v>
      </c>
      <c r="AH25" t="s">
        <v>188</v>
      </c>
      <c r="AI25">
        <v>0.21823482687520301</v>
      </c>
      <c r="AK25">
        <v>2022</v>
      </c>
      <c r="AL25" t="s">
        <v>155</v>
      </c>
      <c r="AM25">
        <v>0</v>
      </c>
      <c r="AN25" t="s">
        <v>254</v>
      </c>
    </row>
    <row r="26" spans="3:40" x14ac:dyDescent="0.45">
      <c r="I26" t="s">
        <v>172</v>
      </c>
      <c r="J26" t="s">
        <v>189</v>
      </c>
      <c r="K26">
        <v>0.31666945911708094</v>
      </c>
      <c r="L26" t="s">
        <v>174</v>
      </c>
      <c r="N26" t="s">
        <v>225</v>
      </c>
      <c r="O26" t="s">
        <v>189</v>
      </c>
      <c r="P26">
        <v>7.2862626156954297E-2</v>
      </c>
      <c r="Q26" t="s">
        <v>174</v>
      </c>
      <c r="S26" t="s">
        <v>235</v>
      </c>
      <c r="T26" t="s">
        <v>189</v>
      </c>
      <c r="U26">
        <v>7.2862626156954297E-2</v>
      </c>
      <c r="V26" t="s">
        <v>174</v>
      </c>
      <c r="X26">
        <v>9.7488584474885842E-2</v>
      </c>
      <c r="Y26">
        <v>0.12690450737140443</v>
      </c>
      <c r="Z26" t="s">
        <v>189</v>
      </c>
      <c r="AA26" t="s">
        <v>25</v>
      </c>
      <c r="AC26" t="s">
        <v>22</v>
      </c>
      <c r="AD26" t="s">
        <v>189</v>
      </c>
      <c r="AE26">
        <v>0.10399579909257566</v>
      </c>
      <c r="AG26" t="s">
        <v>96</v>
      </c>
      <c r="AH26" t="s">
        <v>189</v>
      </c>
      <c r="AI26">
        <v>0.18565797265713369</v>
      </c>
      <c r="AK26">
        <v>2022</v>
      </c>
      <c r="AL26" t="s">
        <v>159</v>
      </c>
      <c r="AM26">
        <v>0.11200716845878135</v>
      </c>
      <c r="AN26" t="s">
        <v>254</v>
      </c>
    </row>
    <row r="27" spans="3:40" x14ac:dyDescent="0.45">
      <c r="I27" t="s">
        <v>172</v>
      </c>
      <c r="J27" t="s">
        <v>190</v>
      </c>
      <c r="K27">
        <v>0.10102818869406706</v>
      </c>
      <c r="L27" t="s">
        <v>174</v>
      </c>
      <c r="N27" t="s">
        <v>225</v>
      </c>
      <c r="O27" t="s">
        <v>190</v>
      </c>
      <c r="P27">
        <v>7.9049373626265532E-2</v>
      </c>
      <c r="Q27" t="s">
        <v>174</v>
      </c>
      <c r="S27" t="s">
        <v>235</v>
      </c>
      <c r="T27" t="s">
        <v>190</v>
      </c>
      <c r="U27">
        <v>7.9049373626265532E-2</v>
      </c>
      <c r="V27" t="s">
        <v>174</v>
      </c>
      <c r="X27">
        <v>9.7488584474885842E-2</v>
      </c>
      <c r="Y27">
        <v>0.1241545052996213</v>
      </c>
      <c r="Z27" t="s">
        <v>190</v>
      </c>
      <c r="AA27" t="s">
        <v>25</v>
      </c>
      <c r="AC27" t="s">
        <v>22</v>
      </c>
      <c r="AD27" t="s">
        <v>190</v>
      </c>
      <c r="AE27">
        <v>9.2006476319725472E-2</v>
      </c>
      <c r="AG27" t="s">
        <v>96</v>
      </c>
      <c r="AH27" t="s">
        <v>190</v>
      </c>
      <c r="AI27">
        <v>0.25104796452817446</v>
      </c>
      <c r="AK27">
        <v>2022</v>
      </c>
      <c r="AL27" t="s">
        <v>161</v>
      </c>
      <c r="AM27">
        <v>0.11480734767025087</v>
      </c>
      <c r="AN27" t="s">
        <v>254</v>
      </c>
    </row>
    <row r="28" spans="3:40" x14ac:dyDescent="0.45">
      <c r="I28" t="s">
        <v>172</v>
      </c>
      <c r="J28" t="s">
        <v>191</v>
      </c>
      <c r="K28">
        <v>0</v>
      </c>
      <c r="L28" t="s">
        <v>174</v>
      </c>
      <c r="N28" t="s">
        <v>225</v>
      </c>
      <c r="O28" t="s">
        <v>191</v>
      </c>
      <c r="P28">
        <v>1.23437838526724E-2</v>
      </c>
      <c r="Q28" t="s">
        <v>174</v>
      </c>
      <c r="S28" t="s">
        <v>235</v>
      </c>
      <c r="T28" t="s">
        <v>191</v>
      </c>
      <c r="U28">
        <v>1.23437838526724E-2</v>
      </c>
      <c r="V28" t="s">
        <v>174</v>
      </c>
      <c r="X28">
        <v>1.3926940639269407E-2</v>
      </c>
      <c r="Y28">
        <v>3.6397086244188658E-3</v>
      </c>
      <c r="Z28" t="s">
        <v>191</v>
      </c>
      <c r="AA28" t="s">
        <v>25</v>
      </c>
      <c r="AC28" t="s">
        <v>22</v>
      </c>
      <c r="AD28" t="s">
        <v>191</v>
      </c>
      <c r="AE28">
        <v>9.2349838201708952E-3</v>
      </c>
      <c r="AG28" t="s">
        <v>96</v>
      </c>
      <c r="AH28" t="s">
        <v>191</v>
      </c>
      <c r="AI28">
        <v>9.4627163077539489E-2</v>
      </c>
      <c r="AK28">
        <v>2022</v>
      </c>
      <c r="AL28" t="s">
        <v>164</v>
      </c>
      <c r="AM28">
        <v>0</v>
      </c>
      <c r="AN28" t="s">
        <v>254</v>
      </c>
    </row>
    <row r="29" spans="3:40" x14ac:dyDescent="0.45">
      <c r="I29" t="s">
        <v>172</v>
      </c>
      <c r="J29" t="s">
        <v>192</v>
      </c>
      <c r="K29">
        <v>0</v>
      </c>
      <c r="L29" t="s">
        <v>174</v>
      </c>
      <c r="N29" t="s">
        <v>225</v>
      </c>
      <c r="O29" t="s">
        <v>192</v>
      </c>
      <c r="P29">
        <v>8.3010377258831113E-3</v>
      </c>
      <c r="Q29" t="s">
        <v>174</v>
      </c>
      <c r="S29" t="s">
        <v>235</v>
      </c>
      <c r="T29" t="s">
        <v>192</v>
      </c>
      <c r="U29">
        <v>8.3010377258831113E-3</v>
      </c>
      <c r="V29" t="s">
        <v>174</v>
      </c>
      <c r="X29">
        <v>1.7694063926940638E-2</v>
      </c>
      <c r="Y29">
        <v>2.7539798954163875E-3</v>
      </c>
      <c r="Z29" t="s">
        <v>192</v>
      </c>
      <c r="AA29" t="s">
        <v>25</v>
      </c>
      <c r="AC29" t="s">
        <v>22</v>
      </c>
      <c r="AD29" t="s">
        <v>192</v>
      </c>
      <c r="AE29">
        <v>9.379713334361689E-3</v>
      </c>
      <c r="AG29" t="s">
        <v>96</v>
      </c>
      <c r="AH29" t="s">
        <v>192</v>
      </c>
      <c r="AI29">
        <v>0.12102629313749036</v>
      </c>
      <c r="AK29">
        <v>2022</v>
      </c>
      <c r="AL29" t="s">
        <v>166</v>
      </c>
      <c r="AM29">
        <v>0</v>
      </c>
      <c r="AN29" t="s">
        <v>254</v>
      </c>
    </row>
    <row r="30" spans="3:40" x14ac:dyDescent="0.45">
      <c r="I30" t="s">
        <v>172</v>
      </c>
      <c r="J30" t="s">
        <v>193</v>
      </c>
      <c r="K30">
        <v>5.6299477697006157E-4</v>
      </c>
      <c r="L30" t="s">
        <v>174</v>
      </c>
      <c r="N30" t="s">
        <v>225</v>
      </c>
      <c r="O30" t="s">
        <v>193</v>
      </c>
      <c r="P30">
        <v>1.9915579173752701E-3</v>
      </c>
      <c r="Q30" t="s">
        <v>174</v>
      </c>
      <c r="S30" t="s">
        <v>235</v>
      </c>
      <c r="T30" t="s">
        <v>193</v>
      </c>
      <c r="U30">
        <v>1.9915579173752701E-3</v>
      </c>
      <c r="V30" t="s">
        <v>174</v>
      </c>
      <c r="X30">
        <v>3.5388127853881279E-3</v>
      </c>
      <c r="Y30">
        <v>1.7880317231434744E-3</v>
      </c>
      <c r="Z30" t="s">
        <v>193</v>
      </c>
      <c r="AA30" t="s">
        <v>25</v>
      </c>
      <c r="AC30" t="s">
        <v>22</v>
      </c>
      <c r="AD30" t="s">
        <v>193</v>
      </c>
      <c r="AE30">
        <v>2.4543340017491541E-3</v>
      </c>
      <c r="AG30" t="s">
        <v>96</v>
      </c>
      <c r="AH30" t="s">
        <v>193</v>
      </c>
      <c r="AI30">
        <v>7.7434703091958657E-2</v>
      </c>
      <c r="AK30">
        <v>2022</v>
      </c>
      <c r="AL30" t="s">
        <v>168</v>
      </c>
      <c r="AM30">
        <v>0.1157407407407407</v>
      </c>
      <c r="AN30" t="s">
        <v>254</v>
      </c>
    </row>
    <row r="31" spans="3:40" x14ac:dyDescent="0.45">
      <c r="I31" t="s">
        <v>172</v>
      </c>
      <c r="J31" t="s">
        <v>194</v>
      </c>
      <c r="K31">
        <v>2.1918893463594043E-2</v>
      </c>
      <c r="L31" t="s">
        <v>174</v>
      </c>
      <c r="N31" t="s">
        <v>225</v>
      </c>
      <c r="O31" t="s">
        <v>194</v>
      </c>
      <c r="P31">
        <v>5.4827493284541349E-3</v>
      </c>
      <c r="Q31" t="s">
        <v>174</v>
      </c>
      <c r="S31" t="s">
        <v>235</v>
      </c>
      <c r="T31" t="s">
        <v>194</v>
      </c>
      <c r="U31">
        <v>5.4827493284541349E-3</v>
      </c>
      <c r="V31" t="s">
        <v>174</v>
      </c>
      <c r="X31">
        <v>1.0616438356164383E-2</v>
      </c>
      <c r="Y31">
        <v>1.5670967688470115E-2</v>
      </c>
      <c r="Z31" t="s">
        <v>194</v>
      </c>
      <c r="AA31" t="s">
        <v>25</v>
      </c>
      <c r="AC31" t="s">
        <v>22</v>
      </c>
      <c r="AD31" t="s">
        <v>194</v>
      </c>
      <c r="AE31">
        <v>9.7590472092062147E-3</v>
      </c>
      <c r="AG31" t="s">
        <v>96</v>
      </c>
      <c r="AH31" t="s">
        <v>194</v>
      </c>
      <c r="AI31">
        <v>0.12836596192787231</v>
      </c>
      <c r="AK31">
        <v>2022</v>
      </c>
      <c r="AL31" t="s">
        <v>170</v>
      </c>
      <c r="AM31">
        <v>0.11200716845878129</v>
      </c>
      <c r="AN31" t="s">
        <v>254</v>
      </c>
    </row>
    <row r="32" spans="3:40" x14ac:dyDescent="0.45">
      <c r="I32" t="s">
        <v>172</v>
      </c>
      <c r="J32" t="s">
        <v>195</v>
      </c>
      <c r="K32">
        <v>8.2762281915453637E-2</v>
      </c>
      <c r="L32" t="s">
        <v>174</v>
      </c>
      <c r="N32" t="s">
        <v>225</v>
      </c>
      <c r="O32" t="s">
        <v>195</v>
      </c>
      <c r="P32">
        <v>1.0254763635184379E-2</v>
      </c>
      <c r="Q32" t="s">
        <v>174</v>
      </c>
      <c r="S32" t="s">
        <v>235</v>
      </c>
      <c r="T32" t="s">
        <v>195</v>
      </c>
      <c r="U32">
        <v>1.0254763635184379E-2</v>
      </c>
      <c r="V32" t="s">
        <v>174</v>
      </c>
      <c r="X32">
        <v>2.4771689497716895E-2</v>
      </c>
      <c r="Y32">
        <v>3.2246227282897846E-2</v>
      </c>
      <c r="Z32" t="s">
        <v>195</v>
      </c>
      <c r="AA32" t="s">
        <v>25</v>
      </c>
      <c r="AC32" t="s">
        <v>22</v>
      </c>
      <c r="AD32" t="s">
        <v>195</v>
      </c>
      <c r="AE32">
        <v>2.4699061495520432E-2</v>
      </c>
      <c r="AG32" t="s">
        <v>96</v>
      </c>
      <c r="AH32" t="s">
        <v>195</v>
      </c>
      <c r="AI32">
        <v>0.11473857274793819</v>
      </c>
    </row>
    <row r="33" spans="9:35" x14ac:dyDescent="0.45">
      <c r="I33" t="s">
        <v>172</v>
      </c>
      <c r="J33" t="s">
        <v>196</v>
      </c>
      <c r="K33">
        <v>2.6346321960901708E-2</v>
      </c>
      <c r="L33" t="s">
        <v>174</v>
      </c>
      <c r="N33" t="s">
        <v>225</v>
      </c>
      <c r="O33" t="s">
        <v>196</v>
      </c>
      <c r="P33">
        <v>1.0859192453399825E-2</v>
      </c>
      <c r="Q33" t="s">
        <v>174</v>
      </c>
      <c r="S33" t="s">
        <v>235</v>
      </c>
      <c r="T33" t="s">
        <v>196</v>
      </c>
      <c r="U33">
        <v>1.0859192453399825E-2</v>
      </c>
      <c r="V33" t="s">
        <v>174</v>
      </c>
      <c r="X33">
        <v>2.4771689497716895E-2</v>
      </c>
      <c r="Y33">
        <v>3.1547456264657874E-2</v>
      </c>
      <c r="Z33" t="s">
        <v>196</v>
      </c>
      <c r="AA33" t="s">
        <v>25</v>
      </c>
      <c r="AC33" t="s">
        <v>22</v>
      </c>
      <c r="AD33" t="s">
        <v>196</v>
      </c>
      <c r="AE33">
        <v>2.1860202173215625E-2</v>
      </c>
      <c r="AG33" t="s">
        <v>96</v>
      </c>
      <c r="AH33" t="s">
        <v>196</v>
      </c>
      <c r="AI33">
        <v>0.14254571183615461</v>
      </c>
    </row>
    <row r="34" spans="9:35" x14ac:dyDescent="0.45">
      <c r="I34" t="s">
        <v>172</v>
      </c>
      <c r="J34" t="s">
        <v>197</v>
      </c>
      <c r="K34">
        <v>0</v>
      </c>
      <c r="L34" t="s">
        <v>174</v>
      </c>
      <c r="N34" t="s">
        <v>225</v>
      </c>
      <c r="O34" t="s">
        <v>197</v>
      </c>
      <c r="P34">
        <v>1.8249018531526456E-3</v>
      </c>
      <c r="Q34" t="s">
        <v>174</v>
      </c>
      <c r="S34" t="s">
        <v>235</v>
      </c>
      <c r="T34" t="s">
        <v>197</v>
      </c>
      <c r="U34">
        <v>1.8249018531526456E-3</v>
      </c>
      <c r="V34" t="s">
        <v>174</v>
      </c>
      <c r="X34">
        <v>3.5388127853881279E-3</v>
      </c>
      <c r="Y34">
        <v>9.2484399472938378E-4</v>
      </c>
      <c r="Z34" t="s">
        <v>197</v>
      </c>
      <c r="AA34" t="s">
        <v>25</v>
      </c>
      <c r="AC34" t="s">
        <v>22</v>
      </c>
      <c r="AD34" t="s">
        <v>197</v>
      </c>
      <c r="AE34">
        <v>2.1672918917191005E-3</v>
      </c>
      <c r="AG34" t="s">
        <v>96</v>
      </c>
      <c r="AH34" t="s">
        <v>197</v>
      </c>
      <c r="AI34">
        <v>0.1047028108364696</v>
      </c>
    </row>
    <row r="35" spans="9:35" x14ac:dyDescent="0.45">
      <c r="I35" t="s">
        <v>172</v>
      </c>
      <c r="J35" t="s">
        <v>198</v>
      </c>
      <c r="K35">
        <v>0</v>
      </c>
      <c r="L35" t="s">
        <v>174</v>
      </c>
      <c r="N35" t="s">
        <v>225</v>
      </c>
      <c r="O35" t="s">
        <v>198</v>
      </c>
      <c r="P35">
        <v>4.0863487865076834E-2</v>
      </c>
      <c r="Q35" t="s">
        <v>174</v>
      </c>
      <c r="S35" t="s">
        <v>235</v>
      </c>
      <c r="T35" t="s">
        <v>198</v>
      </c>
      <c r="U35">
        <v>4.0863487865076834E-2</v>
      </c>
      <c r="V35" t="s">
        <v>174</v>
      </c>
      <c r="X35">
        <v>3.4817351598173514E-2</v>
      </c>
      <c r="Y35">
        <v>5.4191217296903106E-3</v>
      </c>
      <c r="Z35" t="s">
        <v>198</v>
      </c>
      <c r="AA35" t="s">
        <v>25</v>
      </c>
      <c r="AC35" t="s">
        <v>22</v>
      </c>
      <c r="AD35" t="s">
        <v>198</v>
      </c>
      <c r="AE35">
        <v>1.9700487223867337E-2</v>
      </c>
      <c r="AG35" t="s">
        <v>96</v>
      </c>
      <c r="AH35" t="s">
        <v>198</v>
      </c>
      <c r="AI35">
        <v>0.13027421067876799</v>
      </c>
    </row>
    <row r="36" spans="9:35" x14ac:dyDescent="0.45">
      <c r="I36" t="s">
        <v>172</v>
      </c>
      <c r="J36" t="s">
        <v>199</v>
      </c>
      <c r="K36">
        <v>0</v>
      </c>
      <c r="L36" t="s">
        <v>174</v>
      </c>
      <c r="N36" t="s">
        <v>225</v>
      </c>
      <c r="O36" t="s">
        <v>199</v>
      </c>
      <c r="P36">
        <v>8.2217539259281033E-3</v>
      </c>
      <c r="Q36" t="s">
        <v>174</v>
      </c>
      <c r="S36" t="s">
        <v>235</v>
      </c>
      <c r="T36" t="s">
        <v>199</v>
      </c>
      <c r="U36">
        <v>8.2217539259281033E-3</v>
      </c>
      <c r="V36" t="s">
        <v>174</v>
      </c>
      <c r="X36">
        <v>6.9634703196347035E-3</v>
      </c>
      <c r="Y36">
        <v>3.5183850036049043E-3</v>
      </c>
      <c r="Z36" t="s">
        <v>199</v>
      </c>
      <c r="AA36" t="s">
        <v>25</v>
      </c>
      <c r="AC36" t="s">
        <v>22</v>
      </c>
      <c r="AD36" t="s">
        <v>199</v>
      </c>
      <c r="AE36">
        <v>5.1219911080728226E-3</v>
      </c>
      <c r="AG36" t="s">
        <v>96</v>
      </c>
      <c r="AH36" t="s">
        <v>199</v>
      </c>
      <c r="AI36">
        <v>9.040547641753971E-2</v>
      </c>
    </row>
    <row r="37" spans="9:35" x14ac:dyDescent="0.45">
      <c r="I37" t="s">
        <v>172</v>
      </c>
      <c r="J37" t="s">
        <v>200</v>
      </c>
      <c r="K37">
        <v>1.9086569467795324E-2</v>
      </c>
      <c r="L37" t="s">
        <v>174</v>
      </c>
      <c r="N37" t="s">
        <v>225</v>
      </c>
      <c r="O37" t="s">
        <v>200</v>
      </c>
      <c r="P37">
        <v>2.4368398360195113E-2</v>
      </c>
      <c r="Q37" t="s">
        <v>174</v>
      </c>
      <c r="S37" t="s">
        <v>235</v>
      </c>
      <c r="T37" t="s">
        <v>200</v>
      </c>
      <c r="U37">
        <v>2.4368398360195113E-2</v>
      </c>
      <c r="V37" t="s">
        <v>174</v>
      </c>
      <c r="X37">
        <v>2.0890410958904111E-2</v>
      </c>
      <c r="Y37">
        <v>3.083642029021539E-2</v>
      </c>
      <c r="Z37" t="s">
        <v>200</v>
      </c>
      <c r="AA37" t="s">
        <v>25</v>
      </c>
      <c r="AC37" t="s">
        <v>22</v>
      </c>
      <c r="AD37" t="s">
        <v>200</v>
      </c>
      <c r="AE37">
        <v>2.0084874421132097E-2</v>
      </c>
      <c r="AG37" t="s">
        <v>96</v>
      </c>
      <c r="AH37" t="s">
        <v>200</v>
      </c>
      <c r="AI37">
        <v>0.11804823119206853</v>
      </c>
    </row>
    <row r="38" spans="9:35" x14ac:dyDescent="0.45">
      <c r="I38" t="s">
        <v>172</v>
      </c>
      <c r="J38" t="s">
        <v>201</v>
      </c>
      <c r="K38">
        <v>0.11506186642973394</v>
      </c>
      <c r="L38" t="s">
        <v>174</v>
      </c>
      <c r="N38" t="s">
        <v>225</v>
      </c>
      <c r="O38" t="s">
        <v>201</v>
      </c>
      <c r="P38">
        <v>4.7829733735186279E-2</v>
      </c>
      <c r="Q38" t="s">
        <v>174</v>
      </c>
      <c r="S38" t="s">
        <v>235</v>
      </c>
      <c r="T38" t="s">
        <v>201</v>
      </c>
      <c r="U38">
        <v>4.7829733735186279E-2</v>
      </c>
      <c r="V38" t="s">
        <v>174</v>
      </c>
      <c r="X38">
        <v>4.8744292237442921E-2</v>
      </c>
      <c r="Y38">
        <v>6.3452253685702203E-2</v>
      </c>
      <c r="Z38" t="s">
        <v>201</v>
      </c>
      <c r="AA38" t="s">
        <v>25</v>
      </c>
      <c r="AC38" t="s">
        <v>22</v>
      </c>
      <c r="AD38" t="s">
        <v>201</v>
      </c>
      <c r="AE38">
        <v>4.9407368115209536E-2</v>
      </c>
      <c r="AG38" t="s">
        <v>96</v>
      </c>
      <c r="AH38" t="s">
        <v>201</v>
      </c>
      <c r="AI38">
        <v>9.4253320786130468E-2</v>
      </c>
    </row>
    <row r="39" spans="9:35" x14ac:dyDescent="0.45">
      <c r="I39" t="s">
        <v>172</v>
      </c>
      <c r="J39" t="s">
        <v>202</v>
      </c>
      <c r="K39">
        <v>1.7461176632660037E-2</v>
      </c>
      <c r="L39" t="s">
        <v>174</v>
      </c>
      <c r="N39" t="s">
        <v>225</v>
      </c>
      <c r="O39" t="s">
        <v>202</v>
      </c>
      <c r="P39">
        <v>5.7273433016248099E-2</v>
      </c>
      <c r="Q39" t="s">
        <v>174</v>
      </c>
      <c r="S39" t="s">
        <v>235</v>
      </c>
      <c r="T39" t="s">
        <v>202</v>
      </c>
      <c r="U39">
        <v>5.7273433016248099E-2</v>
      </c>
      <c r="V39" t="s">
        <v>174</v>
      </c>
      <c r="X39">
        <v>4.8744292237442921E-2</v>
      </c>
      <c r="Y39">
        <v>6.2077252649810649E-2</v>
      </c>
      <c r="Z39" t="s">
        <v>202</v>
      </c>
      <c r="AA39" t="s">
        <v>25</v>
      </c>
      <c r="AC39" t="s">
        <v>22</v>
      </c>
      <c r="AD39" t="s">
        <v>202</v>
      </c>
      <c r="AE39">
        <v>4.4665903115605976E-2</v>
      </c>
      <c r="AG39" t="s">
        <v>96</v>
      </c>
      <c r="AH39" t="s">
        <v>202</v>
      </c>
      <c r="AI39">
        <v>0.13018650094459039</v>
      </c>
    </row>
    <row r="40" spans="9:35" x14ac:dyDescent="0.45">
      <c r="I40" t="s">
        <v>172</v>
      </c>
      <c r="J40" t="s">
        <v>203</v>
      </c>
      <c r="K40">
        <v>0</v>
      </c>
      <c r="L40" t="s">
        <v>174</v>
      </c>
      <c r="N40" t="s">
        <v>225</v>
      </c>
      <c r="O40" t="s">
        <v>203</v>
      </c>
      <c r="P40">
        <v>8.475105112084453E-3</v>
      </c>
      <c r="Q40" t="s">
        <v>174</v>
      </c>
      <c r="S40" t="s">
        <v>235</v>
      </c>
      <c r="T40" t="s">
        <v>203</v>
      </c>
      <c r="U40">
        <v>8.475105112084453E-3</v>
      </c>
      <c r="V40" t="s">
        <v>174</v>
      </c>
      <c r="X40">
        <v>6.9634703196347035E-3</v>
      </c>
      <c r="Y40">
        <v>1.8198543122094333E-3</v>
      </c>
      <c r="Z40" t="s">
        <v>203</v>
      </c>
      <c r="AA40" t="s">
        <v>25</v>
      </c>
      <c r="AC40" t="s">
        <v>22</v>
      </c>
      <c r="AD40" t="s">
        <v>203</v>
      </c>
      <c r="AE40">
        <v>4.5035107779873998E-3</v>
      </c>
      <c r="AG40" t="s">
        <v>96</v>
      </c>
      <c r="AH40" t="s">
        <v>203</v>
      </c>
      <c r="AI40">
        <v>9.1554413461394368E-2</v>
      </c>
    </row>
    <row r="41" spans="9:35" x14ac:dyDescent="0.45">
      <c r="I41" t="s">
        <v>172</v>
      </c>
      <c r="J41" t="s">
        <v>204</v>
      </c>
      <c r="K41">
        <v>0</v>
      </c>
      <c r="L41" t="s">
        <v>174</v>
      </c>
      <c r="N41" t="s">
        <v>225</v>
      </c>
      <c r="O41" t="s">
        <v>204</v>
      </c>
      <c r="P41">
        <v>2.105981262794011E-2</v>
      </c>
      <c r="Q41" t="s">
        <v>174</v>
      </c>
      <c r="S41" t="s">
        <v>235</v>
      </c>
      <c r="T41" t="s">
        <v>204</v>
      </c>
      <c r="U41">
        <v>2.105981262794011E-2</v>
      </c>
      <c r="V41" t="s">
        <v>174</v>
      </c>
      <c r="X41">
        <v>1.7123287671232876E-2</v>
      </c>
      <c r="Y41">
        <v>2.6651418342739236E-3</v>
      </c>
      <c r="Z41" t="s">
        <v>204</v>
      </c>
      <c r="AA41" t="s">
        <v>25</v>
      </c>
      <c r="AC41" t="s">
        <v>22</v>
      </c>
      <c r="AD41" t="s">
        <v>204</v>
      </c>
      <c r="AE41">
        <v>1.2934933429620382E-2</v>
      </c>
      <c r="AG41" t="s">
        <v>96</v>
      </c>
      <c r="AH41" t="s">
        <v>204</v>
      </c>
      <c r="AI41">
        <v>0.10756211888663048</v>
      </c>
    </row>
    <row r="42" spans="9:35" x14ac:dyDescent="0.45">
      <c r="I42" t="s">
        <v>172</v>
      </c>
      <c r="J42" t="s">
        <v>205</v>
      </c>
      <c r="K42">
        <v>0</v>
      </c>
      <c r="L42" t="s">
        <v>174</v>
      </c>
      <c r="N42" t="s">
        <v>225</v>
      </c>
      <c r="O42" t="s">
        <v>205</v>
      </c>
      <c r="P42">
        <v>3.7347607457244914E-3</v>
      </c>
      <c r="Q42" t="s">
        <v>174</v>
      </c>
      <c r="S42" t="s">
        <v>235</v>
      </c>
      <c r="T42" t="s">
        <v>205</v>
      </c>
      <c r="U42">
        <v>3.7347607457244914E-3</v>
      </c>
      <c r="V42" t="s">
        <v>174</v>
      </c>
      <c r="X42">
        <v>3.4246575342465752E-3</v>
      </c>
      <c r="Y42">
        <v>1.7303532804614269E-3</v>
      </c>
      <c r="Z42" t="s">
        <v>205</v>
      </c>
      <c r="AA42" t="s">
        <v>25</v>
      </c>
      <c r="AC42" t="s">
        <v>22</v>
      </c>
      <c r="AD42" t="s">
        <v>205</v>
      </c>
      <c r="AE42">
        <v>3.3849459538125132E-3</v>
      </c>
      <c r="AG42" t="s">
        <v>96</v>
      </c>
      <c r="AH42" t="s">
        <v>205</v>
      </c>
      <c r="AI42">
        <v>0.11068401710042752</v>
      </c>
    </row>
    <row r="43" spans="9:35" x14ac:dyDescent="0.45">
      <c r="I43" t="s">
        <v>172</v>
      </c>
      <c r="J43" t="s">
        <v>206</v>
      </c>
      <c r="K43">
        <v>1.3385742428596403E-3</v>
      </c>
      <c r="L43" t="s">
        <v>174</v>
      </c>
      <c r="N43" t="s">
        <v>225</v>
      </c>
      <c r="O43" t="s">
        <v>206</v>
      </c>
      <c r="P43">
        <v>1.1323457091157275E-2</v>
      </c>
      <c r="Q43" t="s">
        <v>174</v>
      </c>
      <c r="S43" t="s">
        <v>235</v>
      </c>
      <c r="T43" t="s">
        <v>206</v>
      </c>
      <c r="U43">
        <v>1.1323457091157275E-2</v>
      </c>
      <c r="V43" t="s">
        <v>174</v>
      </c>
      <c r="X43">
        <v>1.0273972602739725E-2</v>
      </c>
      <c r="Y43">
        <v>1.5165452601745273E-2</v>
      </c>
      <c r="Z43" t="s">
        <v>206</v>
      </c>
      <c r="AA43" t="s">
        <v>25</v>
      </c>
      <c r="AC43" t="s">
        <v>22</v>
      </c>
      <c r="AD43" t="s">
        <v>206</v>
      </c>
      <c r="AE43">
        <v>1.249833942872045E-2</v>
      </c>
      <c r="AG43" t="s">
        <v>96</v>
      </c>
      <c r="AH43" t="s">
        <v>206</v>
      </c>
      <c r="AI43">
        <v>0.12383064699331747</v>
      </c>
    </row>
    <row r="44" spans="9:35" x14ac:dyDescent="0.45">
      <c r="I44" t="s">
        <v>172</v>
      </c>
      <c r="J44" t="s">
        <v>207</v>
      </c>
      <c r="K44">
        <v>2.08904499943122E-2</v>
      </c>
      <c r="L44" t="s">
        <v>174</v>
      </c>
      <c r="N44" t="s">
        <v>225</v>
      </c>
      <c r="O44" t="s">
        <v>207</v>
      </c>
      <c r="P44">
        <v>2.9816741478394006E-2</v>
      </c>
      <c r="Q44" t="s">
        <v>174</v>
      </c>
      <c r="S44" t="s">
        <v>235</v>
      </c>
      <c r="T44" t="s">
        <v>207</v>
      </c>
      <c r="U44">
        <v>2.9816741478394006E-2</v>
      </c>
      <c r="V44" t="s">
        <v>174</v>
      </c>
      <c r="X44">
        <v>2.3972602739726026E-2</v>
      </c>
      <c r="Y44">
        <v>3.1206026402804371E-2</v>
      </c>
      <c r="Z44" t="s">
        <v>207</v>
      </c>
      <c r="AA44" t="s">
        <v>25</v>
      </c>
      <c r="AC44" t="s">
        <v>22</v>
      </c>
      <c r="AD44" t="s">
        <v>207</v>
      </c>
      <c r="AE44">
        <v>3.0230678298820073E-2</v>
      </c>
      <c r="AG44" t="s">
        <v>96</v>
      </c>
      <c r="AH44" t="s">
        <v>207</v>
      </c>
      <c r="AI44">
        <v>9.7116620552929245E-2</v>
      </c>
    </row>
    <row r="45" spans="9:35" x14ac:dyDescent="0.45">
      <c r="I45" t="s">
        <v>172</v>
      </c>
      <c r="J45" t="s">
        <v>208</v>
      </c>
      <c r="K45">
        <v>1.2797547092244649E-3</v>
      </c>
      <c r="L45" t="s">
        <v>174</v>
      </c>
      <c r="N45" t="s">
        <v>225</v>
      </c>
      <c r="O45" t="s">
        <v>208</v>
      </c>
      <c r="P45">
        <v>3.3952453952675279E-2</v>
      </c>
      <c r="Q45" t="s">
        <v>174</v>
      </c>
      <c r="S45" t="s">
        <v>235</v>
      </c>
      <c r="T45" t="s">
        <v>208</v>
      </c>
      <c r="U45">
        <v>3.3952453952675279E-2</v>
      </c>
      <c r="V45" t="s">
        <v>174</v>
      </c>
      <c r="X45">
        <v>2.3972602739726026E-2</v>
      </c>
      <c r="Y45">
        <v>3.0529796385152779E-2</v>
      </c>
      <c r="Z45" t="s">
        <v>208</v>
      </c>
      <c r="AA45" t="s">
        <v>25</v>
      </c>
      <c r="AC45" t="s">
        <v>22</v>
      </c>
      <c r="AD45" t="s">
        <v>208</v>
      </c>
      <c r="AE45">
        <v>2.7574307753046947E-2</v>
      </c>
      <c r="AG45" t="s">
        <v>96</v>
      </c>
      <c r="AH45" t="s">
        <v>208</v>
      </c>
      <c r="AI45">
        <v>0.15528317454323037</v>
      </c>
    </row>
    <row r="46" spans="9:35" x14ac:dyDescent="0.45">
      <c r="I46" t="s">
        <v>172</v>
      </c>
      <c r="J46" t="s">
        <v>209</v>
      </c>
      <c r="K46">
        <v>0</v>
      </c>
      <c r="L46" t="s">
        <v>174</v>
      </c>
      <c r="N46" t="s">
        <v>225</v>
      </c>
      <c r="O46" t="s">
        <v>209</v>
      </c>
      <c r="P46">
        <v>4.6010881636955091E-3</v>
      </c>
      <c r="Q46" t="s">
        <v>174</v>
      </c>
      <c r="S46" t="s">
        <v>235</v>
      </c>
      <c r="T46" t="s">
        <v>209</v>
      </c>
      <c r="U46">
        <v>4.6010881636955091E-3</v>
      </c>
      <c r="V46" t="s">
        <v>174</v>
      </c>
      <c r="X46">
        <v>3.4246575342465752E-3</v>
      </c>
      <c r="Y46">
        <v>8.9501031748004888E-4</v>
      </c>
      <c r="Z46" t="s">
        <v>209</v>
      </c>
      <c r="AA46" t="s">
        <v>25</v>
      </c>
      <c r="AC46" t="s">
        <v>22</v>
      </c>
      <c r="AD46" t="s">
        <v>209</v>
      </c>
      <c r="AE46">
        <v>2.7746922525781073E-3</v>
      </c>
      <c r="AG46" t="s">
        <v>96</v>
      </c>
      <c r="AH46" t="s">
        <v>209</v>
      </c>
      <c r="AI46">
        <v>3.6858469977484543E-2</v>
      </c>
    </row>
    <row r="47" spans="9:35" x14ac:dyDescent="0.45">
      <c r="I47" t="s">
        <v>172</v>
      </c>
      <c r="J47" t="s">
        <v>210</v>
      </c>
      <c r="K47">
        <v>0</v>
      </c>
      <c r="L47" t="s">
        <v>174</v>
      </c>
      <c r="N47" t="s">
        <v>225</v>
      </c>
      <c r="O47" t="s">
        <v>210</v>
      </c>
      <c r="P47">
        <v>3.1146727219561035E-2</v>
      </c>
      <c r="Q47" t="s">
        <v>174</v>
      </c>
      <c r="S47" t="s">
        <v>235</v>
      </c>
      <c r="T47" t="s">
        <v>210</v>
      </c>
      <c r="U47">
        <v>3.1146727219561035E-2</v>
      </c>
      <c r="V47" t="s">
        <v>174</v>
      </c>
      <c r="X47">
        <v>1.7694063926940638E-2</v>
      </c>
      <c r="Y47">
        <v>2.7539798954163875E-3</v>
      </c>
      <c r="Z47" t="s">
        <v>210</v>
      </c>
      <c r="AA47" t="s">
        <v>25</v>
      </c>
      <c r="AC47" t="s">
        <v>22</v>
      </c>
      <c r="AD47" t="s">
        <v>210</v>
      </c>
      <c r="AE47">
        <v>1.3446142310705771E-2</v>
      </c>
      <c r="AG47" t="s">
        <v>96</v>
      </c>
      <c r="AH47" t="s">
        <v>210</v>
      </c>
      <c r="AI47">
        <v>0.12428645992990961</v>
      </c>
    </row>
    <row r="48" spans="9:35" x14ac:dyDescent="0.45">
      <c r="I48" t="s">
        <v>172</v>
      </c>
      <c r="J48" t="s">
        <v>211</v>
      </c>
      <c r="K48">
        <v>0</v>
      </c>
      <c r="L48" t="s">
        <v>174</v>
      </c>
      <c r="N48" t="s">
        <v>225</v>
      </c>
      <c r="O48" t="s">
        <v>211</v>
      </c>
      <c r="P48">
        <v>6.0451713374244541E-3</v>
      </c>
      <c r="Q48" t="s">
        <v>174</v>
      </c>
      <c r="S48" t="s">
        <v>235</v>
      </c>
      <c r="T48" t="s">
        <v>211</v>
      </c>
      <c r="U48">
        <v>6.0451713374244541E-3</v>
      </c>
      <c r="V48" t="s">
        <v>174</v>
      </c>
      <c r="X48">
        <v>3.5388127853881279E-3</v>
      </c>
      <c r="Y48">
        <v>1.7880317231434744E-3</v>
      </c>
      <c r="Z48" t="s">
        <v>211</v>
      </c>
      <c r="AA48" t="s">
        <v>25</v>
      </c>
      <c r="AC48" t="s">
        <v>22</v>
      </c>
      <c r="AD48" t="s">
        <v>211</v>
      </c>
      <c r="AE48">
        <v>3.4861356707630675E-3</v>
      </c>
      <c r="AG48" t="s">
        <v>96</v>
      </c>
      <c r="AH48" t="s">
        <v>211</v>
      </c>
      <c r="AI48">
        <v>0.1159736953754773</v>
      </c>
    </row>
    <row r="49" spans="9:35" x14ac:dyDescent="0.45">
      <c r="I49" t="s">
        <v>172</v>
      </c>
      <c r="J49" t="s">
        <v>212</v>
      </c>
      <c r="K49">
        <v>1.6347802637631107E-6</v>
      </c>
      <c r="L49" t="s">
        <v>174</v>
      </c>
      <c r="N49" t="s">
        <v>225</v>
      </c>
      <c r="O49" t="s">
        <v>212</v>
      </c>
      <c r="P49">
        <v>1.7932045055613646E-2</v>
      </c>
      <c r="Q49" t="s">
        <v>174</v>
      </c>
      <c r="S49" t="s">
        <v>235</v>
      </c>
      <c r="T49" t="s">
        <v>212</v>
      </c>
      <c r="U49">
        <v>1.7932045055613646E-2</v>
      </c>
      <c r="V49" t="s">
        <v>174</v>
      </c>
      <c r="X49">
        <v>1.0616438356164383E-2</v>
      </c>
      <c r="Y49">
        <v>1.5670967688470115E-2</v>
      </c>
      <c r="Z49" t="s">
        <v>212</v>
      </c>
      <c r="AA49" t="s">
        <v>25</v>
      </c>
      <c r="AC49" t="s">
        <v>22</v>
      </c>
      <c r="AD49" t="s">
        <v>212</v>
      </c>
      <c r="AE49">
        <v>1.3007633627497888E-2</v>
      </c>
      <c r="AG49" t="s">
        <v>96</v>
      </c>
      <c r="AH49" t="s">
        <v>212</v>
      </c>
      <c r="AI49">
        <v>0.12479621896808157</v>
      </c>
    </row>
    <row r="50" spans="9:35" x14ac:dyDescent="0.45">
      <c r="I50" t="s">
        <v>172</v>
      </c>
      <c r="J50" t="s">
        <v>213</v>
      </c>
      <c r="K50">
        <v>2.9875082609685018E-2</v>
      </c>
      <c r="L50" t="s">
        <v>174</v>
      </c>
      <c r="N50" t="s">
        <v>225</v>
      </c>
      <c r="O50" t="s">
        <v>213</v>
      </c>
      <c r="P50">
        <v>3.6093597624347516E-2</v>
      </c>
      <c r="Q50" t="s">
        <v>174</v>
      </c>
      <c r="S50" t="s">
        <v>235</v>
      </c>
      <c r="T50" t="s">
        <v>213</v>
      </c>
      <c r="U50">
        <v>3.6093597624347516E-2</v>
      </c>
      <c r="V50" t="s">
        <v>174</v>
      </c>
      <c r="X50">
        <v>2.4771689497716895E-2</v>
      </c>
      <c r="Y50">
        <v>3.2246227282897846E-2</v>
      </c>
      <c r="Z50" t="s">
        <v>213</v>
      </c>
      <c r="AA50" t="s">
        <v>25</v>
      </c>
      <c r="AC50" t="s">
        <v>22</v>
      </c>
      <c r="AD50" t="s">
        <v>213</v>
      </c>
      <c r="AE50">
        <v>3.1616338684724334E-2</v>
      </c>
      <c r="AG50" t="s">
        <v>96</v>
      </c>
      <c r="AH50" t="s">
        <v>213</v>
      </c>
      <c r="AI50">
        <v>9.9107799491741533E-2</v>
      </c>
    </row>
    <row r="51" spans="9:35" x14ac:dyDescent="0.45">
      <c r="I51" t="s">
        <v>172</v>
      </c>
      <c r="J51" t="s">
        <v>214</v>
      </c>
      <c r="K51">
        <v>3.8363029876551166E-4</v>
      </c>
      <c r="L51" t="s">
        <v>174</v>
      </c>
      <c r="N51" t="s">
        <v>225</v>
      </c>
      <c r="O51" t="s">
        <v>214</v>
      </c>
      <c r="P51">
        <v>4.2415534297782567E-2</v>
      </c>
      <c r="Q51" t="s">
        <v>174</v>
      </c>
      <c r="S51" t="s">
        <v>235</v>
      </c>
      <c r="T51" t="s">
        <v>214</v>
      </c>
      <c r="U51">
        <v>4.2415534297782567E-2</v>
      </c>
      <c r="V51" t="s">
        <v>174</v>
      </c>
      <c r="X51">
        <v>2.4771689497716895E-2</v>
      </c>
      <c r="Y51">
        <v>3.1547456264657874E-2</v>
      </c>
      <c r="Z51" t="s">
        <v>214</v>
      </c>
      <c r="AA51" t="s">
        <v>25</v>
      </c>
      <c r="AC51" t="s">
        <v>22</v>
      </c>
      <c r="AD51" t="s">
        <v>214</v>
      </c>
      <c r="AE51">
        <v>2.8877049257286999E-2</v>
      </c>
      <c r="AG51" t="s">
        <v>96</v>
      </c>
      <c r="AH51" t="s">
        <v>214</v>
      </c>
      <c r="AI51">
        <v>0.15315026513108299</v>
      </c>
    </row>
    <row r="52" spans="9:35" x14ac:dyDescent="0.45">
      <c r="I52" t="s">
        <v>172</v>
      </c>
      <c r="J52" t="s">
        <v>215</v>
      </c>
      <c r="K52">
        <v>0</v>
      </c>
      <c r="L52" t="s">
        <v>174</v>
      </c>
      <c r="N52" t="s">
        <v>225</v>
      </c>
      <c r="O52" t="s">
        <v>215</v>
      </c>
      <c r="P52">
        <v>6.3845345494366879E-3</v>
      </c>
      <c r="Q52" t="s">
        <v>174</v>
      </c>
      <c r="S52" t="s">
        <v>235</v>
      </c>
      <c r="T52" t="s">
        <v>215</v>
      </c>
      <c r="U52">
        <v>6.3845345494366879E-3</v>
      </c>
      <c r="V52" t="s">
        <v>174</v>
      </c>
      <c r="X52">
        <v>3.5388127853881279E-3</v>
      </c>
      <c r="Y52">
        <v>9.2484399472938378E-4</v>
      </c>
      <c r="Z52" t="s">
        <v>215</v>
      </c>
      <c r="AA52" t="s">
        <v>25</v>
      </c>
      <c r="AC52" t="s">
        <v>22</v>
      </c>
      <c r="AD52" t="s">
        <v>215</v>
      </c>
      <c r="AE52">
        <v>2.9060199079155571E-3</v>
      </c>
      <c r="AG52" t="s">
        <v>96</v>
      </c>
      <c r="AH52" t="s">
        <v>215</v>
      </c>
      <c r="AI52">
        <v>4.3799165128307394E-2</v>
      </c>
    </row>
    <row r="53" spans="9:35" x14ac:dyDescent="0.45">
      <c r="I53" t="s">
        <v>216</v>
      </c>
      <c r="J53" t="s">
        <v>173</v>
      </c>
      <c r="K53">
        <v>0</v>
      </c>
      <c r="L53" t="s">
        <v>174</v>
      </c>
      <c r="N53" t="s">
        <v>226</v>
      </c>
      <c r="O53" t="s">
        <v>173</v>
      </c>
      <c r="P53">
        <v>1.8802215114203179E-2</v>
      </c>
      <c r="Q53" t="s">
        <v>174</v>
      </c>
      <c r="S53" t="s">
        <v>236</v>
      </c>
      <c r="T53" t="s">
        <v>173</v>
      </c>
      <c r="U53">
        <v>1.8802215114203179E-2</v>
      </c>
      <c r="V53" t="s">
        <v>174</v>
      </c>
      <c r="AC53" t="s">
        <v>19</v>
      </c>
      <c r="AD53" t="s">
        <v>173</v>
      </c>
      <c r="AE53">
        <v>1.7428746142709842E-2</v>
      </c>
    </row>
    <row r="54" spans="9:35" x14ac:dyDescent="0.45">
      <c r="I54" t="s">
        <v>216</v>
      </c>
      <c r="J54" t="s">
        <v>175</v>
      </c>
      <c r="K54">
        <v>0</v>
      </c>
      <c r="L54" t="s">
        <v>174</v>
      </c>
      <c r="N54" t="s">
        <v>226</v>
      </c>
      <c r="O54" t="s">
        <v>175</v>
      </c>
      <c r="P54">
        <v>3.4500677144187128E-3</v>
      </c>
      <c r="Q54" t="s">
        <v>174</v>
      </c>
      <c r="S54" t="s">
        <v>236</v>
      </c>
      <c r="T54" t="s">
        <v>175</v>
      </c>
      <c r="U54">
        <v>3.4500677144187128E-3</v>
      </c>
      <c r="V54" t="s">
        <v>174</v>
      </c>
      <c r="AC54" t="s">
        <v>19</v>
      </c>
      <c r="AD54" t="s">
        <v>175</v>
      </c>
      <c r="AE54">
        <v>3.5280386092727371E-3</v>
      </c>
    </row>
    <row r="55" spans="9:35" x14ac:dyDescent="0.45">
      <c r="I55" t="s">
        <v>216</v>
      </c>
      <c r="J55" t="s">
        <v>176</v>
      </c>
      <c r="K55">
        <v>0</v>
      </c>
      <c r="L55" t="s">
        <v>174</v>
      </c>
      <c r="N55" t="s">
        <v>226</v>
      </c>
      <c r="O55" t="s">
        <v>176</v>
      </c>
      <c r="P55">
        <v>1.0141108094938749E-2</v>
      </c>
      <c r="Q55" t="s">
        <v>174</v>
      </c>
      <c r="S55" t="s">
        <v>236</v>
      </c>
      <c r="T55" t="s">
        <v>176</v>
      </c>
      <c r="U55">
        <v>1.0141108094938749E-2</v>
      </c>
      <c r="V55" t="s">
        <v>174</v>
      </c>
      <c r="AC55" t="s">
        <v>19</v>
      </c>
      <c r="AD55" t="s">
        <v>176</v>
      </c>
      <c r="AE55">
        <v>1.0697739908834091E-2</v>
      </c>
    </row>
    <row r="56" spans="9:35" x14ac:dyDescent="0.45">
      <c r="I56" t="s">
        <v>216</v>
      </c>
      <c r="J56" t="s">
        <v>177</v>
      </c>
      <c r="K56">
        <v>2.321001999959716E-2</v>
      </c>
      <c r="L56" t="s">
        <v>174</v>
      </c>
      <c r="N56" t="s">
        <v>226</v>
      </c>
      <c r="O56" t="s">
        <v>177</v>
      </c>
      <c r="P56">
        <v>2.0496762110580768E-2</v>
      </c>
      <c r="Q56" t="s">
        <v>174</v>
      </c>
      <c r="S56" t="s">
        <v>236</v>
      </c>
      <c r="T56" t="s">
        <v>177</v>
      </c>
      <c r="U56">
        <v>2.0496762110580768E-2</v>
      </c>
      <c r="V56" t="s">
        <v>174</v>
      </c>
      <c r="AC56" t="s">
        <v>19</v>
      </c>
      <c r="AD56" t="s">
        <v>177</v>
      </c>
      <c r="AE56">
        <v>2.5036728584611326E-2</v>
      </c>
    </row>
    <row r="57" spans="9:35" x14ac:dyDescent="0.45">
      <c r="I57" t="s">
        <v>216</v>
      </c>
      <c r="J57" t="s">
        <v>178</v>
      </c>
      <c r="K57">
        <v>1.9430077949080045E-3</v>
      </c>
      <c r="L57" t="s">
        <v>174</v>
      </c>
      <c r="N57" t="s">
        <v>226</v>
      </c>
      <c r="O57" t="s">
        <v>178</v>
      </c>
      <c r="P57">
        <v>2.5312365289812237E-2</v>
      </c>
      <c r="Q57" t="s">
        <v>174</v>
      </c>
      <c r="S57" t="s">
        <v>236</v>
      </c>
      <c r="T57" t="s">
        <v>178</v>
      </c>
      <c r="U57">
        <v>2.5312365289812237E-2</v>
      </c>
      <c r="V57" t="s">
        <v>174</v>
      </c>
      <c r="AC57" t="s">
        <v>19</v>
      </c>
      <c r="AD57" t="s">
        <v>178</v>
      </c>
      <c r="AE57">
        <v>2.4860229547418258E-2</v>
      </c>
    </row>
    <row r="58" spans="9:35" x14ac:dyDescent="0.45">
      <c r="I58" t="s">
        <v>216</v>
      </c>
      <c r="J58" t="s">
        <v>179</v>
      </c>
      <c r="K58">
        <v>0</v>
      </c>
      <c r="L58" t="s">
        <v>174</v>
      </c>
      <c r="N58" t="s">
        <v>226</v>
      </c>
      <c r="O58" t="s">
        <v>179</v>
      </c>
      <c r="P58">
        <v>3.7842304192097381E-3</v>
      </c>
      <c r="Q58" t="s">
        <v>174</v>
      </c>
      <c r="S58" t="s">
        <v>236</v>
      </c>
      <c r="T58" t="s">
        <v>179</v>
      </c>
      <c r="U58">
        <v>3.7842304192097381E-3</v>
      </c>
      <c r="V58" t="s">
        <v>174</v>
      </c>
      <c r="AC58" t="s">
        <v>19</v>
      </c>
      <c r="AD58" t="s">
        <v>179</v>
      </c>
      <c r="AE58">
        <v>3.4885450154051542E-3</v>
      </c>
    </row>
    <row r="59" spans="9:35" x14ac:dyDescent="0.45">
      <c r="I59" t="s">
        <v>216</v>
      </c>
      <c r="J59" t="s">
        <v>180</v>
      </c>
      <c r="K59">
        <v>0</v>
      </c>
      <c r="L59" t="s">
        <v>174</v>
      </c>
      <c r="N59" t="s">
        <v>226</v>
      </c>
      <c r="O59" t="s">
        <v>180</v>
      </c>
      <c r="P59">
        <v>3.8937840902502768E-2</v>
      </c>
      <c r="Q59" t="s">
        <v>174</v>
      </c>
      <c r="S59" t="s">
        <v>236</v>
      </c>
      <c r="T59" t="s">
        <v>180</v>
      </c>
      <c r="U59">
        <v>3.8937840902502768E-2</v>
      </c>
      <c r="V59" t="s">
        <v>174</v>
      </c>
      <c r="AC59" t="s">
        <v>19</v>
      </c>
      <c r="AD59" t="s">
        <v>180</v>
      </c>
      <c r="AE59">
        <v>3.3177171064934036E-2</v>
      </c>
    </row>
    <row r="60" spans="9:35" x14ac:dyDescent="0.45">
      <c r="I60" t="s">
        <v>216</v>
      </c>
      <c r="J60" t="s">
        <v>181</v>
      </c>
      <c r="K60">
        <v>0</v>
      </c>
      <c r="L60" t="s">
        <v>174</v>
      </c>
      <c r="N60" t="s">
        <v>226</v>
      </c>
      <c r="O60" t="s">
        <v>181</v>
      </c>
      <c r="P60">
        <v>7.8031007799272238E-3</v>
      </c>
      <c r="Q60" t="s">
        <v>174</v>
      </c>
      <c r="S60" t="s">
        <v>236</v>
      </c>
      <c r="T60" t="s">
        <v>181</v>
      </c>
      <c r="U60">
        <v>7.8031007799272238E-3</v>
      </c>
      <c r="V60" t="s">
        <v>174</v>
      </c>
      <c r="AC60" t="s">
        <v>19</v>
      </c>
      <c r="AD60" t="s">
        <v>181</v>
      </c>
      <c r="AE60">
        <v>6.7267807272810027E-3</v>
      </c>
    </row>
    <row r="61" spans="9:35" x14ac:dyDescent="0.45">
      <c r="I61" t="s">
        <v>216</v>
      </c>
      <c r="J61" t="s">
        <v>182</v>
      </c>
      <c r="K61">
        <v>1.0501763520398102E-2</v>
      </c>
      <c r="L61" t="s">
        <v>174</v>
      </c>
      <c r="N61" t="s">
        <v>226</v>
      </c>
      <c r="O61" t="s">
        <v>182</v>
      </c>
      <c r="P61">
        <v>2.3282626290646844E-2</v>
      </c>
      <c r="Q61" t="s">
        <v>174</v>
      </c>
      <c r="S61" t="s">
        <v>236</v>
      </c>
      <c r="T61" t="s">
        <v>182</v>
      </c>
      <c r="U61">
        <v>2.3282626290646844E-2</v>
      </c>
      <c r="V61" t="s">
        <v>174</v>
      </c>
      <c r="AC61" t="s">
        <v>19</v>
      </c>
      <c r="AD61" t="s">
        <v>182</v>
      </c>
      <c r="AE61">
        <v>2.0370951759749029E-2</v>
      </c>
    </row>
    <row r="62" spans="9:35" x14ac:dyDescent="0.45">
      <c r="I62" t="s">
        <v>216</v>
      </c>
      <c r="J62" t="s">
        <v>183</v>
      </c>
      <c r="K62">
        <v>0.10220472192958083</v>
      </c>
      <c r="L62" t="s">
        <v>174</v>
      </c>
      <c r="N62" t="s">
        <v>226</v>
      </c>
      <c r="O62" t="s">
        <v>183</v>
      </c>
      <c r="P62">
        <v>4.7832216245879272E-2</v>
      </c>
      <c r="Q62" t="s">
        <v>174</v>
      </c>
      <c r="S62" t="s">
        <v>236</v>
      </c>
      <c r="T62" t="s">
        <v>183</v>
      </c>
      <c r="U62">
        <v>4.7832216245879272E-2</v>
      </c>
      <c r="V62" t="s">
        <v>174</v>
      </c>
      <c r="AC62" t="s">
        <v>19</v>
      </c>
      <c r="AD62" t="s">
        <v>183</v>
      </c>
      <c r="AE62">
        <v>4.7613348333337698E-2</v>
      </c>
    </row>
    <row r="63" spans="9:35" x14ac:dyDescent="0.45">
      <c r="I63" t="s">
        <v>216</v>
      </c>
      <c r="J63" t="s">
        <v>184</v>
      </c>
      <c r="K63">
        <v>1.6257582382111772E-2</v>
      </c>
      <c r="L63" t="s">
        <v>174</v>
      </c>
      <c r="N63" t="s">
        <v>226</v>
      </c>
      <c r="O63" t="s">
        <v>184</v>
      </c>
      <c r="P63">
        <v>5.5338916671107144E-2</v>
      </c>
      <c r="Q63" t="s">
        <v>174</v>
      </c>
      <c r="S63" t="s">
        <v>236</v>
      </c>
      <c r="T63" t="s">
        <v>184</v>
      </c>
      <c r="U63">
        <v>5.5338916671107144E-2</v>
      </c>
      <c r="V63" t="s">
        <v>174</v>
      </c>
      <c r="AC63" t="s">
        <v>19</v>
      </c>
      <c r="AD63" t="s">
        <v>184</v>
      </c>
      <c r="AE63">
        <v>4.7292073768685286E-2</v>
      </c>
    </row>
    <row r="64" spans="9:35" x14ac:dyDescent="0.45">
      <c r="I64" t="s">
        <v>216</v>
      </c>
      <c r="J64" t="s">
        <v>185</v>
      </c>
      <c r="K64">
        <v>0</v>
      </c>
      <c r="L64" t="s">
        <v>174</v>
      </c>
      <c r="N64" t="s">
        <v>226</v>
      </c>
      <c r="O64" t="s">
        <v>185</v>
      </c>
      <c r="P64">
        <v>7.3538928977684827E-3</v>
      </c>
      <c r="Q64" t="s">
        <v>174</v>
      </c>
      <c r="S64" t="s">
        <v>236</v>
      </c>
      <c r="T64" t="s">
        <v>185</v>
      </c>
      <c r="U64">
        <v>7.3538928977684827E-3</v>
      </c>
      <c r="V64" t="s">
        <v>174</v>
      </c>
      <c r="AC64" t="s">
        <v>19</v>
      </c>
      <c r="AD64" t="s">
        <v>185</v>
      </c>
      <c r="AE64">
        <v>6.6380928744750305E-3</v>
      </c>
    </row>
    <row r="65" spans="9:31" x14ac:dyDescent="0.45">
      <c r="I65" t="s">
        <v>216</v>
      </c>
      <c r="J65" t="s">
        <v>186</v>
      </c>
      <c r="K65">
        <v>0</v>
      </c>
      <c r="L65" t="s">
        <v>174</v>
      </c>
      <c r="N65" t="s">
        <v>226</v>
      </c>
      <c r="O65" t="s">
        <v>186</v>
      </c>
      <c r="P65">
        <v>6.3712717103256974E-2</v>
      </c>
      <c r="Q65" t="s">
        <v>174</v>
      </c>
      <c r="S65" t="s">
        <v>236</v>
      </c>
      <c r="T65" t="s">
        <v>186</v>
      </c>
      <c r="U65">
        <v>6.3712717103256974E-2</v>
      </c>
      <c r="V65" t="s">
        <v>174</v>
      </c>
      <c r="AC65" t="s">
        <v>19</v>
      </c>
      <c r="AD65" t="s">
        <v>186</v>
      </c>
      <c r="AE65">
        <v>6.8493698944176437E-2</v>
      </c>
    </row>
    <row r="66" spans="9:31" x14ac:dyDescent="0.45">
      <c r="I66" t="s">
        <v>216</v>
      </c>
      <c r="J66" t="s">
        <v>187</v>
      </c>
      <c r="K66">
        <v>6.6037988238393849E-3</v>
      </c>
      <c r="L66" t="s">
        <v>174</v>
      </c>
      <c r="N66" t="s">
        <v>226</v>
      </c>
      <c r="O66" t="s">
        <v>187</v>
      </c>
      <c r="P66">
        <v>1.2060318327876336E-2</v>
      </c>
      <c r="Q66" t="s">
        <v>174</v>
      </c>
      <c r="S66" t="s">
        <v>236</v>
      </c>
      <c r="T66" t="s">
        <v>187</v>
      </c>
      <c r="U66">
        <v>1.2060318327876336E-2</v>
      </c>
      <c r="V66" t="s">
        <v>174</v>
      </c>
      <c r="AC66" t="s">
        <v>19</v>
      </c>
      <c r="AD66" t="s">
        <v>187</v>
      </c>
      <c r="AE66">
        <v>1.3855249512467796E-2</v>
      </c>
    </row>
    <row r="67" spans="9:31" x14ac:dyDescent="0.45">
      <c r="I67" t="s">
        <v>216</v>
      </c>
      <c r="J67" t="s">
        <v>188</v>
      </c>
      <c r="K67">
        <v>7.9622646787571277E-2</v>
      </c>
      <c r="L67" t="s">
        <v>174</v>
      </c>
      <c r="N67" t="s">
        <v>226</v>
      </c>
      <c r="O67" t="s">
        <v>188</v>
      </c>
      <c r="P67">
        <v>3.2525574889214391E-2</v>
      </c>
      <c r="Q67" t="s">
        <v>174</v>
      </c>
      <c r="S67" t="s">
        <v>236</v>
      </c>
      <c r="T67" t="s">
        <v>188</v>
      </c>
      <c r="U67">
        <v>3.2525574889214391E-2</v>
      </c>
      <c r="V67" t="s">
        <v>174</v>
      </c>
      <c r="AC67" t="s">
        <v>19</v>
      </c>
      <c r="AD67" t="s">
        <v>188</v>
      </c>
      <c r="AE67">
        <v>4.2035640687234636E-2</v>
      </c>
    </row>
    <row r="68" spans="9:31" x14ac:dyDescent="0.45">
      <c r="I68" t="s">
        <v>216</v>
      </c>
      <c r="J68" t="s">
        <v>189</v>
      </c>
      <c r="K68">
        <v>0.31424189696880894</v>
      </c>
      <c r="L68" t="s">
        <v>174</v>
      </c>
      <c r="N68" t="s">
        <v>226</v>
      </c>
      <c r="O68" t="s">
        <v>189</v>
      </c>
      <c r="P68">
        <v>7.3704449683843015E-2</v>
      </c>
      <c r="Q68" t="s">
        <v>174</v>
      </c>
      <c r="S68" t="s">
        <v>236</v>
      </c>
      <c r="T68" t="s">
        <v>189</v>
      </c>
      <c r="U68">
        <v>7.3704449683843015E-2</v>
      </c>
      <c r="V68" t="s">
        <v>174</v>
      </c>
      <c r="AC68" t="s">
        <v>19</v>
      </c>
      <c r="AD68" t="s">
        <v>189</v>
      </c>
      <c r="AE68">
        <v>9.8298741372604595E-2</v>
      </c>
    </row>
    <row r="69" spans="9:31" x14ac:dyDescent="0.45">
      <c r="I69" t="s">
        <v>216</v>
      </c>
      <c r="J69" t="s">
        <v>190</v>
      </c>
      <c r="K69">
        <v>0.10357148067268747</v>
      </c>
      <c r="L69" t="s">
        <v>174</v>
      </c>
      <c r="N69" t="s">
        <v>226</v>
      </c>
      <c r="O69" t="s">
        <v>190</v>
      </c>
      <c r="P69">
        <v>8.3069181602471856E-2</v>
      </c>
      <c r="Q69" t="s">
        <v>174</v>
      </c>
      <c r="S69" t="s">
        <v>236</v>
      </c>
      <c r="T69" t="s">
        <v>190</v>
      </c>
      <c r="U69">
        <v>8.3069181602471856E-2</v>
      </c>
      <c r="V69" t="s">
        <v>174</v>
      </c>
      <c r="AC69" t="s">
        <v>19</v>
      </c>
      <c r="AD69" t="s">
        <v>190</v>
      </c>
      <c r="AE69">
        <v>9.7655281611939732E-2</v>
      </c>
    </row>
    <row r="70" spans="9:31" x14ac:dyDescent="0.45">
      <c r="I70" t="s">
        <v>216</v>
      </c>
      <c r="J70" t="s">
        <v>191</v>
      </c>
      <c r="K70">
        <v>0</v>
      </c>
      <c r="L70" t="s">
        <v>174</v>
      </c>
      <c r="N70" t="s">
        <v>226</v>
      </c>
      <c r="O70" t="s">
        <v>191</v>
      </c>
      <c r="P70">
        <v>1.3432468195561402E-2</v>
      </c>
      <c r="Q70" t="s">
        <v>174</v>
      </c>
      <c r="S70" t="s">
        <v>236</v>
      </c>
      <c r="T70" t="s">
        <v>191</v>
      </c>
      <c r="U70">
        <v>1.3432468195561402E-2</v>
      </c>
      <c r="V70" t="s">
        <v>174</v>
      </c>
      <c r="AC70" t="s">
        <v>19</v>
      </c>
      <c r="AD70" t="s">
        <v>191</v>
      </c>
      <c r="AE70">
        <v>1.3740971644834453E-2</v>
      </c>
    </row>
    <row r="71" spans="9:31" x14ac:dyDescent="0.45">
      <c r="I71" t="s">
        <v>216</v>
      </c>
      <c r="J71" t="s">
        <v>192</v>
      </c>
      <c r="K71">
        <v>0</v>
      </c>
      <c r="L71" t="s">
        <v>174</v>
      </c>
      <c r="N71" t="s">
        <v>226</v>
      </c>
      <c r="O71" t="s">
        <v>192</v>
      </c>
      <c r="P71">
        <v>8.4352519082907963E-3</v>
      </c>
      <c r="Q71" t="s">
        <v>174</v>
      </c>
      <c r="S71" t="s">
        <v>236</v>
      </c>
      <c r="T71" t="s">
        <v>192</v>
      </c>
      <c r="U71">
        <v>8.4352519082907963E-3</v>
      </c>
      <c r="V71" t="s">
        <v>174</v>
      </c>
      <c r="AC71" t="s">
        <v>19</v>
      </c>
      <c r="AD71" t="s">
        <v>192</v>
      </c>
      <c r="AE71">
        <v>1.739560043481474E-2</v>
      </c>
    </row>
    <row r="72" spans="9:31" x14ac:dyDescent="0.45">
      <c r="I72" t="s">
        <v>216</v>
      </c>
      <c r="J72" t="s">
        <v>193</v>
      </c>
      <c r="K72">
        <v>2.9023280362588212E-4</v>
      </c>
      <c r="L72" t="s">
        <v>174</v>
      </c>
      <c r="N72" t="s">
        <v>226</v>
      </c>
      <c r="O72" t="s">
        <v>193</v>
      </c>
      <c r="P72">
        <v>2.0032120855422585E-3</v>
      </c>
      <c r="Q72" t="s">
        <v>174</v>
      </c>
      <c r="S72" t="s">
        <v>236</v>
      </c>
      <c r="T72" t="s">
        <v>193</v>
      </c>
      <c r="U72">
        <v>2.0032120855422585E-3</v>
      </c>
      <c r="V72" t="s">
        <v>174</v>
      </c>
      <c r="AC72" t="s">
        <v>19</v>
      </c>
      <c r="AD72" t="s">
        <v>193</v>
      </c>
      <c r="AE72">
        <v>3.510162002921141E-3</v>
      </c>
    </row>
    <row r="73" spans="9:31" x14ac:dyDescent="0.45">
      <c r="I73" t="s">
        <v>216</v>
      </c>
      <c r="J73" t="s">
        <v>194</v>
      </c>
      <c r="K73">
        <v>2.0313262432057687E-2</v>
      </c>
      <c r="L73" t="s">
        <v>174</v>
      </c>
      <c r="N73" t="s">
        <v>226</v>
      </c>
      <c r="O73" t="s">
        <v>194</v>
      </c>
      <c r="P73">
        <v>4.9702123987471506E-3</v>
      </c>
      <c r="Q73" t="s">
        <v>174</v>
      </c>
      <c r="S73" t="s">
        <v>236</v>
      </c>
      <c r="T73" t="s">
        <v>194</v>
      </c>
      <c r="U73">
        <v>4.9702123987471506E-3</v>
      </c>
      <c r="V73" t="s">
        <v>174</v>
      </c>
      <c r="AC73" t="s">
        <v>19</v>
      </c>
      <c r="AD73" t="s">
        <v>194</v>
      </c>
      <c r="AE73">
        <v>1.0659080317440539E-2</v>
      </c>
    </row>
    <row r="74" spans="9:31" x14ac:dyDescent="0.45">
      <c r="I74" t="s">
        <v>216</v>
      </c>
      <c r="J74" t="s">
        <v>195</v>
      </c>
      <c r="K74">
        <v>8.0822242088843935E-2</v>
      </c>
      <c r="L74" t="s">
        <v>174</v>
      </c>
      <c r="N74" t="s">
        <v>226</v>
      </c>
      <c r="O74" t="s">
        <v>195</v>
      </c>
      <c r="P74">
        <v>9.3805831480762627E-3</v>
      </c>
      <c r="Q74" t="s">
        <v>174</v>
      </c>
      <c r="S74" t="s">
        <v>236</v>
      </c>
      <c r="T74" t="s">
        <v>195</v>
      </c>
      <c r="U74">
        <v>9.3805831480762627E-3</v>
      </c>
      <c r="V74" t="s">
        <v>174</v>
      </c>
      <c r="AC74" t="s">
        <v>19</v>
      </c>
      <c r="AD74" t="s">
        <v>195</v>
      </c>
      <c r="AE74">
        <v>2.4974659399213318E-2</v>
      </c>
    </row>
    <row r="75" spans="9:31" x14ac:dyDescent="0.45">
      <c r="I75" t="s">
        <v>216</v>
      </c>
      <c r="J75" t="s">
        <v>196</v>
      </c>
      <c r="K75">
        <v>2.7377138411028169E-2</v>
      </c>
      <c r="L75" t="s">
        <v>174</v>
      </c>
      <c r="N75" t="s">
        <v>226</v>
      </c>
      <c r="O75" t="s">
        <v>196</v>
      </c>
      <c r="P75">
        <v>1.121942799248229E-2</v>
      </c>
      <c r="Q75" t="s">
        <v>174</v>
      </c>
      <c r="S75" t="s">
        <v>236</v>
      </c>
      <c r="T75" t="s">
        <v>196</v>
      </c>
      <c r="U75">
        <v>1.121942799248229E-2</v>
      </c>
      <c r="V75" t="s">
        <v>174</v>
      </c>
      <c r="AC75" t="s">
        <v>19</v>
      </c>
      <c r="AD75" t="s">
        <v>196</v>
      </c>
      <c r="AE75">
        <v>2.4822299522454645E-2</v>
      </c>
    </row>
    <row r="76" spans="9:31" x14ac:dyDescent="0.45">
      <c r="I76" t="s">
        <v>216</v>
      </c>
      <c r="J76" t="s">
        <v>197</v>
      </c>
      <c r="K76">
        <v>0</v>
      </c>
      <c r="L76" t="s">
        <v>174</v>
      </c>
      <c r="N76" t="s">
        <v>226</v>
      </c>
      <c r="O76" t="s">
        <v>197</v>
      </c>
      <c r="P76">
        <v>1.878626228481907E-3</v>
      </c>
      <c r="Q76" t="s">
        <v>174</v>
      </c>
      <c r="S76" t="s">
        <v>236</v>
      </c>
      <c r="T76" t="s">
        <v>197</v>
      </c>
      <c r="U76">
        <v>1.878626228481907E-3</v>
      </c>
      <c r="V76" t="s">
        <v>174</v>
      </c>
      <c r="AC76" t="s">
        <v>19</v>
      </c>
      <c r="AD76" t="s">
        <v>197</v>
      </c>
      <c r="AE76">
        <v>3.4947566250762034E-3</v>
      </c>
    </row>
    <row r="77" spans="9:31" x14ac:dyDescent="0.45">
      <c r="I77" t="s">
        <v>216</v>
      </c>
      <c r="J77" t="s">
        <v>198</v>
      </c>
      <c r="K77">
        <v>0</v>
      </c>
      <c r="L77" t="s">
        <v>174</v>
      </c>
      <c r="N77" t="s">
        <v>226</v>
      </c>
      <c r="O77" t="s">
        <v>198</v>
      </c>
      <c r="P77">
        <v>3.9948434557835734E-2</v>
      </c>
      <c r="Q77" t="s">
        <v>174</v>
      </c>
      <c r="S77" t="s">
        <v>236</v>
      </c>
      <c r="T77" t="s">
        <v>198</v>
      </c>
      <c r="U77">
        <v>3.9948434557835734E-2</v>
      </c>
      <c r="V77" t="s">
        <v>174</v>
      </c>
      <c r="AC77" t="s">
        <v>19</v>
      </c>
      <c r="AD77" t="s">
        <v>198</v>
      </c>
      <c r="AE77">
        <v>3.4245089999367546E-2</v>
      </c>
    </row>
    <row r="78" spans="9:31" x14ac:dyDescent="0.45">
      <c r="I78" t="s">
        <v>216</v>
      </c>
      <c r="J78" t="s">
        <v>199</v>
      </c>
      <c r="K78">
        <v>0</v>
      </c>
      <c r="L78" t="s">
        <v>174</v>
      </c>
      <c r="N78" t="s">
        <v>226</v>
      </c>
      <c r="O78" t="s">
        <v>199</v>
      </c>
      <c r="P78">
        <v>8.1512207754094977E-3</v>
      </c>
      <c r="Q78" t="s">
        <v>174</v>
      </c>
      <c r="S78" t="s">
        <v>236</v>
      </c>
      <c r="T78" t="s">
        <v>199</v>
      </c>
      <c r="U78">
        <v>8.1512207754094977E-3</v>
      </c>
      <c r="V78" t="s">
        <v>174</v>
      </c>
      <c r="AC78" t="s">
        <v>19</v>
      </c>
      <c r="AD78" t="s">
        <v>199</v>
      </c>
      <c r="AE78">
        <v>6.9124495237490747E-3</v>
      </c>
    </row>
    <row r="79" spans="9:31" x14ac:dyDescent="0.45">
      <c r="I79" t="s">
        <v>216</v>
      </c>
      <c r="J79" t="s">
        <v>200</v>
      </c>
      <c r="K79">
        <v>1.9307099790862293E-2</v>
      </c>
      <c r="L79" t="s">
        <v>174</v>
      </c>
      <c r="N79" t="s">
        <v>226</v>
      </c>
      <c r="O79" t="s">
        <v>200</v>
      </c>
      <c r="P79">
        <v>2.3628224033453861E-2</v>
      </c>
      <c r="Q79" t="s">
        <v>174</v>
      </c>
      <c r="S79" t="s">
        <v>236</v>
      </c>
      <c r="T79" t="s">
        <v>200</v>
      </c>
      <c r="U79">
        <v>2.3628224033453861E-2</v>
      </c>
      <c r="V79" t="s">
        <v>174</v>
      </c>
      <c r="AC79" t="s">
        <v>19</v>
      </c>
      <c r="AD79" t="s">
        <v>200</v>
      </c>
      <c r="AE79">
        <v>2.0990609162187118E-2</v>
      </c>
    </row>
    <row r="80" spans="9:31" x14ac:dyDescent="0.45">
      <c r="I80" t="s">
        <v>216</v>
      </c>
      <c r="J80" t="s">
        <v>201</v>
      </c>
      <c r="K80">
        <v>0.11559978029749711</v>
      </c>
      <c r="L80" t="s">
        <v>174</v>
      </c>
      <c r="N80" t="s">
        <v>226</v>
      </c>
      <c r="O80" t="s">
        <v>201</v>
      </c>
      <c r="P80">
        <v>4.561780327775012E-2</v>
      </c>
      <c r="Q80" t="s">
        <v>174</v>
      </c>
      <c r="S80" t="s">
        <v>236</v>
      </c>
      <c r="T80" t="s">
        <v>201</v>
      </c>
      <c r="U80">
        <v>4.561780327775012E-2</v>
      </c>
      <c r="V80" t="s">
        <v>174</v>
      </c>
      <c r="AC80" t="s">
        <v>19</v>
      </c>
      <c r="AD80" t="s">
        <v>201</v>
      </c>
      <c r="AE80">
        <v>4.9114551142712001E-2</v>
      </c>
    </row>
    <row r="81" spans="9:31" x14ac:dyDescent="0.45">
      <c r="I81" t="s">
        <v>216</v>
      </c>
      <c r="J81" t="s">
        <v>202</v>
      </c>
      <c r="K81">
        <v>1.8407696855355715E-2</v>
      </c>
      <c r="L81" t="s">
        <v>174</v>
      </c>
      <c r="N81" t="s">
        <v>226</v>
      </c>
      <c r="O81" t="s">
        <v>202</v>
      </c>
      <c r="P81">
        <v>5.4638333593816653E-2</v>
      </c>
      <c r="Q81" t="s">
        <v>174</v>
      </c>
      <c r="S81" t="s">
        <v>236</v>
      </c>
      <c r="T81" t="s">
        <v>202</v>
      </c>
      <c r="U81">
        <v>5.4638333593816653E-2</v>
      </c>
      <c r="V81" t="s">
        <v>174</v>
      </c>
      <c r="AC81" t="s">
        <v>19</v>
      </c>
      <c r="AD81" t="s">
        <v>202</v>
      </c>
      <c r="AE81">
        <v>4.8860079560651123E-2</v>
      </c>
    </row>
    <row r="82" spans="9:31" x14ac:dyDescent="0.45">
      <c r="I82" t="s">
        <v>216</v>
      </c>
      <c r="J82" t="s">
        <v>203</v>
      </c>
      <c r="K82">
        <v>0</v>
      </c>
      <c r="L82" t="s">
        <v>174</v>
      </c>
      <c r="N82" t="s">
        <v>226</v>
      </c>
      <c r="O82" t="s">
        <v>203</v>
      </c>
      <c r="P82">
        <v>8.2728877584955837E-3</v>
      </c>
      <c r="Q82" t="s">
        <v>174</v>
      </c>
      <c r="S82" t="s">
        <v>236</v>
      </c>
      <c r="T82" t="s">
        <v>203</v>
      </c>
      <c r="U82">
        <v>8.2728877584955837E-3</v>
      </c>
      <c r="V82" t="s">
        <v>174</v>
      </c>
      <c r="AC82" t="s">
        <v>19</v>
      </c>
      <c r="AD82" t="s">
        <v>203</v>
      </c>
      <c r="AE82">
        <v>6.8792560554679569E-3</v>
      </c>
    </row>
    <row r="83" spans="9:31" x14ac:dyDescent="0.45">
      <c r="I83" t="s">
        <v>216</v>
      </c>
      <c r="J83" t="s">
        <v>204</v>
      </c>
      <c r="K83">
        <v>0</v>
      </c>
      <c r="L83" t="s">
        <v>174</v>
      </c>
      <c r="N83" t="s">
        <v>226</v>
      </c>
      <c r="O83" t="s">
        <v>204</v>
      </c>
      <c r="P83">
        <v>2.162094651869868E-2</v>
      </c>
      <c r="Q83" t="s">
        <v>174</v>
      </c>
      <c r="S83" t="s">
        <v>236</v>
      </c>
      <c r="T83" t="s">
        <v>204</v>
      </c>
      <c r="U83">
        <v>2.162094651869868E-2</v>
      </c>
      <c r="V83" t="s">
        <v>174</v>
      </c>
      <c r="AC83" t="s">
        <v>19</v>
      </c>
      <c r="AD83" t="s">
        <v>204</v>
      </c>
      <c r="AE83">
        <v>1.6825629205371777E-2</v>
      </c>
    </row>
    <row r="84" spans="9:31" x14ac:dyDescent="0.45">
      <c r="I84" t="s">
        <v>216</v>
      </c>
      <c r="J84" t="s">
        <v>205</v>
      </c>
      <c r="K84">
        <v>0</v>
      </c>
      <c r="L84" t="s">
        <v>174</v>
      </c>
      <c r="N84" t="s">
        <v>226</v>
      </c>
      <c r="O84" t="s">
        <v>205</v>
      </c>
      <c r="P84">
        <v>3.786450637647344E-3</v>
      </c>
      <c r="Q84" t="s">
        <v>174</v>
      </c>
      <c r="S84" t="s">
        <v>236</v>
      </c>
      <c r="T84" t="s">
        <v>205</v>
      </c>
      <c r="U84">
        <v>3.786450637647344E-3</v>
      </c>
      <c r="V84" t="s">
        <v>174</v>
      </c>
      <c r="AC84" t="s">
        <v>19</v>
      </c>
      <c r="AD84" t="s">
        <v>205</v>
      </c>
      <c r="AE84">
        <v>3.4079518362755612E-3</v>
      </c>
    </row>
    <row r="85" spans="9:31" x14ac:dyDescent="0.45">
      <c r="I85" t="s">
        <v>216</v>
      </c>
      <c r="J85" t="s">
        <v>206</v>
      </c>
      <c r="K85">
        <v>1.2626681235191918E-3</v>
      </c>
      <c r="L85" t="s">
        <v>174</v>
      </c>
      <c r="N85" t="s">
        <v>226</v>
      </c>
      <c r="O85" t="s">
        <v>206</v>
      </c>
      <c r="P85">
        <v>1.1566135163785131E-2</v>
      </c>
      <c r="Q85" t="s">
        <v>174</v>
      </c>
      <c r="S85" t="s">
        <v>236</v>
      </c>
      <c r="T85" t="s">
        <v>206</v>
      </c>
      <c r="U85">
        <v>1.1566135163785131E-2</v>
      </c>
      <c r="V85" t="s">
        <v>174</v>
      </c>
      <c r="AC85" t="s">
        <v>19</v>
      </c>
      <c r="AD85" t="s">
        <v>206</v>
      </c>
      <c r="AE85">
        <v>1.0349629832045033E-2</v>
      </c>
    </row>
    <row r="86" spans="9:31" x14ac:dyDescent="0.45">
      <c r="I86" t="s">
        <v>216</v>
      </c>
      <c r="J86" t="s">
        <v>207</v>
      </c>
      <c r="K86">
        <v>2.4441629952853906E-2</v>
      </c>
      <c r="L86" t="s">
        <v>174</v>
      </c>
      <c r="N86" t="s">
        <v>226</v>
      </c>
      <c r="O86" t="s">
        <v>207</v>
      </c>
      <c r="P86">
        <v>3.179212044499638E-2</v>
      </c>
      <c r="Q86" t="s">
        <v>174</v>
      </c>
      <c r="S86" t="s">
        <v>236</v>
      </c>
      <c r="T86" t="s">
        <v>207</v>
      </c>
      <c r="U86">
        <v>3.179212044499638E-2</v>
      </c>
      <c r="V86" t="s">
        <v>174</v>
      </c>
      <c r="AC86" t="s">
        <v>19</v>
      </c>
      <c r="AD86" t="s">
        <v>207</v>
      </c>
      <c r="AE86">
        <v>2.4206449091771578E-2</v>
      </c>
    </row>
    <row r="87" spans="9:31" x14ac:dyDescent="0.45">
      <c r="I87" t="s">
        <v>216</v>
      </c>
      <c r="J87" t="s">
        <v>208</v>
      </c>
      <c r="K87">
        <v>1.4107128229903707E-3</v>
      </c>
      <c r="L87" t="s">
        <v>174</v>
      </c>
      <c r="N87" t="s">
        <v>226</v>
      </c>
      <c r="O87" t="s">
        <v>208</v>
      </c>
      <c r="P87">
        <v>3.67789623683967E-2</v>
      </c>
      <c r="Q87" t="s">
        <v>174</v>
      </c>
      <c r="S87" t="s">
        <v>236</v>
      </c>
      <c r="T87" t="s">
        <v>208</v>
      </c>
      <c r="U87">
        <v>3.67789623683967E-2</v>
      </c>
      <c r="V87" t="s">
        <v>174</v>
      </c>
      <c r="AC87" t="s">
        <v>19</v>
      </c>
      <c r="AD87" t="s">
        <v>208</v>
      </c>
      <c r="AE87">
        <v>2.4063883278171917E-2</v>
      </c>
    </row>
    <row r="88" spans="9:31" x14ac:dyDescent="0.45">
      <c r="I88" t="s">
        <v>216</v>
      </c>
      <c r="J88" t="s">
        <v>209</v>
      </c>
      <c r="K88">
        <v>0</v>
      </c>
      <c r="L88" t="s">
        <v>174</v>
      </c>
      <c r="N88" t="s">
        <v>226</v>
      </c>
      <c r="O88" t="s">
        <v>209</v>
      </c>
      <c r="P88">
        <v>4.8608191738054333E-3</v>
      </c>
      <c r="Q88" t="s">
        <v>174</v>
      </c>
      <c r="S88" t="s">
        <v>236</v>
      </c>
      <c r="T88" t="s">
        <v>209</v>
      </c>
      <c r="U88">
        <v>4.8608191738054333E-3</v>
      </c>
      <c r="V88" t="s">
        <v>174</v>
      </c>
      <c r="AC88" t="s">
        <v>19</v>
      </c>
      <c r="AD88" t="s">
        <v>209</v>
      </c>
      <c r="AE88">
        <v>3.3751998862296142E-3</v>
      </c>
    </row>
    <row r="89" spans="9:31" x14ac:dyDescent="0.45">
      <c r="I89" t="s">
        <v>216</v>
      </c>
      <c r="J89" t="s">
        <v>210</v>
      </c>
      <c r="K89">
        <v>0</v>
      </c>
      <c r="L89" t="s">
        <v>174</v>
      </c>
      <c r="N89" t="s">
        <v>226</v>
      </c>
      <c r="O89" t="s">
        <v>210</v>
      </c>
      <c r="P89">
        <v>2.8994417749737291E-2</v>
      </c>
      <c r="Q89" t="s">
        <v>174</v>
      </c>
      <c r="S89" t="s">
        <v>236</v>
      </c>
      <c r="T89" t="s">
        <v>210</v>
      </c>
      <c r="U89">
        <v>2.8994417749737291E-2</v>
      </c>
      <c r="V89" t="s">
        <v>174</v>
      </c>
      <c r="AC89" t="s">
        <v>19</v>
      </c>
      <c r="AD89" t="s">
        <v>210</v>
      </c>
      <c r="AE89">
        <v>1.7381056335930959E-2</v>
      </c>
    </row>
    <row r="90" spans="9:31" x14ac:dyDescent="0.45">
      <c r="I90" t="s">
        <v>216</v>
      </c>
      <c r="J90" t="s">
        <v>211</v>
      </c>
      <c r="K90">
        <v>0</v>
      </c>
      <c r="L90" t="s">
        <v>174</v>
      </c>
      <c r="N90" t="s">
        <v>226</v>
      </c>
      <c r="O90" t="s">
        <v>211</v>
      </c>
      <c r="P90">
        <v>5.659888368199556E-3</v>
      </c>
      <c r="Q90" t="s">
        <v>174</v>
      </c>
      <c r="S90" t="s">
        <v>236</v>
      </c>
      <c r="T90" t="s">
        <v>211</v>
      </c>
      <c r="U90">
        <v>5.659888368199556E-3</v>
      </c>
      <c r="V90" t="s">
        <v>174</v>
      </c>
      <c r="AC90" t="s">
        <v>19</v>
      </c>
      <c r="AD90" t="s">
        <v>211</v>
      </c>
      <c r="AE90">
        <v>3.518980798997708E-3</v>
      </c>
    </row>
    <row r="91" spans="9:31" x14ac:dyDescent="0.45">
      <c r="I91" t="s">
        <v>216</v>
      </c>
      <c r="J91" t="s">
        <v>212</v>
      </c>
      <c r="K91">
        <v>0</v>
      </c>
      <c r="L91" t="s">
        <v>174</v>
      </c>
      <c r="N91" t="s">
        <v>226</v>
      </c>
      <c r="O91" t="s">
        <v>212</v>
      </c>
      <c r="P91">
        <v>1.6576114872595905E-2</v>
      </c>
      <c r="Q91" t="s">
        <v>174</v>
      </c>
      <c r="S91" t="s">
        <v>236</v>
      </c>
      <c r="T91" t="s">
        <v>212</v>
      </c>
      <c r="U91">
        <v>1.6576114872595905E-2</v>
      </c>
      <c r="V91" t="s">
        <v>174</v>
      </c>
      <c r="AC91" t="s">
        <v>19</v>
      </c>
      <c r="AD91" t="s">
        <v>212</v>
      </c>
      <c r="AE91">
        <v>1.0693757860116459E-2</v>
      </c>
    </row>
    <row r="92" spans="9:31" x14ac:dyDescent="0.45">
      <c r="I92" t="s">
        <v>216</v>
      </c>
      <c r="J92" t="s">
        <v>213</v>
      </c>
      <c r="K92">
        <v>3.158807560947402E-2</v>
      </c>
      <c r="L92" t="s">
        <v>174</v>
      </c>
      <c r="N92" t="s">
        <v>226</v>
      </c>
      <c r="O92" t="s">
        <v>213</v>
      </c>
      <c r="P92">
        <v>3.264182359141396E-2</v>
      </c>
      <c r="Q92" t="s">
        <v>174</v>
      </c>
      <c r="S92" t="s">
        <v>236</v>
      </c>
      <c r="T92" t="s">
        <v>213</v>
      </c>
      <c r="U92">
        <v>3.264182359141396E-2</v>
      </c>
      <c r="V92" t="s">
        <v>174</v>
      </c>
      <c r="AC92" t="s">
        <v>19</v>
      </c>
      <c r="AD92" t="s">
        <v>213</v>
      </c>
      <c r="AE92">
        <v>2.5020003852636245E-2</v>
      </c>
    </row>
    <row r="93" spans="9:31" x14ac:dyDescent="0.45">
      <c r="I93" t="s">
        <v>216</v>
      </c>
      <c r="J93" t="s">
        <v>214</v>
      </c>
      <c r="K93">
        <v>1.0225419323894775E-3</v>
      </c>
      <c r="L93" t="s">
        <v>174</v>
      </c>
      <c r="N93" t="s">
        <v>226</v>
      </c>
      <c r="O93" t="s">
        <v>214</v>
      </c>
      <c r="P93">
        <v>4.0428146113841636E-2</v>
      </c>
      <c r="Q93" t="s">
        <v>174</v>
      </c>
      <c r="S93" t="s">
        <v>236</v>
      </c>
      <c r="T93" t="s">
        <v>214</v>
      </c>
      <c r="U93">
        <v>4.0428146113841636E-2</v>
      </c>
      <c r="V93" t="s">
        <v>174</v>
      </c>
      <c r="AC93" t="s">
        <v>19</v>
      </c>
      <c r="AD93" t="s">
        <v>214</v>
      </c>
      <c r="AE93">
        <v>2.4872987832401803E-2</v>
      </c>
    </row>
    <row r="94" spans="9:31" x14ac:dyDescent="0.45">
      <c r="I94" t="s">
        <v>216</v>
      </c>
      <c r="J94" t="s">
        <v>215</v>
      </c>
      <c r="K94">
        <v>0</v>
      </c>
      <c r="L94" t="s">
        <v>174</v>
      </c>
      <c r="N94" t="s">
        <v>226</v>
      </c>
      <c r="O94" t="s">
        <v>215</v>
      </c>
      <c r="P94">
        <v>6.1099049052781695E-3</v>
      </c>
      <c r="Q94" t="s">
        <v>174</v>
      </c>
      <c r="S94" t="s">
        <v>236</v>
      </c>
      <c r="T94" t="s">
        <v>215</v>
      </c>
      <c r="U94">
        <v>6.1099049052781695E-3</v>
      </c>
      <c r="V94" t="s">
        <v>174</v>
      </c>
      <c r="AC94" t="s">
        <v>19</v>
      </c>
      <c r="AD94" t="s">
        <v>215</v>
      </c>
      <c r="AE94">
        <v>3.4878463340248353E-3</v>
      </c>
    </row>
    <row r="95" spans="9:31" x14ac:dyDescent="0.45">
      <c r="I95" t="s">
        <v>217</v>
      </c>
      <c r="J95" t="s">
        <v>173</v>
      </c>
      <c r="K95">
        <v>0</v>
      </c>
      <c r="L95" t="s">
        <v>174</v>
      </c>
      <c r="N95" t="s">
        <v>227</v>
      </c>
      <c r="O95" t="s">
        <v>173</v>
      </c>
      <c r="P95">
        <v>1.9417964697040959E-2</v>
      </c>
      <c r="Q95" t="s">
        <v>174</v>
      </c>
      <c r="S95" t="s">
        <v>237</v>
      </c>
      <c r="T95" t="s">
        <v>173</v>
      </c>
      <c r="U95">
        <v>1.9417964697040959E-2</v>
      </c>
      <c r="V95" t="s">
        <v>174</v>
      </c>
    </row>
    <row r="96" spans="9:31" x14ac:dyDescent="0.45">
      <c r="I96" t="s">
        <v>217</v>
      </c>
      <c r="J96" t="s">
        <v>175</v>
      </c>
      <c r="K96">
        <v>0</v>
      </c>
      <c r="L96" t="s">
        <v>174</v>
      </c>
      <c r="N96" t="s">
        <v>227</v>
      </c>
      <c r="O96" t="s">
        <v>175</v>
      </c>
      <c r="P96">
        <v>3.8574185443878669E-3</v>
      </c>
      <c r="Q96" t="s">
        <v>174</v>
      </c>
      <c r="S96" t="s">
        <v>237</v>
      </c>
      <c r="T96" t="s">
        <v>175</v>
      </c>
      <c r="U96">
        <v>3.8574185443878669E-3</v>
      </c>
      <c r="V96" t="s">
        <v>174</v>
      </c>
    </row>
    <row r="97" spans="9:22" x14ac:dyDescent="0.45">
      <c r="I97" t="s">
        <v>217</v>
      </c>
      <c r="J97" t="s">
        <v>176</v>
      </c>
      <c r="K97">
        <v>6.6617278244305966E-7</v>
      </c>
      <c r="L97" t="s">
        <v>174</v>
      </c>
      <c r="N97" t="s">
        <v>227</v>
      </c>
      <c r="O97" t="s">
        <v>176</v>
      </c>
      <c r="P97">
        <v>1.1394452585195886E-2</v>
      </c>
      <c r="Q97" t="s">
        <v>174</v>
      </c>
      <c r="S97" t="s">
        <v>237</v>
      </c>
      <c r="T97" t="s">
        <v>176</v>
      </c>
      <c r="U97">
        <v>1.1394452585195886E-2</v>
      </c>
      <c r="V97" t="s">
        <v>174</v>
      </c>
    </row>
    <row r="98" spans="9:22" x14ac:dyDescent="0.45">
      <c r="I98" t="s">
        <v>217</v>
      </c>
      <c r="J98" t="s">
        <v>177</v>
      </c>
      <c r="K98">
        <v>2.6162330499960612E-2</v>
      </c>
      <c r="L98" t="s">
        <v>174</v>
      </c>
      <c r="N98" t="s">
        <v>227</v>
      </c>
      <c r="O98" t="s">
        <v>177</v>
      </c>
      <c r="P98">
        <v>2.2217654242828185E-2</v>
      </c>
      <c r="Q98" t="s">
        <v>174</v>
      </c>
      <c r="S98" t="s">
        <v>237</v>
      </c>
      <c r="T98" t="s">
        <v>177</v>
      </c>
      <c r="U98">
        <v>2.2217654242828185E-2</v>
      </c>
      <c r="V98" t="s">
        <v>174</v>
      </c>
    </row>
    <row r="99" spans="9:22" x14ac:dyDescent="0.45">
      <c r="I99" t="s">
        <v>217</v>
      </c>
      <c r="J99" t="s">
        <v>178</v>
      </c>
      <c r="K99">
        <v>2.2867554271954554E-3</v>
      </c>
      <c r="L99" t="s">
        <v>174</v>
      </c>
      <c r="N99" t="s">
        <v>227</v>
      </c>
      <c r="O99" t="s">
        <v>178</v>
      </c>
      <c r="P99">
        <v>2.5642266017249681E-2</v>
      </c>
      <c r="Q99" t="s">
        <v>174</v>
      </c>
      <c r="S99" t="s">
        <v>237</v>
      </c>
      <c r="T99" t="s">
        <v>178</v>
      </c>
      <c r="U99">
        <v>2.5642266017249681E-2</v>
      </c>
      <c r="V99" t="s">
        <v>174</v>
      </c>
    </row>
    <row r="100" spans="9:22" x14ac:dyDescent="0.45">
      <c r="I100" t="s">
        <v>217</v>
      </c>
      <c r="J100" t="s">
        <v>179</v>
      </c>
      <c r="K100">
        <v>0</v>
      </c>
      <c r="L100" t="s">
        <v>174</v>
      </c>
      <c r="N100" t="s">
        <v>227</v>
      </c>
      <c r="O100" t="s">
        <v>179</v>
      </c>
      <c r="P100">
        <v>3.9097020789464285E-3</v>
      </c>
      <c r="Q100" t="s">
        <v>174</v>
      </c>
      <c r="S100" t="s">
        <v>237</v>
      </c>
      <c r="T100" t="s">
        <v>179</v>
      </c>
      <c r="U100">
        <v>3.9097020789464285E-3</v>
      </c>
      <c r="V100" t="s">
        <v>174</v>
      </c>
    </row>
    <row r="101" spans="9:22" x14ac:dyDescent="0.45">
      <c r="I101" t="s">
        <v>217</v>
      </c>
      <c r="J101" t="s">
        <v>180</v>
      </c>
      <c r="K101">
        <v>0</v>
      </c>
      <c r="L101" t="s">
        <v>174</v>
      </c>
      <c r="N101" t="s">
        <v>227</v>
      </c>
      <c r="O101" t="s">
        <v>180</v>
      </c>
      <c r="P101">
        <v>3.9742341305338214E-2</v>
      </c>
      <c r="Q101" t="s">
        <v>174</v>
      </c>
      <c r="S101" t="s">
        <v>237</v>
      </c>
      <c r="T101" t="s">
        <v>180</v>
      </c>
      <c r="U101">
        <v>3.9742341305338214E-2</v>
      </c>
      <c r="V101" t="s">
        <v>174</v>
      </c>
    </row>
    <row r="102" spans="9:22" x14ac:dyDescent="0.45">
      <c r="I102" t="s">
        <v>217</v>
      </c>
      <c r="J102" t="s">
        <v>181</v>
      </c>
      <c r="K102">
        <v>0</v>
      </c>
      <c r="L102" t="s">
        <v>174</v>
      </c>
      <c r="N102" t="s">
        <v>227</v>
      </c>
      <c r="O102" t="s">
        <v>181</v>
      </c>
      <c r="P102">
        <v>7.7151124404068478E-3</v>
      </c>
      <c r="Q102" t="s">
        <v>174</v>
      </c>
      <c r="S102" t="s">
        <v>237</v>
      </c>
      <c r="T102" t="s">
        <v>181</v>
      </c>
      <c r="U102">
        <v>7.7151124404068478E-3</v>
      </c>
      <c r="V102" t="s">
        <v>174</v>
      </c>
    </row>
    <row r="103" spans="9:22" x14ac:dyDescent="0.45">
      <c r="I103" t="s">
        <v>217</v>
      </c>
      <c r="J103" t="s">
        <v>182</v>
      </c>
      <c r="K103">
        <v>1.2688269256318541E-2</v>
      </c>
      <c r="L103" t="s">
        <v>174</v>
      </c>
      <c r="N103" t="s">
        <v>227</v>
      </c>
      <c r="O103" t="s">
        <v>182</v>
      </c>
      <c r="P103">
        <v>2.2274252334410827E-2</v>
      </c>
      <c r="Q103" t="s">
        <v>174</v>
      </c>
      <c r="S103" t="s">
        <v>237</v>
      </c>
      <c r="T103" t="s">
        <v>182</v>
      </c>
      <c r="U103">
        <v>2.2274252334410827E-2</v>
      </c>
      <c r="V103" t="s">
        <v>174</v>
      </c>
    </row>
    <row r="104" spans="9:22" x14ac:dyDescent="0.45">
      <c r="I104" t="s">
        <v>217</v>
      </c>
      <c r="J104" t="s">
        <v>183</v>
      </c>
      <c r="K104">
        <v>0.10161373962805098</v>
      </c>
      <c r="L104" t="s">
        <v>174</v>
      </c>
      <c r="N104" t="s">
        <v>227</v>
      </c>
      <c r="O104" t="s">
        <v>183</v>
      </c>
      <c r="P104">
        <v>4.6740133859405869E-2</v>
      </c>
      <c r="Q104" t="s">
        <v>174</v>
      </c>
      <c r="S104" t="s">
        <v>237</v>
      </c>
      <c r="T104" t="s">
        <v>183</v>
      </c>
      <c r="U104">
        <v>4.6740133859405869E-2</v>
      </c>
      <c r="V104" t="s">
        <v>174</v>
      </c>
    </row>
    <row r="105" spans="9:22" x14ac:dyDescent="0.45">
      <c r="I105" t="s">
        <v>217</v>
      </c>
      <c r="J105" t="s">
        <v>184</v>
      </c>
      <c r="K105">
        <v>1.511444666927898E-2</v>
      </c>
      <c r="L105" t="s">
        <v>174</v>
      </c>
      <c r="N105" t="s">
        <v>227</v>
      </c>
      <c r="O105" t="s">
        <v>184</v>
      </c>
      <c r="P105">
        <v>5.5589944829016927E-2</v>
      </c>
      <c r="Q105" t="s">
        <v>174</v>
      </c>
      <c r="S105" t="s">
        <v>237</v>
      </c>
      <c r="T105" t="s">
        <v>184</v>
      </c>
      <c r="U105">
        <v>5.5589944829016927E-2</v>
      </c>
      <c r="V105" t="s">
        <v>174</v>
      </c>
    </row>
    <row r="106" spans="9:22" x14ac:dyDescent="0.45">
      <c r="I106" t="s">
        <v>217</v>
      </c>
      <c r="J106" t="s">
        <v>185</v>
      </c>
      <c r="K106">
        <v>0</v>
      </c>
      <c r="L106" t="s">
        <v>174</v>
      </c>
      <c r="N106" t="s">
        <v>227</v>
      </c>
      <c r="O106" t="s">
        <v>185</v>
      </c>
      <c r="P106">
        <v>7.5771655162125357E-3</v>
      </c>
      <c r="Q106" t="s">
        <v>174</v>
      </c>
      <c r="S106" t="s">
        <v>237</v>
      </c>
      <c r="T106" t="s">
        <v>185</v>
      </c>
      <c r="U106">
        <v>7.5771655162125357E-3</v>
      </c>
      <c r="V106" t="s">
        <v>174</v>
      </c>
    </row>
    <row r="107" spans="9:22" x14ac:dyDescent="0.45">
      <c r="I107" t="s">
        <v>217</v>
      </c>
      <c r="J107" t="s">
        <v>186</v>
      </c>
      <c r="K107">
        <v>0</v>
      </c>
      <c r="L107" t="s">
        <v>174</v>
      </c>
      <c r="N107" t="s">
        <v>227</v>
      </c>
      <c r="O107" t="s">
        <v>186</v>
      </c>
      <c r="P107">
        <v>6.3867572522531835E-2</v>
      </c>
      <c r="Q107" t="s">
        <v>174</v>
      </c>
      <c r="S107" t="s">
        <v>237</v>
      </c>
      <c r="T107" t="s">
        <v>186</v>
      </c>
      <c r="U107">
        <v>6.3867572522531835E-2</v>
      </c>
      <c r="V107" t="s">
        <v>174</v>
      </c>
    </row>
    <row r="108" spans="9:22" x14ac:dyDescent="0.45">
      <c r="I108" t="s">
        <v>217</v>
      </c>
      <c r="J108" t="s">
        <v>187</v>
      </c>
      <c r="K108">
        <v>7.2815424226109881E-3</v>
      </c>
      <c r="L108" t="s">
        <v>174</v>
      </c>
      <c r="N108" t="s">
        <v>227</v>
      </c>
      <c r="O108" t="s">
        <v>187</v>
      </c>
      <c r="P108">
        <v>1.2218564611245311E-2</v>
      </c>
      <c r="Q108" t="s">
        <v>174</v>
      </c>
      <c r="S108" t="s">
        <v>237</v>
      </c>
      <c r="T108" t="s">
        <v>187</v>
      </c>
      <c r="U108">
        <v>1.2218564611245311E-2</v>
      </c>
      <c r="V108" t="s">
        <v>174</v>
      </c>
    </row>
    <row r="109" spans="9:22" x14ac:dyDescent="0.45">
      <c r="I109" t="s">
        <v>217</v>
      </c>
      <c r="J109" t="s">
        <v>188</v>
      </c>
      <c r="K109">
        <v>8.2698078064130792E-2</v>
      </c>
      <c r="L109" t="s">
        <v>174</v>
      </c>
      <c r="N109" t="s">
        <v>227</v>
      </c>
      <c r="O109" t="s">
        <v>188</v>
      </c>
      <c r="P109">
        <v>3.287672698277689E-2</v>
      </c>
      <c r="Q109" t="s">
        <v>174</v>
      </c>
      <c r="S109" t="s">
        <v>237</v>
      </c>
      <c r="T109" t="s">
        <v>188</v>
      </c>
      <c r="U109">
        <v>3.287672698277689E-2</v>
      </c>
      <c r="V109" t="s">
        <v>174</v>
      </c>
    </row>
    <row r="110" spans="9:22" x14ac:dyDescent="0.45">
      <c r="I110" t="s">
        <v>217</v>
      </c>
      <c r="J110" t="s">
        <v>189</v>
      </c>
      <c r="K110">
        <v>0.31474700103688041</v>
      </c>
      <c r="L110" t="s">
        <v>174</v>
      </c>
      <c r="N110" t="s">
        <v>227</v>
      </c>
      <c r="O110" t="s">
        <v>189</v>
      </c>
      <c r="P110">
        <v>7.5010919492368752E-2</v>
      </c>
      <c r="Q110" t="s">
        <v>174</v>
      </c>
      <c r="S110" t="s">
        <v>237</v>
      </c>
      <c r="T110" t="s">
        <v>189</v>
      </c>
      <c r="U110">
        <v>7.5010919492368752E-2</v>
      </c>
      <c r="V110" t="s">
        <v>174</v>
      </c>
    </row>
    <row r="111" spans="9:22" x14ac:dyDescent="0.45">
      <c r="I111" t="s">
        <v>217</v>
      </c>
      <c r="J111" t="s">
        <v>190</v>
      </c>
      <c r="K111">
        <v>0.10279060468494786</v>
      </c>
      <c r="L111" t="s">
        <v>174</v>
      </c>
      <c r="N111" t="s">
        <v>227</v>
      </c>
      <c r="O111" t="s">
        <v>190</v>
      </c>
      <c r="P111">
        <v>8.2908501393365613E-2</v>
      </c>
      <c r="Q111" t="s">
        <v>174</v>
      </c>
      <c r="S111" t="s">
        <v>237</v>
      </c>
      <c r="T111" t="s">
        <v>190</v>
      </c>
      <c r="U111">
        <v>8.2908501393365613E-2</v>
      </c>
      <c r="V111" t="s">
        <v>174</v>
      </c>
    </row>
    <row r="112" spans="9:22" x14ac:dyDescent="0.45">
      <c r="I112" t="s">
        <v>217</v>
      </c>
      <c r="J112" t="s">
        <v>191</v>
      </c>
      <c r="K112">
        <v>0</v>
      </c>
      <c r="L112" t="s">
        <v>174</v>
      </c>
      <c r="N112" t="s">
        <v>227</v>
      </c>
      <c r="O112" t="s">
        <v>191</v>
      </c>
      <c r="P112">
        <v>1.321576035678574E-2</v>
      </c>
      <c r="Q112" t="s">
        <v>174</v>
      </c>
      <c r="S112" t="s">
        <v>237</v>
      </c>
      <c r="T112" t="s">
        <v>191</v>
      </c>
      <c r="U112">
        <v>1.321576035678574E-2</v>
      </c>
      <c r="V112" t="s">
        <v>174</v>
      </c>
    </row>
    <row r="113" spans="9:22" x14ac:dyDescent="0.45">
      <c r="I113" t="s">
        <v>217</v>
      </c>
      <c r="J113" t="s">
        <v>192</v>
      </c>
      <c r="K113">
        <v>0</v>
      </c>
      <c r="L113" t="s">
        <v>174</v>
      </c>
      <c r="N113" t="s">
        <v>227</v>
      </c>
      <c r="O113" t="s">
        <v>192</v>
      </c>
      <c r="P113">
        <v>7.830496114179292E-3</v>
      </c>
      <c r="Q113" t="s">
        <v>174</v>
      </c>
      <c r="S113" t="s">
        <v>237</v>
      </c>
      <c r="T113" t="s">
        <v>192</v>
      </c>
      <c r="U113">
        <v>7.830496114179292E-3</v>
      </c>
      <c r="V113" t="s">
        <v>174</v>
      </c>
    </row>
    <row r="114" spans="9:22" x14ac:dyDescent="0.45">
      <c r="I114" t="s">
        <v>217</v>
      </c>
      <c r="J114" t="s">
        <v>193</v>
      </c>
      <c r="K114">
        <v>6.1242996143072534E-4</v>
      </c>
      <c r="L114" t="s">
        <v>174</v>
      </c>
      <c r="N114" t="s">
        <v>227</v>
      </c>
      <c r="O114" t="s">
        <v>193</v>
      </c>
      <c r="P114">
        <v>1.6525097073644183E-3</v>
      </c>
      <c r="Q114" t="s">
        <v>174</v>
      </c>
      <c r="S114" t="s">
        <v>237</v>
      </c>
      <c r="T114" t="s">
        <v>193</v>
      </c>
      <c r="U114">
        <v>1.6525097073644183E-3</v>
      </c>
      <c r="V114" t="s">
        <v>174</v>
      </c>
    </row>
    <row r="115" spans="9:22" x14ac:dyDescent="0.45">
      <c r="I115" t="s">
        <v>217</v>
      </c>
      <c r="J115" t="s">
        <v>194</v>
      </c>
      <c r="K115">
        <v>1.981506748732165E-2</v>
      </c>
      <c r="L115" t="s">
        <v>174</v>
      </c>
      <c r="N115" t="s">
        <v>227</v>
      </c>
      <c r="O115" t="s">
        <v>194</v>
      </c>
      <c r="P115">
        <v>4.4925042612496743E-3</v>
      </c>
      <c r="Q115" t="s">
        <v>174</v>
      </c>
      <c r="S115" t="s">
        <v>237</v>
      </c>
      <c r="T115" t="s">
        <v>194</v>
      </c>
      <c r="U115">
        <v>4.4925042612496743E-3</v>
      </c>
      <c r="V115" t="s">
        <v>174</v>
      </c>
    </row>
    <row r="116" spans="9:22" x14ac:dyDescent="0.45">
      <c r="I116" t="s">
        <v>217</v>
      </c>
      <c r="J116" t="s">
        <v>195</v>
      </c>
      <c r="K116">
        <v>8.0851009721697828E-2</v>
      </c>
      <c r="L116" t="s">
        <v>174</v>
      </c>
      <c r="N116" t="s">
        <v>227</v>
      </c>
      <c r="O116" t="s">
        <v>195</v>
      </c>
      <c r="P116">
        <v>9.8338447909241816E-3</v>
      </c>
      <c r="Q116" t="s">
        <v>174</v>
      </c>
      <c r="S116" t="s">
        <v>237</v>
      </c>
      <c r="T116" t="s">
        <v>195</v>
      </c>
      <c r="U116">
        <v>9.8338447909241816E-3</v>
      </c>
      <c r="V116" t="s">
        <v>174</v>
      </c>
    </row>
    <row r="117" spans="9:22" x14ac:dyDescent="0.45">
      <c r="I117" t="s">
        <v>217</v>
      </c>
      <c r="J117" t="s">
        <v>196</v>
      </c>
      <c r="K117">
        <v>2.6860254178693598E-2</v>
      </c>
      <c r="L117" t="s">
        <v>174</v>
      </c>
      <c r="N117" t="s">
        <v>227</v>
      </c>
      <c r="O117" t="s">
        <v>196</v>
      </c>
      <c r="P117">
        <v>1.0000723822126517E-2</v>
      </c>
      <c r="Q117" t="s">
        <v>174</v>
      </c>
      <c r="S117" t="s">
        <v>237</v>
      </c>
      <c r="T117" t="s">
        <v>196</v>
      </c>
      <c r="U117">
        <v>1.0000723822126517E-2</v>
      </c>
      <c r="V117" t="s">
        <v>174</v>
      </c>
    </row>
    <row r="118" spans="9:22" x14ac:dyDescent="0.45">
      <c r="I118" t="s">
        <v>217</v>
      </c>
      <c r="J118" t="s">
        <v>197</v>
      </c>
      <c r="K118">
        <v>0</v>
      </c>
      <c r="L118" t="s">
        <v>174</v>
      </c>
      <c r="N118" t="s">
        <v>227</v>
      </c>
      <c r="O118" t="s">
        <v>197</v>
      </c>
      <c r="P118">
        <v>1.7429484985842171E-3</v>
      </c>
      <c r="Q118" t="s">
        <v>174</v>
      </c>
      <c r="S118" t="s">
        <v>237</v>
      </c>
      <c r="T118" t="s">
        <v>197</v>
      </c>
      <c r="U118">
        <v>1.7429484985842171E-3</v>
      </c>
      <c r="V118" t="s">
        <v>174</v>
      </c>
    </row>
    <row r="119" spans="9:22" x14ac:dyDescent="0.45">
      <c r="I119" t="s">
        <v>217</v>
      </c>
      <c r="J119" t="s">
        <v>198</v>
      </c>
      <c r="K119">
        <v>0</v>
      </c>
      <c r="L119" t="s">
        <v>174</v>
      </c>
      <c r="N119" t="s">
        <v>227</v>
      </c>
      <c r="O119" t="s">
        <v>198</v>
      </c>
      <c r="P119">
        <v>3.9545680344619728E-2</v>
      </c>
      <c r="Q119" t="s">
        <v>174</v>
      </c>
      <c r="S119" t="s">
        <v>237</v>
      </c>
      <c r="T119" t="s">
        <v>198</v>
      </c>
      <c r="U119">
        <v>3.9545680344619728E-2</v>
      </c>
      <c r="V119" t="s">
        <v>174</v>
      </c>
    </row>
    <row r="120" spans="9:22" x14ac:dyDescent="0.45">
      <c r="I120" t="s">
        <v>217</v>
      </c>
      <c r="J120" t="s">
        <v>199</v>
      </c>
      <c r="K120">
        <v>0</v>
      </c>
      <c r="L120" t="s">
        <v>174</v>
      </c>
      <c r="N120" t="s">
        <v>227</v>
      </c>
      <c r="O120" t="s">
        <v>199</v>
      </c>
      <c r="P120">
        <v>8.0426712214655086E-3</v>
      </c>
      <c r="Q120" t="s">
        <v>174</v>
      </c>
      <c r="S120" t="s">
        <v>237</v>
      </c>
      <c r="T120" t="s">
        <v>199</v>
      </c>
      <c r="U120">
        <v>8.0426712214655086E-3</v>
      </c>
      <c r="V120" t="s">
        <v>174</v>
      </c>
    </row>
    <row r="121" spans="9:22" x14ac:dyDescent="0.45">
      <c r="I121" t="s">
        <v>217</v>
      </c>
      <c r="J121" t="s">
        <v>200</v>
      </c>
      <c r="K121">
        <v>2.016917306610647E-2</v>
      </c>
      <c r="L121" t="s">
        <v>174</v>
      </c>
      <c r="N121" t="s">
        <v>227</v>
      </c>
      <c r="O121" t="s">
        <v>200</v>
      </c>
      <c r="P121">
        <v>2.3734632581834187E-2</v>
      </c>
      <c r="Q121" t="s">
        <v>174</v>
      </c>
      <c r="S121" t="s">
        <v>237</v>
      </c>
      <c r="T121" t="s">
        <v>200</v>
      </c>
      <c r="U121">
        <v>2.3734632581834187E-2</v>
      </c>
      <c r="V121" t="s">
        <v>174</v>
      </c>
    </row>
    <row r="122" spans="9:22" x14ac:dyDescent="0.45">
      <c r="I122" t="s">
        <v>217</v>
      </c>
      <c r="J122" t="s">
        <v>201</v>
      </c>
      <c r="K122">
        <v>0.11454727586275514</v>
      </c>
      <c r="L122" t="s">
        <v>174</v>
      </c>
      <c r="N122" t="s">
        <v>227</v>
      </c>
      <c r="O122" t="s">
        <v>201</v>
      </c>
      <c r="P122">
        <v>4.6389053477622309E-2</v>
      </c>
      <c r="Q122" t="s">
        <v>174</v>
      </c>
      <c r="S122" t="s">
        <v>237</v>
      </c>
      <c r="T122" t="s">
        <v>201</v>
      </c>
      <c r="U122">
        <v>4.6389053477622309E-2</v>
      </c>
      <c r="V122" t="s">
        <v>174</v>
      </c>
    </row>
    <row r="123" spans="9:22" x14ac:dyDescent="0.45">
      <c r="I123" t="s">
        <v>217</v>
      </c>
      <c r="J123" t="s">
        <v>202</v>
      </c>
      <c r="K123">
        <v>1.7324800288870287E-2</v>
      </c>
      <c r="L123" t="s">
        <v>174</v>
      </c>
      <c r="N123" t="s">
        <v>227</v>
      </c>
      <c r="O123" t="s">
        <v>202</v>
      </c>
      <c r="P123">
        <v>5.5547022550033902E-2</v>
      </c>
      <c r="Q123" t="s">
        <v>174</v>
      </c>
      <c r="S123" t="s">
        <v>237</v>
      </c>
      <c r="T123" t="s">
        <v>202</v>
      </c>
      <c r="U123">
        <v>5.5547022550033902E-2</v>
      </c>
      <c r="V123" t="s">
        <v>174</v>
      </c>
    </row>
    <row r="124" spans="9:22" x14ac:dyDescent="0.45">
      <c r="I124" t="s">
        <v>217</v>
      </c>
      <c r="J124" t="s">
        <v>203</v>
      </c>
      <c r="K124">
        <v>0</v>
      </c>
      <c r="L124" t="s">
        <v>174</v>
      </c>
      <c r="N124" t="s">
        <v>227</v>
      </c>
      <c r="O124" t="s">
        <v>203</v>
      </c>
      <c r="P124">
        <v>8.0568662191712066E-3</v>
      </c>
      <c r="Q124" t="s">
        <v>174</v>
      </c>
      <c r="S124" t="s">
        <v>237</v>
      </c>
      <c r="T124" t="s">
        <v>203</v>
      </c>
      <c r="U124">
        <v>8.0568662191712066E-3</v>
      </c>
      <c r="V124" t="s">
        <v>174</v>
      </c>
    </row>
    <row r="125" spans="9:22" x14ac:dyDescent="0.45">
      <c r="I125" t="s">
        <v>217</v>
      </c>
      <c r="J125" t="s">
        <v>204</v>
      </c>
      <c r="K125">
        <v>0</v>
      </c>
      <c r="L125" t="s">
        <v>174</v>
      </c>
      <c r="N125" t="s">
        <v>227</v>
      </c>
      <c r="O125" t="s">
        <v>204</v>
      </c>
      <c r="P125">
        <v>2.2954683299719378E-2</v>
      </c>
      <c r="Q125" t="s">
        <v>174</v>
      </c>
      <c r="S125" t="s">
        <v>237</v>
      </c>
      <c r="T125" t="s">
        <v>204</v>
      </c>
      <c r="U125">
        <v>2.2954683299719378E-2</v>
      </c>
      <c r="V125" t="s">
        <v>174</v>
      </c>
    </row>
    <row r="126" spans="9:22" x14ac:dyDescent="0.45">
      <c r="I126" t="s">
        <v>217</v>
      </c>
      <c r="J126" t="s">
        <v>205</v>
      </c>
      <c r="K126">
        <v>0</v>
      </c>
      <c r="L126" t="s">
        <v>174</v>
      </c>
      <c r="N126" t="s">
        <v>227</v>
      </c>
      <c r="O126" t="s">
        <v>205</v>
      </c>
      <c r="P126">
        <v>4.1589232796287049E-3</v>
      </c>
      <c r="Q126" t="s">
        <v>174</v>
      </c>
      <c r="S126" t="s">
        <v>237</v>
      </c>
      <c r="T126" t="s">
        <v>205</v>
      </c>
      <c r="U126">
        <v>4.1589232796287049E-3</v>
      </c>
      <c r="V126" t="s">
        <v>174</v>
      </c>
    </row>
    <row r="127" spans="9:22" x14ac:dyDescent="0.45">
      <c r="I127" t="s">
        <v>217</v>
      </c>
      <c r="J127" t="s">
        <v>206</v>
      </c>
      <c r="K127">
        <v>1.3656457257503482E-3</v>
      </c>
      <c r="L127" t="s">
        <v>174</v>
      </c>
      <c r="N127" t="s">
        <v>227</v>
      </c>
      <c r="O127" t="s">
        <v>206</v>
      </c>
      <c r="P127">
        <v>1.210088093982686E-2</v>
      </c>
      <c r="Q127" t="s">
        <v>174</v>
      </c>
      <c r="S127" t="s">
        <v>237</v>
      </c>
      <c r="T127" t="s">
        <v>206</v>
      </c>
      <c r="U127">
        <v>1.210088093982686E-2</v>
      </c>
      <c r="V127" t="s">
        <v>174</v>
      </c>
    </row>
    <row r="128" spans="9:22" x14ac:dyDescent="0.45">
      <c r="I128" t="s">
        <v>217</v>
      </c>
      <c r="J128" t="s">
        <v>207</v>
      </c>
      <c r="K128">
        <v>2.2594753128098978E-2</v>
      </c>
      <c r="L128" t="s">
        <v>174</v>
      </c>
      <c r="N128" t="s">
        <v>227</v>
      </c>
      <c r="O128" t="s">
        <v>207</v>
      </c>
      <c r="P128">
        <v>3.0417660919427846E-2</v>
      </c>
      <c r="Q128" t="s">
        <v>174</v>
      </c>
      <c r="S128" t="s">
        <v>237</v>
      </c>
      <c r="T128" t="s">
        <v>207</v>
      </c>
      <c r="U128">
        <v>3.0417660919427846E-2</v>
      </c>
      <c r="V128" t="s">
        <v>174</v>
      </c>
    </row>
    <row r="129" spans="9:22" x14ac:dyDescent="0.45">
      <c r="I129" t="s">
        <v>217</v>
      </c>
      <c r="J129" t="s">
        <v>208</v>
      </c>
      <c r="K129">
        <v>1.2374296263863173E-3</v>
      </c>
      <c r="L129" t="s">
        <v>174</v>
      </c>
      <c r="N129" t="s">
        <v>227</v>
      </c>
      <c r="O129" t="s">
        <v>208</v>
      </c>
      <c r="P129">
        <v>3.7039766557709651E-2</v>
      </c>
      <c r="Q129" t="s">
        <v>174</v>
      </c>
      <c r="S129" t="s">
        <v>237</v>
      </c>
      <c r="T129" t="s">
        <v>208</v>
      </c>
      <c r="U129">
        <v>3.7039766557709651E-2</v>
      </c>
      <c r="V129" t="s">
        <v>174</v>
      </c>
    </row>
    <row r="130" spans="9:22" x14ac:dyDescent="0.45">
      <c r="I130" t="s">
        <v>217</v>
      </c>
      <c r="J130" t="s">
        <v>209</v>
      </c>
      <c r="K130">
        <v>0</v>
      </c>
      <c r="L130" t="s">
        <v>174</v>
      </c>
      <c r="N130" t="s">
        <v>227</v>
      </c>
      <c r="O130" t="s">
        <v>209</v>
      </c>
      <c r="P130">
        <v>4.9376920356154303E-3</v>
      </c>
      <c r="Q130" t="s">
        <v>174</v>
      </c>
      <c r="S130" t="s">
        <v>237</v>
      </c>
      <c r="T130" t="s">
        <v>209</v>
      </c>
      <c r="U130">
        <v>4.9376920356154303E-3</v>
      </c>
      <c r="V130" t="s">
        <v>174</v>
      </c>
    </row>
    <row r="131" spans="9:22" x14ac:dyDescent="0.45">
      <c r="I131" t="s">
        <v>217</v>
      </c>
      <c r="J131" t="s">
        <v>210</v>
      </c>
      <c r="K131">
        <v>0</v>
      </c>
      <c r="L131" t="s">
        <v>174</v>
      </c>
      <c r="N131" t="s">
        <v>227</v>
      </c>
      <c r="O131" t="s">
        <v>210</v>
      </c>
      <c r="P131">
        <v>2.7502746636287323E-2</v>
      </c>
      <c r="Q131" t="s">
        <v>174</v>
      </c>
      <c r="S131" t="s">
        <v>237</v>
      </c>
      <c r="T131" t="s">
        <v>210</v>
      </c>
      <c r="U131">
        <v>2.7502746636287323E-2</v>
      </c>
      <c r="V131" t="s">
        <v>174</v>
      </c>
    </row>
    <row r="132" spans="9:22" x14ac:dyDescent="0.45">
      <c r="I132" t="s">
        <v>217</v>
      </c>
      <c r="J132" t="s">
        <v>211</v>
      </c>
      <c r="K132">
        <v>0</v>
      </c>
      <c r="L132" t="s">
        <v>174</v>
      </c>
      <c r="N132" t="s">
        <v>227</v>
      </c>
      <c r="O132" t="s">
        <v>211</v>
      </c>
      <c r="P132">
        <v>5.4144327543874434E-3</v>
      </c>
      <c r="Q132" t="s">
        <v>174</v>
      </c>
      <c r="S132" t="s">
        <v>237</v>
      </c>
      <c r="T132" t="s">
        <v>211</v>
      </c>
      <c r="U132">
        <v>5.4144327543874434E-3</v>
      </c>
      <c r="V132" t="s">
        <v>174</v>
      </c>
    </row>
    <row r="133" spans="9:22" x14ac:dyDescent="0.45">
      <c r="I133" t="s">
        <v>217</v>
      </c>
      <c r="J133" t="s">
        <v>212</v>
      </c>
      <c r="K133">
        <v>0</v>
      </c>
      <c r="L133" t="s">
        <v>174</v>
      </c>
      <c r="N133" t="s">
        <v>227</v>
      </c>
      <c r="O133" t="s">
        <v>212</v>
      </c>
      <c r="P133">
        <v>1.610076409442316E-2</v>
      </c>
      <c r="Q133" t="s">
        <v>174</v>
      </c>
      <c r="S133" t="s">
        <v>237</v>
      </c>
      <c r="T133" t="s">
        <v>212</v>
      </c>
      <c r="U133">
        <v>1.610076409442316E-2</v>
      </c>
      <c r="V133" t="s">
        <v>174</v>
      </c>
    </row>
    <row r="134" spans="9:22" x14ac:dyDescent="0.45">
      <c r="I134" t="s">
        <v>217</v>
      </c>
      <c r="J134" t="s">
        <v>213</v>
      </c>
      <c r="K134">
        <v>2.9155818845705853E-2</v>
      </c>
      <c r="L134" t="s">
        <v>174</v>
      </c>
      <c r="N134" t="s">
        <v>227</v>
      </c>
      <c r="O134" t="s">
        <v>213</v>
      </c>
      <c r="P134">
        <v>3.2325080094858051E-2</v>
      </c>
      <c r="Q134" t="s">
        <v>174</v>
      </c>
      <c r="S134" t="s">
        <v>237</v>
      </c>
      <c r="T134" t="s">
        <v>213</v>
      </c>
      <c r="U134">
        <v>3.2325080094858051E-2</v>
      </c>
      <c r="V134" t="s">
        <v>174</v>
      </c>
    </row>
    <row r="135" spans="9:22" x14ac:dyDescent="0.45">
      <c r="I135" t="s">
        <v>217</v>
      </c>
      <c r="J135" t="s">
        <v>214</v>
      </c>
      <c r="K135">
        <v>8.2908245028320767E-5</v>
      </c>
      <c r="L135" t="s">
        <v>174</v>
      </c>
      <c r="N135" t="s">
        <v>227</v>
      </c>
      <c r="O135" t="s">
        <v>214</v>
      </c>
      <c r="P135">
        <v>3.8380470103982219E-2</v>
      </c>
      <c r="Q135" t="s">
        <v>174</v>
      </c>
      <c r="S135" t="s">
        <v>237</v>
      </c>
      <c r="T135" t="s">
        <v>214</v>
      </c>
      <c r="U135">
        <v>3.8380470103982219E-2</v>
      </c>
      <c r="V135" t="s">
        <v>174</v>
      </c>
    </row>
    <row r="136" spans="9:22" x14ac:dyDescent="0.45">
      <c r="I136" t="s">
        <v>217</v>
      </c>
      <c r="J136" t="s">
        <v>215</v>
      </c>
      <c r="K136">
        <v>0</v>
      </c>
      <c r="L136" t="s">
        <v>174</v>
      </c>
      <c r="N136" t="s">
        <v>227</v>
      </c>
      <c r="O136" t="s">
        <v>215</v>
      </c>
      <c r="P136">
        <v>5.6214918854408328E-3</v>
      </c>
      <c r="Q136" t="s">
        <v>174</v>
      </c>
      <c r="S136" t="s">
        <v>237</v>
      </c>
      <c r="T136" t="s">
        <v>215</v>
      </c>
      <c r="U136">
        <v>5.6214918854408328E-3</v>
      </c>
      <c r="V136" t="s">
        <v>174</v>
      </c>
    </row>
    <row r="137" spans="9:22" x14ac:dyDescent="0.45">
      <c r="I137" t="s">
        <v>218</v>
      </c>
      <c r="J137" t="s">
        <v>173</v>
      </c>
      <c r="K137">
        <v>0</v>
      </c>
      <c r="L137" t="s">
        <v>174</v>
      </c>
      <c r="N137" t="s">
        <v>228</v>
      </c>
      <c r="O137" t="s">
        <v>173</v>
      </c>
      <c r="P137">
        <v>2.0592997284046659E-2</v>
      </c>
      <c r="Q137" t="s">
        <v>174</v>
      </c>
      <c r="S137" t="s">
        <v>238</v>
      </c>
      <c r="T137" t="s">
        <v>173</v>
      </c>
      <c r="U137">
        <v>2.0592997284046659E-2</v>
      </c>
      <c r="V137" t="s">
        <v>174</v>
      </c>
    </row>
    <row r="138" spans="9:22" x14ac:dyDescent="0.45">
      <c r="I138" t="s">
        <v>218</v>
      </c>
      <c r="J138" t="s">
        <v>175</v>
      </c>
      <c r="K138">
        <v>0</v>
      </c>
      <c r="L138" t="s">
        <v>174</v>
      </c>
      <c r="N138" t="s">
        <v>228</v>
      </c>
      <c r="O138" t="s">
        <v>175</v>
      </c>
      <c r="P138">
        <v>4.1057919853585345E-3</v>
      </c>
      <c r="Q138" t="s">
        <v>174</v>
      </c>
      <c r="S138" t="s">
        <v>238</v>
      </c>
      <c r="T138" t="s">
        <v>175</v>
      </c>
      <c r="U138">
        <v>4.1057919853585345E-3</v>
      </c>
      <c r="V138" t="s">
        <v>174</v>
      </c>
    </row>
    <row r="139" spans="9:22" x14ac:dyDescent="0.45">
      <c r="I139" t="s">
        <v>218</v>
      </c>
      <c r="J139" t="s">
        <v>176</v>
      </c>
      <c r="K139">
        <v>0</v>
      </c>
      <c r="L139" t="s">
        <v>174</v>
      </c>
      <c r="N139" t="s">
        <v>228</v>
      </c>
      <c r="O139" t="s">
        <v>176</v>
      </c>
      <c r="P139">
        <v>1.216340132700521E-2</v>
      </c>
      <c r="Q139" t="s">
        <v>174</v>
      </c>
      <c r="S139" t="s">
        <v>238</v>
      </c>
      <c r="T139" t="s">
        <v>176</v>
      </c>
      <c r="U139">
        <v>1.216340132700521E-2</v>
      </c>
      <c r="V139" t="s">
        <v>174</v>
      </c>
    </row>
    <row r="140" spans="9:22" x14ac:dyDescent="0.45">
      <c r="I140" t="s">
        <v>218</v>
      </c>
      <c r="J140" t="s">
        <v>177</v>
      </c>
      <c r="K140">
        <v>2.7163677875234913E-2</v>
      </c>
      <c r="L140" t="s">
        <v>174</v>
      </c>
      <c r="N140" t="s">
        <v>228</v>
      </c>
      <c r="O140" t="s">
        <v>177</v>
      </c>
      <c r="P140">
        <v>2.4186731759939583E-2</v>
      </c>
      <c r="Q140" t="s">
        <v>174</v>
      </c>
      <c r="S140" t="s">
        <v>238</v>
      </c>
      <c r="T140" t="s">
        <v>177</v>
      </c>
      <c r="U140">
        <v>2.4186731759939583E-2</v>
      </c>
      <c r="V140" t="s">
        <v>174</v>
      </c>
    </row>
    <row r="141" spans="9:22" x14ac:dyDescent="0.45">
      <c r="I141" t="s">
        <v>218</v>
      </c>
      <c r="J141" t="s">
        <v>178</v>
      </c>
      <c r="K141">
        <v>2.4182649279114979E-3</v>
      </c>
      <c r="L141" t="s">
        <v>174</v>
      </c>
      <c r="N141" t="s">
        <v>228</v>
      </c>
      <c r="O141" t="s">
        <v>178</v>
      </c>
      <c r="P141">
        <v>2.7262848726148092E-2</v>
      </c>
      <c r="Q141" t="s">
        <v>174</v>
      </c>
      <c r="S141" t="s">
        <v>238</v>
      </c>
      <c r="T141" t="s">
        <v>178</v>
      </c>
      <c r="U141">
        <v>2.7262848726148092E-2</v>
      </c>
      <c r="V141" t="s">
        <v>174</v>
      </c>
    </row>
    <row r="142" spans="9:22" x14ac:dyDescent="0.45">
      <c r="I142" t="s">
        <v>218</v>
      </c>
      <c r="J142" t="s">
        <v>179</v>
      </c>
      <c r="K142">
        <v>0</v>
      </c>
      <c r="L142" t="s">
        <v>174</v>
      </c>
      <c r="N142" t="s">
        <v>228</v>
      </c>
      <c r="O142" t="s">
        <v>179</v>
      </c>
      <c r="P142">
        <v>4.1087670490929599E-3</v>
      </c>
      <c r="Q142" t="s">
        <v>174</v>
      </c>
      <c r="S142" t="s">
        <v>238</v>
      </c>
      <c r="T142" t="s">
        <v>179</v>
      </c>
      <c r="U142">
        <v>4.1087670490929599E-3</v>
      </c>
      <c r="V142" t="s">
        <v>174</v>
      </c>
    </row>
    <row r="143" spans="9:22" x14ac:dyDescent="0.45">
      <c r="I143" t="s">
        <v>218</v>
      </c>
      <c r="J143" t="s">
        <v>180</v>
      </c>
      <c r="K143">
        <v>0</v>
      </c>
      <c r="L143" t="s">
        <v>174</v>
      </c>
      <c r="N143" t="s">
        <v>228</v>
      </c>
      <c r="O143" t="s">
        <v>180</v>
      </c>
      <c r="P143">
        <v>3.7902816055094261E-2</v>
      </c>
      <c r="Q143" t="s">
        <v>174</v>
      </c>
      <c r="S143" t="s">
        <v>238</v>
      </c>
      <c r="T143" t="s">
        <v>180</v>
      </c>
      <c r="U143">
        <v>3.7902816055094261E-2</v>
      </c>
      <c r="V143" t="s">
        <v>174</v>
      </c>
    </row>
    <row r="144" spans="9:22" x14ac:dyDescent="0.45">
      <c r="I144" t="s">
        <v>218</v>
      </c>
      <c r="J144" t="s">
        <v>181</v>
      </c>
      <c r="K144">
        <v>0</v>
      </c>
      <c r="L144" t="s">
        <v>174</v>
      </c>
      <c r="N144" t="s">
        <v>228</v>
      </c>
      <c r="O144" t="s">
        <v>181</v>
      </c>
      <c r="P144">
        <v>7.5317302441665415E-3</v>
      </c>
      <c r="Q144" t="s">
        <v>174</v>
      </c>
      <c r="S144" t="s">
        <v>238</v>
      </c>
      <c r="T144" t="s">
        <v>181</v>
      </c>
      <c r="U144">
        <v>7.5317302441665415E-3</v>
      </c>
      <c r="V144" t="s">
        <v>174</v>
      </c>
    </row>
    <row r="145" spans="9:22" x14ac:dyDescent="0.45">
      <c r="I145" t="s">
        <v>218</v>
      </c>
      <c r="J145" t="s">
        <v>182</v>
      </c>
      <c r="K145">
        <v>1.1822989757733614E-2</v>
      </c>
      <c r="L145" t="s">
        <v>174</v>
      </c>
      <c r="N145" t="s">
        <v>228</v>
      </c>
      <c r="O145" t="s">
        <v>182</v>
      </c>
      <c r="P145">
        <v>2.1753939406489193E-2</v>
      </c>
      <c r="Q145" t="s">
        <v>174</v>
      </c>
      <c r="S145" t="s">
        <v>238</v>
      </c>
      <c r="T145" t="s">
        <v>182</v>
      </c>
      <c r="U145">
        <v>2.1753939406489193E-2</v>
      </c>
      <c r="V145" t="s">
        <v>174</v>
      </c>
    </row>
    <row r="146" spans="9:22" x14ac:dyDescent="0.45">
      <c r="I146" t="s">
        <v>218</v>
      </c>
      <c r="J146" t="s">
        <v>183</v>
      </c>
      <c r="K146">
        <v>9.9174708797130223E-2</v>
      </c>
      <c r="L146" t="s">
        <v>174</v>
      </c>
      <c r="N146" t="s">
        <v>228</v>
      </c>
      <c r="O146" t="s">
        <v>183</v>
      </c>
      <c r="P146">
        <v>4.5734453783201283E-2</v>
      </c>
      <c r="Q146" t="s">
        <v>174</v>
      </c>
      <c r="S146" t="s">
        <v>238</v>
      </c>
      <c r="T146" t="s">
        <v>183</v>
      </c>
      <c r="U146">
        <v>4.5734453783201283E-2</v>
      </c>
      <c r="V146" t="s">
        <v>174</v>
      </c>
    </row>
    <row r="147" spans="9:22" x14ac:dyDescent="0.45">
      <c r="I147" t="s">
        <v>218</v>
      </c>
      <c r="J147" t="s">
        <v>184</v>
      </c>
      <c r="K147">
        <v>1.5541719898775241E-2</v>
      </c>
      <c r="L147" t="s">
        <v>174</v>
      </c>
      <c r="N147" t="s">
        <v>228</v>
      </c>
      <c r="O147" t="s">
        <v>184</v>
      </c>
      <c r="P147">
        <v>5.1439715641694972E-2</v>
      </c>
      <c r="Q147" t="s">
        <v>174</v>
      </c>
      <c r="S147" t="s">
        <v>238</v>
      </c>
      <c r="T147" t="s">
        <v>184</v>
      </c>
      <c r="U147">
        <v>5.1439715641694972E-2</v>
      </c>
      <c r="V147" t="s">
        <v>174</v>
      </c>
    </row>
    <row r="148" spans="9:22" x14ac:dyDescent="0.45">
      <c r="I148" t="s">
        <v>218</v>
      </c>
      <c r="J148" t="s">
        <v>185</v>
      </c>
      <c r="K148">
        <v>0</v>
      </c>
      <c r="L148" t="s">
        <v>174</v>
      </c>
      <c r="N148" t="s">
        <v>228</v>
      </c>
      <c r="O148" t="s">
        <v>185</v>
      </c>
      <c r="P148">
        <v>7.3546380115065242E-3</v>
      </c>
      <c r="Q148" t="s">
        <v>174</v>
      </c>
      <c r="S148" t="s">
        <v>238</v>
      </c>
      <c r="T148" t="s">
        <v>185</v>
      </c>
      <c r="U148">
        <v>7.3546380115065242E-3</v>
      </c>
      <c r="V148" t="s">
        <v>174</v>
      </c>
    </row>
    <row r="149" spans="9:22" x14ac:dyDescent="0.45">
      <c r="I149" t="s">
        <v>218</v>
      </c>
      <c r="J149" t="s">
        <v>186</v>
      </c>
      <c r="K149">
        <v>0</v>
      </c>
      <c r="L149" t="s">
        <v>174</v>
      </c>
      <c r="N149" t="s">
        <v>228</v>
      </c>
      <c r="O149" t="s">
        <v>186</v>
      </c>
      <c r="P149">
        <v>5.8466304506717401E-2</v>
      </c>
      <c r="Q149" t="s">
        <v>174</v>
      </c>
      <c r="S149" t="s">
        <v>238</v>
      </c>
      <c r="T149" t="s">
        <v>186</v>
      </c>
      <c r="U149">
        <v>5.8466304506717401E-2</v>
      </c>
      <c r="V149" t="s">
        <v>174</v>
      </c>
    </row>
    <row r="150" spans="9:22" x14ac:dyDescent="0.45">
      <c r="I150" t="s">
        <v>218</v>
      </c>
      <c r="J150" t="s">
        <v>187</v>
      </c>
      <c r="K150">
        <v>6.9786220334795979E-3</v>
      </c>
      <c r="L150" t="s">
        <v>174</v>
      </c>
      <c r="N150" t="s">
        <v>228</v>
      </c>
      <c r="O150" t="s">
        <v>187</v>
      </c>
      <c r="P150">
        <v>1.15129796645786E-2</v>
      </c>
      <c r="Q150" t="s">
        <v>174</v>
      </c>
      <c r="S150" t="s">
        <v>238</v>
      </c>
      <c r="T150" t="s">
        <v>187</v>
      </c>
      <c r="U150">
        <v>1.15129796645786E-2</v>
      </c>
      <c r="V150" t="s">
        <v>174</v>
      </c>
    </row>
    <row r="151" spans="9:22" x14ac:dyDescent="0.45">
      <c r="I151" t="s">
        <v>218</v>
      </c>
      <c r="J151" t="s">
        <v>188</v>
      </c>
      <c r="K151">
        <v>8.0212765260645066E-2</v>
      </c>
      <c r="L151" t="s">
        <v>174</v>
      </c>
      <c r="N151" t="s">
        <v>228</v>
      </c>
      <c r="O151" t="s">
        <v>188</v>
      </c>
      <c r="P151">
        <v>3.1340233108861339E-2</v>
      </c>
      <c r="Q151" t="s">
        <v>174</v>
      </c>
      <c r="S151" t="s">
        <v>238</v>
      </c>
      <c r="T151" t="s">
        <v>188</v>
      </c>
      <c r="U151">
        <v>3.1340233108861339E-2</v>
      </c>
      <c r="V151" t="s">
        <v>174</v>
      </c>
    </row>
    <row r="152" spans="9:22" x14ac:dyDescent="0.45">
      <c r="I152" t="s">
        <v>218</v>
      </c>
      <c r="J152" t="s">
        <v>189</v>
      </c>
      <c r="K152">
        <v>0.31465325707874442</v>
      </c>
      <c r="L152" t="s">
        <v>174</v>
      </c>
      <c r="N152" t="s">
        <v>228</v>
      </c>
      <c r="O152" t="s">
        <v>189</v>
      </c>
      <c r="P152">
        <v>7.01453433934663E-2</v>
      </c>
      <c r="Q152" t="s">
        <v>174</v>
      </c>
      <c r="S152" t="s">
        <v>238</v>
      </c>
      <c r="T152" t="s">
        <v>189</v>
      </c>
      <c r="U152">
        <v>7.01453433934663E-2</v>
      </c>
      <c r="V152" t="s">
        <v>174</v>
      </c>
    </row>
    <row r="153" spans="9:22" x14ac:dyDescent="0.45">
      <c r="I153" t="s">
        <v>218</v>
      </c>
      <c r="J153" t="s">
        <v>190</v>
      </c>
      <c r="K153">
        <v>0.10647862579259045</v>
      </c>
      <c r="L153" t="s">
        <v>174</v>
      </c>
      <c r="N153" t="s">
        <v>228</v>
      </c>
      <c r="O153" t="s">
        <v>190</v>
      </c>
      <c r="P153">
        <v>7.6792507031928692E-2</v>
      </c>
      <c r="Q153" t="s">
        <v>174</v>
      </c>
      <c r="S153" t="s">
        <v>238</v>
      </c>
      <c r="T153" t="s">
        <v>190</v>
      </c>
      <c r="U153">
        <v>7.6792507031928692E-2</v>
      </c>
      <c r="V153" t="s">
        <v>174</v>
      </c>
    </row>
    <row r="154" spans="9:22" x14ac:dyDescent="0.45">
      <c r="I154" t="s">
        <v>218</v>
      </c>
      <c r="J154" t="s">
        <v>191</v>
      </c>
      <c r="K154">
        <v>0</v>
      </c>
      <c r="L154" t="s">
        <v>174</v>
      </c>
      <c r="N154" t="s">
        <v>228</v>
      </c>
      <c r="O154" t="s">
        <v>191</v>
      </c>
      <c r="P154">
        <v>1.2215520350732607E-2</v>
      </c>
      <c r="Q154" t="s">
        <v>174</v>
      </c>
      <c r="S154" t="s">
        <v>238</v>
      </c>
      <c r="T154" t="s">
        <v>191</v>
      </c>
      <c r="U154">
        <v>1.2215520350732607E-2</v>
      </c>
      <c r="V154" t="s">
        <v>174</v>
      </c>
    </row>
    <row r="155" spans="9:22" x14ac:dyDescent="0.45">
      <c r="I155" t="s">
        <v>218</v>
      </c>
      <c r="J155" t="s">
        <v>192</v>
      </c>
      <c r="K155">
        <v>0</v>
      </c>
      <c r="L155" t="s">
        <v>174</v>
      </c>
      <c r="N155" t="s">
        <v>228</v>
      </c>
      <c r="O155" t="s">
        <v>192</v>
      </c>
      <c r="P155">
        <v>8.9324824567272726E-3</v>
      </c>
      <c r="Q155" t="s">
        <v>174</v>
      </c>
      <c r="S155" t="s">
        <v>238</v>
      </c>
      <c r="T155" t="s">
        <v>192</v>
      </c>
      <c r="U155">
        <v>8.9324824567272726E-3</v>
      </c>
      <c r="V155" t="s">
        <v>174</v>
      </c>
    </row>
    <row r="156" spans="9:22" x14ac:dyDescent="0.45">
      <c r="I156" t="s">
        <v>218</v>
      </c>
      <c r="J156" t="s">
        <v>193</v>
      </c>
      <c r="K156">
        <v>5.2242343166083451E-4</v>
      </c>
      <c r="L156" t="s">
        <v>174</v>
      </c>
      <c r="N156" t="s">
        <v>228</v>
      </c>
      <c r="O156" t="s">
        <v>193</v>
      </c>
      <c r="P156">
        <v>2.0808153818091158E-3</v>
      </c>
      <c r="Q156" t="s">
        <v>174</v>
      </c>
      <c r="S156" t="s">
        <v>238</v>
      </c>
      <c r="T156" t="s">
        <v>193</v>
      </c>
      <c r="U156">
        <v>2.0808153818091158E-3</v>
      </c>
      <c r="V156" t="s">
        <v>174</v>
      </c>
    </row>
    <row r="157" spans="9:22" x14ac:dyDescent="0.45">
      <c r="I157" t="s">
        <v>218</v>
      </c>
      <c r="J157" t="s">
        <v>194</v>
      </c>
      <c r="K157">
        <v>1.9161757875716608E-2</v>
      </c>
      <c r="L157" t="s">
        <v>174</v>
      </c>
      <c r="N157" t="s">
        <v>228</v>
      </c>
      <c r="O157" t="s">
        <v>194</v>
      </c>
      <c r="P157">
        <v>5.7126635251751861E-3</v>
      </c>
      <c r="Q157" t="s">
        <v>174</v>
      </c>
      <c r="S157" t="s">
        <v>238</v>
      </c>
      <c r="T157" t="s">
        <v>194</v>
      </c>
      <c r="U157">
        <v>5.7126635251751861E-3</v>
      </c>
      <c r="V157" t="s">
        <v>174</v>
      </c>
    </row>
    <row r="158" spans="9:22" x14ac:dyDescent="0.45">
      <c r="I158" t="s">
        <v>218</v>
      </c>
      <c r="J158" t="s">
        <v>195</v>
      </c>
      <c r="K158">
        <v>8.1440715410991599E-2</v>
      </c>
      <c r="L158" t="s">
        <v>174</v>
      </c>
      <c r="N158" t="s">
        <v>228</v>
      </c>
      <c r="O158" t="s">
        <v>195</v>
      </c>
      <c r="P158">
        <v>1.0750146278812154E-2</v>
      </c>
      <c r="Q158" t="s">
        <v>174</v>
      </c>
      <c r="S158" t="s">
        <v>238</v>
      </c>
      <c r="T158" t="s">
        <v>195</v>
      </c>
      <c r="U158">
        <v>1.0750146278812154E-2</v>
      </c>
      <c r="V158" t="s">
        <v>174</v>
      </c>
    </row>
    <row r="159" spans="9:22" x14ac:dyDescent="0.45">
      <c r="I159" t="s">
        <v>218</v>
      </c>
      <c r="J159" t="s">
        <v>196</v>
      </c>
      <c r="K159">
        <v>2.7973302493148271E-2</v>
      </c>
      <c r="L159" t="s">
        <v>174</v>
      </c>
      <c r="N159" t="s">
        <v>228</v>
      </c>
      <c r="O159" t="s">
        <v>196</v>
      </c>
      <c r="P159">
        <v>1.0975753919992932E-2</v>
      </c>
      <c r="Q159" t="s">
        <v>174</v>
      </c>
      <c r="S159" t="s">
        <v>238</v>
      </c>
      <c r="T159" t="s">
        <v>196</v>
      </c>
      <c r="U159">
        <v>1.0975753919992932E-2</v>
      </c>
      <c r="V159" t="s">
        <v>174</v>
      </c>
    </row>
    <row r="160" spans="9:22" x14ac:dyDescent="0.45">
      <c r="I160" t="s">
        <v>218</v>
      </c>
      <c r="J160" t="s">
        <v>197</v>
      </c>
      <c r="K160">
        <v>0</v>
      </c>
      <c r="L160" t="s">
        <v>174</v>
      </c>
      <c r="N160" t="s">
        <v>228</v>
      </c>
      <c r="O160" t="s">
        <v>197</v>
      </c>
      <c r="P160">
        <v>2.010866206732919E-3</v>
      </c>
      <c r="Q160" t="s">
        <v>174</v>
      </c>
      <c r="S160" t="s">
        <v>238</v>
      </c>
      <c r="T160" t="s">
        <v>197</v>
      </c>
      <c r="U160">
        <v>2.010866206732919E-3</v>
      </c>
      <c r="V160" t="s">
        <v>174</v>
      </c>
    </row>
    <row r="161" spans="9:22" x14ac:dyDescent="0.45">
      <c r="I161" t="s">
        <v>218</v>
      </c>
      <c r="J161" t="s">
        <v>198</v>
      </c>
      <c r="K161">
        <v>0</v>
      </c>
      <c r="L161" t="s">
        <v>174</v>
      </c>
      <c r="N161" t="s">
        <v>228</v>
      </c>
      <c r="O161" t="s">
        <v>198</v>
      </c>
      <c r="P161">
        <v>4.1501864651638111E-2</v>
      </c>
      <c r="Q161" t="s">
        <v>174</v>
      </c>
      <c r="S161" t="s">
        <v>238</v>
      </c>
      <c r="T161" t="s">
        <v>198</v>
      </c>
      <c r="U161">
        <v>4.1501864651638111E-2</v>
      </c>
      <c r="V161" t="s">
        <v>174</v>
      </c>
    </row>
    <row r="162" spans="9:22" x14ac:dyDescent="0.45">
      <c r="I162" t="s">
        <v>218</v>
      </c>
      <c r="J162" t="s">
        <v>199</v>
      </c>
      <c r="K162">
        <v>0</v>
      </c>
      <c r="L162" t="s">
        <v>174</v>
      </c>
      <c r="N162" t="s">
        <v>228</v>
      </c>
      <c r="O162" t="s">
        <v>199</v>
      </c>
      <c r="P162">
        <v>8.3368502400129538E-3</v>
      </c>
      <c r="Q162" t="s">
        <v>174</v>
      </c>
      <c r="S162" t="s">
        <v>238</v>
      </c>
      <c r="T162" t="s">
        <v>199</v>
      </c>
      <c r="U162">
        <v>8.3368502400129538E-3</v>
      </c>
      <c r="V162" t="s">
        <v>174</v>
      </c>
    </row>
    <row r="163" spans="9:22" x14ac:dyDescent="0.45">
      <c r="I163" t="s">
        <v>218</v>
      </c>
      <c r="J163" t="s">
        <v>200</v>
      </c>
      <c r="K163">
        <v>1.8822696861234559E-2</v>
      </c>
      <c r="L163" t="s">
        <v>174</v>
      </c>
      <c r="N163" t="s">
        <v>228</v>
      </c>
      <c r="O163" t="s">
        <v>200</v>
      </c>
      <c r="P163">
        <v>2.4597065698604165E-2</v>
      </c>
      <c r="Q163" t="s">
        <v>174</v>
      </c>
      <c r="S163" t="s">
        <v>238</v>
      </c>
      <c r="T163" t="s">
        <v>200</v>
      </c>
      <c r="U163">
        <v>2.4597065698604165E-2</v>
      </c>
      <c r="V163" t="s">
        <v>174</v>
      </c>
    </row>
    <row r="164" spans="9:22" x14ac:dyDescent="0.45">
      <c r="I164" t="s">
        <v>218</v>
      </c>
      <c r="J164" t="s">
        <v>201</v>
      </c>
      <c r="K164">
        <v>0.1134923493987928</v>
      </c>
      <c r="L164" t="s">
        <v>174</v>
      </c>
      <c r="N164" t="s">
        <v>228</v>
      </c>
      <c r="O164" t="s">
        <v>201</v>
      </c>
      <c r="P164">
        <v>4.8759599834702246E-2</v>
      </c>
      <c r="Q164" t="s">
        <v>174</v>
      </c>
      <c r="S164" t="s">
        <v>238</v>
      </c>
      <c r="T164" t="s">
        <v>201</v>
      </c>
      <c r="U164">
        <v>4.8759599834702246E-2</v>
      </c>
      <c r="V164" t="s">
        <v>174</v>
      </c>
    </row>
    <row r="165" spans="9:22" x14ac:dyDescent="0.45">
      <c r="I165" t="s">
        <v>218</v>
      </c>
      <c r="J165" t="s">
        <v>202</v>
      </c>
      <c r="K165">
        <v>1.7841480542040274E-2</v>
      </c>
      <c r="L165" t="s">
        <v>174</v>
      </c>
      <c r="N165" t="s">
        <v>228</v>
      </c>
      <c r="O165" t="s">
        <v>202</v>
      </c>
      <c r="P165">
        <v>5.8374541915584562E-2</v>
      </c>
      <c r="Q165" t="s">
        <v>174</v>
      </c>
      <c r="S165" t="s">
        <v>238</v>
      </c>
      <c r="T165" t="s">
        <v>202</v>
      </c>
      <c r="U165">
        <v>5.8374541915584562E-2</v>
      </c>
      <c r="V165" t="s">
        <v>174</v>
      </c>
    </row>
    <row r="166" spans="9:22" x14ac:dyDescent="0.45">
      <c r="I166" t="s">
        <v>218</v>
      </c>
      <c r="J166" t="s">
        <v>203</v>
      </c>
      <c r="K166">
        <v>0</v>
      </c>
      <c r="L166" t="s">
        <v>174</v>
      </c>
      <c r="N166" t="s">
        <v>228</v>
      </c>
      <c r="O166" t="s">
        <v>203</v>
      </c>
      <c r="P166">
        <v>8.6003702328961221E-3</v>
      </c>
      <c r="Q166" t="s">
        <v>174</v>
      </c>
      <c r="S166" t="s">
        <v>238</v>
      </c>
      <c r="T166" t="s">
        <v>203</v>
      </c>
      <c r="U166">
        <v>8.6003702328961221E-3</v>
      </c>
      <c r="V166" t="s">
        <v>174</v>
      </c>
    </row>
    <row r="167" spans="9:22" x14ac:dyDescent="0.45">
      <c r="I167" t="s">
        <v>218</v>
      </c>
      <c r="J167" t="s">
        <v>204</v>
      </c>
      <c r="K167">
        <v>0</v>
      </c>
      <c r="L167" t="s">
        <v>174</v>
      </c>
      <c r="N167" t="s">
        <v>228</v>
      </c>
      <c r="O167" t="s">
        <v>204</v>
      </c>
      <c r="P167">
        <v>2.0466572301811307E-2</v>
      </c>
      <c r="Q167" t="s">
        <v>174</v>
      </c>
      <c r="S167" t="s">
        <v>238</v>
      </c>
      <c r="T167" t="s">
        <v>204</v>
      </c>
      <c r="U167">
        <v>2.0466572301811307E-2</v>
      </c>
      <c r="V167" t="s">
        <v>174</v>
      </c>
    </row>
    <row r="168" spans="9:22" x14ac:dyDescent="0.45">
      <c r="I168" t="s">
        <v>218</v>
      </c>
      <c r="J168" t="s">
        <v>205</v>
      </c>
      <c r="K168">
        <v>0</v>
      </c>
      <c r="L168" t="s">
        <v>174</v>
      </c>
      <c r="N168" t="s">
        <v>228</v>
      </c>
      <c r="O168" t="s">
        <v>205</v>
      </c>
      <c r="P168">
        <v>3.6494441828200412E-3</v>
      </c>
      <c r="Q168" t="s">
        <v>174</v>
      </c>
      <c r="S168" t="s">
        <v>238</v>
      </c>
      <c r="T168" t="s">
        <v>205</v>
      </c>
      <c r="U168">
        <v>3.6494441828200412E-3</v>
      </c>
      <c r="V168" t="s">
        <v>174</v>
      </c>
    </row>
    <row r="169" spans="9:22" x14ac:dyDescent="0.45">
      <c r="I169" t="s">
        <v>218</v>
      </c>
      <c r="J169" t="s">
        <v>206</v>
      </c>
      <c r="K169">
        <v>1.2818796606516932E-3</v>
      </c>
      <c r="L169" t="s">
        <v>174</v>
      </c>
      <c r="N169" t="s">
        <v>228</v>
      </c>
      <c r="O169" t="s">
        <v>206</v>
      </c>
      <c r="P169">
        <v>1.1038298625298811E-2</v>
      </c>
      <c r="Q169" t="s">
        <v>174</v>
      </c>
      <c r="S169" t="s">
        <v>238</v>
      </c>
      <c r="T169" t="s">
        <v>206</v>
      </c>
      <c r="U169">
        <v>1.1038298625298811E-2</v>
      </c>
      <c r="V169" t="s">
        <v>174</v>
      </c>
    </row>
    <row r="170" spans="9:22" x14ac:dyDescent="0.45">
      <c r="I170" t="s">
        <v>218</v>
      </c>
      <c r="J170" t="s">
        <v>207</v>
      </c>
      <c r="K170">
        <v>2.4013396337737129E-2</v>
      </c>
      <c r="L170" t="s">
        <v>174</v>
      </c>
      <c r="N170" t="s">
        <v>228</v>
      </c>
      <c r="O170" t="s">
        <v>207</v>
      </c>
      <c r="P170">
        <v>2.7373174197069909E-2</v>
      </c>
      <c r="Q170" t="s">
        <v>174</v>
      </c>
      <c r="S170" t="s">
        <v>238</v>
      </c>
      <c r="T170" t="s">
        <v>207</v>
      </c>
      <c r="U170">
        <v>2.7373174197069909E-2</v>
      </c>
      <c r="V170" t="s">
        <v>174</v>
      </c>
    </row>
    <row r="171" spans="9:22" x14ac:dyDescent="0.45">
      <c r="I171" t="s">
        <v>218</v>
      </c>
      <c r="J171" t="s">
        <v>208</v>
      </c>
      <c r="K171">
        <v>1.4431840640522474E-3</v>
      </c>
      <c r="L171" t="s">
        <v>174</v>
      </c>
      <c r="N171" t="s">
        <v>228</v>
      </c>
      <c r="O171" t="s">
        <v>208</v>
      </c>
      <c r="P171">
        <v>3.0691565295126722E-2</v>
      </c>
      <c r="Q171" t="s">
        <v>174</v>
      </c>
      <c r="S171" t="s">
        <v>238</v>
      </c>
      <c r="T171" t="s">
        <v>208</v>
      </c>
      <c r="U171">
        <v>3.0691565295126722E-2</v>
      </c>
      <c r="V171" t="s">
        <v>174</v>
      </c>
    </row>
    <row r="172" spans="9:22" x14ac:dyDescent="0.45">
      <c r="I172" t="s">
        <v>218</v>
      </c>
      <c r="J172" t="s">
        <v>209</v>
      </c>
      <c r="K172">
        <v>0</v>
      </c>
      <c r="L172" t="s">
        <v>174</v>
      </c>
      <c r="N172" t="s">
        <v>228</v>
      </c>
      <c r="O172" t="s">
        <v>209</v>
      </c>
      <c r="P172">
        <v>4.3250166992113374E-3</v>
      </c>
      <c r="Q172" t="s">
        <v>174</v>
      </c>
      <c r="S172" t="s">
        <v>238</v>
      </c>
      <c r="T172" t="s">
        <v>209</v>
      </c>
      <c r="U172">
        <v>4.3250166992113374E-3</v>
      </c>
      <c r="V172" t="s">
        <v>174</v>
      </c>
    </row>
    <row r="173" spans="9:22" x14ac:dyDescent="0.45">
      <c r="I173" t="s">
        <v>218</v>
      </c>
      <c r="J173" t="s">
        <v>210</v>
      </c>
      <c r="K173">
        <v>0</v>
      </c>
      <c r="L173" t="s">
        <v>174</v>
      </c>
      <c r="N173" t="s">
        <v>228</v>
      </c>
      <c r="O173" t="s">
        <v>210</v>
      </c>
      <c r="P173">
        <v>3.2741761875733619E-2</v>
      </c>
      <c r="Q173" t="s">
        <v>174</v>
      </c>
      <c r="S173" t="s">
        <v>238</v>
      </c>
      <c r="T173" t="s">
        <v>210</v>
      </c>
      <c r="U173">
        <v>3.2741761875733619E-2</v>
      </c>
      <c r="V173" t="s">
        <v>174</v>
      </c>
    </row>
    <row r="174" spans="9:22" x14ac:dyDescent="0.45">
      <c r="I174" t="s">
        <v>218</v>
      </c>
      <c r="J174" t="s">
        <v>211</v>
      </c>
      <c r="K174">
        <v>0</v>
      </c>
      <c r="L174" t="s">
        <v>174</v>
      </c>
      <c r="N174" t="s">
        <v>228</v>
      </c>
      <c r="O174" t="s">
        <v>211</v>
      </c>
      <c r="P174">
        <v>6.3575002353058315E-3</v>
      </c>
      <c r="Q174" t="s">
        <v>174</v>
      </c>
      <c r="S174" t="s">
        <v>238</v>
      </c>
      <c r="T174" t="s">
        <v>211</v>
      </c>
      <c r="U174">
        <v>6.3575002353058315E-3</v>
      </c>
      <c r="V174" t="s">
        <v>174</v>
      </c>
    </row>
    <row r="175" spans="9:22" x14ac:dyDescent="0.45">
      <c r="I175" t="s">
        <v>218</v>
      </c>
      <c r="J175" t="s">
        <v>212</v>
      </c>
      <c r="K175">
        <v>0</v>
      </c>
      <c r="L175" t="s">
        <v>174</v>
      </c>
      <c r="N175" t="s">
        <v>228</v>
      </c>
      <c r="O175" t="s">
        <v>212</v>
      </c>
      <c r="P175">
        <v>1.9155824340327469E-2</v>
      </c>
      <c r="Q175" t="s">
        <v>174</v>
      </c>
      <c r="S175" t="s">
        <v>238</v>
      </c>
      <c r="T175" t="s">
        <v>212</v>
      </c>
      <c r="U175">
        <v>1.9155824340327469E-2</v>
      </c>
      <c r="V175" t="s">
        <v>174</v>
      </c>
    </row>
    <row r="176" spans="9:22" x14ac:dyDescent="0.45">
      <c r="I176" t="s">
        <v>218</v>
      </c>
      <c r="J176" t="s">
        <v>213</v>
      </c>
      <c r="K176">
        <v>2.9343896253349235E-2</v>
      </c>
      <c r="L176" t="s">
        <v>174</v>
      </c>
      <c r="N176" t="s">
        <v>228</v>
      </c>
      <c r="O176" t="s">
        <v>213</v>
      </c>
      <c r="P176">
        <v>3.835223488507622E-2</v>
      </c>
      <c r="Q176" t="s">
        <v>174</v>
      </c>
      <c r="S176" t="s">
        <v>238</v>
      </c>
      <c r="T176" t="s">
        <v>213</v>
      </c>
      <c r="U176">
        <v>3.835223488507622E-2</v>
      </c>
      <c r="V176" t="s">
        <v>174</v>
      </c>
    </row>
    <row r="177" spans="9:22" x14ac:dyDescent="0.45">
      <c r="I177" t="s">
        <v>218</v>
      </c>
      <c r="J177" t="s">
        <v>214</v>
      </c>
      <c r="K177">
        <v>2.1828624837927281E-4</v>
      </c>
      <c r="L177" t="s">
        <v>174</v>
      </c>
      <c r="N177" t="s">
        <v>228</v>
      </c>
      <c r="O177" t="s">
        <v>214</v>
      </c>
      <c r="P177">
        <v>4.4033015461793515E-2</v>
      </c>
      <c r="Q177" t="s">
        <v>174</v>
      </c>
      <c r="S177" t="s">
        <v>238</v>
      </c>
      <c r="T177" t="s">
        <v>214</v>
      </c>
      <c r="U177">
        <v>4.4033015461793515E-2</v>
      </c>
      <c r="V177" t="s">
        <v>174</v>
      </c>
    </row>
    <row r="178" spans="9:22" x14ac:dyDescent="0.45">
      <c r="I178" t="s">
        <v>218</v>
      </c>
      <c r="J178" t="s">
        <v>215</v>
      </c>
      <c r="K178">
        <v>0</v>
      </c>
      <c r="L178" t="s">
        <v>174</v>
      </c>
      <c r="N178" t="s">
        <v>228</v>
      </c>
      <c r="O178" t="s">
        <v>215</v>
      </c>
      <c r="P178">
        <v>6.5718522277116867E-3</v>
      </c>
      <c r="Q178" t="s">
        <v>174</v>
      </c>
      <c r="S178" t="s">
        <v>238</v>
      </c>
      <c r="T178" t="s">
        <v>215</v>
      </c>
      <c r="U178">
        <v>6.5718522277116867E-3</v>
      </c>
      <c r="V178" t="s">
        <v>174</v>
      </c>
    </row>
    <row r="179" spans="9:22" x14ac:dyDescent="0.45">
      <c r="I179" t="s">
        <v>219</v>
      </c>
      <c r="J179" t="s">
        <v>173</v>
      </c>
      <c r="K179">
        <v>0</v>
      </c>
      <c r="L179" t="s">
        <v>174</v>
      </c>
      <c r="N179" t="s">
        <v>229</v>
      </c>
      <c r="O179" t="s">
        <v>173</v>
      </c>
      <c r="P179">
        <v>2.1588003468449912E-2</v>
      </c>
      <c r="Q179" t="s">
        <v>174</v>
      </c>
      <c r="S179" t="s">
        <v>239</v>
      </c>
      <c r="T179" t="s">
        <v>173</v>
      </c>
      <c r="U179">
        <v>2.1588003468449912E-2</v>
      </c>
      <c r="V179" t="s">
        <v>174</v>
      </c>
    </row>
    <row r="180" spans="9:22" x14ac:dyDescent="0.45">
      <c r="I180" t="s">
        <v>219</v>
      </c>
      <c r="J180" t="s">
        <v>175</v>
      </c>
      <c r="K180">
        <v>0</v>
      </c>
      <c r="L180" t="s">
        <v>174</v>
      </c>
      <c r="N180" t="s">
        <v>229</v>
      </c>
      <c r="O180" t="s">
        <v>175</v>
      </c>
      <c r="P180">
        <v>4.3189807090705844E-3</v>
      </c>
      <c r="Q180" t="s">
        <v>174</v>
      </c>
      <c r="S180" t="s">
        <v>239</v>
      </c>
      <c r="T180" t="s">
        <v>175</v>
      </c>
      <c r="U180">
        <v>4.3189807090705844E-3</v>
      </c>
      <c r="V180" t="s">
        <v>174</v>
      </c>
    </row>
    <row r="181" spans="9:22" x14ac:dyDescent="0.45">
      <c r="I181" t="s">
        <v>219</v>
      </c>
      <c r="J181" t="s">
        <v>176</v>
      </c>
      <c r="K181">
        <v>0</v>
      </c>
      <c r="L181" t="s">
        <v>174</v>
      </c>
      <c r="N181" t="s">
        <v>229</v>
      </c>
      <c r="O181" t="s">
        <v>176</v>
      </c>
      <c r="P181">
        <v>1.3095675545895769E-2</v>
      </c>
      <c r="Q181" t="s">
        <v>174</v>
      </c>
      <c r="S181" t="s">
        <v>239</v>
      </c>
      <c r="T181" t="s">
        <v>176</v>
      </c>
      <c r="U181">
        <v>1.3095675545895769E-2</v>
      </c>
      <c r="V181" t="s">
        <v>174</v>
      </c>
    </row>
    <row r="182" spans="9:22" x14ac:dyDescent="0.45">
      <c r="I182" t="s">
        <v>219</v>
      </c>
      <c r="J182" t="s">
        <v>177</v>
      </c>
      <c r="K182">
        <v>2.6849854686697042E-2</v>
      </c>
      <c r="L182" t="s">
        <v>174</v>
      </c>
      <c r="N182" t="s">
        <v>229</v>
      </c>
      <c r="O182" t="s">
        <v>177</v>
      </c>
      <c r="P182">
        <v>2.5509763458033689E-2</v>
      </c>
      <c r="Q182" t="s">
        <v>174</v>
      </c>
      <c r="S182" t="s">
        <v>239</v>
      </c>
      <c r="T182" t="s">
        <v>177</v>
      </c>
      <c r="U182">
        <v>2.5509763458033689E-2</v>
      </c>
      <c r="V182" t="s">
        <v>174</v>
      </c>
    </row>
    <row r="183" spans="9:22" x14ac:dyDescent="0.45">
      <c r="I183" t="s">
        <v>219</v>
      </c>
      <c r="J183" t="s">
        <v>178</v>
      </c>
      <c r="K183">
        <v>2.3024869152928201E-3</v>
      </c>
      <c r="L183" t="s">
        <v>174</v>
      </c>
      <c r="N183" t="s">
        <v>229</v>
      </c>
      <c r="O183" t="s">
        <v>178</v>
      </c>
      <c r="P183">
        <v>2.9150565950370352E-2</v>
      </c>
      <c r="Q183" t="s">
        <v>174</v>
      </c>
      <c r="S183" t="s">
        <v>239</v>
      </c>
      <c r="T183" t="s">
        <v>178</v>
      </c>
      <c r="U183">
        <v>2.9150565950370352E-2</v>
      </c>
      <c r="V183" t="s">
        <v>174</v>
      </c>
    </row>
    <row r="184" spans="9:22" x14ac:dyDescent="0.45">
      <c r="I184" t="s">
        <v>219</v>
      </c>
      <c r="J184" t="s">
        <v>179</v>
      </c>
      <c r="K184">
        <v>0</v>
      </c>
      <c r="L184" t="s">
        <v>174</v>
      </c>
      <c r="N184" t="s">
        <v>229</v>
      </c>
      <c r="O184" t="s">
        <v>179</v>
      </c>
      <c r="P184">
        <v>4.3271649908949543E-3</v>
      </c>
      <c r="Q184" t="s">
        <v>174</v>
      </c>
      <c r="S184" t="s">
        <v>239</v>
      </c>
      <c r="T184" t="s">
        <v>179</v>
      </c>
      <c r="U184">
        <v>4.3271649908949543E-3</v>
      </c>
      <c r="V184" t="s">
        <v>174</v>
      </c>
    </row>
    <row r="185" spans="9:22" x14ac:dyDescent="0.45">
      <c r="I185" t="s">
        <v>219</v>
      </c>
      <c r="J185" t="s">
        <v>180</v>
      </c>
      <c r="K185">
        <v>0</v>
      </c>
      <c r="L185" t="s">
        <v>174</v>
      </c>
      <c r="N185" t="s">
        <v>229</v>
      </c>
      <c r="O185" t="s">
        <v>180</v>
      </c>
      <c r="P185">
        <v>3.7514943199600435E-2</v>
      </c>
      <c r="Q185" t="s">
        <v>174</v>
      </c>
      <c r="S185" t="s">
        <v>239</v>
      </c>
      <c r="T185" t="s">
        <v>180</v>
      </c>
      <c r="U185">
        <v>3.7514943199600435E-2</v>
      </c>
      <c r="V185" t="s">
        <v>174</v>
      </c>
    </row>
    <row r="186" spans="9:22" x14ac:dyDescent="0.45">
      <c r="I186" t="s">
        <v>219</v>
      </c>
      <c r="J186" t="s">
        <v>181</v>
      </c>
      <c r="K186">
        <v>0</v>
      </c>
      <c r="L186" t="s">
        <v>174</v>
      </c>
      <c r="N186" t="s">
        <v>229</v>
      </c>
      <c r="O186" t="s">
        <v>181</v>
      </c>
      <c r="P186">
        <v>7.3768487966274186E-3</v>
      </c>
      <c r="Q186" t="s">
        <v>174</v>
      </c>
      <c r="S186" t="s">
        <v>239</v>
      </c>
      <c r="T186" t="s">
        <v>181</v>
      </c>
      <c r="U186">
        <v>7.3768487966274186E-3</v>
      </c>
      <c r="V186" t="s">
        <v>174</v>
      </c>
    </row>
    <row r="187" spans="9:22" x14ac:dyDescent="0.45">
      <c r="I187" t="s">
        <v>219</v>
      </c>
      <c r="J187" t="s">
        <v>182</v>
      </c>
      <c r="K187">
        <v>1.048428762875281E-2</v>
      </c>
      <c r="L187" t="s">
        <v>174</v>
      </c>
      <c r="N187" t="s">
        <v>229</v>
      </c>
      <c r="O187" t="s">
        <v>182</v>
      </c>
      <c r="P187">
        <v>2.180481752817057E-2</v>
      </c>
      <c r="Q187" t="s">
        <v>174</v>
      </c>
      <c r="S187" t="s">
        <v>239</v>
      </c>
      <c r="T187" t="s">
        <v>182</v>
      </c>
      <c r="U187">
        <v>2.180481752817057E-2</v>
      </c>
      <c r="V187" t="s">
        <v>174</v>
      </c>
    </row>
    <row r="188" spans="9:22" x14ac:dyDescent="0.45">
      <c r="I188" t="s">
        <v>219</v>
      </c>
      <c r="J188" t="s">
        <v>183</v>
      </c>
      <c r="K188">
        <v>9.7642987015133617E-2</v>
      </c>
      <c r="L188" t="s">
        <v>174</v>
      </c>
      <c r="N188" t="s">
        <v>229</v>
      </c>
      <c r="O188" t="s">
        <v>183</v>
      </c>
      <c r="P188">
        <v>4.5945879652681113E-2</v>
      </c>
      <c r="Q188" t="s">
        <v>174</v>
      </c>
      <c r="S188" t="s">
        <v>239</v>
      </c>
      <c r="T188" t="s">
        <v>183</v>
      </c>
      <c r="U188">
        <v>4.5945879652681113E-2</v>
      </c>
      <c r="V188" t="s">
        <v>174</v>
      </c>
    </row>
    <row r="189" spans="9:22" x14ac:dyDescent="0.45">
      <c r="I189" t="s">
        <v>219</v>
      </c>
      <c r="J189" t="s">
        <v>184</v>
      </c>
      <c r="K189">
        <v>1.6291718935204237E-2</v>
      </c>
      <c r="L189" t="s">
        <v>174</v>
      </c>
      <c r="N189" t="s">
        <v>229</v>
      </c>
      <c r="O189" t="s">
        <v>184</v>
      </c>
      <c r="P189">
        <v>5.1127738153555674E-2</v>
      </c>
      <c r="Q189" t="s">
        <v>174</v>
      </c>
      <c r="S189" t="s">
        <v>239</v>
      </c>
      <c r="T189" t="s">
        <v>184</v>
      </c>
      <c r="U189">
        <v>5.1127738153555674E-2</v>
      </c>
      <c r="V189" t="s">
        <v>174</v>
      </c>
    </row>
    <row r="190" spans="9:22" x14ac:dyDescent="0.45">
      <c r="I190" t="s">
        <v>219</v>
      </c>
      <c r="J190" t="s">
        <v>185</v>
      </c>
      <c r="K190">
        <v>0</v>
      </c>
      <c r="L190" t="s">
        <v>174</v>
      </c>
      <c r="N190" t="s">
        <v>229</v>
      </c>
      <c r="O190" t="s">
        <v>185</v>
      </c>
      <c r="P190">
        <v>7.4188405707359701E-3</v>
      </c>
      <c r="Q190" t="s">
        <v>174</v>
      </c>
      <c r="S190" t="s">
        <v>239</v>
      </c>
      <c r="T190" t="s">
        <v>185</v>
      </c>
      <c r="U190">
        <v>7.4188405707359701E-3</v>
      </c>
      <c r="V190" t="s">
        <v>174</v>
      </c>
    </row>
    <row r="191" spans="9:22" x14ac:dyDescent="0.45">
      <c r="I191" t="s">
        <v>219</v>
      </c>
      <c r="J191" t="s">
        <v>186</v>
      </c>
      <c r="K191">
        <v>0</v>
      </c>
      <c r="L191" t="s">
        <v>174</v>
      </c>
      <c r="N191" t="s">
        <v>229</v>
      </c>
      <c r="O191" t="s">
        <v>186</v>
      </c>
      <c r="P191">
        <v>5.8514245614663341E-2</v>
      </c>
      <c r="Q191" t="s">
        <v>174</v>
      </c>
      <c r="S191" t="s">
        <v>239</v>
      </c>
      <c r="T191" t="s">
        <v>186</v>
      </c>
      <c r="U191">
        <v>5.8514245614663341E-2</v>
      </c>
      <c r="V191" t="s">
        <v>174</v>
      </c>
    </row>
    <row r="192" spans="9:22" x14ac:dyDescent="0.45">
      <c r="I192" t="s">
        <v>219</v>
      </c>
      <c r="J192" t="s">
        <v>187</v>
      </c>
      <c r="K192">
        <v>6.7524683912679124E-3</v>
      </c>
      <c r="L192" t="s">
        <v>174</v>
      </c>
      <c r="N192" t="s">
        <v>229</v>
      </c>
      <c r="O192" t="s">
        <v>187</v>
      </c>
      <c r="P192">
        <v>1.1237005731583491E-2</v>
      </c>
      <c r="Q192" t="s">
        <v>174</v>
      </c>
      <c r="S192" t="s">
        <v>239</v>
      </c>
      <c r="T192" t="s">
        <v>187</v>
      </c>
      <c r="U192">
        <v>1.1237005731583491E-2</v>
      </c>
      <c r="V192" t="s">
        <v>174</v>
      </c>
    </row>
    <row r="193" spans="9:22" x14ac:dyDescent="0.45">
      <c r="I193" t="s">
        <v>219</v>
      </c>
      <c r="J193" t="s">
        <v>188</v>
      </c>
      <c r="K193">
        <v>7.7096161578068922E-2</v>
      </c>
      <c r="L193" t="s">
        <v>174</v>
      </c>
      <c r="N193" t="s">
        <v>229</v>
      </c>
      <c r="O193" t="s">
        <v>188</v>
      </c>
      <c r="P193">
        <v>3.0397472023778186E-2</v>
      </c>
      <c r="Q193" t="s">
        <v>174</v>
      </c>
      <c r="S193" t="s">
        <v>239</v>
      </c>
      <c r="T193" t="s">
        <v>188</v>
      </c>
      <c r="U193">
        <v>3.0397472023778186E-2</v>
      </c>
      <c r="V193" t="s">
        <v>174</v>
      </c>
    </row>
    <row r="194" spans="9:22" x14ac:dyDescent="0.45">
      <c r="I194" t="s">
        <v>219</v>
      </c>
      <c r="J194" t="s">
        <v>189</v>
      </c>
      <c r="K194">
        <v>0.3157659336431905</v>
      </c>
      <c r="L194" t="s">
        <v>174</v>
      </c>
      <c r="N194" t="s">
        <v>229</v>
      </c>
      <c r="O194" t="s">
        <v>189</v>
      </c>
      <c r="P194">
        <v>6.988248252646434E-2</v>
      </c>
      <c r="Q194" t="s">
        <v>174</v>
      </c>
      <c r="S194" t="s">
        <v>239</v>
      </c>
      <c r="T194" t="s">
        <v>189</v>
      </c>
      <c r="U194">
        <v>6.988248252646434E-2</v>
      </c>
      <c r="V194" t="s">
        <v>174</v>
      </c>
    </row>
    <row r="195" spans="9:22" x14ac:dyDescent="0.45">
      <c r="I195" t="s">
        <v>219</v>
      </c>
      <c r="J195" t="s">
        <v>190</v>
      </c>
      <c r="K195">
        <v>0.11195975324280941</v>
      </c>
      <c r="L195" t="s">
        <v>174</v>
      </c>
      <c r="N195" t="s">
        <v>229</v>
      </c>
      <c r="O195" t="s">
        <v>190</v>
      </c>
      <c r="P195">
        <v>8.0439872649408106E-2</v>
      </c>
      <c r="Q195" t="s">
        <v>174</v>
      </c>
      <c r="S195" t="s">
        <v>239</v>
      </c>
      <c r="T195" t="s">
        <v>190</v>
      </c>
      <c r="U195">
        <v>8.0439872649408106E-2</v>
      </c>
      <c r="V195" t="s">
        <v>174</v>
      </c>
    </row>
    <row r="196" spans="9:22" x14ac:dyDescent="0.45">
      <c r="I196" t="s">
        <v>219</v>
      </c>
      <c r="J196" t="s">
        <v>191</v>
      </c>
      <c r="K196">
        <v>0</v>
      </c>
      <c r="L196" t="s">
        <v>174</v>
      </c>
      <c r="N196" t="s">
        <v>229</v>
      </c>
      <c r="O196" t="s">
        <v>191</v>
      </c>
      <c r="P196">
        <v>1.2877331500551193E-2</v>
      </c>
      <c r="Q196" t="s">
        <v>174</v>
      </c>
      <c r="S196" t="s">
        <v>239</v>
      </c>
      <c r="T196" t="s">
        <v>191</v>
      </c>
      <c r="U196">
        <v>1.2877331500551193E-2</v>
      </c>
      <c r="V196" t="s">
        <v>174</v>
      </c>
    </row>
    <row r="197" spans="9:22" x14ac:dyDescent="0.45">
      <c r="I197" t="s">
        <v>219</v>
      </c>
      <c r="J197" t="s">
        <v>192</v>
      </c>
      <c r="K197">
        <v>0</v>
      </c>
      <c r="L197" t="s">
        <v>174</v>
      </c>
      <c r="N197" t="s">
        <v>229</v>
      </c>
      <c r="O197" t="s">
        <v>192</v>
      </c>
      <c r="P197">
        <v>1.0001384944164941E-2</v>
      </c>
      <c r="Q197" t="s">
        <v>174</v>
      </c>
      <c r="S197" t="s">
        <v>239</v>
      </c>
      <c r="T197" t="s">
        <v>192</v>
      </c>
      <c r="U197">
        <v>1.0001384944164941E-2</v>
      </c>
      <c r="V197" t="s">
        <v>174</v>
      </c>
    </row>
    <row r="198" spans="9:22" x14ac:dyDescent="0.45">
      <c r="I198" t="s">
        <v>219</v>
      </c>
      <c r="J198" t="s">
        <v>193</v>
      </c>
      <c r="K198">
        <v>3.7676232940809238E-4</v>
      </c>
      <c r="L198" t="s">
        <v>174</v>
      </c>
      <c r="N198" t="s">
        <v>229</v>
      </c>
      <c r="O198" t="s">
        <v>193</v>
      </c>
      <c r="P198">
        <v>2.1550638956839454E-3</v>
      </c>
      <c r="Q198" t="s">
        <v>174</v>
      </c>
      <c r="S198" t="s">
        <v>239</v>
      </c>
      <c r="T198" t="s">
        <v>193</v>
      </c>
      <c r="U198">
        <v>2.1550638956839454E-3</v>
      </c>
      <c r="V198" t="s">
        <v>174</v>
      </c>
    </row>
    <row r="199" spans="9:22" x14ac:dyDescent="0.45">
      <c r="I199" t="s">
        <v>219</v>
      </c>
      <c r="J199" t="s">
        <v>194</v>
      </c>
      <c r="K199">
        <v>1.8859490899561238E-2</v>
      </c>
      <c r="L199" t="s">
        <v>174</v>
      </c>
      <c r="N199" t="s">
        <v>229</v>
      </c>
      <c r="O199" t="s">
        <v>194</v>
      </c>
      <c r="P199">
        <v>5.5009290750756418E-3</v>
      </c>
      <c r="Q199" t="s">
        <v>174</v>
      </c>
      <c r="S199" t="s">
        <v>239</v>
      </c>
      <c r="T199" t="s">
        <v>194</v>
      </c>
      <c r="U199">
        <v>5.5009290750756418E-3</v>
      </c>
      <c r="V199" t="s">
        <v>174</v>
      </c>
    </row>
    <row r="200" spans="9:22" x14ac:dyDescent="0.45">
      <c r="I200" t="s">
        <v>219</v>
      </c>
      <c r="J200" t="s">
        <v>195</v>
      </c>
      <c r="K200">
        <v>8.1273084975204704E-2</v>
      </c>
      <c r="L200" t="s">
        <v>174</v>
      </c>
      <c r="N200" t="s">
        <v>229</v>
      </c>
      <c r="O200" t="s">
        <v>195</v>
      </c>
      <c r="P200">
        <v>1.1081288082432299E-2</v>
      </c>
      <c r="Q200" t="s">
        <v>174</v>
      </c>
      <c r="S200" t="s">
        <v>239</v>
      </c>
      <c r="T200" t="s">
        <v>195</v>
      </c>
      <c r="U200">
        <v>1.1081288082432299E-2</v>
      </c>
      <c r="V200" t="s">
        <v>174</v>
      </c>
    </row>
    <row r="201" spans="9:22" x14ac:dyDescent="0.45">
      <c r="I201" t="s">
        <v>219</v>
      </c>
      <c r="J201" t="s">
        <v>196</v>
      </c>
      <c r="K201">
        <v>2.8189348725516799E-2</v>
      </c>
      <c r="L201" t="s">
        <v>174</v>
      </c>
      <c r="N201" t="s">
        <v>229</v>
      </c>
      <c r="O201" t="s">
        <v>196</v>
      </c>
      <c r="P201">
        <v>1.1092695013482852E-2</v>
      </c>
      <c r="Q201" t="s">
        <v>174</v>
      </c>
      <c r="S201" t="s">
        <v>239</v>
      </c>
      <c r="T201" t="s">
        <v>196</v>
      </c>
      <c r="U201">
        <v>1.1092695013482852E-2</v>
      </c>
      <c r="V201" t="s">
        <v>174</v>
      </c>
    </row>
    <row r="202" spans="9:22" x14ac:dyDescent="0.45">
      <c r="I202" t="s">
        <v>219</v>
      </c>
      <c r="J202" t="s">
        <v>197</v>
      </c>
      <c r="K202">
        <v>0</v>
      </c>
      <c r="L202" t="s">
        <v>174</v>
      </c>
      <c r="N202" t="s">
        <v>229</v>
      </c>
      <c r="O202" t="s">
        <v>197</v>
      </c>
      <c r="P202">
        <v>2.2173369836997131E-3</v>
      </c>
      <c r="Q202" t="s">
        <v>174</v>
      </c>
      <c r="S202" t="s">
        <v>239</v>
      </c>
      <c r="T202" t="s">
        <v>197</v>
      </c>
      <c r="U202">
        <v>2.2173369836997131E-3</v>
      </c>
      <c r="V202" t="s">
        <v>174</v>
      </c>
    </row>
    <row r="203" spans="9:22" x14ac:dyDescent="0.45">
      <c r="I203" t="s">
        <v>219</v>
      </c>
      <c r="J203" t="s">
        <v>198</v>
      </c>
      <c r="K203">
        <v>0</v>
      </c>
      <c r="L203" t="s">
        <v>174</v>
      </c>
      <c r="N203" t="s">
        <v>229</v>
      </c>
      <c r="O203" t="s">
        <v>198</v>
      </c>
      <c r="P203">
        <v>4.0211520847737547E-2</v>
      </c>
      <c r="Q203" t="s">
        <v>174</v>
      </c>
      <c r="S203" t="s">
        <v>239</v>
      </c>
      <c r="T203" t="s">
        <v>198</v>
      </c>
      <c r="U203">
        <v>4.0211520847737547E-2</v>
      </c>
      <c r="V203" t="s">
        <v>174</v>
      </c>
    </row>
    <row r="204" spans="9:22" x14ac:dyDescent="0.45">
      <c r="I204" t="s">
        <v>219</v>
      </c>
      <c r="J204" t="s">
        <v>199</v>
      </c>
      <c r="K204">
        <v>0</v>
      </c>
      <c r="L204" t="s">
        <v>174</v>
      </c>
      <c r="N204" t="s">
        <v>229</v>
      </c>
      <c r="O204" t="s">
        <v>199</v>
      </c>
      <c r="P204">
        <v>8.1077278140024057E-3</v>
      </c>
      <c r="Q204" t="s">
        <v>174</v>
      </c>
      <c r="S204" t="s">
        <v>239</v>
      </c>
      <c r="T204" t="s">
        <v>199</v>
      </c>
      <c r="U204">
        <v>8.1077278140024057E-3</v>
      </c>
      <c r="V204" t="s">
        <v>174</v>
      </c>
    </row>
    <row r="205" spans="9:22" x14ac:dyDescent="0.45">
      <c r="I205" t="s">
        <v>219</v>
      </c>
      <c r="J205" t="s">
        <v>200</v>
      </c>
      <c r="K205">
        <v>1.8535758171656907E-2</v>
      </c>
      <c r="L205" t="s">
        <v>174</v>
      </c>
      <c r="N205" t="s">
        <v>229</v>
      </c>
      <c r="O205" t="s">
        <v>200</v>
      </c>
      <c r="P205">
        <v>2.3404839771184571E-2</v>
      </c>
      <c r="Q205" t="s">
        <v>174</v>
      </c>
      <c r="S205" t="s">
        <v>239</v>
      </c>
      <c r="T205" t="s">
        <v>200</v>
      </c>
      <c r="U205">
        <v>2.3404839771184571E-2</v>
      </c>
      <c r="V205" t="s">
        <v>174</v>
      </c>
    </row>
    <row r="206" spans="9:22" x14ac:dyDescent="0.45">
      <c r="I206" t="s">
        <v>219</v>
      </c>
      <c r="J206" t="s">
        <v>201</v>
      </c>
      <c r="K206">
        <v>0.11266631164514845</v>
      </c>
      <c r="L206" t="s">
        <v>174</v>
      </c>
      <c r="N206" t="s">
        <v>229</v>
      </c>
      <c r="O206" t="s">
        <v>201</v>
      </c>
      <c r="P206">
        <v>4.771994450829007E-2</v>
      </c>
      <c r="Q206" t="s">
        <v>174</v>
      </c>
      <c r="S206" t="s">
        <v>239</v>
      </c>
      <c r="T206" t="s">
        <v>201</v>
      </c>
      <c r="U206">
        <v>4.771994450829007E-2</v>
      </c>
      <c r="V206" t="s">
        <v>174</v>
      </c>
    </row>
    <row r="207" spans="9:22" x14ac:dyDescent="0.45">
      <c r="I207" t="s">
        <v>219</v>
      </c>
      <c r="J207" t="s">
        <v>202</v>
      </c>
      <c r="K207">
        <v>1.8248248775070076E-2</v>
      </c>
      <c r="L207" t="s">
        <v>174</v>
      </c>
      <c r="N207" t="s">
        <v>229</v>
      </c>
      <c r="O207" t="s">
        <v>202</v>
      </c>
      <c r="P207">
        <v>5.7356380160911921E-2</v>
      </c>
      <c r="Q207" t="s">
        <v>174</v>
      </c>
      <c r="S207" t="s">
        <v>239</v>
      </c>
      <c r="T207" t="s">
        <v>202</v>
      </c>
      <c r="U207">
        <v>5.7356380160911921E-2</v>
      </c>
      <c r="V207" t="s">
        <v>174</v>
      </c>
    </row>
    <row r="208" spans="9:22" x14ac:dyDescent="0.45">
      <c r="I208" t="s">
        <v>219</v>
      </c>
      <c r="J208" t="s">
        <v>203</v>
      </c>
      <c r="K208">
        <v>0</v>
      </c>
      <c r="L208" t="s">
        <v>174</v>
      </c>
      <c r="N208" t="s">
        <v>229</v>
      </c>
      <c r="O208" t="s">
        <v>203</v>
      </c>
      <c r="P208">
        <v>8.3184404235625842E-3</v>
      </c>
      <c r="Q208" t="s">
        <v>174</v>
      </c>
      <c r="S208" t="s">
        <v>239</v>
      </c>
      <c r="T208" t="s">
        <v>203</v>
      </c>
      <c r="U208">
        <v>8.3184404235625842E-3</v>
      </c>
      <c r="V208" t="s">
        <v>174</v>
      </c>
    </row>
    <row r="209" spans="9:22" x14ac:dyDescent="0.45">
      <c r="I209" t="s">
        <v>219</v>
      </c>
      <c r="J209" t="s">
        <v>204</v>
      </c>
      <c r="K209">
        <v>0</v>
      </c>
      <c r="L209" t="s">
        <v>174</v>
      </c>
      <c r="N209" t="s">
        <v>229</v>
      </c>
      <c r="O209" t="s">
        <v>204</v>
      </c>
      <c r="P209">
        <v>2.0098371305285821E-2</v>
      </c>
      <c r="Q209" t="s">
        <v>174</v>
      </c>
      <c r="S209" t="s">
        <v>239</v>
      </c>
      <c r="T209" t="s">
        <v>204</v>
      </c>
      <c r="U209">
        <v>2.0098371305285821E-2</v>
      </c>
      <c r="V209" t="s">
        <v>174</v>
      </c>
    </row>
    <row r="210" spans="9:22" x14ac:dyDescent="0.45">
      <c r="I210" t="s">
        <v>219</v>
      </c>
      <c r="J210" t="s">
        <v>205</v>
      </c>
      <c r="K210">
        <v>0</v>
      </c>
      <c r="L210" t="s">
        <v>174</v>
      </c>
      <c r="N210" t="s">
        <v>229</v>
      </c>
      <c r="O210" t="s">
        <v>205</v>
      </c>
      <c r="P210">
        <v>3.6190385926870038E-3</v>
      </c>
      <c r="Q210" t="s">
        <v>174</v>
      </c>
      <c r="S210" t="s">
        <v>239</v>
      </c>
      <c r="T210" t="s">
        <v>205</v>
      </c>
      <c r="U210">
        <v>3.6190385926870038E-3</v>
      </c>
      <c r="V210" t="s">
        <v>174</v>
      </c>
    </row>
    <row r="211" spans="9:22" x14ac:dyDescent="0.45">
      <c r="I211" t="s">
        <v>219</v>
      </c>
      <c r="J211" t="s">
        <v>206</v>
      </c>
      <c r="K211">
        <v>1.3576312978798013E-3</v>
      </c>
      <c r="L211" t="s">
        <v>174</v>
      </c>
      <c r="N211" t="s">
        <v>229</v>
      </c>
      <c r="O211" t="s">
        <v>206</v>
      </c>
      <c r="P211">
        <v>1.1009719012059507E-2</v>
      </c>
      <c r="Q211" t="s">
        <v>174</v>
      </c>
      <c r="S211" t="s">
        <v>239</v>
      </c>
      <c r="T211" t="s">
        <v>206</v>
      </c>
      <c r="U211">
        <v>1.1009719012059507E-2</v>
      </c>
      <c r="V211" t="s">
        <v>174</v>
      </c>
    </row>
    <row r="212" spans="9:22" x14ac:dyDescent="0.45">
      <c r="I212" t="s">
        <v>219</v>
      </c>
      <c r="J212" t="s">
        <v>207</v>
      </c>
      <c r="K212">
        <v>2.5070619172997004E-2</v>
      </c>
      <c r="L212" t="s">
        <v>174</v>
      </c>
      <c r="N212" t="s">
        <v>229</v>
      </c>
      <c r="O212" t="s">
        <v>207</v>
      </c>
      <c r="P212">
        <v>2.4870087407160353E-2</v>
      </c>
      <c r="Q212" t="s">
        <v>174</v>
      </c>
      <c r="S212" t="s">
        <v>239</v>
      </c>
      <c r="T212" t="s">
        <v>207</v>
      </c>
      <c r="U212">
        <v>2.4870087407160353E-2</v>
      </c>
      <c r="V212" t="s">
        <v>174</v>
      </c>
    </row>
    <row r="213" spans="9:22" x14ac:dyDescent="0.45">
      <c r="I213" t="s">
        <v>219</v>
      </c>
      <c r="J213" t="s">
        <v>208</v>
      </c>
      <c r="K213">
        <v>1.4363938163161492E-3</v>
      </c>
      <c r="L213" t="s">
        <v>174</v>
      </c>
      <c r="N213" t="s">
        <v>229</v>
      </c>
      <c r="O213" t="s">
        <v>208</v>
      </c>
      <c r="P213">
        <v>2.8893336185330069E-2</v>
      </c>
      <c r="Q213" t="s">
        <v>174</v>
      </c>
      <c r="S213" t="s">
        <v>239</v>
      </c>
      <c r="T213" t="s">
        <v>208</v>
      </c>
      <c r="U213">
        <v>2.8893336185330069E-2</v>
      </c>
      <c r="V213" t="s">
        <v>174</v>
      </c>
    </row>
    <row r="214" spans="9:22" x14ac:dyDescent="0.45">
      <c r="I214" t="s">
        <v>219</v>
      </c>
      <c r="J214" t="s">
        <v>209</v>
      </c>
      <c r="K214">
        <v>0</v>
      </c>
      <c r="L214" t="s">
        <v>174</v>
      </c>
      <c r="N214" t="s">
        <v>229</v>
      </c>
      <c r="O214" t="s">
        <v>209</v>
      </c>
      <c r="P214">
        <v>4.1804717148156674E-3</v>
      </c>
      <c r="Q214" t="s">
        <v>174</v>
      </c>
      <c r="S214" t="s">
        <v>239</v>
      </c>
      <c r="T214" t="s">
        <v>209</v>
      </c>
      <c r="U214">
        <v>4.1804717148156674E-3</v>
      </c>
      <c r="V214" t="s">
        <v>174</v>
      </c>
    </row>
    <row r="215" spans="9:22" x14ac:dyDescent="0.45">
      <c r="I215" t="s">
        <v>219</v>
      </c>
      <c r="J215" t="s">
        <v>210</v>
      </c>
      <c r="K215">
        <v>0</v>
      </c>
      <c r="L215" t="s">
        <v>174</v>
      </c>
      <c r="N215" t="s">
        <v>229</v>
      </c>
      <c r="O215" t="s">
        <v>210</v>
      </c>
      <c r="P215">
        <v>3.250135771725416E-2</v>
      </c>
      <c r="Q215" t="s">
        <v>174</v>
      </c>
      <c r="S215" t="s">
        <v>239</v>
      </c>
      <c r="T215" t="s">
        <v>210</v>
      </c>
      <c r="U215">
        <v>3.250135771725416E-2</v>
      </c>
      <c r="V215" t="s">
        <v>174</v>
      </c>
    </row>
    <row r="216" spans="9:22" x14ac:dyDescent="0.45">
      <c r="I216" t="s">
        <v>219</v>
      </c>
      <c r="J216" t="s">
        <v>211</v>
      </c>
      <c r="K216">
        <v>0</v>
      </c>
      <c r="L216" t="s">
        <v>174</v>
      </c>
      <c r="N216" t="s">
        <v>229</v>
      </c>
      <c r="O216" t="s">
        <v>211</v>
      </c>
      <c r="P216">
        <v>6.3929580589108673E-3</v>
      </c>
      <c r="Q216" t="s">
        <v>174</v>
      </c>
      <c r="S216" t="s">
        <v>239</v>
      </c>
      <c r="T216" t="s">
        <v>211</v>
      </c>
      <c r="U216">
        <v>6.3929580589108673E-3</v>
      </c>
      <c r="V216" t="s">
        <v>174</v>
      </c>
    </row>
    <row r="217" spans="9:22" x14ac:dyDescent="0.45">
      <c r="I217" t="s">
        <v>219</v>
      </c>
      <c r="J217" t="s">
        <v>212</v>
      </c>
      <c r="K217">
        <v>0</v>
      </c>
      <c r="L217" t="s">
        <v>174</v>
      </c>
      <c r="N217" t="s">
        <v>229</v>
      </c>
      <c r="O217" t="s">
        <v>212</v>
      </c>
      <c r="P217">
        <v>1.9489635345714715E-2</v>
      </c>
      <c r="Q217" t="s">
        <v>174</v>
      </c>
      <c r="S217" t="s">
        <v>239</v>
      </c>
      <c r="T217" t="s">
        <v>212</v>
      </c>
      <c r="U217">
        <v>1.9489635345714715E-2</v>
      </c>
      <c r="V217" t="s">
        <v>174</v>
      </c>
    </row>
    <row r="218" spans="9:22" x14ac:dyDescent="0.45">
      <c r="I218" t="s">
        <v>219</v>
      </c>
      <c r="J218" t="s">
        <v>213</v>
      </c>
      <c r="K218">
        <v>2.8437465802147469E-2</v>
      </c>
      <c r="L218" t="s">
        <v>174</v>
      </c>
      <c r="N218" t="s">
        <v>229</v>
      </c>
      <c r="O218" t="s">
        <v>213</v>
      </c>
      <c r="P218">
        <v>3.8870795385815525E-2</v>
      </c>
      <c r="Q218" t="s">
        <v>174</v>
      </c>
      <c r="S218" t="s">
        <v>239</v>
      </c>
      <c r="T218" t="s">
        <v>213</v>
      </c>
      <c r="U218">
        <v>3.8870795385815525E-2</v>
      </c>
      <c r="V218" t="s">
        <v>174</v>
      </c>
    </row>
    <row r="219" spans="9:22" x14ac:dyDescent="0.45">
      <c r="I219" t="s">
        <v>219</v>
      </c>
      <c r="J219" t="s">
        <v>214</v>
      </c>
      <c r="K219">
        <v>4.0323235267528574E-4</v>
      </c>
      <c r="L219" t="s">
        <v>174</v>
      </c>
      <c r="N219" t="s">
        <v>229</v>
      </c>
      <c r="O219" t="s">
        <v>214</v>
      </c>
      <c r="P219">
        <v>4.3923583068375745E-2</v>
      </c>
      <c r="Q219" t="s">
        <v>174</v>
      </c>
      <c r="S219" t="s">
        <v>239</v>
      </c>
      <c r="T219" t="s">
        <v>214</v>
      </c>
      <c r="U219">
        <v>4.3923583068375745E-2</v>
      </c>
      <c r="V219" t="s">
        <v>174</v>
      </c>
    </row>
    <row r="220" spans="9:22" x14ac:dyDescent="0.45">
      <c r="I220" t="s">
        <v>219</v>
      </c>
      <c r="J220" t="s">
        <v>215</v>
      </c>
      <c r="K220">
        <v>0</v>
      </c>
      <c r="L220" t="s">
        <v>174</v>
      </c>
      <c r="N220" t="s">
        <v>229</v>
      </c>
      <c r="O220" t="s">
        <v>215</v>
      </c>
      <c r="P220">
        <v>6.4554626158238194E-3</v>
      </c>
      <c r="Q220" t="s">
        <v>174</v>
      </c>
      <c r="S220" t="s">
        <v>239</v>
      </c>
      <c r="T220" t="s">
        <v>215</v>
      </c>
      <c r="U220">
        <v>6.4554626158238194E-3</v>
      </c>
      <c r="V220" t="s">
        <v>174</v>
      </c>
    </row>
    <row r="221" spans="9:22" x14ac:dyDescent="0.45">
      <c r="I221" t="s">
        <v>220</v>
      </c>
      <c r="J221" t="s">
        <v>173</v>
      </c>
      <c r="K221">
        <v>0</v>
      </c>
      <c r="L221" t="s">
        <v>174</v>
      </c>
      <c r="N221" t="s">
        <v>230</v>
      </c>
      <c r="O221" t="s">
        <v>173</v>
      </c>
      <c r="P221">
        <v>2.0208375532270711E-2</v>
      </c>
      <c r="Q221" t="s">
        <v>174</v>
      </c>
      <c r="S221" t="s">
        <v>240</v>
      </c>
      <c r="T221" t="s">
        <v>173</v>
      </c>
      <c r="U221">
        <v>2.0208375532270711E-2</v>
      </c>
      <c r="V221" t="s">
        <v>174</v>
      </c>
    </row>
    <row r="222" spans="9:22" x14ac:dyDescent="0.45">
      <c r="I222" t="s">
        <v>220</v>
      </c>
      <c r="J222" t="s">
        <v>175</v>
      </c>
      <c r="K222">
        <v>0</v>
      </c>
      <c r="L222" t="s">
        <v>174</v>
      </c>
      <c r="N222" t="s">
        <v>230</v>
      </c>
      <c r="O222" t="s">
        <v>175</v>
      </c>
      <c r="P222">
        <v>3.8445393618613826E-3</v>
      </c>
      <c r="Q222" t="s">
        <v>174</v>
      </c>
      <c r="S222" t="s">
        <v>240</v>
      </c>
      <c r="T222" t="s">
        <v>175</v>
      </c>
      <c r="U222">
        <v>3.8445393618613826E-3</v>
      </c>
      <c r="V222" t="s">
        <v>174</v>
      </c>
    </row>
    <row r="223" spans="9:22" x14ac:dyDescent="0.45">
      <c r="I223" t="s">
        <v>220</v>
      </c>
      <c r="J223" t="s">
        <v>176</v>
      </c>
      <c r="K223">
        <v>6.3214585662461637E-5</v>
      </c>
      <c r="L223" t="s">
        <v>174</v>
      </c>
      <c r="N223" t="s">
        <v>230</v>
      </c>
      <c r="O223" t="s">
        <v>176</v>
      </c>
      <c r="P223">
        <v>1.1193824982083007E-2</v>
      </c>
      <c r="Q223" t="s">
        <v>174</v>
      </c>
      <c r="S223" t="s">
        <v>240</v>
      </c>
      <c r="T223" t="s">
        <v>176</v>
      </c>
      <c r="U223">
        <v>1.1193824982083007E-2</v>
      </c>
      <c r="V223" t="s">
        <v>174</v>
      </c>
    </row>
    <row r="224" spans="9:22" x14ac:dyDescent="0.45">
      <c r="I224" t="s">
        <v>220</v>
      </c>
      <c r="J224" t="s">
        <v>177</v>
      </c>
      <c r="K224">
        <v>2.0910340837022839E-2</v>
      </c>
      <c r="L224" t="s">
        <v>174</v>
      </c>
      <c r="N224" t="s">
        <v>230</v>
      </c>
      <c r="O224" t="s">
        <v>177</v>
      </c>
      <c r="P224">
        <v>2.2687547780257625E-2</v>
      </c>
      <c r="Q224" t="s">
        <v>174</v>
      </c>
      <c r="S224" t="s">
        <v>240</v>
      </c>
      <c r="T224" t="s">
        <v>177</v>
      </c>
      <c r="U224">
        <v>2.2687547780257625E-2</v>
      </c>
      <c r="V224" t="s">
        <v>174</v>
      </c>
    </row>
    <row r="225" spans="9:22" x14ac:dyDescent="0.45">
      <c r="I225" t="s">
        <v>220</v>
      </c>
      <c r="J225" t="s">
        <v>178</v>
      </c>
      <c r="K225">
        <v>1.5421014761309837E-3</v>
      </c>
      <c r="L225" t="s">
        <v>174</v>
      </c>
      <c r="N225" t="s">
        <v>230</v>
      </c>
      <c r="O225" t="s">
        <v>178</v>
      </c>
      <c r="P225">
        <v>2.7045974174383505E-2</v>
      </c>
      <c r="Q225" t="s">
        <v>174</v>
      </c>
      <c r="S225" t="s">
        <v>240</v>
      </c>
      <c r="T225" t="s">
        <v>178</v>
      </c>
      <c r="U225">
        <v>2.7045974174383505E-2</v>
      </c>
      <c r="V225" t="s">
        <v>174</v>
      </c>
    </row>
    <row r="226" spans="9:22" x14ac:dyDescent="0.45">
      <c r="I226" t="s">
        <v>220</v>
      </c>
      <c r="J226" t="s">
        <v>179</v>
      </c>
      <c r="K226">
        <v>0</v>
      </c>
      <c r="L226" t="s">
        <v>174</v>
      </c>
      <c r="N226" t="s">
        <v>230</v>
      </c>
      <c r="O226" t="s">
        <v>179</v>
      </c>
      <c r="P226">
        <v>4.0986272206380292E-3</v>
      </c>
      <c r="Q226" t="s">
        <v>174</v>
      </c>
      <c r="S226" t="s">
        <v>240</v>
      </c>
      <c r="T226" t="s">
        <v>179</v>
      </c>
      <c r="U226">
        <v>4.0986272206380292E-3</v>
      </c>
      <c r="V226" t="s">
        <v>174</v>
      </c>
    </row>
    <row r="227" spans="9:22" x14ac:dyDescent="0.45">
      <c r="I227" t="s">
        <v>220</v>
      </c>
      <c r="J227" t="s">
        <v>180</v>
      </c>
      <c r="K227">
        <v>0</v>
      </c>
      <c r="L227" t="s">
        <v>174</v>
      </c>
      <c r="N227" t="s">
        <v>230</v>
      </c>
      <c r="O227" t="s">
        <v>180</v>
      </c>
      <c r="P227">
        <v>3.784534432178404E-2</v>
      </c>
      <c r="Q227" t="s">
        <v>174</v>
      </c>
      <c r="S227" t="s">
        <v>240</v>
      </c>
      <c r="T227" t="s">
        <v>180</v>
      </c>
      <c r="U227">
        <v>3.784534432178404E-2</v>
      </c>
      <c r="V227" t="s">
        <v>174</v>
      </c>
    </row>
    <row r="228" spans="9:22" x14ac:dyDescent="0.45">
      <c r="I228" t="s">
        <v>220</v>
      </c>
      <c r="J228" t="s">
        <v>181</v>
      </c>
      <c r="K228">
        <v>0</v>
      </c>
      <c r="L228" t="s">
        <v>174</v>
      </c>
      <c r="N228" t="s">
        <v>230</v>
      </c>
      <c r="O228" t="s">
        <v>181</v>
      </c>
      <c r="P228">
        <v>7.5333002322406951E-3</v>
      </c>
      <c r="Q228" t="s">
        <v>174</v>
      </c>
      <c r="S228" t="s">
        <v>240</v>
      </c>
      <c r="T228" t="s">
        <v>181</v>
      </c>
      <c r="U228">
        <v>7.5333002322406951E-3</v>
      </c>
      <c r="V228" t="s">
        <v>174</v>
      </c>
    </row>
    <row r="229" spans="9:22" x14ac:dyDescent="0.45">
      <c r="I229" t="s">
        <v>220</v>
      </c>
      <c r="J229" t="s">
        <v>182</v>
      </c>
      <c r="K229">
        <v>1.2856566272569866E-2</v>
      </c>
      <c r="L229" t="s">
        <v>174</v>
      </c>
      <c r="N229" t="s">
        <v>230</v>
      </c>
      <c r="O229" t="s">
        <v>182</v>
      </c>
      <c r="P229">
        <v>2.2611050804190569E-2</v>
      </c>
      <c r="Q229" t="s">
        <v>174</v>
      </c>
      <c r="S229" t="s">
        <v>240</v>
      </c>
      <c r="T229" t="s">
        <v>182</v>
      </c>
      <c r="U229">
        <v>2.2611050804190569E-2</v>
      </c>
      <c r="V229" t="s">
        <v>174</v>
      </c>
    </row>
    <row r="230" spans="9:22" x14ac:dyDescent="0.45">
      <c r="I230" t="s">
        <v>220</v>
      </c>
      <c r="J230" t="s">
        <v>183</v>
      </c>
      <c r="K230">
        <v>0.11315060369003613</v>
      </c>
      <c r="L230" t="s">
        <v>174</v>
      </c>
      <c r="N230" t="s">
        <v>230</v>
      </c>
      <c r="O230" t="s">
        <v>183</v>
      </c>
      <c r="P230">
        <v>4.7202164985064694E-2</v>
      </c>
      <c r="Q230" t="s">
        <v>174</v>
      </c>
      <c r="S230" t="s">
        <v>240</v>
      </c>
      <c r="T230" t="s">
        <v>183</v>
      </c>
      <c r="U230">
        <v>4.7202164985064694E-2</v>
      </c>
      <c r="V230" t="s">
        <v>174</v>
      </c>
    </row>
    <row r="231" spans="9:22" x14ac:dyDescent="0.45">
      <c r="I231" t="s">
        <v>220</v>
      </c>
      <c r="J231" t="s">
        <v>184</v>
      </c>
      <c r="K231">
        <v>1.6457803518753592E-2</v>
      </c>
      <c r="L231" t="s">
        <v>174</v>
      </c>
      <c r="N231" t="s">
        <v>230</v>
      </c>
      <c r="O231" t="s">
        <v>184</v>
      </c>
      <c r="P231">
        <v>5.0650699105460086E-2</v>
      </c>
      <c r="Q231" t="s">
        <v>174</v>
      </c>
      <c r="S231" t="s">
        <v>240</v>
      </c>
      <c r="T231" t="s">
        <v>184</v>
      </c>
      <c r="U231">
        <v>5.0650699105460086E-2</v>
      </c>
      <c r="V231" t="s">
        <v>174</v>
      </c>
    </row>
    <row r="232" spans="9:22" x14ac:dyDescent="0.45">
      <c r="I232" t="s">
        <v>220</v>
      </c>
      <c r="J232" t="s">
        <v>185</v>
      </c>
      <c r="K232">
        <v>0</v>
      </c>
      <c r="L232" t="s">
        <v>174</v>
      </c>
      <c r="N232" t="s">
        <v>230</v>
      </c>
      <c r="O232" t="s">
        <v>185</v>
      </c>
      <c r="P232">
        <v>7.1308010940926156E-3</v>
      </c>
      <c r="Q232" t="s">
        <v>174</v>
      </c>
      <c r="S232" t="s">
        <v>240</v>
      </c>
      <c r="T232" t="s">
        <v>185</v>
      </c>
      <c r="U232">
        <v>7.1308010940926156E-3</v>
      </c>
      <c r="V232" t="s">
        <v>174</v>
      </c>
    </row>
    <row r="233" spans="9:22" x14ac:dyDescent="0.45">
      <c r="I233" t="s">
        <v>220</v>
      </c>
      <c r="J233" t="s">
        <v>186</v>
      </c>
      <c r="K233">
        <v>0</v>
      </c>
      <c r="L233" t="s">
        <v>174</v>
      </c>
      <c r="N233" t="s">
        <v>230</v>
      </c>
      <c r="O233" t="s">
        <v>186</v>
      </c>
      <c r="P233">
        <v>6.1409377987471474E-2</v>
      </c>
      <c r="Q233" t="s">
        <v>174</v>
      </c>
      <c r="S233" t="s">
        <v>240</v>
      </c>
      <c r="T233" t="s">
        <v>186</v>
      </c>
      <c r="U233">
        <v>6.1409377987471474E-2</v>
      </c>
      <c r="V233" t="s">
        <v>174</v>
      </c>
    </row>
    <row r="234" spans="9:22" x14ac:dyDescent="0.45">
      <c r="I234" t="s">
        <v>220</v>
      </c>
      <c r="J234" t="s">
        <v>187</v>
      </c>
      <c r="K234">
        <v>7.9264603415443308E-3</v>
      </c>
      <c r="L234" t="s">
        <v>174</v>
      </c>
      <c r="N234" t="s">
        <v>230</v>
      </c>
      <c r="O234" t="s">
        <v>187</v>
      </c>
      <c r="P234">
        <v>1.1571921602468449E-2</v>
      </c>
      <c r="Q234" t="s">
        <v>174</v>
      </c>
      <c r="S234" t="s">
        <v>240</v>
      </c>
      <c r="T234" t="s">
        <v>187</v>
      </c>
      <c r="U234">
        <v>1.1571921602468449E-2</v>
      </c>
      <c r="V234" t="s">
        <v>174</v>
      </c>
    </row>
    <row r="235" spans="9:22" x14ac:dyDescent="0.45">
      <c r="I235" t="s">
        <v>220</v>
      </c>
      <c r="J235" t="s">
        <v>188</v>
      </c>
      <c r="K235">
        <v>8.5773435380434873E-2</v>
      </c>
      <c r="L235" t="s">
        <v>174</v>
      </c>
      <c r="N235" t="s">
        <v>230</v>
      </c>
      <c r="O235" t="s">
        <v>188</v>
      </c>
      <c r="P235">
        <v>3.1095847420702059E-2</v>
      </c>
      <c r="Q235" t="s">
        <v>174</v>
      </c>
      <c r="S235" t="s">
        <v>240</v>
      </c>
      <c r="T235" t="s">
        <v>188</v>
      </c>
      <c r="U235">
        <v>3.1095847420702059E-2</v>
      </c>
      <c r="V235" t="s">
        <v>174</v>
      </c>
    </row>
    <row r="236" spans="9:22" x14ac:dyDescent="0.45">
      <c r="I236" t="s">
        <v>220</v>
      </c>
      <c r="J236" t="s">
        <v>189</v>
      </c>
      <c r="K236">
        <v>0.32093887645493774</v>
      </c>
      <c r="L236" t="s">
        <v>174</v>
      </c>
      <c r="N236" t="s">
        <v>230</v>
      </c>
      <c r="O236" t="s">
        <v>189</v>
      </c>
      <c r="P236">
        <v>7.3408063265718401E-2</v>
      </c>
      <c r="Q236" t="s">
        <v>174</v>
      </c>
      <c r="S236" t="s">
        <v>240</v>
      </c>
      <c r="T236" t="s">
        <v>189</v>
      </c>
      <c r="U236">
        <v>7.3408063265718401E-2</v>
      </c>
      <c r="V236" t="s">
        <v>174</v>
      </c>
    </row>
    <row r="237" spans="9:22" x14ac:dyDescent="0.45">
      <c r="I237" t="s">
        <v>220</v>
      </c>
      <c r="J237" t="s">
        <v>190</v>
      </c>
      <c r="K237">
        <v>9.5356542358629406E-2</v>
      </c>
      <c r="L237" t="s">
        <v>174</v>
      </c>
      <c r="N237" t="s">
        <v>230</v>
      </c>
      <c r="O237" t="s">
        <v>190</v>
      </c>
      <c r="P237">
        <v>8.2150998228352368E-2</v>
      </c>
      <c r="Q237" t="s">
        <v>174</v>
      </c>
      <c r="S237" t="s">
        <v>240</v>
      </c>
      <c r="T237" t="s">
        <v>190</v>
      </c>
      <c r="U237">
        <v>8.2150998228352368E-2</v>
      </c>
      <c r="V237" t="s">
        <v>174</v>
      </c>
    </row>
    <row r="238" spans="9:22" x14ac:dyDescent="0.45">
      <c r="I238" t="s">
        <v>220</v>
      </c>
      <c r="J238" t="s">
        <v>191</v>
      </c>
      <c r="K238">
        <v>0</v>
      </c>
      <c r="L238" t="s">
        <v>174</v>
      </c>
      <c r="N238" t="s">
        <v>230</v>
      </c>
      <c r="O238" t="s">
        <v>191</v>
      </c>
      <c r="P238">
        <v>1.3118968635270529E-2</v>
      </c>
      <c r="Q238" t="s">
        <v>174</v>
      </c>
      <c r="S238" t="s">
        <v>240</v>
      </c>
      <c r="T238" t="s">
        <v>191</v>
      </c>
      <c r="U238">
        <v>1.3118968635270529E-2</v>
      </c>
      <c r="V238" t="s">
        <v>174</v>
      </c>
    </row>
    <row r="239" spans="9:22" x14ac:dyDescent="0.45">
      <c r="I239" t="s">
        <v>220</v>
      </c>
      <c r="J239" t="s">
        <v>192</v>
      </c>
      <c r="K239">
        <v>0</v>
      </c>
      <c r="L239" t="s">
        <v>174</v>
      </c>
      <c r="N239" t="s">
        <v>230</v>
      </c>
      <c r="O239" t="s">
        <v>192</v>
      </c>
      <c r="P239">
        <v>9.9083147759933907E-3</v>
      </c>
      <c r="Q239" t="s">
        <v>174</v>
      </c>
      <c r="S239" t="s">
        <v>240</v>
      </c>
      <c r="T239" t="s">
        <v>192</v>
      </c>
      <c r="U239">
        <v>9.9083147759933907E-3</v>
      </c>
      <c r="V239" t="s">
        <v>174</v>
      </c>
    </row>
    <row r="240" spans="9:22" x14ac:dyDescent="0.45">
      <c r="I240" t="s">
        <v>220</v>
      </c>
      <c r="J240" t="s">
        <v>193</v>
      </c>
      <c r="K240">
        <v>7.6701661324439486E-4</v>
      </c>
      <c r="L240" t="s">
        <v>174</v>
      </c>
      <c r="N240" t="s">
        <v>230</v>
      </c>
      <c r="O240" t="s">
        <v>193</v>
      </c>
      <c r="P240">
        <v>2.2008818276075866E-3</v>
      </c>
      <c r="Q240" t="s">
        <v>174</v>
      </c>
      <c r="S240" t="s">
        <v>240</v>
      </c>
      <c r="T240" t="s">
        <v>193</v>
      </c>
      <c r="U240">
        <v>2.2008818276075866E-3</v>
      </c>
      <c r="V240" t="s">
        <v>174</v>
      </c>
    </row>
    <row r="241" spans="9:22" x14ac:dyDescent="0.45">
      <c r="I241" t="s">
        <v>220</v>
      </c>
      <c r="J241" t="s">
        <v>194</v>
      </c>
      <c r="K241">
        <v>2.3910429049233347E-2</v>
      </c>
      <c r="L241" t="s">
        <v>174</v>
      </c>
      <c r="N241" t="s">
        <v>230</v>
      </c>
      <c r="O241" t="s">
        <v>194</v>
      </c>
      <c r="P241">
        <v>5.5557423585883428E-3</v>
      </c>
      <c r="Q241" t="s">
        <v>174</v>
      </c>
      <c r="S241" t="s">
        <v>240</v>
      </c>
      <c r="T241" t="s">
        <v>194</v>
      </c>
      <c r="U241">
        <v>5.5557423585883428E-3</v>
      </c>
      <c r="V241" t="s">
        <v>174</v>
      </c>
    </row>
    <row r="242" spans="9:22" x14ac:dyDescent="0.45">
      <c r="I242" t="s">
        <v>220</v>
      </c>
      <c r="J242" t="s">
        <v>195</v>
      </c>
      <c r="K242">
        <v>8.3457895952502151E-2</v>
      </c>
      <c r="L242" t="s">
        <v>174</v>
      </c>
      <c r="N242" t="s">
        <v>230</v>
      </c>
      <c r="O242" t="s">
        <v>195</v>
      </c>
      <c r="P242">
        <v>1.070302629729389E-2</v>
      </c>
      <c r="Q242" t="s">
        <v>174</v>
      </c>
      <c r="S242" t="s">
        <v>240</v>
      </c>
      <c r="T242" t="s">
        <v>195</v>
      </c>
      <c r="U242">
        <v>1.070302629729389E-2</v>
      </c>
      <c r="V242" t="s">
        <v>174</v>
      </c>
    </row>
    <row r="243" spans="9:22" x14ac:dyDescent="0.45">
      <c r="I243" t="s">
        <v>220</v>
      </c>
      <c r="J243" t="s">
        <v>196</v>
      </c>
      <c r="K243">
        <v>2.4875515365712458E-2</v>
      </c>
      <c r="L243" t="s">
        <v>174</v>
      </c>
      <c r="N243" t="s">
        <v>230</v>
      </c>
      <c r="O243" t="s">
        <v>196</v>
      </c>
      <c r="P243">
        <v>1.105654026868616E-2</v>
      </c>
      <c r="Q243" t="s">
        <v>174</v>
      </c>
      <c r="S243" t="s">
        <v>240</v>
      </c>
      <c r="T243" t="s">
        <v>196</v>
      </c>
      <c r="U243">
        <v>1.105654026868616E-2</v>
      </c>
      <c r="V243" t="s">
        <v>174</v>
      </c>
    </row>
    <row r="244" spans="9:22" x14ac:dyDescent="0.45">
      <c r="I244" t="s">
        <v>220</v>
      </c>
      <c r="J244" t="s">
        <v>197</v>
      </c>
      <c r="K244">
        <v>0</v>
      </c>
      <c r="L244" t="s">
        <v>174</v>
      </c>
      <c r="N244" t="s">
        <v>230</v>
      </c>
      <c r="O244" t="s">
        <v>197</v>
      </c>
      <c r="P244">
        <v>1.9734215149577886E-3</v>
      </c>
      <c r="Q244" t="s">
        <v>174</v>
      </c>
      <c r="S244" t="s">
        <v>240</v>
      </c>
      <c r="T244" t="s">
        <v>197</v>
      </c>
      <c r="U244">
        <v>1.9734215149577886E-3</v>
      </c>
      <c r="V244" t="s">
        <v>174</v>
      </c>
    </row>
    <row r="245" spans="9:22" x14ac:dyDescent="0.45">
      <c r="I245" t="s">
        <v>220</v>
      </c>
      <c r="J245" t="s">
        <v>198</v>
      </c>
      <c r="K245">
        <v>0</v>
      </c>
      <c r="L245" t="s">
        <v>174</v>
      </c>
      <c r="N245" t="s">
        <v>230</v>
      </c>
      <c r="O245" t="s">
        <v>198</v>
      </c>
      <c r="P245">
        <v>3.952583246171313E-2</v>
      </c>
      <c r="Q245" t="s">
        <v>174</v>
      </c>
      <c r="S245" t="s">
        <v>240</v>
      </c>
      <c r="T245" t="s">
        <v>198</v>
      </c>
      <c r="U245">
        <v>3.952583246171313E-2</v>
      </c>
      <c r="V245" t="s">
        <v>174</v>
      </c>
    </row>
    <row r="246" spans="9:22" x14ac:dyDescent="0.45">
      <c r="I246" t="s">
        <v>220</v>
      </c>
      <c r="J246" t="s">
        <v>199</v>
      </c>
      <c r="K246">
        <v>0</v>
      </c>
      <c r="L246" t="s">
        <v>174</v>
      </c>
      <c r="N246" t="s">
        <v>230</v>
      </c>
      <c r="O246" t="s">
        <v>199</v>
      </c>
      <c r="P246">
        <v>7.9408954599456058E-3</v>
      </c>
      <c r="Q246" t="s">
        <v>174</v>
      </c>
      <c r="S246" t="s">
        <v>240</v>
      </c>
      <c r="T246" t="s">
        <v>199</v>
      </c>
      <c r="U246">
        <v>7.9408954599456058E-3</v>
      </c>
      <c r="V246" t="s">
        <v>174</v>
      </c>
    </row>
    <row r="247" spans="9:22" x14ac:dyDescent="0.45">
      <c r="I247" t="s">
        <v>220</v>
      </c>
      <c r="J247" t="s">
        <v>200</v>
      </c>
      <c r="K247">
        <v>1.7598307726601634E-2</v>
      </c>
      <c r="L247" t="s">
        <v>174</v>
      </c>
      <c r="N247" t="s">
        <v>230</v>
      </c>
      <c r="O247" t="s">
        <v>200</v>
      </c>
      <c r="P247">
        <v>2.3195600382707803E-2</v>
      </c>
      <c r="Q247" t="s">
        <v>174</v>
      </c>
      <c r="S247" t="s">
        <v>240</v>
      </c>
      <c r="T247" t="s">
        <v>200</v>
      </c>
      <c r="U247">
        <v>2.3195600382707803E-2</v>
      </c>
      <c r="V247" t="s">
        <v>174</v>
      </c>
    </row>
    <row r="248" spans="9:22" x14ac:dyDescent="0.45">
      <c r="I248" t="s">
        <v>220</v>
      </c>
      <c r="J248" t="s">
        <v>201</v>
      </c>
      <c r="K248">
        <v>0.10908568999413104</v>
      </c>
      <c r="L248" t="s">
        <v>174</v>
      </c>
      <c r="N248" t="s">
        <v>230</v>
      </c>
      <c r="O248" t="s">
        <v>201</v>
      </c>
      <c r="P248">
        <v>4.6818572098970591E-2</v>
      </c>
      <c r="Q248" t="s">
        <v>174</v>
      </c>
      <c r="S248" t="s">
        <v>240</v>
      </c>
      <c r="T248" t="s">
        <v>201</v>
      </c>
      <c r="U248">
        <v>4.6818572098970591E-2</v>
      </c>
      <c r="V248" t="s">
        <v>174</v>
      </c>
    </row>
    <row r="249" spans="9:22" x14ac:dyDescent="0.45">
      <c r="I249" t="s">
        <v>220</v>
      </c>
      <c r="J249" t="s">
        <v>202</v>
      </c>
      <c r="K249">
        <v>1.6070218336877298E-2</v>
      </c>
      <c r="L249" t="s">
        <v>174</v>
      </c>
      <c r="N249" t="s">
        <v>230</v>
      </c>
      <c r="O249" t="s">
        <v>202</v>
      </c>
      <c r="P249">
        <v>5.6936744903907051E-2</v>
      </c>
      <c r="Q249" t="s">
        <v>174</v>
      </c>
      <c r="S249" t="s">
        <v>240</v>
      </c>
      <c r="T249" t="s">
        <v>202</v>
      </c>
      <c r="U249">
        <v>5.6936744903907051E-2</v>
      </c>
      <c r="V249" t="s">
        <v>174</v>
      </c>
    </row>
    <row r="250" spans="9:22" x14ac:dyDescent="0.45">
      <c r="I250" t="s">
        <v>220</v>
      </c>
      <c r="J250" t="s">
        <v>203</v>
      </c>
      <c r="K250">
        <v>0</v>
      </c>
      <c r="L250" t="s">
        <v>174</v>
      </c>
      <c r="N250" t="s">
        <v>230</v>
      </c>
      <c r="O250" t="s">
        <v>203</v>
      </c>
      <c r="P250">
        <v>8.3514234840770599E-3</v>
      </c>
      <c r="Q250" t="s">
        <v>174</v>
      </c>
      <c r="S250" t="s">
        <v>240</v>
      </c>
      <c r="T250" t="s">
        <v>203</v>
      </c>
      <c r="U250">
        <v>8.3514234840770599E-3</v>
      </c>
      <c r="V250" t="s">
        <v>174</v>
      </c>
    </row>
    <row r="251" spans="9:22" x14ac:dyDescent="0.45">
      <c r="I251" t="s">
        <v>220</v>
      </c>
      <c r="J251" t="s">
        <v>204</v>
      </c>
      <c r="K251">
        <v>0</v>
      </c>
      <c r="L251" t="s">
        <v>174</v>
      </c>
      <c r="N251" t="s">
        <v>230</v>
      </c>
      <c r="O251" t="s">
        <v>204</v>
      </c>
      <c r="P251">
        <v>1.9229546888508298E-2</v>
      </c>
      <c r="Q251" t="s">
        <v>174</v>
      </c>
      <c r="S251" t="s">
        <v>240</v>
      </c>
      <c r="T251" t="s">
        <v>204</v>
      </c>
      <c r="U251">
        <v>1.9229546888508298E-2</v>
      </c>
      <c r="V251" t="s">
        <v>174</v>
      </c>
    </row>
    <row r="252" spans="9:22" x14ac:dyDescent="0.45">
      <c r="I252" t="s">
        <v>220</v>
      </c>
      <c r="J252" t="s">
        <v>205</v>
      </c>
      <c r="K252">
        <v>0</v>
      </c>
      <c r="L252" t="s">
        <v>174</v>
      </c>
      <c r="N252" t="s">
        <v>230</v>
      </c>
      <c r="O252" t="s">
        <v>205</v>
      </c>
      <c r="P252">
        <v>3.4216437911445312E-3</v>
      </c>
      <c r="Q252" t="s">
        <v>174</v>
      </c>
      <c r="S252" t="s">
        <v>240</v>
      </c>
      <c r="T252" t="s">
        <v>205</v>
      </c>
      <c r="U252">
        <v>3.4216437911445312E-3</v>
      </c>
      <c r="V252" t="s">
        <v>174</v>
      </c>
    </row>
    <row r="253" spans="9:22" x14ac:dyDescent="0.45">
      <c r="I253" t="s">
        <v>220</v>
      </c>
      <c r="J253" t="s">
        <v>206</v>
      </c>
      <c r="K253">
        <v>1.4187730268523378E-3</v>
      </c>
      <c r="L253" t="s">
        <v>174</v>
      </c>
      <c r="N253" t="s">
        <v>230</v>
      </c>
      <c r="O253" t="s">
        <v>206</v>
      </c>
      <c r="P253">
        <v>1.0907209660455596E-2</v>
      </c>
      <c r="Q253" t="s">
        <v>174</v>
      </c>
      <c r="S253" t="s">
        <v>240</v>
      </c>
      <c r="T253" t="s">
        <v>206</v>
      </c>
      <c r="U253">
        <v>1.0907209660455596E-2</v>
      </c>
      <c r="V253" t="s">
        <v>174</v>
      </c>
    </row>
    <row r="254" spans="9:22" x14ac:dyDescent="0.45">
      <c r="I254" t="s">
        <v>220</v>
      </c>
      <c r="J254" t="s">
        <v>207</v>
      </c>
      <c r="K254">
        <v>2.1439558440770567E-2</v>
      </c>
      <c r="L254" t="s">
        <v>174</v>
      </c>
      <c r="N254" t="s">
        <v>230</v>
      </c>
      <c r="O254" t="s">
        <v>207</v>
      </c>
      <c r="P254">
        <v>2.7540704418350805E-2</v>
      </c>
      <c r="Q254" t="s">
        <v>174</v>
      </c>
      <c r="S254" t="s">
        <v>240</v>
      </c>
      <c r="T254" t="s">
        <v>207</v>
      </c>
      <c r="U254">
        <v>2.7540704418350805E-2</v>
      </c>
      <c r="V254" t="s">
        <v>174</v>
      </c>
    </row>
    <row r="255" spans="9:22" x14ac:dyDescent="0.45">
      <c r="I255" t="s">
        <v>220</v>
      </c>
      <c r="J255" t="s">
        <v>208</v>
      </c>
      <c r="K255">
        <v>1.0051469063035066E-3</v>
      </c>
      <c r="L255" t="s">
        <v>174</v>
      </c>
      <c r="N255" t="s">
        <v>230</v>
      </c>
      <c r="O255" t="s">
        <v>208</v>
      </c>
      <c r="P255">
        <v>3.1314966198918118E-2</v>
      </c>
      <c r="Q255" t="s">
        <v>174</v>
      </c>
      <c r="S255" t="s">
        <v>240</v>
      </c>
      <c r="T255" t="s">
        <v>208</v>
      </c>
      <c r="U255">
        <v>3.1314966198918118E-2</v>
      </c>
      <c r="V255" t="s">
        <v>174</v>
      </c>
    </row>
    <row r="256" spans="9:22" x14ac:dyDescent="0.45">
      <c r="I256" t="s">
        <v>220</v>
      </c>
      <c r="J256" t="s">
        <v>209</v>
      </c>
      <c r="K256">
        <v>0</v>
      </c>
      <c r="L256" t="s">
        <v>174</v>
      </c>
      <c r="N256" t="s">
        <v>230</v>
      </c>
      <c r="O256" t="s">
        <v>209</v>
      </c>
      <c r="P256">
        <v>4.1493418997484155E-3</v>
      </c>
      <c r="Q256" t="s">
        <v>174</v>
      </c>
      <c r="S256" t="s">
        <v>240</v>
      </c>
      <c r="T256" t="s">
        <v>209</v>
      </c>
      <c r="U256">
        <v>4.1493418997484155E-3</v>
      </c>
      <c r="V256" t="s">
        <v>174</v>
      </c>
    </row>
    <row r="257" spans="9:22" x14ac:dyDescent="0.45">
      <c r="I257" t="s">
        <v>220</v>
      </c>
      <c r="J257" t="s">
        <v>210</v>
      </c>
      <c r="K257">
        <v>0</v>
      </c>
      <c r="L257" t="s">
        <v>174</v>
      </c>
      <c r="N257" t="s">
        <v>230</v>
      </c>
      <c r="O257" t="s">
        <v>210</v>
      </c>
      <c r="P257">
        <v>3.2170265892039959E-2</v>
      </c>
      <c r="Q257" t="s">
        <v>174</v>
      </c>
      <c r="S257" t="s">
        <v>240</v>
      </c>
      <c r="T257" t="s">
        <v>210</v>
      </c>
      <c r="U257">
        <v>3.2170265892039959E-2</v>
      </c>
      <c r="V257" t="s">
        <v>174</v>
      </c>
    </row>
    <row r="258" spans="9:22" x14ac:dyDescent="0.45">
      <c r="I258" t="s">
        <v>220</v>
      </c>
      <c r="J258" t="s">
        <v>211</v>
      </c>
      <c r="K258">
        <v>0</v>
      </c>
      <c r="L258" t="s">
        <v>174</v>
      </c>
      <c r="N258" t="s">
        <v>230</v>
      </c>
      <c r="O258" t="s">
        <v>211</v>
      </c>
      <c r="P258">
        <v>6.2717508185491265E-3</v>
      </c>
      <c r="Q258" t="s">
        <v>174</v>
      </c>
      <c r="S258" t="s">
        <v>240</v>
      </c>
      <c r="T258" t="s">
        <v>211</v>
      </c>
      <c r="U258">
        <v>6.2717508185491265E-3</v>
      </c>
      <c r="V258" t="s">
        <v>174</v>
      </c>
    </row>
    <row r="259" spans="9:22" x14ac:dyDescent="0.45">
      <c r="I259" t="s">
        <v>220</v>
      </c>
      <c r="J259" t="s">
        <v>212</v>
      </c>
      <c r="K259">
        <v>1.2771093112390599E-4</v>
      </c>
      <c r="L259" t="s">
        <v>174</v>
      </c>
      <c r="N259" t="s">
        <v>230</v>
      </c>
      <c r="O259" t="s">
        <v>212</v>
      </c>
      <c r="P259">
        <v>1.8863102472580884E-2</v>
      </c>
      <c r="Q259" t="s">
        <v>174</v>
      </c>
      <c r="S259" t="s">
        <v>240</v>
      </c>
      <c r="T259" t="s">
        <v>212</v>
      </c>
      <c r="U259">
        <v>1.8863102472580884E-2</v>
      </c>
      <c r="V259" t="s">
        <v>174</v>
      </c>
    </row>
    <row r="260" spans="9:22" x14ac:dyDescent="0.45">
      <c r="I260" t="s">
        <v>220</v>
      </c>
      <c r="J260" t="s">
        <v>213</v>
      </c>
      <c r="K260">
        <v>2.5240930492289038E-2</v>
      </c>
      <c r="L260" t="s">
        <v>174</v>
      </c>
      <c r="N260" t="s">
        <v>230</v>
      </c>
      <c r="O260" t="s">
        <v>213</v>
      </c>
      <c r="P260">
        <v>3.7406270342703968E-2</v>
      </c>
      <c r="Q260" t="s">
        <v>174</v>
      </c>
      <c r="S260" t="s">
        <v>240</v>
      </c>
      <c r="T260" t="s">
        <v>213</v>
      </c>
      <c r="U260">
        <v>3.7406270342703968E-2</v>
      </c>
      <c r="V260" t="s">
        <v>174</v>
      </c>
    </row>
    <row r="261" spans="9:22" x14ac:dyDescent="0.45">
      <c r="I261" t="s">
        <v>220</v>
      </c>
      <c r="J261" t="s">
        <v>214</v>
      </c>
      <c r="K261">
        <v>2.6862248638169296E-5</v>
      </c>
      <c r="L261" t="s">
        <v>174</v>
      </c>
      <c r="N261" t="s">
        <v>230</v>
      </c>
      <c r="O261" t="s">
        <v>214</v>
      </c>
      <c r="P261">
        <v>4.3177835584303943E-2</v>
      </c>
      <c r="Q261" t="s">
        <v>174</v>
      </c>
      <c r="S261" t="s">
        <v>240</v>
      </c>
      <c r="T261" t="s">
        <v>214</v>
      </c>
      <c r="U261">
        <v>4.3177835584303943E-2</v>
      </c>
      <c r="V261" t="s">
        <v>174</v>
      </c>
    </row>
    <row r="262" spans="9:22" x14ac:dyDescent="0.45">
      <c r="I262" t="s">
        <v>220</v>
      </c>
      <c r="J262" t="s">
        <v>215</v>
      </c>
      <c r="K262">
        <v>0</v>
      </c>
      <c r="L262" t="s">
        <v>174</v>
      </c>
      <c r="N262" t="s">
        <v>230</v>
      </c>
      <c r="O262" t="s">
        <v>215</v>
      </c>
      <c r="P262">
        <v>6.5729394639411579E-3</v>
      </c>
      <c r="Q262" t="s">
        <v>174</v>
      </c>
      <c r="S262" t="s">
        <v>240</v>
      </c>
      <c r="T262" t="s">
        <v>215</v>
      </c>
      <c r="U262">
        <v>6.5729394639411579E-3</v>
      </c>
      <c r="V262" t="s">
        <v>174</v>
      </c>
    </row>
    <row r="263" spans="9:22" x14ac:dyDescent="0.45">
      <c r="I263" t="s">
        <v>221</v>
      </c>
      <c r="J263" t="s">
        <v>173</v>
      </c>
      <c r="K263">
        <v>0</v>
      </c>
      <c r="L263" t="s">
        <v>174</v>
      </c>
      <c r="N263" t="s">
        <v>231</v>
      </c>
      <c r="O263" t="s">
        <v>173</v>
      </c>
      <c r="P263">
        <v>2.1186086626342859E-2</v>
      </c>
      <c r="Q263" t="s">
        <v>174</v>
      </c>
      <c r="S263" t="s">
        <v>241</v>
      </c>
      <c r="T263" t="s">
        <v>173</v>
      </c>
      <c r="U263">
        <v>2.1186086626342859E-2</v>
      </c>
      <c r="V263" t="s">
        <v>174</v>
      </c>
    </row>
    <row r="264" spans="9:22" x14ac:dyDescent="0.45">
      <c r="I264" t="s">
        <v>221</v>
      </c>
      <c r="J264" t="s">
        <v>175</v>
      </c>
      <c r="K264">
        <v>0</v>
      </c>
      <c r="L264" t="s">
        <v>174</v>
      </c>
      <c r="N264" t="s">
        <v>231</v>
      </c>
      <c r="O264" t="s">
        <v>175</v>
      </c>
      <c r="P264">
        <v>4.0804729003943848E-3</v>
      </c>
      <c r="Q264" t="s">
        <v>174</v>
      </c>
      <c r="S264" t="s">
        <v>241</v>
      </c>
      <c r="T264" t="s">
        <v>175</v>
      </c>
      <c r="U264">
        <v>4.0804729003943848E-3</v>
      </c>
      <c r="V264" t="s">
        <v>174</v>
      </c>
    </row>
    <row r="265" spans="9:22" x14ac:dyDescent="0.45">
      <c r="I265" t="s">
        <v>221</v>
      </c>
      <c r="J265" t="s">
        <v>176</v>
      </c>
      <c r="K265">
        <v>3.3427744130316601E-5</v>
      </c>
      <c r="L265" t="s">
        <v>174</v>
      </c>
      <c r="N265" t="s">
        <v>231</v>
      </c>
      <c r="O265" t="s">
        <v>176</v>
      </c>
      <c r="P265">
        <v>1.2098184496782119E-2</v>
      </c>
      <c r="Q265" t="s">
        <v>174</v>
      </c>
      <c r="S265" t="s">
        <v>241</v>
      </c>
      <c r="T265" t="s">
        <v>176</v>
      </c>
      <c r="U265">
        <v>1.2098184496782119E-2</v>
      </c>
      <c r="V265" t="s">
        <v>174</v>
      </c>
    </row>
    <row r="266" spans="9:22" x14ac:dyDescent="0.45">
      <c r="I266" t="s">
        <v>221</v>
      </c>
      <c r="J266" t="s">
        <v>177</v>
      </c>
      <c r="K266">
        <v>2.0102988157450801E-2</v>
      </c>
      <c r="L266" t="s">
        <v>174</v>
      </c>
      <c r="N266" t="s">
        <v>231</v>
      </c>
      <c r="O266" t="s">
        <v>177</v>
      </c>
      <c r="P266">
        <v>2.4193819576484792E-2</v>
      </c>
      <c r="Q266" t="s">
        <v>174</v>
      </c>
      <c r="S266" t="s">
        <v>241</v>
      </c>
      <c r="T266" t="s">
        <v>177</v>
      </c>
      <c r="U266">
        <v>2.4193819576484792E-2</v>
      </c>
      <c r="V266" t="s">
        <v>174</v>
      </c>
    </row>
    <row r="267" spans="9:22" x14ac:dyDescent="0.45">
      <c r="I267" t="s">
        <v>221</v>
      </c>
      <c r="J267" t="s">
        <v>178</v>
      </c>
      <c r="K267">
        <v>1.5216407646667124E-3</v>
      </c>
      <c r="L267" t="s">
        <v>174</v>
      </c>
      <c r="N267" t="s">
        <v>231</v>
      </c>
      <c r="O267" t="s">
        <v>178</v>
      </c>
      <c r="P267">
        <v>2.8934255017952912E-2</v>
      </c>
      <c r="Q267" t="s">
        <v>174</v>
      </c>
      <c r="S267" t="s">
        <v>241</v>
      </c>
      <c r="T267" t="s">
        <v>178</v>
      </c>
      <c r="U267">
        <v>2.8934255017952912E-2</v>
      </c>
      <c r="V267" t="s">
        <v>174</v>
      </c>
    </row>
    <row r="268" spans="9:22" x14ac:dyDescent="0.45">
      <c r="I268" t="s">
        <v>221</v>
      </c>
      <c r="J268" t="s">
        <v>179</v>
      </c>
      <c r="K268">
        <v>0</v>
      </c>
      <c r="L268" t="s">
        <v>174</v>
      </c>
      <c r="N268" t="s">
        <v>231</v>
      </c>
      <c r="O268" t="s">
        <v>179</v>
      </c>
      <c r="P268">
        <v>4.3085634607873367E-3</v>
      </c>
      <c r="Q268" t="s">
        <v>174</v>
      </c>
      <c r="S268" t="s">
        <v>241</v>
      </c>
      <c r="T268" t="s">
        <v>179</v>
      </c>
      <c r="U268">
        <v>4.3085634607873367E-3</v>
      </c>
      <c r="V268" t="s">
        <v>174</v>
      </c>
    </row>
    <row r="269" spans="9:22" x14ac:dyDescent="0.45">
      <c r="I269" t="s">
        <v>221</v>
      </c>
      <c r="J269" t="s">
        <v>180</v>
      </c>
      <c r="K269">
        <v>0</v>
      </c>
      <c r="L269" t="s">
        <v>174</v>
      </c>
      <c r="N269" t="s">
        <v>231</v>
      </c>
      <c r="O269" t="s">
        <v>180</v>
      </c>
      <c r="P269">
        <v>3.8126538625104081E-2</v>
      </c>
      <c r="Q269" t="s">
        <v>174</v>
      </c>
      <c r="S269" t="s">
        <v>241</v>
      </c>
      <c r="T269" t="s">
        <v>180</v>
      </c>
      <c r="U269">
        <v>3.8126538625104081E-2</v>
      </c>
      <c r="V269" t="s">
        <v>174</v>
      </c>
    </row>
    <row r="270" spans="9:22" x14ac:dyDescent="0.45">
      <c r="I270" t="s">
        <v>221</v>
      </c>
      <c r="J270" t="s">
        <v>181</v>
      </c>
      <c r="K270">
        <v>0</v>
      </c>
      <c r="L270" t="s">
        <v>174</v>
      </c>
      <c r="N270" t="s">
        <v>231</v>
      </c>
      <c r="O270" t="s">
        <v>181</v>
      </c>
      <c r="P270">
        <v>7.4533926968491015E-3</v>
      </c>
      <c r="Q270" t="s">
        <v>174</v>
      </c>
      <c r="S270" t="s">
        <v>241</v>
      </c>
      <c r="T270" t="s">
        <v>181</v>
      </c>
      <c r="U270">
        <v>7.4533926968491015E-3</v>
      </c>
      <c r="V270" t="s">
        <v>174</v>
      </c>
    </row>
    <row r="271" spans="9:22" x14ac:dyDescent="0.45">
      <c r="I271" t="s">
        <v>221</v>
      </c>
      <c r="J271" t="s">
        <v>182</v>
      </c>
      <c r="K271">
        <v>1.1875169170943396E-2</v>
      </c>
      <c r="L271" t="s">
        <v>174</v>
      </c>
      <c r="N271" t="s">
        <v>231</v>
      </c>
      <c r="O271" t="s">
        <v>182</v>
      </c>
      <c r="P271">
        <v>2.2936415648452873E-2</v>
      </c>
      <c r="Q271" t="s">
        <v>174</v>
      </c>
      <c r="S271" t="s">
        <v>241</v>
      </c>
      <c r="T271" t="s">
        <v>182</v>
      </c>
      <c r="U271">
        <v>2.2936415648452873E-2</v>
      </c>
      <c r="V271" t="s">
        <v>174</v>
      </c>
    </row>
    <row r="272" spans="9:22" x14ac:dyDescent="0.45">
      <c r="I272" t="s">
        <v>221</v>
      </c>
      <c r="J272" t="s">
        <v>183</v>
      </c>
      <c r="K272">
        <v>0.10935910608694691</v>
      </c>
      <c r="L272" t="s">
        <v>174</v>
      </c>
      <c r="N272" t="s">
        <v>231</v>
      </c>
      <c r="O272" t="s">
        <v>183</v>
      </c>
      <c r="P272">
        <v>4.8231768334637368E-2</v>
      </c>
      <c r="Q272" t="s">
        <v>174</v>
      </c>
      <c r="S272" t="s">
        <v>241</v>
      </c>
      <c r="T272" t="s">
        <v>183</v>
      </c>
      <c r="U272">
        <v>4.8231768334637368E-2</v>
      </c>
      <c r="V272" t="s">
        <v>174</v>
      </c>
    </row>
    <row r="273" spans="9:22" x14ac:dyDescent="0.45">
      <c r="I273" t="s">
        <v>221</v>
      </c>
      <c r="J273" t="s">
        <v>184</v>
      </c>
      <c r="K273">
        <v>1.5627221788529575E-2</v>
      </c>
      <c r="L273" t="s">
        <v>174</v>
      </c>
      <c r="N273" t="s">
        <v>231</v>
      </c>
      <c r="O273" t="s">
        <v>184</v>
      </c>
      <c r="P273">
        <v>5.0526519777404313E-2</v>
      </c>
      <c r="Q273" t="s">
        <v>174</v>
      </c>
      <c r="S273" t="s">
        <v>241</v>
      </c>
      <c r="T273" t="s">
        <v>184</v>
      </c>
      <c r="U273">
        <v>5.0526519777404313E-2</v>
      </c>
      <c r="V273" t="s">
        <v>174</v>
      </c>
    </row>
    <row r="274" spans="9:22" x14ac:dyDescent="0.45">
      <c r="I274" t="s">
        <v>221</v>
      </c>
      <c r="J274" t="s">
        <v>185</v>
      </c>
      <c r="K274">
        <v>0</v>
      </c>
      <c r="L274" t="s">
        <v>174</v>
      </c>
      <c r="N274" t="s">
        <v>231</v>
      </c>
      <c r="O274" t="s">
        <v>185</v>
      </c>
      <c r="P274">
        <v>7.4102643875922905E-3</v>
      </c>
      <c r="Q274" t="s">
        <v>174</v>
      </c>
      <c r="S274" t="s">
        <v>241</v>
      </c>
      <c r="T274" t="s">
        <v>185</v>
      </c>
      <c r="U274">
        <v>7.4102643875922905E-3</v>
      </c>
      <c r="V274" t="s">
        <v>174</v>
      </c>
    </row>
    <row r="275" spans="9:22" x14ac:dyDescent="0.45">
      <c r="I275" t="s">
        <v>221</v>
      </c>
      <c r="J275" t="s">
        <v>186</v>
      </c>
      <c r="K275">
        <v>0</v>
      </c>
      <c r="L275" t="s">
        <v>174</v>
      </c>
      <c r="N275" t="s">
        <v>231</v>
      </c>
      <c r="O275" t="s">
        <v>186</v>
      </c>
      <c r="P275">
        <v>6.1185148263517536E-2</v>
      </c>
      <c r="Q275" t="s">
        <v>174</v>
      </c>
      <c r="S275" t="s">
        <v>241</v>
      </c>
      <c r="T275" t="s">
        <v>186</v>
      </c>
      <c r="U275">
        <v>6.1185148263517536E-2</v>
      </c>
      <c r="V275" t="s">
        <v>174</v>
      </c>
    </row>
    <row r="276" spans="9:22" x14ac:dyDescent="0.45">
      <c r="I276" t="s">
        <v>221</v>
      </c>
      <c r="J276" t="s">
        <v>187</v>
      </c>
      <c r="K276">
        <v>7.4616164458111353E-3</v>
      </c>
      <c r="L276" t="s">
        <v>174</v>
      </c>
      <c r="N276" t="s">
        <v>231</v>
      </c>
      <c r="O276" t="s">
        <v>187</v>
      </c>
      <c r="P276">
        <v>1.1346604007692662E-2</v>
      </c>
      <c r="Q276" t="s">
        <v>174</v>
      </c>
      <c r="S276" t="s">
        <v>241</v>
      </c>
      <c r="T276" t="s">
        <v>187</v>
      </c>
      <c r="U276">
        <v>1.1346604007692662E-2</v>
      </c>
      <c r="V276" t="s">
        <v>174</v>
      </c>
    </row>
    <row r="277" spans="9:22" x14ac:dyDescent="0.45">
      <c r="I277" t="s">
        <v>221</v>
      </c>
      <c r="J277" t="s">
        <v>188</v>
      </c>
      <c r="K277">
        <v>8.4277064200045132E-2</v>
      </c>
      <c r="L277" t="s">
        <v>174</v>
      </c>
      <c r="N277" t="s">
        <v>231</v>
      </c>
      <c r="O277" t="s">
        <v>188</v>
      </c>
      <c r="P277">
        <v>3.0530602491421786E-2</v>
      </c>
      <c r="Q277" t="s">
        <v>174</v>
      </c>
      <c r="S277" t="s">
        <v>241</v>
      </c>
      <c r="T277" t="s">
        <v>188</v>
      </c>
      <c r="U277">
        <v>3.0530602491421786E-2</v>
      </c>
      <c r="V277" t="s">
        <v>174</v>
      </c>
    </row>
    <row r="278" spans="9:22" x14ac:dyDescent="0.45">
      <c r="I278" t="s">
        <v>221</v>
      </c>
      <c r="J278" t="s">
        <v>189</v>
      </c>
      <c r="K278">
        <v>0.32024086668126012</v>
      </c>
      <c r="L278" t="s">
        <v>174</v>
      </c>
      <c r="N278" t="s">
        <v>231</v>
      </c>
      <c r="O278" t="s">
        <v>189</v>
      </c>
      <c r="P278">
        <v>7.3211971202185422E-2</v>
      </c>
      <c r="Q278" t="s">
        <v>174</v>
      </c>
      <c r="S278" t="s">
        <v>241</v>
      </c>
      <c r="T278" t="s">
        <v>189</v>
      </c>
      <c r="U278">
        <v>7.3211971202185422E-2</v>
      </c>
      <c r="V278" t="s">
        <v>174</v>
      </c>
    </row>
    <row r="279" spans="9:22" x14ac:dyDescent="0.45">
      <c r="I279" t="s">
        <v>221</v>
      </c>
      <c r="J279" t="s">
        <v>190</v>
      </c>
      <c r="K279">
        <v>9.839199847408911E-2</v>
      </c>
      <c r="L279" t="s">
        <v>174</v>
      </c>
      <c r="N279" t="s">
        <v>231</v>
      </c>
      <c r="O279" t="s">
        <v>190</v>
      </c>
      <c r="P279">
        <v>8.5154900490498536E-2</v>
      </c>
      <c r="Q279" t="s">
        <v>174</v>
      </c>
      <c r="S279" t="s">
        <v>241</v>
      </c>
      <c r="T279" t="s">
        <v>190</v>
      </c>
      <c r="U279">
        <v>8.5154900490498536E-2</v>
      </c>
      <c r="V279" t="s">
        <v>174</v>
      </c>
    </row>
    <row r="280" spans="9:22" x14ac:dyDescent="0.45">
      <c r="I280" t="s">
        <v>221</v>
      </c>
      <c r="J280" t="s">
        <v>191</v>
      </c>
      <c r="K280">
        <v>0</v>
      </c>
      <c r="L280" t="s">
        <v>174</v>
      </c>
      <c r="N280" t="s">
        <v>231</v>
      </c>
      <c r="O280" t="s">
        <v>191</v>
      </c>
      <c r="P280">
        <v>1.3578714929690596E-2</v>
      </c>
      <c r="Q280" t="s">
        <v>174</v>
      </c>
      <c r="S280" t="s">
        <v>241</v>
      </c>
      <c r="T280" t="s">
        <v>191</v>
      </c>
      <c r="U280">
        <v>1.3578714929690596E-2</v>
      </c>
      <c r="V280" t="s">
        <v>174</v>
      </c>
    </row>
    <row r="281" spans="9:22" x14ac:dyDescent="0.45">
      <c r="I281" t="s">
        <v>221</v>
      </c>
      <c r="J281" t="s">
        <v>192</v>
      </c>
      <c r="K281">
        <v>0</v>
      </c>
      <c r="L281" t="s">
        <v>174</v>
      </c>
      <c r="N281" t="s">
        <v>231</v>
      </c>
      <c r="O281" t="s">
        <v>192</v>
      </c>
      <c r="P281">
        <v>1.0234465120374932E-2</v>
      </c>
      <c r="Q281" t="s">
        <v>174</v>
      </c>
      <c r="S281" t="s">
        <v>241</v>
      </c>
      <c r="T281" t="s">
        <v>192</v>
      </c>
      <c r="U281">
        <v>1.0234465120374932E-2</v>
      </c>
      <c r="V281" t="s">
        <v>174</v>
      </c>
    </row>
    <row r="282" spans="9:22" x14ac:dyDescent="0.45">
      <c r="I282" t="s">
        <v>221</v>
      </c>
      <c r="J282" t="s">
        <v>193</v>
      </c>
      <c r="K282">
        <v>6.7263092397522198E-4</v>
      </c>
      <c r="L282" t="s">
        <v>174</v>
      </c>
      <c r="N282" t="s">
        <v>231</v>
      </c>
      <c r="O282" t="s">
        <v>193</v>
      </c>
      <c r="P282">
        <v>2.0466610997654871E-3</v>
      </c>
      <c r="Q282" t="s">
        <v>174</v>
      </c>
      <c r="S282" t="s">
        <v>241</v>
      </c>
      <c r="T282" t="s">
        <v>193</v>
      </c>
      <c r="U282">
        <v>2.0466610997654871E-3</v>
      </c>
      <c r="V282" t="s">
        <v>174</v>
      </c>
    </row>
    <row r="283" spans="9:22" x14ac:dyDescent="0.45">
      <c r="I283" t="s">
        <v>221</v>
      </c>
      <c r="J283" t="s">
        <v>194</v>
      </c>
      <c r="K283">
        <v>2.3173090136676615E-2</v>
      </c>
      <c r="L283" t="s">
        <v>174</v>
      </c>
      <c r="N283" t="s">
        <v>231</v>
      </c>
      <c r="O283" t="s">
        <v>194</v>
      </c>
      <c r="P283">
        <v>5.0103724237166389E-3</v>
      </c>
      <c r="Q283" t="s">
        <v>174</v>
      </c>
      <c r="S283" t="s">
        <v>241</v>
      </c>
      <c r="T283" t="s">
        <v>194</v>
      </c>
      <c r="U283">
        <v>5.0103724237166389E-3</v>
      </c>
      <c r="V283" t="s">
        <v>174</v>
      </c>
    </row>
    <row r="284" spans="9:22" x14ac:dyDescent="0.45">
      <c r="I284" t="s">
        <v>221</v>
      </c>
      <c r="J284" t="s">
        <v>195</v>
      </c>
      <c r="K284">
        <v>8.3654746419815407E-2</v>
      </c>
      <c r="L284" t="s">
        <v>174</v>
      </c>
      <c r="N284" t="s">
        <v>231</v>
      </c>
      <c r="O284" t="s">
        <v>195</v>
      </c>
      <c r="P284">
        <v>1.1101163809931371E-2</v>
      </c>
      <c r="Q284" t="s">
        <v>174</v>
      </c>
      <c r="S284" t="s">
        <v>241</v>
      </c>
      <c r="T284" t="s">
        <v>195</v>
      </c>
      <c r="U284">
        <v>1.1101163809931371E-2</v>
      </c>
      <c r="V284" t="s">
        <v>174</v>
      </c>
    </row>
    <row r="285" spans="9:22" x14ac:dyDescent="0.45">
      <c r="I285" t="s">
        <v>221</v>
      </c>
      <c r="J285" t="s">
        <v>196</v>
      </c>
      <c r="K285">
        <v>2.5191880730786598E-2</v>
      </c>
      <c r="L285" t="s">
        <v>174</v>
      </c>
      <c r="N285" t="s">
        <v>231</v>
      </c>
      <c r="O285" t="s">
        <v>196</v>
      </c>
      <c r="P285">
        <v>1.0745028320078254E-2</v>
      </c>
      <c r="Q285" t="s">
        <v>174</v>
      </c>
      <c r="S285" t="s">
        <v>241</v>
      </c>
      <c r="T285" t="s">
        <v>196</v>
      </c>
      <c r="U285">
        <v>1.0745028320078254E-2</v>
      </c>
      <c r="V285" t="s">
        <v>174</v>
      </c>
    </row>
    <row r="286" spans="9:22" x14ac:dyDescent="0.45">
      <c r="I286" t="s">
        <v>221</v>
      </c>
      <c r="J286" t="s">
        <v>197</v>
      </c>
      <c r="K286">
        <v>0</v>
      </c>
      <c r="L286" t="s">
        <v>174</v>
      </c>
      <c r="N286" t="s">
        <v>231</v>
      </c>
      <c r="O286" t="s">
        <v>197</v>
      </c>
      <c r="P286">
        <v>1.9508306983847571E-3</v>
      </c>
      <c r="Q286" t="s">
        <v>174</v>
      </c>
      <c r="S286" t="s">
        <v>241</v>
      </c>
      <c r="T286" t="s">
        <v>197</v>
      </c>
      <c r="U286">
        <v>1.9508306983847571E-3</v>
      </c>
      <c r="V286" t="s">
        <v>174</v>
      </c>
    </row>
    <row r="287" spans="9:22" x14ac:dyDescent="0.45">
      <c r="I287" t="s">
        <v>221</v>
      </c>
      <c r="J287" t="s">
        <v>198</v>
      </c>
      <c r="K287">
        <v>0</v>
      </c>
      <c r="L287" t="s">
        <v>174</v>
      </c>
      <c r="N287" t="s">
        <v>231</v>
      </c>
      <c r="O287" t="s">
        <v>198</v>
      </c>
      <c r="P287">
        <v>3.8990246500999207E-2</v>
      </c>
      <c r="Q287" t="s">
        <v>174</v>
      </c>
      <c r="S287" t="s">
        <v>241</v>
      </c>
      <c r="T287" t="s">
        <v>198</v>
      </c>
      <c r="U287">
        <v>3.8990246500999207E-2</v>
      </c>
      <c r="V287" t="s">
        <v>174</v>
      </c>
    </row>
    <row r="288" spans="9:22" x14ac:dyDescent="0.45">
      <c r="I288" t="s">
        <v>221</v>
      </c>
      <c r="J288" t="s">
        <v>199</v>
      </c>
      <c r="K288">
        <v>0</v>
      </c>
      <c r="L288" t="s">
        <v>174</v>
      </c>
      <c r="N288" t="s">
        <v>231</v>
      </c>
      <c r="O288" t="s">
        <v>199</v>
      </c>
      <c r="P288">
        <v>7.8468909122905248E-3</v>
      </c>
      <c r="Q288" t="s">
        <v>174</v>
      </c>
      <c r="S288" t="s">
        <v>241</v>
      </c>
      <c r="T288" t="s">
        <v>199</v>
      </c>
      <c r="U288">
        <v>7.8468909122905248E-3</v>
      </c>
      <c r="V288" t="s">
        <v>174</v>
      </c>
    </row>
    <row r="289" spans="9:22" x14ac:dyDescent="0.45">
      <c r="I289" t="s">
        <v>221</v>
      </c>
      <c r="J289" t="s">
        <v>200</v>
      </c>
      <c r="K289">
        <v>1.8673956440543146E-2</v>
      </c>
      <c r="L289" t="s">
        <v>174</v>
      </c>
      <c r="N289" t="s">
        <v>231</v>
      </c>
      <c r="O289" t="s">
        <v>200</v>
      </c>
      <c r="P289">
        <v>2.2857942123610191E-2</v>
      </c>
      <c r="Q289" t="s">
        <v>174</v>
      </c>
      <c r="S289" t="s">
        <v>241</v>
      </c>
      <c r="T289" t="s">
        <v>200</v>
      </c>
      <c r="U289">
        <v>2.2857942123610191E-2</v>
      </c>
      <c r="V289" t="s">
        <v>174</v>
      </c>
    </row>
    <row r="290" spans="9:22" x14ac:dyDescent="0.45">
      <c r="I290" t="s">
        <v>221</v>
      </c>
      <c r="J290" t="s">
        <v>201</v>
      </c>
      <c r="K290">
        <v>0.11223559265840796</v>
      </c>
      <c r="L290" t="s">
        <v>174</v>
      </c>
      <c r="N290" t="s">
        <v>231</v>
      </c>
      <c r="O290" t="s">
        <v>201</v>
      </c>
      <c r="P290">
        <v>4.7200322514969403E-2</v>
      </c>
      <c r="Q290" t="s">
        <v>174</v>
      </c>
      <c r="S290" t="s">
        <v>241</v>
      </c>
      <c r="T290" t="s">
        <v>201</v>
      </c>
      <c r="U290">
        <v>4.7200322514969403E-2</v>
      </c>
      <c r="V290" t="s">
        <v>174</v>
      </c>
    </row>
    <row r="291" spans="9:22" x14ac:dyDescent="0.45">
      <c r="I291" t="s">
        <v>221</v>
      </c>
      <c r="J291" t="s">
        <v>202</v>
      </c>
      <c r="K291">
        <v>1.6604903646743819E-2</v>
      </c>
      <c r="L291" t="s">
        <v>174</v>
      </c>
      <c r="N291" t="s">
        <v>231</v>
      </c>
      <c r="O291" t="s">
        <v>202</v>
      </c>
      <c r="P291">
        <v>5.6823358328122027E-2</v>
      </c>
      <c r="Q291" t="s">
        <v>174</v>
      </c>
      <c r="S291" t="s">
        <v>241</v>
      </c>
      <c r="T291" t="s">
        <v>202</v>
      </c>
      <c r="U291">
        <v>5.6823358328122027E-2</v>
      </c>
      <c r="V291" t="s">
        <v>174</v>
      </c>
    </row>
    <row r="292" spans="9:22" x14ac:dyDescent="0.45">
      <c r="I292" t="s">
        <v>221</v>
      </c>
      <c r="J292" t="s">
        <v>203</v>
      </c>
      <c r="K292">
        <v>0</v>
      </c>
      <c r="L292" t="s">
        <v>174</v>
      </c>
      <c r="N292" t="s">
        <v>231</v>
      </c>
      <c r="O292" t="s">
        <v>203</v>
      </c>
      <c r="P292">
        <v>8.1892525233893971E-3</v>
      </c>
      <c r="Q292" t="s">
        <v>174</v>
      </c>
      <c r="S292" t="s">
        <v>241</v>
      </c>
      <c r="T292" t="s">
        <v>203</v>
      </c>
      <c r="U292">
        <v>8.1892525233893971E-3</v>
      </c>
      <c r="V292" t="s">
        <v>174</v>
      </c>
    </row>
    <row r="293" spans="9:22" x14ac:dyDescent="0.45">
      <c r="I293" t="s">
        <v>221</v>
      </c>
      <c r="J293" t="s">
        <v>204</v>
      </c>
      <c r="K293">
        <v>0</v>
      </c>
      <c r="L293" t="s">
        <v>174</v>
      </c>
      <c r="N293" t="s">
        <v>231</v>
      </c>
      <c r="O293" t="s">
        <v>204</v>
      </c>
      <c r="P293">
        <v>1.845284295388526E-2</v>
      </c>
      <c r="Q293" t="s">
        <v>174</v>
      </c>
      <c r="S293" t="s">
        <v>241</v>
      </c>
      <c r="T293" t="s">
        <v>204</v>
      </c>
      <c r="U293">
        <v>1.845284295388526E-2</v>
      </c>
      <c r="V293" t="s">
        <v>174</v>
      </c>
    </row>
    <row r="294" spans="9:22" x14ac:dyDescent="0.45">
      <c r="I294" t="s">
        <v>221</v>
      </c>
      <c r="J294" t="s">
        <v>205</v>
      </c>
      <c r="K294">
        <v>0</v>
      </c>
      <c r="L294" t="s">
        <v>174</v>
      </c>
      <c r="N294" t="s">
        <v>231</v>
      </c>
      <c r="O294" t="s">
        <v>205</v>
      </c>
      <c r="P294">
        <v>3.3812301712010384E-3</v>
      </c>
      <c r="Q294" t="s">
        <v>174</v>
      </c>
      <c r="S294" t="s">
        <v>241</v>
      </c>
      <c r="T294" t="s">
        <v>205</v>
      </c>
      <c r="U294">
        <v>3.3812301712010384E-3</v>
      </c>
      <c r="V294" t="s">
        <v>174</v>
      </c>
    </row>
    <row r="295" spans="9:22" x14ac:dyDescent="0.45">
      <c r="I295" t="s">
        <v>221</v>
      </c>
      <c r="J295" t="s">
        <v>206</v>
      </c>
      <c r="K295">
        <v>1.465775520075594E-3</v>
      </c>
      <c r="L295" t="s">
        <v>174</v>
      </c>
      <c r="N295" t="s">
        <v>231</v>
      </c>
      <c r="O295" t="s">
        <v>206</v>
      </c>
      <c r="P295">
        <v>1.0640890652635272E-2</v>
      </c>
      <c r="Q295" t="s">
        <v>174</v>
      </c>
      <c r="S295" t="s">
        <v>241</v>
      </c>
      <c r="T295" t="s">
        <v>206</v>
      </c>
      <c r="U295">
        <v>1.0640890652635272E-2</v>
      </c>
      <c r="V295" t="s">
        <v>174</v>
      </c>
    </row>
    <row r="296" spans="9:22" x14ac:dyDescent="0.45">
      <c r="I296" t="s">
        <v>221</v>
      </c>
      <c r="J296" t="s">
        <v>207</v>
      </c>
      <c r="K296">
        <v>2.0427119670029942E-2</v>
      </c>
      <c r="L296" t="s">
        <v>174</v>
      </c>
      <c r="N296" t="s">
        <v>231</v>
      </c>
      <c r="O296" t="s">
        <v>207</v>
      </c>
      <c r="P296">
        <v>2.4970622388923072E-2</v>
      </c>
      <c r="Q296" t="s">
        <v>174</v>
      </c>
      <c r="S296" t="s">
        <v>241</v>
      </c>
      <c r="T296" t="s">
        <v>207</v>
      </c>
      <c r="U296">
        <v>2.4970622388923072E-2</v>
      </c>
      <c r="V296" t="s">
        <v>174</v>
      </c>
    </row>
    <row r="297" spans="9:22" x14ac:dyDescent="0.45">
      <c r="I297" t="s">
        <v>221</v>
      </c>
      <c r="J297" t="s">
        <v>208</v>
      </c>
      <c r="K297">
        <v>1.0128052070034258E-3</v>
      </c>
      <c r="L297" t="s">
        <v>174</v>
      </c>
      <c r="N297" t="s">
        <v>231</v>
      </c>
      <c r="O297" t="s">
        <v>208</v>
      </c>
      <c r="P297">
        <v>2.9585155052628168E-2</v>
      </c>
      <c r="Q297" t="s">
        <v>174</v>
      </c>
      <c r="S297" t="s">
        <v>241</v>
      </c>
      <c r="T297" t="s">
        <v>208</v>
      </c>
      <c r="U297">
        <v>2.9585155052628168E-2</v>
      </c>
      <c r="V297" t="s">
        <v>174</v>
      </c>
    </row>
    <row r="298" spans="9:22" x14ac:dyDescent="0.45">
      <c r="I298" t="s">
        <v>221</v>
      </c>
      <c r="J298" t="s">
        <v>209</v>
      </c>
      <c r="K298">
        <v>0</v>
      </c>
      <c r="L298" t="s">
        <v>174</v>
      </c>
      <c r="N298" t="s">
        <v>231</v>
      </c>
      <c r="O298" t="s">
        <v>209</v>
      </c>
      <c r="P298">
        <v>3.8499522270905996E-3</v>
      </c>
      <c r="Q298" t="s">
        <v>174</v>
      </c>
      <c r="S298" t="s">
        <v>241</v>
      </c>
      <c r="T298" t="s">
        <v>209</v>
      </c>
      <c r="U298">
        <v>3.8499522270905996E-3</v>
      </c>
      <c r="V298" t="s">
        <v>174</v>
      </c>
    </row>
    <row r="299" spans="9:22" x14ac:dyDescent="0.45">
      <c r="I299" t="s">
        <v>221</v>
      </c>
      <c r="J299" t="s">
        <v>210</v>
      </c>
      <c r="K299">
        <v>0</v>
      </c>
      <c r="L299" t="s">
        <v>174</v>
      </c>
      <c r="N299" t="s">
        <v>231</v>
      </c>
      <c r="O299" t="s">
        <v>210</v>
      </c>
      <c r="P299">
        <v>3.0832475213544576E-2</v>
      </c>
      <c r="Q299" t="s">
        <v>174</v>
      </c>
      <c r="S299" t="s">
        <v>241</v>
      </c>
      <c r="T299" t="s">
        <v>210</v>
      </c>
      <c r="U299">
        <v>3.0832475213544576E-2</v>
      </c>
      <c r="V299" t="s">
        <v>174</v>
      </c>
    </row>
    <row r="300" spans="9:22" x14ac:dyDescent="0.45">
      <c r="I300" t="s">
        <v>221</v>
      </c>
      <c r="J300" t="s">
        <v>211</v>
      </c>
      <c r="K300">
        <v>0</v>
      </c>
      <c r="L300" t="s">
        <v>174</v>
      </c>
      <c r="N300" t="s">
        <v>231</v>
      </c>
      <c r="O300" t="s">
        <v>211</v>
      </c>
      <c r="P300">
        <v>6.1423871567873175E-3</v>
      </c>
      <c r="Q300" t="s">
        <v>174</v>
      </c>
      <c r="S300" t="s">
        <v>241</v>
      </c>
      <c r="T300" t="s">
        <v>211</v>
      </c>
      <c r="U300">
        <v>6.1423871567873175E-3</v>
      </c>
      <c r="V300" t="s">
        <v>174</v>
      </c>
    </row>
    <row r="301" spans="9:22" x14ac:dyDescent="0.45">
      <c r="I301" t="s">
        <v>221</v>
      </c>
      <c r="J301" t="s">
        <v>212</v>
      </c>
      <c r="K301">
        <v>2.5956555705625484E-5</v>
      </c>
      <c r="L301" t="s">
        <v>174</v>
      </c>
      <c r="N301" t="s">
        <v>231</v>
      </c>
      <c r="O301" t="s">
        <v>212</v>
      </c>
      <c r="P301">
        <v>1.8734879094263284E-2</v>
      </c>
      <c r="Q301" t="s">
        <v>174</v>
      </c>
      <c r="S301" t="s">
        <v>241</v>
      </c>
      <c r="T301" t="s">
        <v>212</v>
      </c>
      <c r="U301">
        <v>1.8734879094263284E-2</v>
      </c>
      <c r="V301" t="s">
        <v>174</v>
      </c>
    </row>
    <row r="302" spans="9:22" x14ac:dyDescent="0.45">
      <c r="I302" t="s">
        <v>221</v>
      </c>
      <c r="J302" t="s">
        <v>213</v>
      </c>
      <c r="K302">
        <v>2.7862503814798979E-2</v>
      </c>
      <c r="L302" t="s">
        <v>174</v>
      </c>
      <c r="N302" t="s">
        <v>231</v>
      </c>
      <c r="O302" t="s">
        <v>213</v>
      </c>
      <c r="P302">
        <v>3.7623466490307102E-2</v>
      </c>
      <c r="Q302" t="s">
        <v>174</v>
      </c>
      <c r="S302" t="s">
        <v>241</v>
      </c>
      <c r="T302" t="s">
        <v>213</v>
      </c>
      <c r="U302">
        <v>3.7623466490307102E-2</v>
      </c>
      <c r="V302" t="s">
        <v>174</v>
      </c>
    </row>
    <row r="303" spans="9:22" x14ac:dyDescent="0.45">
      <c r="I303" t="s">
        <v>221</v>
      </c>
      <c r="J303" t="s">
        <v>214</v>
      </c>
      <c r="K303">
        <v>1.0793876156335445E-4</v>
      </c>
      <c r="L303" t="s">
        <v>174</v>
      </c>
      <c r="N303" t="s">
        <v>231</v>
      </c>
      <c r="O303" t="s">
        <v>214</v>
      </c>
      <c r="P303">
        <v>4.1999168091898319E-2</v>
      </c>
      <c r="Q303" t="s">
        <v>174</v>
      </c>
      <c r="S303" t="s">
        <v>241</v>
      </c>
      <c r="T303" t="s">
        <v>214</v>
      </c>
      <c r="U303">
        <v>4.1999168091898319E-2</v>
      </c>
      <c r="V303" t="s">
        <v>174</v>
      </c>
    </row>
    <row r="304" spans="9:22" x14ac:dyDescent="0.45">
      <c r="I304" t="s">
        <v>221</v>
      </c>
      <c r="J304" t="s">
        <v>215</v>
      </c>
      <c r="K304">
        <v>0</v>
      </c>
      <c r="L304" t="s">
        <v>174</v>
      </c>
      <c r="N304" t="s">
        <v>231</v>
      </c>
      <c r="O304" t="s">
        <v>215</v>
      </c>
      <c r="P304">
        <v>6.2961731974121521E-3</v>
      </c>
      <c r="Q304" t="s">
        <v>174</v>
      </c>
      <c r="S304" t="s">
        <v>241</v>
      </c>
      <c r="T304" t="s">
        <v>215</v>
      </c>
      <c r="U304">
        <v>6.2961731974121521E-3</v>
      </c>
      <c r="V304" t="s">
        <v>174</v>
      </c>
    </row>
    <row r="305" spans="9:22" x14ac:dyDescent="0.45">
      <c r="I305" t="s">
        <v>222</v>
      </c>
      <c r="J305" t="s">
        <v>173</v>
      </c>
      <c r="K305">
        <v>0</v>
      </c>
      <c r="L305" t="s">
        <v>174</v>
      </c>
      <c r="N305" t="s">
        <v>232</v>
      </c>
      <c r="O305" t="s">
        <v>173</v>
      </c>
      <c r="P305">
        <v>1.8955175538898392E-2</v>
      </c>
      <c r="Q305" t="s">
        <v>174</v>
      </c>
      <c r="S305" t="s">
        <v>242</v>
      </c>
      <c r="T305" t="s">
        <v>173</v>
      </c>
      <c r="U305">
        <v>1.8955175538898392E-2</v>
      </c>
      <c r="V305" t="s">
        <v>174</v>
      </c>
    </row>
    <row r="306" spans="9:22" x14ac:dyDescent="0.45">
      <c r="I306" t="s">
        <v>222</v>
      </c>
      <c r="J306" t="s">
        <v>175</v>
      </c>
      <c r="K306">
        <v>0</v>
      </c>
      <c r="L306" t="s">
        <v>174</v>
      </c>
      <c r="N306" t="s">
        <v>232</v>
      </c>
      <c r="O306" t="s">
        <v>175</v>
      </c>
      <c r="P306">
        <v>3.6541809575422347E-3</v>
      </c>
      <c r="Q306" t="s">
        <v>174</v>
      </c>
      <c r="S306" t="s">
        <v>242</v>
      </c>
      <c r="T306" t="s">
        <v>175</v>
      </c>
      <c r="U306">
        <v>3.6541809575422347E-3</v>
      </c>
      <c r="V306" t="s">
        <v>174</v>
      </c>
    </row>
    <row r="307" spans="9:22" x14ac:dyDescent="0.45">
      <c r="I307" t="s">
        <v>222</v>
      </c>
      <c r="J307" t="s">
        <v>176</v>
      </c>
      <c r="K307">
        <v>1.0612677830755772E-5</v>
      </c>
      <c r="L307" t="s">
        <v>174</v>
      </c>
      <c r="N307" t="s">
        <v>232</v>
      </c>
      <c r="O307" t="s">
        <v>176</v>
      </c>
      <c r="P307">
        <v>1.1015914541336701E-2</v>
      </c>
      <c r="Q307" t="s">
        <v>174</v>
      </c>
      <c r="S307" t="s">
        <v>242</v>
      </c>
      <c r="T307" t="s">
        <v>176</v>
      </c>
      <c r="U307">
        <v>1.1015914541336701E-2</v>
      </c>
      <c r="V307" t="s">
        <v>174</v>
      </c>
    </row>
    <row r="308" spans="9:22" x14ac:dyDescent="0.45">
      <c r="I308" t="s">
        <v>222</v>
      </c>
      <c r="J308" t="s">
        <v>177</v>
      </c>
      <c r="K308">
        <v>2.3285753924660271E-2</v>
      </c>
      <c r="L308" t="s">
        <v>174</v>
      </c>
      <c r="N308" t="s">
        <v>232</v>
      </c>
      <c r="O308" t="s">
        <v>177</v>
      </c>
      <c r="P308">
        <v>2.288378393393645E-2</v>
      </c>
      <c r="Q308" t="s">
        <v>174</v>
      </c>
      <c r="S308" t="s">
        <v>242</v>
      </c>
      <c r="T308" t="s">
        <v>177</v>
      </c>
      <c r="U308">
        <v>2.288378393393645E-2</v>
      </c>
      <c r="V308" t="s">
        <v>174</v>
      </c>
    </row>
    <row r="309" spans="9:22" x14ac:dyDescent="0.45">
      <c r="I309" t="s">
        <v>222</v>
      </c>
      <c r="J309" t="s">
        <v>178</v>
      </c>
      <c r="K309">
        <v>1.6987909572263526E-3</v>
      </c>
      <c r="L309" t="s">
        <v>174</v>
      </c>
      <c r="N309" t="s">
        <v>232</v>
      </c>
      <c r="O309" t="s">
        <v>178</v>
      </c>
      <c r="P309">
        <v>2.7403668298602829E-2</v>
      </c>
      <c r="Q309" t="s">
        <v>174</v>
      </c>
      <c r="S309" t="s">
        <v>242</v>
      </c>
      <c r="T309" t="s">
        <v>178</v>
      </c>
      <c r="U309">
        <v>2.7403668298602829E-2</v>
      </c>
      <c r="V309" t="s">
        <v>174</v>
      </c>
    </row>
    <row r="310" spans="9:22" x14ac:dyDescent="0.45">
      <c r="I310" t="s">
        <v>222</v>
      </c>
      <c r="J310" t="s">
        <v>179</v>
      </c>
      <c r="K310">
        <v>0</v>
      </c>
      <c r="L310" t="s">
        <v>174</v>
      </c>
      <c r="N310" t="s">
        <v>232</v>
      </c>
      <c r="O310" t="s">
        <v>179</v>
      </c>
      <c r="P310">
        <v>3.9109925203455447E-3</v>
      </c>
      <c r="Q310" t="s">
        <v>174</v>
      </c>
      <c r="S310" t="s">
        <v>242</v>
      </c>
      <c r="T310" t="s">
        <v>179</v>
      </c>
      <c r="U310">
        <v>3.9109925203455447E-3</v>
      </c>
      <c r="V310" t="s">
        <v>174</v>
      </c>
    </row>
    <row r="311" spans="9:22" x14ac:dyDescent="0.45">
      <c r="I311" t="s">
        <v>222</v>
      </c>
      <c r="J311" t="s">
        <v>180</v>
      </c>
      <c r="K311">
        <v>0</v>
      </c>
      <c r="L311" t="s">
        <v>174</v>
      </c>
      <c r="N311" t="s">
        <v>232</v>
      </c>
      <c r="O311" t="s">
        <v>180</v>
      </c>
      <c r="P311">
        <v>3.7788481514631878E-2</v>
      </c>
      <c r="Q311" t="s">
        <v>174</v>
      </c>
      <c r="S311" t="s">
        <v>242</v>
      </c>
      <c r="T311" t="s">
        <v>180</v>
      </c>
      <c r="U311">
        <v>3.7788481514631878E-2</v>
      </c>
      <c r="V311" t="s">
        <v>174</v>
      </c>
    </row>
    <row r="312" spans="9:22" x14ac:dyDescent="0.45">
      <c r="I312" t="s">
        <v>222</v>
      </c>
      <c r="J312" t="s">
        <v>181</v>
      </c>
      <c r="K312">
        <v>0</v>
      </c>
      <c r="L312" t="s">
        <v>174</v>
      </c>
      <c r="N312" t="s">
        <v>232</v>
      </c>
      <c r="O312" t="s">
        <v>181</v>
      </c>
      <c r="P312">
        <v>7.6739537791318526E-3</v>
      </c>
      <c r="Q312" t="s">
        <v>174</v>
      </c>
      <c r="S312" t="s">
        <v>242</v>
      </c>
      <c r="T312" t="s">
        <v>181</v>
      </c>
      <c r="U312">
        <v>7.6739537791318526E-3</v>
      </c>
      <c r="V312" t="s">
        <v>174</v>
      </c>
    </row>
    <row r="313" spans="9:22" x14ac:dyDescent="0.45">
      <c r="I313" t="s">
        <v>222</v>
      </c>
      <c r="J313" t="s">
        <v>182</v>
      </c>
      <c r="K313">
        <v>1.2924445618281776E-2</v>
      </c>
      <c r="L313" t="s">
        <v>174</v>
      </c>
      <c r="N313" t="s">
        <v>232</v>
      </c>
      <c r="O313" t="s">
        <v>182</v>
      </c>
      <c r="P313">
        <v>2.2881057357473391E-2</v>
      </c>
      <c r="Q313" t="s">
        <v>174</v>
      </c>
      <c r="S313" t="s">
        <v>242</v>
      </c>
      <c r="T313" t="s">
        <v>182</v>
      </c>
      <c r="U313">
        <v>2.2881057357473391E-2</v>
      </c>
      <c r="V313" t="s">
        <v>174</v>
      </c>
    </row>
    <row r="314" spans="9:22" x14ac:dyDescent="0.45">
      <c r="I314" t="s">
        <v>222</v>
      </c>
      <c r="J314" t="s">
        <v>183</v>
      </c>
      <c r="K314">
        <v>0.10469409261806004</v>
      </c>
      <c r="L314" t="s">
        <v>174</v>
      </c>
      <c r="N314" t="s">
        <v>232</v>
      </c>
      <c r="O314" t="s">
        <v>183</v>
      </c>
      <c r="P314">
        <v>4.760921376445567E-2</v>
      </c>
      <c r="Q314" t="s">
        <v>174</v>
      </c>
      <c r="S314" t="s">
        <v>242</v>
      </c>
      <c r="T314" t="s">
        <v>183</v>
      </c>
      <c r="U314">
        <v>4.760921376445567E-2</v>
      </c>
      <c r="V314" t="s">
        <v>174</v>
      </c>
    </row>
    <row r="315" spans="9:22" x14ac:dyDescent="0.45">
      <c r="I315" t="s">
        <v>222</v>
      </c>
      <c r="J315" t="s">
        <v>184</v>
      </c>
      <c r="K315">
        <v>1.4901907256465761E-2</v>
      </c>
      <c r="L315" t="s">
        <v>174</v>
      </c>
      <c r="N315" t="s">
        <v>232</v>
      </c>
      <c r="O315" t="s">
        <v>184</v>
      </c>
      <c r="P315">
        <v>4.9802689561288999E-2</v>
      </c>
      <c r="Q315" t="s">
        <v>174</v>
      </c>
      <c r="S315" t="s">
        <v>242</v>
      </c>
      <c r="T315" t="s">
        <v>184</v>
      </c>
      <c r="U315">
        <v>4.9802689561288999E-2</v>
      </c>
      <c r="V315" t="s">
        <v>174</v>
      </c>
    </row>
    <row r="316" spans="9:22" x14ac:dyDescent="0.45">
      <c r="I316" t="s">
        <v>222</v>
      </c>
      <c r="J316" t="s">
        <v>185</v>
      </c>
      <c r="K316">
        <v>0</v>
      </c>
      <c r="L316" t="s">
        <v>174</v>
      </c>
      <c r="N316" t="s">
        <v>232</v>
      </c>
      <c r="O316" t="s">
        <v>185</v>
      </c>
      <c r="P316">
        <v>7.0806163026299624E-3</v>
      </c>
      <c r="Q316" t="s">
        <v>174</v>
      </c>
      <c r="S316" t="s">
        <v>242</v>
      </c>
      <c r="T316" t="s">
        <v>185</v>
      </c>
      <c r="U316">
        <v>7.0806163026299624E-3</v>
      </c>
      <c r="V316" t="s">
        <v>174</v>
      </c>
    </row>
    <row r="317" spans="9:22" x14ac:dyDescent="0.45">
      <c r="I317" t="s">
        <v>222</v>
      </c>
      <c r="J317" t="s">
        <v>186</v>
      </c>
      <c r="K317">
        <v>0</v>
      </c>
      <c r="L317" t="s">
        <v>174</v>
      </c>
      <c r="N317" t="s">
        <v>232</v>
      </c>
      <c r="O317" t="s">
        <v>186</v>
      </c>
      <c r="P317">
        <v>6.5199876110246344E-2</v>
      </c>
      <c r="Q317" t="s">
        <v>174</v>
      </c>
      <c r="S317" t="s">
        <v>242</v>
      </c>
      <c r="T317" t="s">
        <v>186</v>
      </c>
      <c r="U317">
        <v>6.5199876110246344E-2</v>
      </c>
      <c r="V317" t="s">
        <v>174</v>
      </c>
    </row>
    <row r="318" spans="9:22" x14ac:dyDescent="0.45">
      <c r="I318" t="s">
        <v>222</v>
      </c>
      <c r="J318" t="s">
        <v>187</v>
      </c>
      <c r="K318">
        <v>8.253527565829151E-3</v>
      </c>
      <c r="L318" t="s">
        <v>174</v>
      </c>
      <c r="N318" t="s">
        <v>232</v>
      </c>
      <c r="O318" t="s">
        <v>187</v>
      </c>
      <c r="P318">
        <v>1.2225553388865293E-2</v>
      </c>
      <c r="Q318" t="s">
        <v>174</v>
      </c>
      <c r="S318" t="s">
        <v>242</v>
      </c>
      <c r="T318" t="s">
        <v>187</v>
      </c>
      <c r="U318">
        <v>1.2225553388865293E-2</v>
      </c>
      <c r="V318" t="s">
        <v>174</v>
      </c>
    </row>
    <row r="319" spans="9:22" x14ac:dyDescent="0.45">
      <c r="I319" t="s">
        <v>222</v>
      </c>
      <c r="J319" t="s">
        <v>188</v>
      </c>
      <c r="K319">
        <v>8.6124739196058758E-2</v>
      </c>
      <c r="L319" t="s">
        <v>174</v>
      </c>
      <c r="N319" t="s">
        <v>232</v>
      </c>
      <c r="O319" t="s">
        <v>188</v>
      </c>
      <c r="P319">
        <v>3.4936975777818624E-2</v>
      </c>
      <c r="Q319" t="s">
        <v>174</v>
      </c>
      <c r="S319" t="s">
        <v>242</v>
      </c>
      <c r="T319" t="s">
        <v>188</v>
      </c>
      <c r="U319">
        <v>3.4936975777818624E-2</v>
      </c>
      <c r="V319" t="s">
        <v>174</v>
      </c>
    </row>
    <row r="320" spans="9:22" x14ac:dyDescent="0.45">
      <c r="I320" t="s">
        <v>222</v>
      </c>
      <c r="J320" t="s">
        <v>189</v>
      </c>
      <c r="K320">
        <v>0.31976713023357467</v>
      </c>
      <c r="L320" t="s">
        <v>174</v>
      </c>
      <c r="N320" t="s">
        <v>232</v>
      </c>
      <c r="O320" t="s">
        <v>189</v>
      </c>
      <c r="P320">
        <v>8.2890500470054501E-2</v>
      </c>
      <c r="Q320" t="s">
        <v>174</v>
      </c>
      <c r="S320" t="s">
        <v>242</v>
      </c>
      <c r="T320" t="s">
        <v>189</v>
      </c>
      <c r="U320">
        <v>8.2890500470054501E-2</v>
      </c>
      <c r="V320" t="s">
        <v>174</v>
      </c>
    </row>
    <row r="321" spans="9:22" x14ac:dyDescent="0.45">
      <c r="I321" t="s">
        <v>222</v>
      </c>
      <c r="J321" t="s">
        <v>190</v>
      </c>
      <c r="K321">
        <v>9.7496699161268741E-2</v>
      </c>
      <c r="L321" t="s">
        <v>174</v>
      </c>
      <c r="N321" t="s">
        <v>232</v>
      </c>
      <c r="O321" t="s">
        <v>190</v>
      </c>
      <c r="P321">
        <v>9.3777302357152759E-2</v>
      </c>
      <c r="Q321" t="s">
        <v>174</v>
      </c>
      <c r="S321" t="s">
        <v>242</v>
      </c>
      <c r="T321" t="s">
        <v>190</v>
      </c>
      <c r="U321">
        <v>9.3777302357152759E-2</v>
      </c>
      <c r="V321" t="s">
        <v>174</v>
      </c>
    </row>
    <row r="322" spans="9:22" x14ac:dyDescent="0.45">
      <c r="I322" t="s">
        <v>222</v>
      </c>
      <c r="J322" t="s">
        <v>191</v>
      </c>
      <c r="K322">
        <v>0</v>
      </c>
      <c r="L322" t="s">
        <v>174</v>
      </c>
      <c r="N322" t="s">
        <v>232</v>
      </c>
      <c r="O322" t="s">
        <v>191</v>
      </c>
      <c r="P322">
        <v>1.3942920831830526E-2</v>
      </c>
      <c r="Q322" t="s">
        <v>174</v>
      </c>
      <c r="S322" t="s">
        <v>242</v>
      </c>
      <c r="T322" t="s">
        <v>191</v>
      </c>
      <c r="U322">
        <v>1.3942920831830526E-2</v>
      </c>
      <c r="V322" t="s">
        <v>174</v>
      </c>
    </row>
    <row r="323" spans="9:22" x14ac:dyDescent="0.45">
      <c r="I323" t="s">
        <v>222</v>
      </c>
      <c r="J323" t="s">
        <v>192</v>
      </c>
      <c r="K323">
        <v>0</v>
      </c>
      <c r="L323" t="s">
        <v>174</v>
      </c>
      <c r="N323" t="s">
        <v>232</v>
      </c>
      <c r="O323" t="s">
        <v>192</v>
      </c>
      <c r="P323">
        <v>1.0462553536429499E-2</v>
      </c>
      <c r="Q323" t="s">
        <v>174</v>
      </c>
      <c r="S323" t="s">
        <v>242</v>
      </c>
      <c r="T323" t="s">
        <v>192</v>
      </c>
      <c r="U323">
        <v>1.0462553536429499E-2</v>
      </c>
      <c r="V323" t="s">
        <v>174</v>
      </c>
    </row>
    <row r="324" spans="9:22" x14ac:dyDescent="0.45">
      <c r="I324" t="s">
        <v>222</v>
      </c>
      <c r="J324" t="s">
        <v>193</v>
      </c>
      <c r="K324">
        <v>7.9796145665640673E-4</v>
      </c>
      <c r="L324" t="s">
        <v>174</v>
      </c>
      <c r="N324" t="s">
        <v>232</v>
      </c>
      <c r="O324" t="s">
        <v>193</v>
      </c>
      <c r="P324">
        <v>1.9522580677158981E-3</v>
      </c>
      <c r="Q324" t="s">
        <v>174</v>
      </c>
      <c r="S324" t="s">
        <v>242</v>
      </c>
      <c r="T324" t="s">
        <v>193</v>
      </c>
      <c r="U324">
        <v>1.9522580677158981E-3</v>
      </c>
      <c r="V324" t="s">
        <v>174</v>
      </c>
    </row>
    <row r="325" spans="9:22" x14ac:dyDescent="0.45">
      <c r="I325" t="s">
        <v>222</v>
      </c>
      <c r="J325" t="s">
        <v>194</v>
      </c>
      <c r="K325">
        <v>2.3163242329863418E-2</v>
      </c>
      <c r="L325" t="s">
        <v>174</v>
      </c>
      <c r="N325" t="s">
        <v>232</v>
      </c>
      <c r="O325" t="s">
        <v>194</v>
      </c>
      <c r="P325">
        <v>5.299038779529263E-3</v>
      </c>
      <c r="Q325" t="s">
        <v>174</v>
      </c>
      <c r="S325" t="s">
        <v>242</v>
      </c>
      <c r="T325" t="s">
        <v>194</v>
      </c>
      <c r="U325">
        <v>5.299038779529263E-3</v>
      </c>
      <c r="V325" t="s">
        <v>174</v>
      </c>
    </row>
    <row r="326" spans="9:22" x14ac:dyDescent="0.45">
      <c r="I326" t="s">
        <v>222</v>
      </c>
      <c r="J326" t="s">
        <v>195</v>
      </c>
      <c r="K326">
        <v>8.0226647550797489E-2</v>
      </c>
      <c r="L326" t="s">
        <v>174</v>
      </c>
      <c r="N326" t="s">
        <v>232</v>
      </c>
      <c r="O326" t="s">
        <v>195</v>
      </c>
      <c r="P326">
        <v>1.1566438556002957E-2</v>
      </c>
      <c r="Q326" t="s">
        <v>174</v>
      </c>
      <c r="S326" t="s">
        <v>242</v>
      </c>
      <c r="T326" t="s">
        <v>195</v>
      </c>
      <c r="U326">
        <v>1.1566438556002957E-2</v>
      </c>
      <c r="V326" t="s">
        <v>174</v>
      </c>
    </row>
    <row r="327" spans="9:22" x14ac:dyDescent="0.45">
      <c r="I327" t="s">
        <v>222</v>
      </c>
      <c r="J327" t="s">
        <v>196</v>
      </c>
      <c r="K327">
        <v>2.5247438814010793E-2</v>
      </c>
      <c r="L327" t="s">
        <v>174</v>
      </c>
      <c r="N327" t="s">
        <v>232</v>
      </c>
      <c r="O327" t="s">
        <v>196</v>
      </c>
      <c r="P327">
        <v>1.275053201213251E-2</v>
      </c>
      <c r="Q327" t="s">
        <v>174</v>
      </c>
      <c r="S327" t="s">
        <v>242</v>
      </c>
      <c r="T327" t="s">
        <v>196</v>
      </c>
      <c r="U327">
        <v>1.275053201213251E-2</v>
      </c>
      <c r="V327" t="s">
        <v>174</v>
      </c>
    </row>
    <row r="328" spans="9:22" x14ac:dyDescent="0.45">
      <c r="I328" t="s">
        <v>222</v>
      </c>
      <c r="J328" t="s">
        <v>197</v>
      </c>
      <c r="K328">
        <v>0</v>
      </c>
      <c r="L328" t="s">
        <v>174</v>
      </c>
      <c r="N328" t="s">
        <v>232</v>
      </c>
      <c r="O328" t="s">
        <v>197</v>
      </c>
      <c r="P328">
        <v>2.1813545811966819E-3</v>
      </c>
      <c r="Q328" t="s">
        <v>174</v>
      </c>
      <c r="S328" t="s">
        <v>242</v>
      </c>
      <c r="T328" t="s">
        <v>197</v>
      </c>
      <c r="U328">
        <v>2.1813545811966819E-3</v>
      </c>
      <c r="V328" t="s">
        <v>174</v>
      </c>
    </row>
    <row r="329" spans="9:22" x14ac:dyDescent="0.45">
      <c r="I329" t="s">
        <v>222</v>
      </c>
      <c r="J329" t="s">
        <v>198</v>
      </c>
      <c r="K329">
        <v>0</v>
      </c>
      <c r="L329" t="s">
        <v>174</v>
      </c>
      <c r="N329" t="s">
        <v>232</v>
      </c>
      <c r="O329" t="s">
        <v>198</v>
      </c>
      <c r="P329">
        <v>3.7019828541295041E-2</v>
      </c>
      <c r="Q329" t="s">
        <v>174</v>
      </c>
      <c r="S329" t="s">
        <v>242</v>
      </c>
      <c r="T329" t="s">
        <v>198</v>
      </c>
      <c r="U329">
        <v>3.7019828541295041E-2</v>
      </c>
      <c r="V329" t="s">
        <v>174</v>
      </c>
    </row>
    <row r="330" spans="9:22" x14ac:dyDescent="0.45">
      <c r="I330" t="s">
        <v>222</v>
      </c>
      <c r="J330" t="s">
        <v>199</v>
      </c>
      <c r="K330">
        <v>0</v>
      </c>
      <c r="L330" t="s">
        <v>174</v>
      </c>
      <c r="N330" t="s">
        <v>232</v>
      </c>
      <c r="O330" t="s">
        <v>199</v>
      </c>
      <c r="P330">
        <v>7.5306405840066277E-3</v>
      </c>
      <c r="Q330" t="s">
        <v>174</v>
      </c>
      <c r="S330" t="s">
        <v>242</v>
      </c>
      <c r="T330" t="s">
        <v>199</v>
      </c>
      <c r="U330">
        <v>7.5306405840066277E-3</v>
      </c>
      <c r="V330" t="s">
        <v>174</v>
      </c>
    </row>
    <row r="331" spans="9:22" x14ac:dyDescent="0.45">
      <c r="I331" t="s">
        <v>222</v>
      </c>
      <c r="J331" t="s">
        <v>200</v>
      </c>
      <c r="K331">
        <v>2.064423777017959E-2</v>
      </c>
      <c r="L331" t="s">
        <v>174</v>
      </c>
      <c r="N331" t="s">
        <v>232</v>
      </c>
      <c r="O331" t="s">
        <v>200</v>
      </c>
      <c r="P331">
        <v>2.1264058938322949E-2</v>
      </c>
      <c r="Q331" t="s">
        <v>174</v>
      </c>
      <c r="S331" t="s">
        <v>242</v>
      </c>
      <c r="T331" t="s">
        <v>200</v>
      </c>
      <c r="U331">
        <v>2.1264058938322949E-2</v>
      </c>
      <c r="V331" t="s">
        <v>174</v>
      </c>
    </row>
    <row r="332" spans="9:22" x14ac:dyDescent="0.45">
      <c r="I332" t="s">
        <v>222</v>
      </c>
      <c r="J332" t="s">
        <v>201</v>
      </c>
      <c r="K332">
        <v>0.11407452604819214</v>
      </c>
      <c r="L332" t="s">
        <v>174</v>
      </c>
      <c r="N332" t="s">
        <v>232</v>
      </c>
      <c r="O332" t="s">
        <v>201</v>
      </c>
      <c r="P332">
        <v>4.709402265634801E-2</v>
      </c>
      <c r="Q332" t="s">
        <v>174</v>
      </c>
      <c r="S332" t="s">
        <v>242</v>
      </c>
      <c r="T332" t="s">
        <v>201</v>
      </c>
      <c r="U332">
        <v>4.709402265634801E-2</v>
      </c>
      <c r="V332" t="s">
        <v>174</v>
      </c>
    </row>
    <row r="333" spans="9:22" x14ac:dyDescent="0.45">
      <c r="I333" t="s">
        <v>222</v>
      </c>
      <c r="J333" t="s">
        <v>202</v>
      </c>
      <c r="K333">
        <v>1.5479252225161168E-2</v>
      </c>
      <c r="L333" t="s">
        <v>174</v>
      </c>
      <c r="N333" t="s">
        <v>232</v>
      </c>
      <c r="O333" t="s">
        <v>202</v>
      </c>
      <c r="P333">
        <v>5.3886760192901333E-2</v>
      </c>
      <c r="Q333" t="s">
        <v>174</v>
      </c>
      <c r="S333" t="s">
        <v>242</v>
      </c>
      <c r="T333" t="s">
        <v>202</v>
      </c>
      <c r="U333">
        <v>5.3886760192901333E-2</v>
      </c>
      <c r="V333" t="s">
        <v>174</v>
      </c>
    </row>
    <row r="334" spans="9:22" x14ac:dyDescent="0.45">
      <c r="I334" t="s">
        <v>222</v>
      </c>
      <c r="J334" t="s">
        <v>203</v>
      </c>
      <c r="K334">
        <v>0</v>
      </c>
      <c r="L334" t="s">
        <v>174</v>
      </c>
      <c r="N334" t="s">
        <v>232</v>
      </c>
      <c r="O334" t="s">
        <v>203</v>
      </c>
      <c r="P334">
        <v>7.9492696768537589E-3</v>
      </c>
      <c r="Q334" t="s">
        <v>174</v>
      </c>
      <c r="S334" t="s">
        <v>242</v>
      </c>
      <c r="T334" t="s">
        <v>203</v>
      </c>
      <c r="U334">
        <v>7.9492696768537589E-3</v>
      </c>
      <c r="V334" t="s">
        <v>174</v>
      </c>
    </row>
    <row r="335" spans="9:22" x14ac:dyDescent="0.45">
      <c r="I335" t="s">
        <v>222</v>
      </c>
      <c r="J335" t="s">
        <v>204</v>
      </c>
      <c r="K335">
        <v>0</v>
      </c>
      <c r="L335" t="s">
        <v>174</v>
      </c>
      <c r="N335" t="s">
        <v>232</v>
      </c>
      <c r="O335" t="s">
        <v>204</v>
      </c>
      <c r="P335">
        <v>1.7200054377241418E-2</v>
      </c>
      <c r="Q335" t="s">
        <v>174</v>
      </c>
      <c r="S335" t="s">
        <v>242</v>
      </c>
      <c r="T335" t="s">
        <v>204</v>
      </c>
      <c r="U335">
        <v>1.7200054377241418E-2</v>
      </c>
      <c r="V335" t="s">
        <v>174</v>
      </c>
    </row>
    <row r="336" spans="9:22" x14ac:dyDescent="0.45">
      <c r="I336" t="s">
        <v>222</v>
      </c>
      <c r="J336" t="s">
        <v>205</v>
      </c>
      <c r="K336">
        <v>0</v>
      </c>
      <c r="L336" t="s">
        <v>174</v>
      </c>
      <c r="N336" t="s">
        <v>232</v>
      </c>
      <c r="O336" t="s">
        <v>205</v>
      </c>
      <c r="P336">
        <v>3.4857126294675594E-3</v>
      </c>
      <c r="Q336" t="s">
        <v>174</v>
      </c>
      <c r="S336" t="s">
        <v>242</v>
      </c>
      <c r="T336" t="s">
        <v>205</v>
      </c>
      <c r="U336">
        <v>3.4857126294675594E-3</v>
      </c>
      <c r="V336" t="s">
        <v>174</v>
      </c>
    </row>
    <row r="337" spans="9:22" x14ac:dyDescent="0.45">
      <c r="I337" t="s">
        <v>222</v>
      </c>
      <c r="J337" t="s">
        <v>206</v>
      </c>
      <c r="K337">
        <v>1.5344750834262477E-3</v>
      </c>
      <c r="L337" t="s">
        <v>174</v>
      </c>
      <c r="N337" t="s">
        <v>232</v>
      </c>
      <c r="O337" t="s">
        <v>206</v>
      </c>
      <c r="P337">
        <v>1.0750670543014883E-2</v>
      </c>
      <c r="Q337" t="s">
        <v>174</v>
      </c>
      <c r="S337" t="s">
        <v>242</v>
      </c>
      <c r="T337" t="s">
        <v>206</v>
      </c>
      <c r="U337">
        <v>1.0750670543014883E-2</v>
      </c>
      <c r="V337" t="s">
        <v>174</v>
      </c>
    </row>
    <row r="338" spans="9:22" x14ac:dyDescent="0.45">
      <c r="I338" t="s">
        <v>222</v>
      </c>
      <c r="J338" t="s">
        <v>207</v>
      </c>
      <c r="K338">
        <v>2.1727508268185688E-2</v>
      </c>
      <c r="L338" t="s">
        <v>174</v>
      </c>
      <c r="N338" t="s">
        <v>232</v>
      </c>
      <c r="O338" t="s">
        <v>207</v>
      </c>
      <c r="P338">
        <v>2.6277599790049882E-2</v>
      </c>
      <c r="Q338" t="s">
        <v>174</v>
      </c>
      <c r="S338" t="s">
        <v>242</v>
      </c>
      <c r="T338" t="s">
        <v>207</v>
      </c>
      <c r="U338">
        <v>2.6277599790049882E-2</v>
      </c>
      <c r="V338" t="s">
        <v>174</v>
      </c>
    </row>
    <row r="339" spans="9:22" x14ac:dyDescent="0.45">
      <c r="I339" t="s">
        <v>222</v>
      </c>
      <c r="J339" t="s">
        <v>208</v>
      </c>
      <c r="K339">
        <v>8.1934357805186619E-4</v>
      </c>
      <c r="L339" t="s">
        <v>174</v>
      </c>
      <c r="N339" t="s">
        <v>232</v>
      </c>
      <c r="O339" t="s">
        <v>208</v>
      </c>
      <c r="P339">
        <v>2.9018346479957286E-2</v>
      </c>
      <c r="Q339" t="s">
        <v>174</v>
      </c>
      <c r="S339" t="s">
        <v>242</v>
      </c>
      <c r="T339" t="s">
        <v>208</v>
      </c>
      <c r="U339">
        <v>2.9018346479957286E-2</v>
      </c>
      <c r="V339" t="s">
        <v>174</v>
      </c>
    </row>
    <row r="340" spans="9:22" x14ac:dyDescent="0.45">
      <c r="I340" t="s">
        <v>222</v>
      </c>
      <c r="J340" t="s">
        <v>209</v>
      </c>
      <c r="K340">
        <v>0</v>
      </c>
      <c r="L340" t="s">
        <v>174</v>
      </c>
      <c r="N340" t="s">
        <v>232</v>
      </c>
      <c r="O340" t="s">
        <v>209</v>
      </c>
      <c r="P340">
        <v>3.5420490508143378E-3</v>
      </c>
      <c r="Q340" t="s">
        <v>174</v>
      </c>
      <c r="S340" t="s">
        <v>242</v>
      </c>
      <c r="T340" t="s">
        <v>209</v>
      </c>
      <c r="U340">
        <v>3.5420490508143378E-3</v>
      </c>
      <c r="V340" t="s">
        <v>174</v>
      </c>
    </row>
    <row r="341" spans="9:22" x14ac:dyDescent="0.45">
      <c r="I341" t="s">
        <v>222</v>
      </c>
      <c r="J341" t="s">
        <v>210</v>
      </c>
      <c r="K341">
        <v>0</v>
      </c>
      <c r="L341" t="s">
        <v>174</v>
      </c>
      <c r="N341" t="s">
        <v>232</v>
      </c>
      <c r="O341" t="s">
        <v>210</v>
      </c>
      <c r="P341">
        <v>2.7182246008939221E-2</v>
      </c>
      <c r="Q341" t="s">
        <v>174</v>
      </c>
      <c r="S341" t="s">
        <v>242</v>
      </c>
      <c r="T341" t="s">
        <v>210</v>
      </c>
      <c r="U341">
        <v>2.7182246008939221E-2</v>
      </c>
      <c r="V341" t="s">
        <v>174</v>
      </c>
    </row>
    <row r="342" spans="9:22" x14ac:dyDescent="0.45">
      <c r="I342" t="s">
        <v>222</v>
      </c>
      <c r="J342" t="s">
        <v>211</v>
      </c>
      <c r="K342">
        <v>0</v>
      </c>
      <c r="L342" t="s">
        <v>174</v>
      </c>
      <c r="N342" t="s">
        <v>232</v>
      </c>
      <c r="O342" t="s">
        <v>211</v>
      </c>
      <c r="P342">
        <v>5.3210247967175649E-3</v>
      </c>
      <c r="Q342" t="s">
        <v>174</v>
      </c>
      <c r="S342" t="s">
        <v>242</v>
      </c>
      <c r="T342" t="s">
        <v>211</v>
      </c>
      <c r="U342">
        <v>5.3210247967175649E-3</v>
      </c>
      <c r="V342" t="s">
        <v>174</v>
      </c>
    </row>
    <row r="343" spans="9:22" x14ac:dyDescent="0.45">
      <c r="I343" t="s">
        <v>222</v>
      </c>
      <c r="J343" t="s">
        <v>212</v>
      </c>
      <c r="K343">
        <v>3.4281776489243803E-7</v>
      </c>
      <c r="L343" t="s">
        <v>174</v>
      </c>
      <c r="N343" t="s">
        <v>232</v>
      </c>
      <c r="O343" t="s">
        <v>212</v>
      </c>
      <c r="P343">
        <v>1.6473207063299411E-2</v>
      </c>
      <c r="Q343" t="s">
        <v>174</v>
      </c>
      <c r="S343" t="s">
        <v>242</v>
      </c>
      <c r="T343" t="s">
        <v>212</v>
      </c>
      <c r="U343">
        <v>1.6473207063299411E-2</v>
      </c>
      <c r="V343" t="s">
        <v>174</v>
      </c>
    </row>
    <row r="344" spans="9:22" x14ac:dyDescent="0.45">
      <c r="I344" t="s">
        <v>222</v>
      </c>
      <c r="J344" t="s">
        <v>213</v>
      </c>
      <c r="K344">
        <v>2.7127324848451855E-2</v>
      </c>
      <c r="L344" t="s">
        <v>174</v>
      </c>
      <c r="N344" t="s">
        <v>232</v>
      </c>
      <c r="O344" t="s">
        <v>213</v>
      </c>
      <c r="P344">
        <v>3.4175246907766098E-2</v>
      </c>
      <c r="Q344" t="s">
        <v>174</v>
      </c>
      <c r="S344" t="s">
        <v>242</v>
      </c>
      <c r="T344" t="s">
        <v>213</v>
      </c>
      <c r="U344">
        <v>3.4175246907766098E-2</v>
      </c>
      <c r="V344" t="s">
        <v>174</v>
      </c>
    </row>
    <row r="345" spans="9:22" x14ac:dyDescent="0.45">
      <c r="I345" t="s">
        <v>222</v>
      </c>
      <c r="J345" t="s">
        <v>214</v>
      </c>
      <c r="K345">
        <v>0</v>
      </c>
      <c r="L345" t="s">
        <v>174</v>
      </c>
      <c r="N345" t="s">
        <v>232</v>
      </c>
      <c r="O345" t="s">
        <v>214</v>
      </c>
      <c r="P345">
        <v>3.8231071230501922E-2</v>
      </c>
      <c r="Q345" t="s">
        <v>174</v>
      </c>
      <c r="S345" t="s">
        <v>242</v>
      </c>
      <c r="T345" t="s">
        <v>214</v>
      </c>
      <c r="U345">
        <v>3.8231071230501922E-2</v>
      </c>
      <c r="V345" t="s">
        <v>174</v>
      </c>
    </row>
    <row r="346" spans="9:22" x14ac:dyDescent="0.45">
      <c r="I346" t="s">
        <v>222</v>
      </c>
      <c r="J346" t="s">
        <v>215</v>
      </c>
      <c r="K346">
        <v>0</v>
      </c>
      <c r="L346" t="s">
        <v>174</v>
      </c>
      <c r="N346" t="s">
        <v>232</v>
      </c>
      <c r="O346" t="s">
        <v>215</v>
      </c>
      <c r="P346">
        <v>5.7531579932566862E-3</v>
      </c>
      <c r="Q346" t="s">
        <v>174</v>
      </c>
      <c r="S346" t="s">
        <v>242</v>
      </c>
      <c r="T346" t="s">
        <v>215</v>
      </c>
      <c r="U346">
        <v>5.7531579932566862E-3</v>
      </c>
      <c r="V346" t="s">
        <v>174</v>
      </c>
    </row>
    <row r="347" spans="9:22" x14ac:dyDescent="0.45">
      <c r="I347" t="s">
        <v>223</v>
      </c>
      <c r="J347" t="s">
        <v>173</v>
      </c>
      <c r="K347">
        <v>0</v>
      </c>
      <c r="L347" t="s">
        <v>174</v>
      </c>
      <c r="N347" t="s">
        <v>233</v>
      </c>
      <c r="O347" t="s">
        <v>173</v>
      </c>
      <c r="P347">
        <v>1.8607437818383844E-2</v>
      </c>
      <c r="Q347" t="s">
        <v>174</v>
      </c>
      <c r="S347" t="s">
        <v>243</v>
      </c>
      <c r="T347" t="s">
        <v>173</v>
      </c>
      <c r="U347">
        <v>1.8607437818383844E-2</v>
      </c>
      <c r="V347" t="s">
        <v>174</v>
      </c>
    </row>
    <row r="348" spans="9:22" x14ac:dyDescent="0.45">
      <c r="I348" t="s">
        <v>223</v>
      </c>
      <c r="J348" t="s">
        <v>175</v>
      </c>
      <c r="K348">
        <v>0</v>
      </c>
      <c r="L348" t="s">
        <v>174</v>
      </c>
      <c r="N348" t="s">
        <v>233</v>
      </c>
      <c r="O348" t="s">
        <v>175</v>
      </c>
      <c r="P348">
        <v>3.3599554516986702E-3</v>
      </c>
      <c r="Q348" t="s">
        <v>174</v>
      </c>
      <c r="S348" t="s">
        <v>243</v>
      </c>
      <c r="T348" t="s">
        <v>175</v>
      </c>
      <c r="U348">
        <v>3.3599554516986702E-3</v>
      </c>
      <c r="V348" t="s">
        <v>174</v>
      </c>
    </row>
    <row r="349" spans="9:22" x14ac:dyDescent="0.45">
      <c r="I349" t="s">
        <v>223</v>
      </c>
      <c r="J349" t="s">
        <v>176</v>
      </c>
      <c r="K349">
        <v>9.4950054884565585E-6</v>
      </c>
      <c r="L349" t="s">
        <v>174</v>
      </c>
      <c r="N349" t="s">
        <v>233</v>
      </c>
      <c r="O349" t="s">
        <v>176</v>
      </c>
      <c r="P349">
        <v>9.8806692484672484E-3</v>
      </c>
      <c r="Q349" t="s">
        <v>174</v>
      </c>
      <c r="S349" t="s">
        <v>243</v>
      </c>
      <c r="T349" t="s">
        <v>176</v>
      </c>
      <c r="U349">
        <v>9.8806692484672484E-3</v>
      </c>
      <c r="V349" t="s">
        <v>174</v>
      </c>
    </row>
    <row r="350" spans="9:22" x14ac:dyDescent="0.45">
      <c r="I350" t="s">
        <v>223</v>
      </c>
      <c r="J350" t="s">
        <v>177</v>
      </c>
      <c r="K350">
        <v>2.2967080173489075E-2</v>
      </c>
      <c r="L350" t="s">
        <v>174</v>
      </c>
      <c r="N350" t="s">
        <v>233</v>
      </c>
      <c r="O350" t="s">
        <v>177</v>
      </c>
      <c r="P350">
        <v>2.0448663059707207E-2</v>
      </c>
      <c r="Q350" t="s">
        <v>174</v>
      </c>
      <c r="S350" t="s">
        <v>243</v>
      </c>
      <c r="T350" t="s">
        <v>177</v>
      </c>
      <c r="U350">
        <v>2.0448663059707207E-2</v>
      </c>
      <c r="V350" t="s">
        <v>174</v>
      </c>
    </row>
    <row r="351" spans="9:22" x14ac:dyDescent="0.45">
      <c r="I351" t="s">
        <v>223</v>
      </c>
      <c r="J351" t="s">
        <v>178</v>
      </c>
      <c r="K351">
        <v>1.902764967449711E-3</v>
      </c>
      <c r="L351" t="s">
        <v>174</v>
      </c>
      <c r="N351" t="s">
        <v>233</v>
      </c>
      <c r="O351" t="s">
        <v>178</v>
      </c>
      <c r="P351">
        <v>2.5677827620154029E-2</v>
      </c>
      <c r="Q351" t="s">
        <v>174</v>
      </c>
      <c r="S351" t="s">
        <v>243</v>
      </c>
      <c r="T351" t="s">
        <v>178</v>
      </c>
      <c r="U351">
        <v>2.5677827620154029E-2</v>
      </c>
      <c r="V351" t="s">
        <v>174</v>
      </c>
    </row>
    <row r="352" spans="9:22" x14ac:dyDescent="0.45">
      <c r="I352" t="s">
        <v>223</v>
      </c>
      <c r="J352" t="s">
        <v>179</v>
      </c>
      <c r="K352">
        <v>0</v>
      </c>
      <c r="L352" t="s">
        <v>174</v>
      </c>
      <c r="N352" t="s">
        <v>233</v>
      </c>
      <c r="O352" t="s">
        <v>179</v>
      </c>
      <c r="P352">
        <v>3.8864809378540291E-3</v>
      </c>
      <c r="Q352" t="s">
        <v>174</v>
      </c>
      <c r="S352" t="s">
        <v>243</v>
      </c>
      <c r="T352" t="s">
        <v>179</v>
      </c>
      <c r="U352">
        <v>3.8864809378540291E-3</v>
      </c>
      <c r="V352" t="s">
        <v>174</v>
      </c>
    </row>
    <row r="353" spans="9:22" x14ac:dyDescent="0.45">
      <c r="I353" t="s">
        <v>223</v>
      </c>
      <c r="J353" t="s">
        <v>180</v>
      </c>
      <c r="K353">
        <v>0</v>
      </c>
      <c r="L353" t="s">
        <v>174</v>
      </c>
      <c r="N353" t="s">
        <v>233</v>
      </c>
      <c r="O353" t="s">
        <v>180</v>
      </c>
      <c r="P353">
        <v>3.7430990483263579E-2</v>
      </c>
      <c r="Q353" t="s">
        <v>174</v>
      </c>
      <c r="S353" t="s">
        <v>243</v>
      </c>
      <c r="T353" t="s">
        <v>180</v>
      </c>
      <c r="U353">
        <v>3.7430990483263579E-2</v>
      </c>
      <c r="V353" t="s">
        <v>174</v>
      </c>
    </row>
    <row r="354" spans="9:22" x14ac:dyDescent="0.45">
      <c r="I354" t="s">
        <v>223</v>
      </c>
      <c r="J354" t="s">
        <v>181</v>
      </c>
      <c r="K354">
        <v>0</v>
      </c>
      <c r="L354" t="s">
        <v>174</v>
      </c>
      <c r="N354" t="s">
        <v>233</v>
      </c>
      <c r="O354" t="s">
        <v>181</v>
      </c>
      <c r="P354">
        <v>7.5648095814919358E-3</v>
      </c>
      <c r="Q354" t="s">
        <v>174</v>
      </c>
      <c r="S354" t="s">
        <v>243</v>
      </c>
      <c r="T354" t="s">
        <v>181</v>
      </c>
      <c r="U354">
        <v>7.5648095814919358E-3</v>
      </c>
      <c r="V354" t="s">
        <v>174</v>
      </c>
    </row>
    <row r="355" spans="9:22" x14ac:dyDescent="0.45">
      <c r="I355" t="s">
        <v>223</v>
      </c>
      <c r="J355" t="s">
        <v>182</v>
      </c>
      <c r="K355">
        <v>1.2330082652978793E-2</v>
      </c>
      <c r="L355" t="s">
        <v>174</v>
      </c>
      <c r="N355" t="s">
        <v>233</v>
      </c>
      <c r="O355" t="s">
        <v>182</v>
      </c>
      <c r="P355">
        <v>2.318402119874859E-2</v>
      </c>
      <c r="Q355" t="s">
        <v>174</v>
      </c>
      <c r="S355" t="s">
        <v>243</v>
      </c>
      <c r="T355" t="s">
        <v>182</v>
      </c>
      <c r="U355">
        <v>2.318402119874859E-2</v>
      </c>
      <c r="V355" t="s">
        <v>174</v>
      </c>
    </row>
    <row r="356" spans="9:22" x14ac:dyDescent="0.45">
      <c r="I356" t="s">
        <v>223</v>
      </c>
      <c r="J356" t="s">
        <v>183</v>
      </c>
      <c r="K356">
        <v>0.10333024113159714</v>
      </c>
      <c r="L356" t="s">
        <v>174</v>
      </c>
      <c r="N356" t="s">
        <v>233</v>
      </c>
      <c r="O356" t="s">
        <v>183</v>
      </c>
      <c r="P356">
        <v>4.7556539855702448E-2</v>
      </c>
      <c r="Q356" t="s">
        <v>174</v>
      </c>
      <c r="S356" t="s">
        <v>243</v>
      </c>
      <c r="T356" t="s">
        <v>183</v>
      </c>
      <c r="U356">
        <v>4.7556539855702448E-2</v>
      </c>
      <c r="V356" t="s">
        <v>174</v>
      </c>
    </row>
    <row r="357" spans="9:22" x14ac:dyDescent="0.45">
      <c r="I357" t="s">
        <v>223</v>
      </c>
      <c r="J357" t="s">
        <v>184</v>
      </c>
      <c r="K357">
        <v>1.4813855674323001E-2</v>
      </c>
      <c r="L357" t="s">
        <v>174</v>
      </c>
      <c r="N357" t="s">
        <v>233</v>
      </c>
      <c r="O357" t="s">
        <v>184</v>
      </c>
      <c r="P357">
        <v>5.2219629514895123E-2</v>
      </c>
      <c r="Q357" t="s">
        <v>174</v>
      </c>
      <c r="S357" t="s">
        <v>243</v>
      </c>
      <c r="T357" t="s">
        <v>184</v>
      </c>
      <c r="U357">
        <v>5.2219629514895123E-2</v>
      </c>
      <c r="V357" t="s">
        <v>174</v>
      </c>
    </row>
    <row r="358" spans="9:22" x14ac:dyDescent="0.45">
      <c r="I358" t="s">
        <v>223</v>
      </c>
      <c r="J358" t="s">
        <v>185</v>
      </c>
      <c r="K358">
        <v>0</v>
      </c>
      <c r="L358" t="s">
        <v>174</v>
      </c>
      <c r="N358" t="s">
        <v>233</v>
      </c>
      <c r="O358" t="s">
        <v>185</v>
      </c>
      <c r="P358">
        <v>6.9914700946307655E-3</v>
      </c>
      <c r="Q358" t="s">
        <v>174</v>
      </c>
      <c r="S358" t="s">
        <v>243</v>
      </c>
      <c r="T358" t="s">
        <v>185</v>
      </c>
      <c r="U358">
        <v>6.9914700946307655E-3</v>
      </c>
      <c r="V358" t="s">
        <v>174</v>
      </c>
    </row>
    <row r="359" spans="9:22" x14ac:dyDescent="0.45">
      <c r="I359" t="s">
        <v>223</v>
      </c>
      <c r="J359" t="s">
        <v>186</v>
      </c>
      <c r="K359">
        <v>0</v>
      </c>
      <c r="L359" t="s">
        <v>174</v>
      </c>
      <c r="N359" t="s">
        <v>233</v>
      </c>
      <c r="O359" t="s">
        <v>186</v>
      </c>
      <c r="P359">
        <v>6.3948148293294482E-2</v>
      </c>
      <c r="Q359" t="s">
        <v>174</v>
      </c>
      <c r="S359" t="s">
        <v>243</v>
      </c>
      <c r="T359" t="s">
        <v>186</v>
      </c>
      <c r="U359">
        <v>6.3948148293294482E-2</v>
      </c>
      <c r="V359" t="s">
        <v>174</v>
      </c>
    </row>
    <row r="360" spans="9:22" x14ac:dyDescent="0.45">
      <c r="I360" t="s">
        <v>223</v>
      </c>
      <c r="J360" t="s">
        <v>187</v>
      </c>
      <c r="K360">
        <v>7.7804472251064077E-3</v>
      </c>
      <c r="L360" t="s">
        <v>174</v>
      </c>
      <c r="N360" t="s">
        <v>233</v>
      </c>
      <c r="O360" t="s">
        <v>187</v>
      </c>
      <c r="P360">
        <v>1.1822274967435206E-2</v>
      </c>
      <c r="Q360" t="s">
        <v>174</v>
      </c>
      <c r="S360" t="s">
        <v>243</v>
      </c>
      <c r="T360" t="s">
        <v>187</v>
      </c>
      <c r="U360">
        <v>1.1822274967435206E-2</v>
      </c>
      <c r="V360" t="s">
        <v>174</v>
      </c>
    </row>
    <row r="361" spans="9:22" x14ac:dyDescent="0.45">
      <c r="I361" t="s">
        <v>223</v>
      </c>
      <c r="J361" t="s">
        <v>188</v>
      </c>
      <c r="K361">
        <v>8.4577069103048366E-2</v>
      </c>
      <c r="L361" t="s">
        <v>174</v>
      </c>
      <c r="N361" t="s">
        <v>233</v>
      </c>
      <c r="O361" t="s">
        <v>188</v>
      </c>
      <c r="P361">
        <v>3.2230437543925461E-2</v>
      </c>
      <c r="Q361" t="s">
        <v>174</v>
      </c>
      <c r="S361" t="s">
        <v>243</v>
      </c>
      <c r="T361" t="s">
        <v>188</v>
      </c>
      <c r="U361">
        <v>3.2230437543925461E-2</v>
      </c>
      <c r="V361" t="s">
        <v>174</v>
      </c>
    </row>
    <row r="362" spans="9:22" x14ac:dyDescent="0.45">
      <c r="I362" t="s">
        <v>223</v>
      </c>
      <c r="J362" t="s">
        <v>189</v>
      </c>
      <c r="K362">
        <v>0.31806334454287039</v>
      </c>
      <c r="L362" t="s">
        <v>174</v>
      </c>
      <c r="N362" t="s">
        <v>233</v>
      </c>
      <c r="O362" t="s">
        <v>189</v>
      </c>
      <c r="P362">
        <v>7.671025111451589E-2</v>
      </c>
      <c r="Q362" t="s">
        <v>174</v>
      </c>
      <c r="S362" t="s">
        <v>243</v>
      </c>
      <c r="T362" t="s">
        <v>189</v>
      </c>
      <c r="U362">
        <v>7.671025111451589E-2</v>
      </c>
      <c r="V362" t="s">
        <v>174</v>
      </c>
    </row>
    <row r="363" spans="9:22" x14ac:dyDescent="0.45">
      <c r="I363" t="s">
        <v>223</v>
      </c>
      <c r="J363" t="s">
        <v>190</v>
      </c>
      <c r="K363">
        <v>0.10038037563863919</v>
      </c>
      <c r="L363" t="s">
        <v>174</v>
      </c>
      <c r="N363" t="s">
        <v>233</v>
      </c>
      <c r="O363" t="s">
        <v>190</v>
      </c>
      <c r="P363">
        <v>8.431767535299356E-2</v>
      </c>
      <c r="Q363" t="s">
        <v>174</v>
      </c>
      <c r="S363" t="s">
        <v>243</v>
      </c>
      <c r="T363" t="s">
        <v>190</v>
      </c>
      <c r="U363">
        <v>8.431767535299356E-2</v>
      </c>
      <c r="V363" t="s">
        <v>174</v>
      </c>
    </row>
    <row r="364" spans="9:22" x14ac:dyDescent="0.45">
      <c r="I364" t="s">
        <v>223</v>
      </c>
      <c r="J364" t="s">
        <v>191</v>
      </c>
      <c r="K364">
        <v>0</v>
      </c>
      <c r="L364" t="s">
        <v>174</v>
      </c>
      <c r="N364" t="s">
        <v>233</v>
      </c>
      <c r="O364" t="s">
        <v>191</v>
      </c>
      <c r="P364">
        <v>1.3535657554189819E-2</v>
      </c>
      <c r="Q364" t="s">
        <v>174</v>
      </c>
      <c r="S364" t="s">
        <v>243</v>
      </c>
      <c r="T364" t="s">
        <v>191</v>
      </c>
      <c r="U364">
        <v>1.3535657554189819E-2</v>
      </c>
      <c r="V364" t="s">
        <v>174</v>
      </c>
    </row>
    <row r="365" spans="9:22" x14ac:dyDescent="0.45">
      <c r="I365" t="s">
        <v>223</v>
      </c>
      <c r="J365" t="s">
        <v>192</v>
      </c>
      <c r="K365">
        <v>0</v>
      </c>
      <c r="L365" t="s">
        <v>174</v>
      </c>
      <c r="N365" t="s">
        <v>233</v>
      </c>
      <c r="O365" t="s">
        <v>192</v>
      </c>
      <c r="P365">
        <v>9.8172979687846731E-3</v>
      </c>
      <c r="Q365" t="s">
        <v>174</v>
      </c>
      <c r="S365" t="s">
        <v>243</v>
      </c>
      <c r="T365" t="s">
        <v>192</v>
      </c>
      <c r="U365">
        <v>9.8172979687846731E-3</v>
      </c>
      <c r="V365" t="s">
        <v>174</v>
      </c>
    </row>
    <row r="366" spans="9:22" x14ac:dyDescent="0.45">
      <c r="I366" t="s">
        <v>223</v>
      </c>
      <c r="J366" t="s">
        <v>193</v>
      </c>
      <c r="K366">
        <v>6.9249502196927254E-4</v>
      </c>
      <c r="L366" t="s">
        <v>174</v>
      </c>
      <c r="N366" t="s">
        <v>233</v>
      </c>
      <c r="O366" t="s">
        <v>193</v>
      </c>
      <c r="P366">
        <v>2.1327694894240352E-3</v>
      </c>
      <c r="Q366" t="s">
        <v>174</v>
      </c>
      <c r="S366" t="s">
        <v>243</v>
      </c>
      <c r="T366" t="s">
        <v>193</v>
      </c>
      <c r="U366">
        <v>2.1327694894240352E-3</v>
      </c>
      <c r="V366" t="s">
        <v>174</v>
      </c>
    </row>
    <row r="367" spans="9:22" x14ac:dyDescent="0.45">
      <c r="I367" t="s">
        <v>223</v>
      </c>
      <c r="J367" t="s">
        <v>194</v>
      </c>
      <c r="K367">
        <v>2.1925517130085972E-2</v>
      </c>
      <c r="L367" t="s">
        <v>174</v>
      </c>
      <c r="N367" t="s">
        <v>233</v>
      </c>
      <c r="O367" t="s">
        <v>194</v>
      </c>
      <c r="P367">
        <v>5.2454303812861369E-3</v>
      </c>
      <c r="Q367" t="s">
        <v>174</v>
      </c>
      <c r="S367" t="s">
        <v>243</v>
      </c>
      <c r="T367" t="s">
        <v>194</v>
      </c>
      <c r="U367">
        <v>5.2454303812861369E-3</v>
      </c>
      <c r="V367" t="s">
        <v>174</v>
      </c>
    </row>
    <row r="368" spans="9:22" x14ac:dyDescent="0.45">
      <c r="I368" t="s">
        <v>223</v>
      </c>
      <c r="J368" t="s">
        <v>195</v>
      </c>
      <c r="K368">
        <v>8.0924372085989321E-2</v>
      </c>
      <c r="L368" t="s">
        <v>174</v>
      </c>
      <c r="N368" t="s">
        <v>233</v>
      </c>
      <c r="O368" t="s">
        <v>195</v>
      </c>
      <c r="P368">
        <v>1.0314496873336512E-2</v>
      </c>
      <c r="Q368" t="s">
        <v>174</v>
      </c>
      <c r="S368" t="s">
        <v>243</v>
      </c>
      <c r="T368" t="s">
        <v>195</v>
      </c>
      <c r="U368">
        <v>1.0314496873336512E-2</v>
      </c>
      <c r="V368" t="s">
        <v>174</v>
      </c>
    </row>
    <row r="369" spans="9:22" x14ac:dyDescent="0.45">
      <c r="I369" t="s">
        <v>223</v>
      </c>
      <c r="J369" t="s">
        <v>196</v>
      </c>
      <c r="K369">
        <v>2.5490002966356198E-2</v>
      </c>
      <c r="L369" t="s">
        <v>174</v>
      </c>
      <c r="N369" t="s">
        <v>233</v>
      </c>
      <c r="O369" t="s">
        <v>196</v>
      </c>
      <c r="P369">
        <v>1.2220555056483147E-2</v>
      </c>
      <c r="Q369" t="s">
        <v>174</v>
      </c>
      <c r="S369" t="s">
        <v>243</v>
      </c>
      <c r="T369" t="s">
        <v>196</v>
      </c>
      <c r="U369">
        <v>1.2220555056483147E-2</v>
      </c>
      <c r="V369" t="s">
        <v>174</v>
      </c>
    </row>
    <row r="370" spans="9:22" x14ac:dyDescent="0.45">
      <c r="I370" t="s">
        <v>223</v>
      </c>
      <c r="J370" t="s">
        <v>197</v>
      </c>
      <c r="K370">
        <v>0</v>
      </c>
      <c r="L370" t="s">
        <v>174</v>
      </c>
      <c r="N370" t="s">
        <v>233</v>
      </c>
      <c r="O370" t="s">
        <v>197</v>
      </c>
      <c r="P370">
        <v>2.1002056776314908E-3</v>
      </c>
      <c r="Q370" t="s">
        <v>174</v>
      </c>
      <c r="S370" t="s">
        <v>243</v>
      </c>
      <c r="T370" t="s">
        <v>197</v>
      </c>
      <c r="U370">
        <v>2.1002056776314908E-3</v>
      </c>
      <c r="V370" t="s">
        <v>174</v>
      </c>
    </row>
    <row r="371" spans="9:22" x14ac:dyDescent="0.45">
      <c r="I371" t="s">
        <v>223</v>
      </c>
      <c r="J371" t="s">
        <v>198</v>
      </c>
      <c r="K371">
        <v>0</v>
      </c>
      <c r="L371" t="s">
        <v>174</v>
      </c>
      <c r="N371" t="s">
        <v>233</v>
      </c>
      <c r="O371" t="s">
        <v>198</v>
      </c>
      <c r="P371">
        <v>3.876070233979334E-2</v>
      </c>
      <c r="Q371" t="s">
        <v>174</v>
      </c>
      <c r="S371" t="s">
        <v>243</v>
      </c>
      <c r="T371" t="s">
        <v>198</v>
      </c>
      <c r="U371">
        <v>3.876070233979334E-2</v>
      </c>
      <c r="V371" t="s">
        <v>174</v>
      </c>
    </row>
    <row r="372" spans="9:22" x14ac:dyDescent="0.45">
      <c r="I372" t="s">
        <v>223</v>
      </c>
      <c r="J372" t="s">
        <v>199</v>
      </c>
      <c r="K372">
        <v>0</v>
      </c>
      <c r="L372" t="s">
        <v>174</v>
      </c>
      <c r="N372" t="s">
        <v>233</v>
      </c>
      <c r="O372" t="s">
        <v>199</v>
      </c>
      <c r="P372">
        <v>7.8575662719862389E-3</v>
      </c>
      <c r="Q372" t="s">
        <v>174</v>
      </c>
      <c r="S372" t="s">
        <v>243</v>
      </c>
      <c r="T372" t="s">
        <v>199</v>
      </c>
      <c r="U372">
        <v>7.8575662719862389E-3</v>
      </c>
      <c r="V372" t="s">
        <v>174</v>
      </c>
    </row>
    <row r="373" spans="9:22" x14ac:dyDescent="0.45">
      <c r="I373" t="s">
        <v>223</v>
      </c>
      <c r="J373" t="s">
        <v>200</v>
      </c>
      <c r="K373">
        <v>2.0853878522941491E-2</v>
      </c>
      <c r="L373" t="s">
        <v>174</v>
      </c>
      <c r="N373" t="s">
        <v>233</v>
      </c>
      <c r="O373" t="s">
        <v>200</v>
      </c>
      <c r="P373">
        <v>2.2413396731012759E-2</v>
      </c>
      <c r="Q373" t="s">
        <v>174</v>
      </c>
      <c r="S373" t="s">
        <v>243</v>
      </c>
      <c r="T373" t="s">
        <v>200</v>
      </c>
      <c r="U373">
        <v>2.2413396731012759E-2</v>
      </c>
      <c r="V373" t="s">
        <v>174</v>
      </c>
    </row>
    <row r="374" spans="9:22" x14ac:dyDescent="0.45">
      <c r="I374" t="s">
        <v>223</v>
      </c>
      <c r="J374" t="s">
        <v>201</v>
      </c>
      <c r="K374">
        <v>0.11494871858333092</v>
      </c>
      <c r="L374" t="s">
        <v>174</v>
      </c>
      <c r="N374" t="s">
        <v>233</v>
      </c>
      <c r="O374" t="s">
        <v>201</v>
      </c>
      <c r="P374">
        <v>4.6416692566987716E-2</v>
      </c>
      <c r="Q374" t="s">
        <v>174</v>
      </c>
      <c r="S374" t="s">
        <v>243</v>
      </c>
      <c r="T374" t="s">
        <v>201</v>
      </c>
      <c r="U374">
        <v>4.6416692566987716E-2</v>
      </c>
      <c r="V374" t="s">
        <v>174</v>
      </c>
    </row>
    <row r="375" spans="9:22" x14ac:dyDescent="0.45">
      <c r="I375" t="s">
        <v>223</v>
      </c>
      <c r="J375" t="s">
        <v>202</v>
      </c>
      <c r="K375">
        <v>1.6530426436789324E-2</v>
      </c>
      <c r="L375" t="s">
        <v>174</v>
      </c>
      <c r="N375" t="s">
        <v>233</v>
      </c>
      <c r="O375" t="s">
        <v>202</v>
      </c>
      <c r="P375">
        <v>5.4977228764961472E-2</v>
      </c>
      <c r="Q375" t="s">
        <v>174</v>
      </c>
      <c r="S375" t="s">
        <v>243</v>
      </c>
      <c r="T375" t="s">
        <v>202</v>
      </c>
      <c r="U375">
        <v>5.4977228764961472E-2</v>
      </c>
      <c r="V375" t="s">
        <v>174</v>
      </c>
    </row>
    <row r="376" spans="9:22" x14ac:dyDescent="0.45">
      <c r="I376" t="s">
        <v>223</v>
      </c>
      <c r="J376" t="s">
        <v>203</v>
      </c>
      <c r="K376">
        <v>0</v>
      </c>
      <c r="L376" t="s">
        <v>174</v>
      </c>
      <c r="N376" t="s">
        <v>233</v>
      </c>
      <c r="O376" t="s">
        <v>203</v>
      </c>
      <c r="P376">
        <v>8.2687413487965433E-3</v>
      </c>
      <c r="Q376" t="s">
        <v>174</v>
      </c>
      <c r="S376" t="s">
        <v>243</v>
      </c>
      <c r="T376" t="s">
        <v>203</v>
      </c>
      <c r="U376">
        <v>8.2687413487965433E-3</v>
      </c>
      <c r="V376" t="s">
        <v>174</v>
      </c>
    </row>
    <row r="377" spans="9:22" x14ac:dyDescent="0.45">
      <c r="I377" t="s">
        <v>223</v>
      </c>
      <c r="J377" t="s">
        <v>204</v>
      </c>
      <c r="K377">
        <v>0</v>
      </c>
      <c r="L377" t="s">
        <v>174</v>
      </c>
      <c r="N377" t="s">
        <v>233</v>
      </c>
      <c r="O377" t="s">
        <v>204</v>
      </c>
      <c r="P377">
        <v>1.9496391044415744E-2</v>
      </c>
      <c r="Q377" t="s">
        <v>174</v>
      </c>
      <c r="S377" t="s">
        <v>243</v>
      </c>
      <c r="T377" t="s">
        <v>204</v>
      </c>
      <c r="U377">
        <v>1.9496391044415744E-2</v>
      </c>
      <c r="V377" t="s">
        <v>174</v>
      </c>
    </row>
    <row r="378" spans="9:22" x14ac:dyDescent="0.45">
      <c r="I378" t="s">
        <v>223</v>
      </c>
      <c r="J378" t="s">
        <v>205</v>
      </c>
      <c r="K378">
        <v>0</v>
      </c>
      <c r="L378" t="s">
        <v>174</v>
      </c>
      <c r="N378" t="s">
        <v>233</v>
      </c>
      <c r="O378" t="s">
        <v>205</v>
      </c>
      <c r="P378">
        <v>3.4253602248446396E-3</v>
      </c>
      <c r="Q378" t="s">
        <v>174</v>
      </c>
      <c r="S378" t="s">
        <v>243</v>
      </c>
      <c r="T378" t="s">
        <v>205</v>
      </c>
      <c r="U378">
        <v>3.4253602248446396E-3</v>
      </c>
      <c r="V378" t="s">
        <v>174</v>
      </c>
    </row>
    <row r="379" spans="9:22" x14ac:dyDescent="0.45">
      <c r="I379" t="s">
        <v>223</v>
      </c>
      <c r="J379" t="s">
        <v>206</v>
      </c>
      <c r="K379">
        <v>1.4193538335247832E-3</v>
      </c>
      <c r="L379" t="s">
        <v>174</v>
      </c>
      <c r="N379" t="s">
        <v>233</v>
      </c>
      <c r="O379" t="s">
        <v>206</v>
      </c>
      <c r="P379">
        <v>1.1109554163690669E-2</v>
      </c>
      <c r="Q379" t="s">
        <v>174</v>
      </c>
      <c r="S379" t="s">
        <v>243</v>
      </c>
      <c r="T379" t="s">
        <v>206</v>
      </c>
      <c r="U379">
        <v>1.1109554163690669E-2</v>
      </c>
      <c r="V379" t="s">
        <v>174</v>
      </c>
    </row>
    <row r="380" spans="9:22" x14ac:dyDescent="0.45">
      <c r="I380" t="s">
        <v>223</v>
      </c>
      <c r="J380" t="s">
        <v>207</v>
      </c>
      <c r="K380">
        <v>2.1230515140905088E-2</v>
      </c>
      <c r="L380" t="s">
        <v>174</v>
      </c>
      <c r="N380" t="s">
        <v>233</v>
      </c>
      <c r="O380" t="s">
        <v>207</v>
      </c>
      <c r="P380">
        <v>3.0182479035715998E-2</v>
      </c>
      <c r="Q380" t="s">
        <v>174</v>
      </c>
      <c r="S380" t="s">
        <v>243</v>
      </c>
      <c r="T380" t="s">
        <v>207</v>
      </c>
      <c r="U380">
        <v>3.0182479035715998E-2</v>
      </c>
      <c r="V380" t="s">
        <v>174</v>
      </c>
    </row>
    <row r="381" spans="9:22" x14ac:dyDescent="0.45">
      <c r="I381" t="s">
        <v>223</v>
      </c>
      <c r="J381" t="s">
        <v>208</v>
      </c>
      <c r="K381">
        <v>9.4297078096323961E-4</v>
      </c>
      <c r="L381" t="s">
        <v>174</v>
      </c>
      <c r="N381" t="s">
        <v>233</v>
      </c>
      <c r="O381" t="s">
        <v>208</v>
      </c>
      <c r="P381">
        <v>3.3805971856425615E-2</v>
      </c>
      <c r="Q381" t="s">
        <v>174</v>
      </c>
      <c r="S381" t="s">
        <v>243</v>
      </c>
      <c r="T381" t="s">
        <v>208</v>
      </c>
      <c r="U381">
        <v>3.3805971856425615E-2</v>
      </c>
      <c r="V381" t="s">
        <v>174</v>
      </c>
    </row>
    <row r="382" spans="9:22" x14ac:dyDescent="0.45">
      <c r="I382" t="s">
        <v>223</v>
      </c>
      <c r="J382" t="s">
        <v>209</v>
      </c>
      <c r="K382">
        <v>0</v>
      </c>
      <c r="L382" t="s">
        <v>174</v>
      </c>
      <c r="N382" t="s">
        <v>233</v>
      </c>
      <c r="O382" t="s">
        <v>209</v>
      </c>
      <c r="P382">
        <v>4.3250096485101981E-3</v>
      </c>
      <c r="Q382" t="s">
        <v>174</v>
      </c>
      <c r="S382" t="s">
        <v>243</v>
      </c>
      <c r="T382" t="s">
        <v>209</v>
      </c>
      <c r="U382">
        <v>4.3250096485101981E-3</v>
      </c>
      <c r="V382" t="s">
        <v>174</v>
      </c>
    </row>
    <row r="383" spans="9:22" x14ac:dyDescent="0.45">
      <c r="I383" t="s">
        <v>223</v>
      </c>
      <c r="J383" t="s">
        <v>210</v>
      </c>
      <c r="K383">
        <v>0</v>
      </c>
      <c r="L383" t="s">
        <v>174</v>
      </c>
      <c r="N383" t="s">
        <v>233</v>
      </c>
      <c r="O383" t="s">
        <v>210</v>
      </c>
      <c r="P383">
        <v>3.099203862834999E-2</v>
      </c>
      <c r="Q383" t="s">
        <v>174</v>
      </c>
      <c r="S383" t="s">
        <v>243</v>
      </c>
      <c r="T383" t="s">
        <v>210</v>
      </c>
      <c r="U383">
        <v>3.099203862834999E-2</v>
      </c>
      <c r="V383" t="s">
        <v>174</v>
      </c>
    </row>
    <row r="384" spans="9:22" x14ac:dyDescent="0.45">
      <c r="I384" t="s">
        <v>223</v>
      </c>
      <c r="J384" t="s">
        <v>211</v>
      </c>
      <c r="K384">
        <v>0</v>
      </c>
      <c r="L384" t="s">
        <v>174</v>
      </c>
      <c r="N384" t="s">
        <v>233</v>
      </c>
      <c r="O384" t="s">
        <v>211</v>
      </c>
      <c r="P384">
        <v>6.0349639103356818E-3</v>
      </c>
      <c r="Q384" t="s">
        <v>174</v>
      </c>
      <c r="S384" t="s">
        <v>243</v>
      </c>
      <c r="T384" t="s">
        <v>211</v>
      </c>
      <c r="U384">
        <v>6.0349639103356818E-3</v>
      </c>
      <c r="V384" t="s">
        <v>174</v>
      </c>
    </row>
    <row r="385" spans="9:22" x14ac:dyDescent="0.45">
      <c r="I385" t="s">
        <v>223</v>
      </c>
      <c r="J385" t="s">
        <v>212</v>
      </c>
      <c r="K385">
        <v>0</v>
      </c>
      <c r="L385" t="s">
        <v>174</v>
      </c>
      <c r="N385" t="s">
        <v>233</v>
      </c>
      <c r="O385" t="s">
        <v>212</v>
      </c>
      <c r="P385">
        <v>1.7661790083975289E-2</v>
      </c>
      <c r="Q385" t="s">
        <v>174</v>
      </c>
      <c r="S385" t="s">
        <v>243</v>
      </c>
      <c r="T385" t="s">
        <v>212</v>
      </c>
      <c r="U385">
        <v>1.7661790083975289E-2</v>
      </c>
      <c r="V385" t="s">
        <v>174</v>
      </c>
    </row>
    <row r="386" spans="9:22" x14ac:dyDescent="0.45">
      <c r="I386" t="s">
        <v>223</v>
      </c>
      <c r="J386" t="s">
        <v>213</v>
      </c>
      <c r="K386">
        <v>2.8877686764015743E-2</v>
      </c>
      <c r="L386" t="s">
        <v>174</v>
      </c>
      <c r="N386" t="s">
        <v>233</v>
      </c>
      <c r="O386" t="s">
        <v>213</v>
      </c>
      <c r="P386">
        <v>3.4866711998972018E-2</v>
      </c>
      <c r="Q386" t="s">
        <v>174</v>
      </c>
      <c r="S386" t="s">
        <v>243</v>
      </c>
      <c r="T386" t="s">
        <v>213</v>
      </c>
      <c r="U386">
        <v>3.4866711998972018E-2</v>
      </c>
      <c r="V386" t="s">
        <v>174</v>
      </c>
    </row>
    <row r="387" spans="9:22" x14ac:dyDescent="0.45">
      <c r="I387" t="s">
        <v>223</v>
      </c>
      <c r="J387" t="s">
        <v>214</v>
      </c>
      <c r="K387">
        <v>9.3066181345856791E-6</v>
      </c>
      <c r="L387" t="s">
        <v>174</v>
      </c>
      <c r="N387" t="s">
        <v>233</v>
      </c>
      <c r="O387" t="s">
        <v>214</v>
      </c>
      <c r="P387">
        <v>4.18076338010386E-2</v>
      </c>
      <c r="Q387" t="s">
        <v>174</v>
      </c>
      <c r="S387" t="s">
        <v>243</v>
      </c>
      <c r="T387" t="s">
        <v>214</v>
      </c>
      <c r="U387">
        <v>4.18076338010386E-2</v>
      </c>
      <c r="V387" t="s">
        <v>174</v>
      </c>
    </row>
    <row r="388" spans="9:22" x14ac:dyDescent="0.45">
      <c r="I388" t="s">
        <v>223</v>
      </c>
      <c r="J388" t="s">
        <v>215</v>
      </c>
      <c r="K388">
        <v>0</v>
      </c>
      <c r="L388" t="s">
        <v>174</v>
      </c>
      <c r="N388" t="s">
        <v>233</v>
      </c>
      <c r="O388" t="s">
        <v>215</v>
      </c>
      <c r="P388">
        <v>6.3940724418864014E-3</v>
      </c>
      <c r="Q388" t="s">
        <v>174</v>
      </c>
      <c r="S388" t="s">
        <v>243</v>
      </c>
      <c r="T388" t="s">
        <v>215</v>
      </c>
      <c r="U388">
        <v>6.3940724418864014E-3</v>
      </c>
      <c r="V388" t="s">
        <v>174</v>
      </c>
    </row>
    <row r="389" spans="9:22" x14ac:dyDescent="0.45">
      <c r="I389" t="s">
        <v>224</v>
      </c>
      <c r="J389" t="s">
        <v>173</v>
      </c>
      <c r="K389">
        <v>0</v>
      </c>
      <c r="L389" t="s">
        <v>174</v>
      </c>
      <c r="N389" t="s">
        <v>234</v>
      </c>
      <c r="O389" t="s">
        <v>173</v>
      </c>
      <c r="P389">
        <v>1.8288420740552588E-2</v>
      </c>
      <c r="Q389" t="s">
        <v>174</v>
      </c>
      <c r="S389" t="s">
        <v>244</v>
      </c>
      <c r="T389" t="s">
        <v>173</v>
      </c>
      <c r="U389">
        <v>1.8288420740552588E-2</v>
      </c>
      <c r="V389" t="s">
        <v>174</v>
      </c>
    </row>
    <row r="390" spans="9:22" x14ac:dyDescent="0.45">
      <c r="I390" t="s">
        <v>224</v>
      </c>
      <c r="J390" t="s">
        <v>175</v>
      </c>
      <c r="K390">
        <v>0</v>
      </c>
      <c r="L390" t="s">
        <v>174</v>
      </c>
      <c r="N390" t="s">
        <v>234</v>
      </c>
      <c r="O390" t="s">
        <v>175</v>
      </c>
      <c r="P390">
        <v>3.4095492531205853E-3</v>
      </c>
      <c r="Q390" t="s">
        <v>174</v>
      </c>
      <c r="S390" t="s">
        <v>244</v>
      </c>
      <c r="T390" t="s">
        <v>175</v>
      </c>
      <c r="U390">
        <v>3.4095492531205853E-3</v>
      </c>
      <c r="V390" t="s">
        <v>174</v>
      </c>
    </row>
    <row r="391" spans="9:22" x14ac:dyDescent="0.45">
      <c r="I391" t="s">
        <v>224</v>
      </c>
      <c r="J391" t="s">
        <v>176</v>
      </c>
      <c r="K391">
        <v>0</v>
      </c>
      <c r="L391" t="s">
        <v>174</v>
      </c>
      <c r="N391" t="s">
        <v>234</v>
      </c>
      <c r="O391" t="s">
        <v>176</v>
      </c>
      <c r="P391">
        <v>1.027778676636661E-2</v>
      </c>
      <c r="Q391" t="s">
        <v>174</v>
      </c>
      <c r="S391" t="s">
        <v>244</v>
      </c>
      <c r="T391" t="s">
        <v>176</v>
      </c>
      <c r="U391">
        <v>1.027778676636661E-2</v>
      </c>
      <c r="V391" t="s">
        <v>174</v>
      </c>
    </row>
    <row r="392" spans="9:22" x14ac:dyDescent="0.45">
      <c r="I392" t="s">
        <v>224</v>
      </c>
      <c r="J392" t="s">
        <v>177</v>
      </c>
      <c r="K392">
        <v>2.5491343372072296E-2</v>
      </c>
      <c r="L392" t="s">
        <v>174</v>
      </c>
      <c r="N392" t="s">
        <v>234</v>
      </c>
      <c r="O392" t="s">
        <v>177</v>
      </c>
      <c r="P392">
        <v>2.1009995278459682E-2</v>
      </c>
      <c r="Q392" t="s">
        <v>174</v>
      </c>
      <c r="S392" t="s">
        <v>244</v>
      </c>
      <c r="T392" t="s">
        <v>177</v>
      </c>
      <c r="U392">
        <v>2.1009995278459682E-2</v>
      </c>
      <c r="V392" t="s">
        <v>174</v>
      </c>
    </row>
    <row r="393" spans="9:22" x14ac:dyDescent="0.45">
      <c r="I393" t="s">
        <v>224</v>
      </c>
      <c r="J393" t="s">
        <v>178</v>
      </c>
      <c r="K393">
        <v>1.9483944311512059E-3</v>
      </c>
      <c r="L393" t="s">
        <v>174</v>
      </c>
      <c r="N393" t="s">
        <v>234</v>
      </c>
      <c r="O393" t="s">
        <v>178</v>
      </c>
      <c r="P393">
        <v>2.6148398364284189E-2</v>
      </c>
      <c r="Q393" t="s">
        <v>174</v>
      </c>
      <c r="S393" t="s">
        <v>244</v>
      </c>
      <c r="T393" t="s">
        <v>178</v>
      </c>
      <c r="U393">
        <v>2.6148398364284189E-2</v>
      </c>
      <c r="V393" t="s">
        <v>174</v>
      </c>
    </row>
    <row r="394" spans="9:22" x14ac:dyDescent="0.45">
      <c r="I394" t="s">
        <v>224</v>
      </c>
      <c r="J394" t="s">
        <v>179</v>
      </c>
      <c r="K394">
        <v>0</v>
      </c>
      <c r="L394" t="s">
        <v>174</v>
      </c>
      <c r="N394" t="s">
        <v>234</v>
      </c>
      <c r="O394" t="s">
        <v>179</v>
      </c>
      <c r="P394">
        <v>3.8951889384240186E-3</v>
      </c>
      <c r="Q394" t="s">
        <v>174</v>
      </c>
      <c r="S394" t="s">
        <v>244</v>
      </c>
      <c r="T394" t="s">
        <v>179</v>
      </c>
      <c r="U394">
        <v>3.8951889384240186E-3</v>
      </c>
      <c r="V394" t="s">
        <v>174</v>
      </c>
    </row>
    <row r="395" spans="9:22" x14ac:dyDescent="0.45">
      <c r="I395" t="s">
        <v>224</v>
      </c>
      <c r="J395" t="s">
        <v>180</v>
      </c>
      <c r="K395">
        <v>0</v>
      </c>
      <c r="L395" t="s">
        <v>174</v>
      </c>
      <c r="N395" t="s">
        <v>234</v>
      </c>
      <c r="O395" t="s">
        <v>180</v>
      </c>
      <c r="P395">
        <v>3.6897720934427912E-2</v>
      </c>
      <c r="Q395" t="s">
        <v>174</v>
      </c>
      <c r="S395" t="s">
        <v>244</v>
      </c>
      <c r="T395" t="s">
        <v>180</v>
      </c>
      <c r="U395">
        <v>3.6897720934427912E-2</v>
      </c>
      <c r="V395" t="s">
        <v>174</v>
      </c>
    </row>
    <row r="396" spans="9:22" x14ac:dyDescent="0.45">
      <c r="I396" t="s">
        <v>224</v>
      </c>
      <c r="J396" t="s">
        <v>181</v>
      </c>
      <c r="K396">
        <v>0</v>
      </c>
      <c r="L396" t="s">
        <v>174</v>
      </c>
      <c r="N396" t="s">
        <v>234</v>
      </c>
      <c r="O396" t="s">
        <v>181</v>
      </c>
      <c r="P396">
        <v>7.38157513261368E-3</v>
      </c>
      <c r="Q396" t="s">
        <v>174</v>
      </c>
      <c r="S396" t="s">
        <v>244</v>
      </c>
      <c r="T396" t="s">
        <v>181</v>
      </c>
      <c r="U396">
        <v>7.38157513261368E-3</v>
      </c>
      <c r="V396" t="s">
        <v>174</v>
      </c>
    </row>
    <row r="397" spans="9:22" x14ac:dyDescent="0.45">
      <c r="I397" t="s">
        <v>224</v>
      </c>
      <c r="J397" t="s">
        <v>182</v>
      </c>
      <c r="K397">
        <v>1.3569129452766547E-2</v>
      </c>
      <c r="L397" t="s">
        <v>174</v>
      </c>
      <c r="N397" t="s">
        <v>234</v>
      </c>
      <c r="O397" t="s">
        <v>182</v>
      </c>
      <c r="P397">
        <v>2.2640667674244795E-2</v>
      </c>
      <c r="Q397" t="s">
        <v>174</v>
      </c>
      <c r="S397" t="s">
        <v>244</v>
      </c>
      <c r="T397" t="s">
        <v>182</v>
      </c>
      <c r="U397">
        <v>2.2640667674244795E-2</v>
      </c>
      <c r="V397" t="s">
        <v>174</v>
      </c>
    </row>
    <row r="398" spans="9:22" x14ac:dyDescent="0.45">
      <c r="I398" t="s">
        <v>224</v>
      </c>
      <c r="J398" t="s">
        <v>183</v>
      </c>
      <c r="K398">
        <v>0.10278390610892416</v>
      </c>
      <c r="L398" t="s">
        <v>174</v>
      </c>
      <c r="N398" t="s">
        <v>234</v>
      </c>
      <c r="O398" t="s">
        <v>183</v>
      </c>
      <c r="P398">
        <v>4.7704544661329479E-2</v>
      </c>
      <c r="Q398" t="s">
        <v>174</v>
      </c>
      <c r="S398" t="s">
        <v>244</v>
      </c>
      <c r="T398" t="s">
        <v>183</v>
      </c>
      <c r="U398">
        <v>4.7704544661329479E-2</v>
      </c>
      <c r="V398" t="s">
        <v>174</v>
      </c>
    </row>
    <row r="399" spans="9:22" x14ac:dyDescent="0.45">
      <c r="I399" t="s">
        <v>224</v>
      </c>
      <c r="J399" t="s">
        <v>184</v>
      </c>
      <c r="K399">
        <v>1.5000141888826084E-2</v>
      </c>
      <c r="L399" t="s">
        <v>174</v>
      </c>
      <c r="N399" t="s">
        <v>234</v>
      </c>
      <c r="O399" t="s">
        <v>184</v>
      </c>
      <c r="P399">
        <v>5.0270462833274389E-2</v>
      </c>
      <c r="Q399" t="s">
        <v>174</v>
      </c>
      <c r="S399" t="s">
        <v>244</v>
      </c>
      <c r="T399" t="s">
        <v>184</v>
      </c>
      <c r="U399">
        <v>5.0270462833274389E-2</v>
      </c>
      <c r="V399" t="s">
        <v>174</v>
      </c>
    </row>
    <row r="400" spans="9:22" x14ac:dyDescent="0.45">
      <c r="I400" t="s">
        <v>224</v>
      </c>
      <c r="J400" t="s">
        <v>185</v>
      </c>
      <c r="K400">
        <v>0</v>
      </c>
      <c r="L400" t="s">
        <v>174</v>
      </c>
      <c r="N400" t="s">
        <v>234</v>
      </c>
      <c r="O400" t="s">
        <v>185</v>
      </c>
      <c r="P400">
        <v>7.0077784528851115E-3</v>
      </c>
      <c r="Q400" t="s">
        <v>174</v>
      </c>
      <c r="S400" t="s">
        <v>244</v>
      </c>
      <c r="T400" t="s">
        <v>185</v>
      </c>
      <c r="U400">
        <v>7.0077784528851115E-3</v>
      </c>
      <c r="V400" t="s">
        <v>174</v>
      </c>
    </row>
    <row r="401" spans="9:22" x14ac:dyDescent="0.45">
      <c r="I401" t="s">
        <v>224</v>
      </c>
      <c r="J401" t="s">
        <v>186</v>
      </c>
      <c r="K401">
        <v>0</v>
      </c>
      <c r="L401" t="s">
        <v>174</v>
      </c>
      <c r="N401" t="s">
        <v>234</v>
      </c>
      <c r="O401" t="s">
        <v>186</v>
      </c>
      <c r="P401">
        <v>6.5282473653572926E-2</v>
      </c>
      <c r="Q401" t="s">
        <v>174</v>
      </c>
      <c r="S401" t="s">
        <v>244</v>
      </c>
      <c r="T401" t="s">
        <v>186</v>
      </c>
      <c r="U401">
        <v>6.5282473653572926E-2</v>
      </c>
      <c r="V401" t="s">
        <v>174</v>
      </c>
    </row>
    <row r="402" spans="9:22" x14ac:dyDescent="0.45">
      <c r="I402" t="s">
        <v>224</v>
      </c>
      <c r="J402" t="s">
        <v>187</v>
      </c>
      <c r="K402">
        <v>7.7658428484333837E-3</v>
      </c>
      <c r="L402" t="s">
        <v>174</v>
      </c>
      <c r="N402" t="s">
        <v>234</v>
      </c>
      <c r="O402" t="s">
        <v>187</v>
      </c>
      <c r="P402">
        <v>1.1984630981464465E-2</v>
      </c>
      <c r="Q402" t="s">
        <v>174</v>
      </c>
      <c r="S402" t="s">
        <v>244</v>
      </c>
      <c r="T402" t="s">
        <v>187</v>
      </c>
      <c r="U402">
        <v>1.1984630981464465E-2</v>
      </c>
      <c r="V402" t="s">
        <v>174</v>
      </c>
    </row>
    <row r="403" spans="9:22" x14ac:dyDescent="0.45">
      <c r="I403" t="s">
        <v>224</v>
      </c>
      <c r="J403" t="s">
        <v>188</v>
      </c>
      <c r="K403">
        <v>8.433263714399257E-2</v>
      </c>
      <c r="L403" t="s">
        <v>174</v>
      </c>
      <c r="N403" t="s">
        <v>234</v>
      </c>
      <c r="O403" t="s">
        <v>188</v>
      </c>
      <c r="P403">
        <v>3.3041079076539734E-2</v>
      </c>
      <c r="Q403" t="s">
        <v>174</v>
      </c>
      <c r="S403" t="s">
        <v>244</v>
      </c>
      <c r="T403" t="s">
        <v>188</v>
      </c>
      <c r="U403">
        <v>3.3041079076539734E-2</v>
      </c>
      <c r="V403" t="s">
        <v>174</v>
      </c>
    </row>
    <row r="404" spans="9:22" x14ac:dyDescent="0.45">
      <c r="I404" t="s">
        <v>224</v>
      </c>
      <c r="J404" t="s">
        <v>189</v>
      </c>
      <c r="K404">
        <v>0.31675872082502282</v>
      </c>
      <c r="L404" t="s">
        <v>174</v>
      </c>
      <c r="N404" t="s">
        <v>234</v>
      </c>
      <c r="O404" t="s">
        <v>189</v>
      </c>
      <c r="P404">
        <v>8.1631372043783734E-2</v>
      </c>
      <c r="Q404" t="s">
        <v>174</v>
      </c>
      <c r="S404" t="s">
        <v>244</v>
      </c>
      <c r="T404" t="s">
        <v>189</v>
      </c>
      <c r="U404">
        <v>8.1631372043783734E-2</v>
      </c>
      <c r="V404" t="s">
        <v>174</v>
      </c>
    </row>
    <row r="405" spans="9:22" x14ac:dyDescent="0.45">
      <c r="I405" t="s">
        <v>224</v>
      </c>
      <c r="J405" t="s">
        <v>190</v>
      </c>
      <c r="K405">
        <v>0.10001944420541219</v>
      </c>
      <c r="L405" t="s">
        <v>174</v>
      </c>
      <c r="N405" t="s">
        <v>234</v>
      </c>
      <c r="O405" t="s">
        <v>190</v>
      </c>
      <c r="P405">
        <v>9.0393787182397239E-2</v>
      </c>
      <c r="Q405" t="s">
        <v>174</v>
      </c>
      <c r="S405" t="s">
        <v>244</v>
      </c>
      <c r="T405" t="s">
        <v>190</v>
      </c>
      <c r="U405">
        <v>9.0393787182397239E-2</v>
      </c>
      <c r="V405" t="s">
        <v>174</v>
      </c>
    </row>
    <row r="406" spans="9:22" x14ac:dyDescent="0.45">
      <c r="I406" t="s">
        <v>224</v>
      </c>
      <c r="J406" t="s">
        <v>191</v>
      </c>
      <c r="K406">
        <v>0</v>
      </c>
      <c r="L406" t="s">
        <v>174</v>
      </c>
      <c r="N406" t="s">
        <v>234</v>
      </c>
      <c r="O406" t="s">
        <v>191</v>
      </c>
      <c r="P406">
        <v>1.4037254395016227E-2</v>
      </c>
      <c r="Q406" t="s">
        <v>174</v>
      </c>
      <c r="S406" t="s">
        <v>244</v>
      </c>
      <c r="T406" t="s">
        <v>191</v>
      </c>
      <c r="U406">
        <v>1.4037254395016227E-2</v>
      </c>
      <c r="V406" t="s">
        <v>174</v>
      </c>
    </row>
    <row r="407" spans="9:22" x14ac:dyDescent="0.45">
      <c r="I407" t="s">
        <v>224</v>
      </c>
      <c r="J407" t="s">
        <v>192</v>
      </c>
      <c r="K407">
        <v>0</v>
      </c>
      <c r="L407" t="s">
        <v>174</v>
      </c>
      <c r="N407" t="s">
        <v>234</v>
      </c>
      <c r="O407" t="s">
        <v>192</v>
      </c>
      <c r="P407">
        <v>9.8717954439513384E-3</v>
      </c>
      <c r="Q407" t="s">
        <v>174</v>
      </c>
      <c r="S407" t="s">
        <v>244</v>
      </c>
      <c r="T407" t="s">
        <v>192</v>
      </c>
      <c r="U407">
        <v>9.8717954439513384E-3</v>
      </c>
      <c r="V407" t="s">
        <v>174</v>
      </c>
    </row>
    <row r="408" spans="9:22" x14ac:dyDescent="0.45">
      <c r="I408" t="s">
        <v>224</v>
      </c>
      <c r="J408" t="s">
        <v>193</v>
      </c>
      <c r="K408">
        <v>6.8405717026076758E-4</v>
      </c>
      <c r="L408" t="s">
        <v>174</v>
      </c>
      <c r="N408" t="s">
        <v>234</v>
      </c>
      <c r="O408" t="s">
        <v>193</v>
      </c>
      <c r="P408">
        <v>1.8198022942847684E-3</v>
      </c>
      <c r="Q408" t="s">
        <v>174</v>
      </c>
      <c r="S408" t="s">
        <v>244</v>
      </c>
      <c r="T408" t="s">
        <v>193</v>
      </c>
      <c r="U408">
        <v>1.8198022942847684E-3</v>
      </c>
      <c r="V408" t="s">
        <v>174</v>
      </c>
    </row>
    <row r="409" spans="9:22" x14ac:dyDescent="0.45">
      <c r="I409" t="s">
        <v>224</v>
      </c>
      <c r="J409" t="s">
        <v>194</v>
      </c>
      <c r="K409">
        <v>2.0582292040471368E-2</v>
      </c>
      <c r="L409" t="s">
        <v>174</v>
      </c>
      <c r="N409" t="s">
        <v>234</v>
      </c>
      <c r="O409" t="s">
        <v>194</v>
      </c>
      <c r="P409">
        <v>4.4844940614968878E-3</v>
      </c>
      <c r="Q409" t="s">
        <v>174</v>
      </c>
      <c r="S409" t="s">
        <v>244</v>
      </c>
      <c r="T409" t="s">
        <v>194</v>
      </c>
      <c r="U409">
        <v>4.4844940614968878E-3</v>
      </c>
      <c r="V409" t="s">
        <v>174</v>
      </c>
    </row>
    <row r="410" spans="9:22" x14ac:dyDescent="0.45">
      <c r="I410" t="s">
        <v>224</v>
      </c>
      <c r="J410" t="s">
        <v>195</v>
      </c>
      <c r="K410">
        <v>7.9463667140039898E-2</v>
      </c>
      <c r="L410" t="s">
        <v>174</v>
      </c>
      <c r="N410" t="s">
        <v>234</v>
      </c>
      <c r="O410" t="s">
        <v>195</v>
      </c>
      <c r="P410">
        <v>1.0669946580101831E-2</v>
      </c>
      <c r="Q410" t="s">
        <v>174</v>
      </c>
      <c r="S410" t="s">
        <v>244</v>
      </c>
      <c r="T410" t="s">
        <v>195</v>
      </c>
      <c r="U410">
        <v>1.0669946580101831E-2</v>
      </c>
      <c r="V410" t="s">
        <v>174</v>
      </c>
    </row>
    <row r="411" spans="9:22" x14ac:dyDescent="0.45">
      <c r="I411" t="s">
        <v>224</v>
      </c>
      <c r="J411" t="s">
        <v>196</v>
      </c>
      <c r="K411">
        <v>2.5670401800155809E-2</v>
      </c>
      <c r="L411" t="s">
        <v>174</v>
      </c>
      <c r="N411" t="s">
        <v>234</v>
      </c>
      <c r="O411" t="s">
        <v>196</v>
      </c>
      <c r="P411">
        <v>1.2496519217945251E-2</v>
      </c>
      <c r="Q411" t="s">
        <v>174</v>
      </c>
      <c r="S411" t="s">
        <v>244</v>
      </c>
      <c r="T411" t="s">
        <v>196</v>
      </c>
      <c r="U411">
        <v>1.2496519217945251E-2</v>
      </c>
      <c r="V411" t="s">
        <v>174</v>
      </c>
    </row>
    <row r="412" spans="9:22" x14ac:dyDescent="0.45">
      <c r="I412" t="s">
        <v>224</v>
      </c>
      <c r="J412" t="s">
        <v>197</v>
      </c>
      <c r="K412">
        <v>0</v>
      </c>
      <c r="L412" t="s">
        <v>174</v>
      </c>
      <c r="N412" t="s">
        <v>234</v>
      </c>
      <c r="O412" t="s">
        <v>197</v>
      </c>
      <c r="P412">
        <v>2.1702846813451766E-3</v>
      </c>
      <c r="Q412" t="s">
        <v>174</v>
      </c>
      <c r="S412" t="s">
        <v>244</v>
      </c>
      <c r="T412" t="s">
        <v>197</v>
      </c>
      <c r="U412">
        <v>2.1702846813451766E-3</v>
      </c>
      <c r="V412" t="s">
        <v>174</v>
      </c>
    </row>
    <row r="413" spans="9:22" x14ac:dyDescent="0.45">
      <c r="I413" t="s">
        <v>224</v>
      </c>
      <c r="J413" t="s">
        <v>198</v>
      </c>
      <c r="K413">
        <v>0</v>
      </c>
      <c r="L413" t="s">
        <v>174</v>
      </c>
      <c r="N413" t="s">
        <v>234</v>
      </c>
      <c r="O413" t="s">
        <v>198</v>
      </c>
      <c r="P413">
        <v>3.7794376597194285E-2</v>
      </c>
      <c r="Q413" t="s">
        <v>174</v>
      </c>
      <c r="S413" t="s">
        <v>244</v>
      </c>
      <c r="T413" t="s">
        <v>198</v>
      </c>
      <c r="U413">
        <v>3.7794376597194285E-2</v>
      </c>
      <c r="V413" t="s">
        <v>174</v>
      </c>
    </row>
    <row r="414" spans="9:22" x14ac:dyDescent="0.45">
      <c r="I414" t="s">
        <v>224</v>
      </c>
      <c r="J414" t="s">
        <v>199</v>
      </c>
      <c r="K414">
        <v>0</v>
      </c>
      <c r="L414" t="s">
        <v>174</v>
      </c>
      <c r="N414" t="s">
        <v>234</v>
      </c>
      <c r="O414" t="s">
        <v>199</v>
      </c>
      <c r="P414">
        <v>7.6645420018550863E-3</v>
      </c>
      <c r="Q414" t="s">
        <v>174</v>
      </c>
      <c r="S414" t="s">
        <v>244</v>
      </c>
      <c r="T414" t="s">
        <v>199</v>
      </c>
      <c r="U414">
        <v>7.6645420018550863E-3</v>
      </c>
      <c r="V414" t="s">
        <v>174</v>
      </c>
    </row>
    <row r="415" spans="9:22" x14ac:dyDescent="0.45">
      <c r="I415" t="s">
        <v>224</v>
      </c>
      <c r="J415" t="s">
        <v>200</v>
      </c>
      <c r="K415">
        <v>2.1667699481964748E-2</v>
      </c>
      <c r="L415" t="s">
        <v>174</v>
      </c>
      <c r="N415" t="s">
        <v>234</v>
      </c>
      <c r="O415" t="s">
        <v>200</v>
      </c>
      <c r="P415">
        <v>2.1486724581635086E-2</v>
      </c>
      <c r="Q415" t="s">
        <v>174</v>
      </c>
      <c r="S415" t="s">
        <v>244</v>
      </c>
      <c r="T415" t="s">
        <v>200</v>
      </c>
      <c r="U415">
        <v>2.1486724581635086E-2</v>
      </c>
      <c r="V415" t="s">
        <v>174</v>
      </c>
    </row>
    <row r="416" spans="9:22" x14ac:dyDescent="0.45">
      <c r="I416" t="s">
        <v>224</v>
      </c>
      <c r="J416" t="s">
        <v>201</v>
      </c>
      <c r="K416">
        <v>0.11546759733419942</v>
      </c>
      <c r="L416" t="s">
        <v>174</v>
      </c>
      <c r="N416" t="s">
        <v>234</v>
      </c>
      <c r="O416" t="s">
        <v>201</v>
      </c>
      <c r="P416">
        <v>4.7161881046099335E-2</v>
      </c>
      <c r="Q416" t="s">
        <v>174</v>
      </c>
      <c r="S416" t="s">
        <v>244</v>
      </c>
      <c r="T416" t="s">
        <v>201</v>
      </c>
      <c r="U416">
        <v>4.7161881046099335E-2</v>
      </c>
      <c r="V416" t="s">
        <v>174</v>
      </c>
    </row>
    <row r="417" spans="9:22" x14ac:dyDescent="0.45">
      <c r="I417" t="s">
        <v>224</v>
      </c>
      <c r="J417" t="s">
        <v>202</v>
      </c>
      <c r="K417">
        <v>1.6366510069504823E-2</v>
      </c>
      <c r="L417" t="s">
        <v>174</v>
      </c>
      <c r="N417" t="s">
        <v>234</v>
      </c>
      <c r="O417" t="s">
        <v>202</v>
      </c>
      <c r="P417">
        <v>5.406079058831962E-2</v>
      </c>
      <c r="Q417" t="s">
        <v>174</v>
      </c>
      <c r="S417" t="s">
        <v>244</v>
      </c>
      <c r="T417" t="s">
        <v>202</v>
      </c>
      <c r="U417">
        <v>5.406079058831962E-2</v>
      </c>
      <c r="V417" t="s">
        <v>174</v>
      </c>
    </row>
    <row r="418" spans="9:22" x14ac:dyDescent="0.45">
      <c r="I418" t="s">
        <v>224</v>
      </c>
      <c r="J418" t="s">
        <v>203</v>
      </c>
      <c r="K418">
        <v>0</v>
      </c>
      <c r="L418" t="s">
        <v>174</v>
      </c>
      <c r="N418" t="s">
        <v>234</v>
      </c>
      <c r="O418" t="s">
        <v>203</v>
      </c>
      <c r="P418">
        <v>8.1398430139442805E-3</v>
      </c>
      <c r="Q418" t="s">
        <v>174</v>
      </c>
      <c r="S418" t="s">
        <v>244</v>
      </c>
      <c r="T418" t="s">
        <v>203</v>
      </c>
      <c r="U418">
        <v>8.1398430139442805E-3</v>
      </c>
      <c r="V418" t="s">
        <v>174</v>
      </c>
    </row>
    <row r="419" spans="9:22" x14ac:dyDescent="0.45">
      <c r="I419" t="s">
        <v>224</v>
      </c>
      <c r="J419" t="s">
        <v>204</v>
      </c>
      <c r="K419">
        <v>0</v>
      </c>
      <c r="L419" t="s">
        <v>174</v>
      </c>
      <c r="N419" t="s">
        <v>234</v>
      </c>
      <c r="O419" t="s">
        <v>204</v>
      </c>
      <c r="P419">
        <v>1.8187527424860673E-2</v>
      </c>
      <c r="Q419" t="s">
        <v>174</v>
      </c>
      <c r="S419" t="s">
        <v>244</v>
      </c>
      <c r="T419" t="s">
        <v>204</v>
      </c>
      <c r="U419">
        <v>1.8187527424860673E-2</v>
      </c>
      <c r="V419" t="s">
        <v>174</v>
      </c>
    </row>
    <row r="420" spans="9:22" x14ac:dyDescent="0.45">
      <c r="I420" t="s">
        <v>224</v>
      </c>
      <c r="J420" t="s">
        <v>205</v>
      </c>
      <c r="K420">
        <v>0</v>
      </c>
      <c r="L420" t="s">
        <v>174</v>
      </c>
      <c r="N420" t="s">
        <v>234</v>
      </c>
      <c r="O420" t="s">
        <v>205</v>
      </c>
      <c r="P420">
        <v>3.3902966025126996E-3</v>
      </c>
      <c r="Q420" t="s">
        <v>174</v>
      </c>
      <c r="S420" t="s">
        <v>244</v>
      </c>
      <c r="T420" t="s">
        <v>205</v>
      </c>
      <c r="U420">
        <v>3.3902966025126996E-3</v>
      </c>
      <c r="V420" t="s">
        <v>174</v>
      </c>
    </row>
    <row r="421" spans="9:22" x14ac:dyDescent="0.45">
      <c r="I421" t="s">
        <v>224</v>
      </c>
      <c r="J421" t="s">
        <v>206</v>
      </c>
      <c r="K421">
        <v>1.481320959401608E-3</v>
      </c>
      <c r="L421" t="s">
        <v>174</v>
      </c>
      <c r="N421" t="s">
        <v>234</v>
      </c>
      <c r="O421" t="s">
        <v>206</v>
      </c>
      <c r="P421">
        <v>1.0960806658987146E-2</v>
      </c>
      <c r="Q421" t="s">
        <v>174</v>
      </c>
      <c r="S421" t="s">
        <v>244</v>
      </c>
      <c r="T421" t="s">
        <v>206</v>
      </c>
      <c r="U421">
        <v>1.0960806658987146E-2</v>
      </c>
      <c r="V421" t="s">
        <v>174</v>
      </c>
    </row>
    <row r="422" spans="9:22" x14ac:dyDescent="0.45">
      <c r="I422" t="s">
        <v>224</v>
      </c>
      <c r="J422" t="s">
        <v>207</v>
      </c>
      <c r="K422">
        <v>2.2363135421076524E-2</v>
      </c>
      <c r="L422" t="s">
        <v>174</v>
      </c>
      <c r="N422" t="s">
        <v>234</v>
      </c>
      <c r="O422" t="s">
        <v>207</v>
      </c>
      <c r="P422">
        <v>2.8275844096700871E-2</v>
      </c>
      <c r="Q422" t="s">
        <v>174</v>
      </c>
      <c r="S422" t="s">
        <v>244</v>
      </c>
      <c r="T422" t="s">
        <v>207</v>
      </c>
      <c r="U422">
        <v>2.8275844096700871E-2</v>
      </c>
      <c r="V422" t="s">
        <v>174</v>
      </c>
    </row>
    <row r="423" spans="9:22" x14ac:dyDescent="0.45">
      <c r="I423" t="s">
        <v>224</v>
      </c>
      <c r="J423" t="s">
        <v>208</v>
      </c>
      <c r="K423">
        <v>9.2927120144439444E-4</v>
      </c>
      <c r="L423" t="s">
        <v>174</v>
      </c>
      <c r="N423" t="s">
        <v>234</v>
      </c>
      <c r="O423" t="s">
        <v>208</v>
      </c>
      <c r="P423">
        <v>3.1834120228466808E-2</v>
      </c>
      <c r="Q423" t="s">
        <v>174</v>
      </c>
      <c r="S423" t="s">
        <v>244</v>
      </c>
      <c r="T423" t="s">
        <v>208</v>
      </c>
      <c r="U423">
        <v>3.1834120228466808E-2</v>
      </c>
      <c r="V423" t="s">
        <v>174</v>
      </c>
    </row>
    <row r="424" spans="9:22" x14ac:dyDescent="0.45">
      <c r="I424" t="s">
        <v>224</v>
      </c>
      <c r="J424" t="s">
        <v>209</v>
      </c>
      <c r="K424">
        <v>0</v>
      </c>
      <c r="L424" t="s">
        <v>174</v>
      </c>
      <c r="N424" t="s">
        <v>234</v>
      </c>
      <c r="O424" t="s">
        <v>209</v>
      </c>
      <c r="P424">
        <v>3.9198027613709012E-3</v>
      </c>
      <c r="Q424" t="s">
        <v>174</v>
      </c>
      <c r="S424" t="s">
        <v>244</v>
      </c>
      <c r="T424" t="s">
        <v>209</v>
      </c>
      <c r="U424">
        <v>3.9198027613709012E-3</v>
      </c>
      <c r="V424" t="s">
        <v>174</v>
      </c>
    </row>
    <row r="425" spans="9:22" x14ac:dyDescent="0.45">
      <c r="I425" t="s">
        <v>224</v>
      </c>
      <c r="J425" t="s">
        <v>210</v>
      </c>
      <c r="K425">
        <v>0</v>
      </c>
      <c r="L425" t="s">
        <v>174</v>
      </c>
      <c r="N425" t="s">
        <v>234</v>
      </c>
      <c r="O425" t="s">
        <v>210</v>
      </c>
      <c r="P425">
        <v>2.9942999530605405E-2</v>
      </c>
      <c r="Q425" t="s">
        <v>174</v>
      </c>
      <c r="S425" t="s">
        <v>244</v>
      </c>
      <c r="T425" t="s">
        <v>210</v>
      </c>
      <c r="U425">
        <v>2.9942999530605405E-2</v>
      </c>
      <c r="V425" t="s">
        <v>174</v>
      </c>
    </row>
    <row r="426" spans="9:22" x14ac:dyDescent="0.45">
      <c r="I426" t="s">
        <v>224</v>
      </c>
      <c r="J426" t="s">
        <v>211</v>
      </c>
      <c r="K426">
        <v>0</v>
      </c>
      <c r="L426" t="s">
        <v>174</v>
      </c>
      <c r="N426" t="s">
        <v>234</v>
      </c>
      <c r="O426" t="s">
        <v>211</v>
      </c>
      <c r="P426">
        <v>5.8362972962436579E-3</v>
      </c>
      <c r="Q426" t="s">
        <v>174</v>
      </c>
      <c r="S426" t="s">
        <v>244</v>
      </c>
      <c r="T426" t="s">
        <v>211</v>
      </c>
      <c r="U426">
        <v>5.8362972962436579E-3</v>
      </c>
      <c r="V426" t="s">
        <v>174</v>
      </c>
    </row>
    <row r="427" spans="9:22" x14ac:dyDescent="0.45">
      <c r="I427" t="s">
        <v>224</v>
      </c>
      <c r="J427" t="s">
        <v>212</v>
      </c>
      <c r="K427">
        <v>0</v>
      </c>
      <c r="L427" t="s">
        <v>174</v>
      </c>
      <c r="N427" t="s">
        <v>234</v>
      </c>
      <c r="O427" t="s">
        <v>212</v>
      </c>
      <c r="P427">
        <v>1.7373393636252576E-2</v>
      </c>
      <c r="Q427" t="s">
        <v>174</v>
      </c>
      <c r="S427" t="s">
        <v>244</v>
      </c>
      <c r="T427" t="s">
        <v>212</v>
      </c>
      <c r="U427">
        <v>1.7373393636252576E-2</v>
      </c>
      <c r="V427" t="s">
        <v>174</v>
      </c>
    </row>
    <row r="428" spans="9:22" x14ac:dyDescent="0.45">
      <c r="I428" t="s">
        <v>224</v>
      </c>
      <c r="J428" t="s">
        <v>213</v>
      </c>
      <c r="K428">
        <v>2.7654487104880662E-2</v>
      </c>
      <c r="L428" t="s">
        <v>174</v>
      </c>
      <c r="N428" t="s">
        <v>234</v>
      </c>
      <c r="O428" t="s">
        <v>213</v>
      </c>
      <c r="P428">
        <v>3.4514001129771335E-2</v>
      </c>
      <c r="Q428" t="s">
        <v>174</v>
      </c>
      <c r="S428" t="s">
        <v>244</v>
      </c>
      <c r="T428" t="s">
        <v>213</v>
      </c>
      <c r="U428">
        <v>3.4514001129771335E-2</v>
      </c>
      <c r="V428" t="s">
        <v>174</v>
      </c>
    </row>
    <row r="429" spans="9:22" x14ac:dyDescent="0.45">
      <c r="I429" t="s">
        <v>224</v>
      </c>
      <c r="J429" t="s">
        <v>214</v>
      </c>
      <c r="K429">
        <v>0</v>
      </c>
      <c r="L429" t="s">
        <v>174</v>
      </c>
      <c r="N429" t="s">
        <v>234</v>
      </c>
      <c r="O429" t="s">
        <v>214</v>
      </c>
      <c r="P429">
        <v>4.044982369137258E-2</v>
      </c>
      <c r="Q429" t="s">
        <v>174</v>
      </c>
      <c r="S429" t="s">
        <v>244</v>
      </c>
      <c r="T429" t="s">
        <v>214</v>
      </c>
      <c r="U429">
        <v>4.044982369137258E-2</v>
      </c>
      <c r="V429" t="s">
        <v>174</v>
      </c>
    </row>
    <row r="430" spans="9:22" x14ac:dyDescent="0.45">
      <c r="I430" t="s">
        <v>224</v>
      </c>
      <c r="J430" t="s">
        <v>215</v>
      </c>
      <c r="K430">
        <v>0</v>
      </c>
      <c r="L430" t="s">
        <v>174</v>
      </c>
      <c r="N430" t="s">
        <v>234</v>
      </c>
      <c r="O430" t="s">
        <v>215</v>
      </c>
      <c r="P430">
        <v>6.1914004719249502E-3</v>
      </c>
      <c r="Q430" t="s">
        <v>174</v>
      </c>
      <c r="S430" t="s">
        <v>244</v>
      </c>
      <c r="T430" t="s">
        <v>215</v>
      </c>
      <c r="U430">
        <v>6.1914004719249502E-3</v>
      </c>
      <c r="V430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64E9-04BA-40D9-9876-7826828B4016}">
  <dimension ref="A9:AN2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171</v>
      </c>
      <c r="L10" t="s">
        <v>30</v>
      </c>
      <c r="N10" t="s">
        <v>13</v>
      </c>
      <c r="O10" t="s">
        <v>121</v>
      </c>
      <c r="P10" t="s">
        <v>171</v>
      </c>
      <c r="Q10" t="s">
        <v>30</v>
      </c>
      <c r="S10" t="s">
        <v>13</v>
      </c>
      <c r="T10" t="s">
        <v>121</v>
      </c>
      <c r="U10" t="s">
        <v>171</v>
      </c>
      <c r="V10" t="s">
        <v>30</v>
      </c>
      <c r="X10" t="s">
        <v>245</v>
      </c>
      <c r="Y10" t="s">
        <v>171</v>
      </c>
      <c r="Z10" t="s">
        <v>121</v>
      </c>
      <c r="AA10" t="s">
        <v>13</v>
      </c>
      <c r="AC10" t="s">
        <v>13</v>
      </c>
      <c r="AD10" t="s">
        <v>121</v>
      </c>
      <c r="AE10" t="s">
        <v>171</v>
      </c>
      <c r="AG10" t="s">
        <v>13</v>
      </c>
      <c r="AH10" t="s">
        <v>121</v>
      </c>
      <c r="AI10" t="s">
        <v>251</v>
      </c>
      <c r="AK10" t="s">
        <v>47</v>
      </c>
      <c r="AL10" t="s">
        <v>121</v>
      </c>
      <c r="AM10" t="s">
        <v>252</v>
      </c>
      <c r="AN10" t="s">
        <v>253</v>
      </c>
    </row>
    <row r="11" spans="1:40" x14ac:dyDescent="0.45">
      <c r="A11" t="str">
        <f>IFERROR(IF(Veda!D5=A10,"ok","x"),"")</f>
        <v>ok</v>
      </c>
      <c r="C11" t="s">
        <v>255</v>
      </c>
      <c r="D11" t="s">
        <v>156</v>
      </c>
      <c r="E11" t="s">
        <v>256</v>
      </c>
      <c r="F11" t="s">
        <v>255</v>
      </c>
      <c r="G11" t="s">
        <v>156</v>
      </c>
      <c r="I11" t="s">
        <v>172</v>
      </c>
      <c r="J11" t="s">
        <v>257</v>
      </c>
      <c r="K11">
        <v>1.0000000000000002</v>
      </c>
      <c r="L11" t="s">
        <v>174</v>
      </c>
      <c r="N11" t="s">
        <v>225</v>
      </c>
      <c r="O11" t="s">
        <v>257</v>
      </c>
      <c r="P11">
        <v>0.99999999999999922</v>
      </c>
      <c r="Q11" t="s">
        <v>174</v>
      </c>
      <c r="S11" t="s">
        <v>235</v>
      </c>
      <c r="T11" t="s">
        <v>257</v>
      </c>
      <c r="U11">
        <v>0.99999999999999922</v>
      </c>
      <c r="V11" t="s">
        <v>174</v>
      </c>
      <c r="X11">
        <v>1</v>
      </c>
      <c r="Y11">
        <v>1.0000000000000002</v>
      </c>
      <c r="Z11" t="s">
        <v>257</v>
      </c>
      <c r="AA11" t="s">
        <v>25</v>
      </c>
      <c r="AC11" t="s">
        <v>22</v>
      </c>
      <c r="AD11" t="s">
        <v>257</v>
      </c>
      <c r="AE11">
        <v>1</v>
      </c>
      <c r="AG11" t="s">
        <v>96</v>
      </c>
      <c r="AH11" t="s">
        <v>257</v>
      </c>
      <c r="AI11">
        <v>0.31455304387341232</v>
      </c>
      <c r="AK11">
        <v>2020</v>
      </c>
      <c r="AL11" t="s">
        <v>255</v>
      </c>
      <c r="AM11">
        <v>0.15549918914768743</v>
      </c>
      <c r="AN11" t="s">
        <v>254</v>
      </c>
    </row>
    <row r="12" spans="1:40" x14ac:dyDescent="0.45">
      <c r="I12" t="s">
        <v>216</v>
      </c>
      <c r="J12" t="s">
        <v>257</v>
      </c>
      <c r="K12">
        <v>1.0000000000000007</v>
      </c>
      <c r="L12" t="s">
        <v>174</v>
      </c>
      <c r="N12" t="s">
        <v>226</v>
      </c>
      <c r="O12" t="s">
        <v>257</v>
      </c>
      <c r="P12">
        <v>0.99999999999999734</v>
      </c>
      <c r="Q12" t="s">
        <v>174</v>
      </c>
      <c r="S12" t="s">
        <v>236</v>
      </c>
      <c r="T12" t="s">
        <v>257</v>
      </c>
      <c r="U12">
        <v>0.99999999999999734</v>
      </c>
      <c r="V12" t="s">
        <v>174</v>
      </c>
      <c r="AC12" t="s">
        <v>19</v>
      </c>
      <c r="AD12" t="s">
        <v>257</v>
      </c>
      <c r="AE12">
        <v>1</v>
      </c>
      <c r="AK12">
        <v>2021</v>
      </c>
      <c r="AL12" t="s">
        <v>255</v>
      </c>
      <c r="AM12">
        <v>0.23950623749010838</v>
      </c>
      <c r="AN12" t="s">
        <v>254</v>
      </c>
    </row>
    <row r="13" spans="1:40" x14ac:dyDescent="0.45">
      <c r="I13" t="s">
        <v>217</v>
      </c>
      <c r="J13" t="s">
        <v>257</v>
      </c>
      <c r="K13">
        <v>1.0000000000000027</v>
      </c>
      <c r="L13" t="s">
        <v>174</v>
      </c>
      <c r="N13" t="s">
        <v>227</v>
      </c>
      <c r="O13" t="s">
        <v>257</v>
      </c>
      <c r="P13">
        <v>0.99999999999999645</v>
      </c>
      <c r="Q13" t="s">
        <v>174</v>
      </c>
      <c r="S13" t="s">
        <v>237</v>
      </c>
      <c r="T13" t="s">
        <v>257</v>
      </c>
      <c r="U13">
        <v>0.99999999999999645</v>
      </c>
      <c r="V13" t="s">
        <v>174</v>
      </c>
      <c r="AK13">
        <v>2022</v>
      </c>
      <c r="AL13" t="s">
        <v>255</v>
      </c>
      <c r="AM13">
        <v>7.5915969733174007E-2</v>
      </c>
      <c r="AN13" t="s">
        <v>254</v>
      </c>
    </row>
    <row r="14" spans="1:40" x14ac:dyDescent="0.45">
      <c r="I14" t="s">
        <v>218</v>
      </c>
      <c r="J14" t="s">
        <v>257</v>
      </c>
      <c r="K14">
        <v>0.99999999999999956</v>
      </c>
      <c r="L14" t="s">
        <v>174</v>
      </c>
      <c r="N14" t="s">
        <v>228</v>
      </c>
      <c r="O14" t="s">
        <v>257</v>
      </c>
      <c r="P14">
        <v>1.0000000000000029</v>
      </c>
      <c r="Q14" t="s">
        <v>174</v>
      </c>
      <c r="S14" t="s">
        <v>238</v>
      </c>
      <c r="T14" t="s">
        <v>257</v>
      </c>
      <c r="U14">
        <v>1.0000000000000029</v>
      </c>
      <c r="V14" t="s">
        <v>174</v>
      </c>
    </row>
    <row r="15" spans="1:40" x14ac:dyDescent="0.45">
      <c r="I15" t="s">
        <v>219</v>
      </c>
      <c r="J15" t="s">
        <v>257</v>
      </c>
      <c r="K15">
        <v>0.99999999999999922</v>
      </c>
      <c r="L15" t="s">
        <v>174</v>
      </c>
      <c r="N15" t="s">
        <v>229</v>
      </c>
      <c r="O15" t="s">
        <v>257</v>
      </c>
      <c r="P15">
        <v>0.99999999999999689</v>
      </c>
      <c r="Q15" t="s">
        <v>174</v>
      </c>
      <c r="S15" t="s">
        <v>239</v>
      </c>
      <c r="T15" t="s">
        <v>257</v>
      </c>
      <c r="U15">
        <v>0.99999999999999689</v>
      </c>
      <c r="V15" t="s">
        <v>174</v>
      </c>
    </row>
    <row r="16" spans="1:40" x14ac:dyDescent="0.45">
      <c r="I16" t="s">
        <v>220</v>
      </c>
      <c r="J16" t="s">
        <v>257</v>
      </c>
      <c r="K16">
        <v>1.000000000000002</v>
      </c>
      <c r="L16" t="s">
        <v>174</v>
      </c>
      <c r="N16" t="s">
        <v>230</v>
      </c>
      <c r="O16" t="s">
        <v>257</v>
      </c>
      <c r="P16">
        <v>1.0000000000000036</v>
      </c>
      <c r="Q16" t="s">
        <v>174</v>
      </c>
      <c r="S16" t="s">
        <v>240</v>
      </c>
      <c r="T16" t="s">
        <v>257</v>
      </c>
      <c r="U16">
        <v>1.0000000000000036</v>
      </c>
      <c r="V16" t="s">
        <v>174</v>
      </c>
    </row>
    <row r="17" spans="9:22" x14ac:dyDescent="0.45">
      <c r="I17" t="s">
        <v>221</v>
      </c>
      <c r="J17" t="s">
        <v>257</v>
      </c>
      <c r="K17">
        <v>0.99999999999999889</v>
      </c>
      <c r="L17" t="s">
        <v>174</v>
      </c>
      <c r="N17" t="s">
        <v>231</v>
      </c>
      <c r="O17" t="s">
        <v>257</v>
      </c>
      <c r="P17">
        <v>0.99999999999999933</v>
      </c>
      <c r="Q17" t="s">
        <v>174</v>
      </c>
      <c r="S17" t="s">
        <v>241</v>
      </c>
      <c r="T17" t="s">
        <v>257</v>
      </c>
      <c r="U17">
        <v>0.99999999999999933</v>
      </c>
      <c r="V17" t="s">
        <v>174</v>
      </c>
    </row>
    <row r="18" spans="9:22" x14ac:dyDescent="0.45">
      <c r="I18" t="s">
        <v>222</v>
      </c>
      <c r="J18" t="s">
        <v>257</v>
      </c>
      <c r="K18">
        <v>0.99999999999999789</v>
      </c>
      <c r="L18" t="s">
        <v>174</v>
      </c>
      <c r="N18" t="s">
        <v>232</v>
      </c>
      <c r="O18" t="s">
        <v>257</v>
      </c>
      <c r="P18">
        <v>1.0000000000000027</v>
      </c>
      <c r="Q18" t="s">
        <v>174</v>
      </c>
      <c r="S18" t="s">
        <v>242</v>
      </c>
      <c r="T18" t="s">
        <v>257</v>
      </c>
      <c r="U18">
        <v>1.0000000000000027</v>
      </c>
      <c r="V18" t="s">
        <v>174</v>
      </c>
    </row>
    <row r="19" spans="9:22" x14ac:dyDescent="0.45">
      <c r="I19" t="s">
        <v>223</v>
      </c>
      <c r="J19" t="s">
        <v>257</v>
      </c>
      <c r="K19">
        <v>0.99999999999999645</v>
      </c>
      <c r="L19" t="s">
        <v>174</v>
      </c>
      <c r="N19" t="s">
        <v>233</v>
      </c>
      <c r="O19" t="s">
        <v>257</v>
      </c>
      <c r="P19">
        <v>0.99999999999999678</v>
      </c>
      <c r="Q19" t="s">
        <v>174</v>
      </c>
      <c r="S19" t="s">
        <v>243</v>
      </c>
      <c r="T19" t="s">
        <v>257</v>
      </c>
      <c r="U19">
        <v>0.99999999999999678</v>
      </c>
      <c r="V19" t="s">
        <v>174</v>
      </c>
    </row>
    <row r="20" spans="9:22" x14ac:dyDescent="0.45">
      <c r="I20" t="s">
        <v>224</v>
      </c>
      <c r="J20" t="s">
        <v>257</v>
      </c>
      <c r="K20">
        <v>1.0000000000000013</v>
      </c>
      <c r="L20" t="s">
        <v>174</v>
      </c>
      <c r="N20" t="s">
        <v>234</v>
      </c>
      <c r="O20" t="s">
        <v>257</v>
      </c>
      <c r="P20">
        <v>0.99999999999999989</v>
      </c>
      <c r="Q20" t="s">
        <v>174</v>
      </c>
      <c r="S20" t="s">
        <v>244</v>
      </c>
      <c r="T20" t="s">
        <v>257</v>
      </c>
      <c r="U20">
        <v>0.99999999999999989</v>
      </c>
      <c r="V20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EA4C-0819-4E87-BD1E-3E081332AD33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171</v>
      </c>
      <c r="L10" t="s">
        <v>30</v>
      </c>
      <c r="N10" t="s">
        <v>13</v>
      </c>
      <c r="O10" t="s">
        <v>121</v>
      </c>
      <c r="P10" t="s">
        <v>171</v>
      </c>
      <c r="Q10" t="s">
        <v>30</v>
      </c>
      <c r="S10" t="s">
        <v>13</v>
      </c>
      <c r="T10" t="s">
        <v>121</v>
      </c>
      <c r="U10" t="s">
        <v>171</v>
      </c>
      <c r="V10" t="s">
        <v>30</v>
      </c>
      <c r="X10" t="s">
        <v>245</v>
      </c>
      <c r="Y10" t="s">
        <v>171</v>
      </c>
      <c r="Z10" t="s">
        <v>121</v>
      </c>
      <c r="AA10" t="s">
        <v>13</v>
      </c>
      <c r="AC10" t="s">
        <v>13</v>
      </c>
      <c r="AD10" t="s">
        <v>121</v>
      </c>
      <c r="AE10" t="s">
        <v>171</v>
      </c>
      <c r="AG10" t="s">
        <v>13</v>
      </c>
      <c r="AH10" t="s">
        <v>121</v>
      </c>
      <c r="AI10" t="s">
        <v>251</v>
      </c>
      <c r="AK10" t="s">
        <v>47</v>
      </c>
      <c r="AL10" t="s">
        <v>121</v>
      </c>
      <c r="AM10" t="s">
        <v>252</v>
      </c>
      <c r="AN10" t="s">
        <v>253</v>
      </c>
    </row>
    <row r="11" spans="1:40" x14ac:dyDescent="0.45">
      <c r="A11" t="str">
        <f>IFERROR(IF(Veda!D5=A10,"ok","x"),"")</f>
        <v>x</v>
      </c>
      <c r="C11" t="s">
        <v>258</v>
      </c>
      <c r="D11" t="s">
        <v>156</v>
      </c>
      <c r="E11" t="s">
        <v>247</v>
      </c>
      <c r="F11" t="s">
        <v>259</v>
      </c>
      <c r="G11" t="s">
        <v>156</v>
      </c>
      <c r="I11" t="s">
        <v>172</v>
      </c>
      <c r="J11" t="s">
        <v>264</v>
      </c>
      <c r="K11">
        <v>0.16785555109172559</v>
      </c>
      <c r="L11" t="s">
        <v>174</v>
      </c>
      <c r="N11" t="s">
        <v>225</v>
      </c>
      <c r="O11" t="s">
        <v>264</v>
      </c>
      <c r="P11">
        <v>0.12519730731798689</v>
      </c>
      <c r="Q11" t="s">
        <v>174</v>
      </c>
      <c r="S11" t="s">
        <v>235</v>
      </c>
      <c r="T11" t="s">
        <v>264</v>
      </c>
      <c r="U11">
        <v>0.12519730731798689</v>
      </c>
      <c r="V11" t="s">
        <v>174</v>
      </c>
      <c r="X11">
        <v>0.11426940639269406</v>
      </c>
      <c r="Y11">
        <v>0.16087081189037786</v>
      </c>
      <c r="Z11" t="s">
        <v>264</v>
      </c>
      <c r="AA11" t="s">
        <v>25</v>
      </c>
      <c r="AC11" t="s">
        <v>22</v>
      </c>
      <c r="AD11" t="s">
        <v>264</v>
      </c>
      <c r="AE11">
        <v>0.12351771665051632</v>
      </c>
      <c r="AG11" t="s">
        <v>96</v>
      </c>
      <c r="AH11" t="s">
        <v>264</v>
      </c>
      <c r="AI11">
        <v>0.19815392918213459</v>
      </c>
      <c r="AK11">
        <v>2020</v>
      </c>
      <c r="AL11" t="s">
        <v>258</v>
      </c>
      <c r="AM11">
        <v>8.2817421527098894E-2</v>
      </c>
      <c r="AN11" t="s">
        <v>254</v>
      </c>
    </row>
    <row r="12" spans="1:40" x14ac:dyDescent="0.45">
      <c r="C12" t="s">
        <v>260</v>
      </c>
      <c r="E12" t="s">
        <v>249</v>
      </c>
      <c r="G12" t="s">
        <v>156</v>
      </c>
      <c r="I12" t="s">
        <v>172</v>
      </c>
      <c r="J12" t="s">
        <v>265</v>
      </c>
      <c r="K12">
        <v>0</v>
      </c>
      <c r="L12" t="s">
        <v>174</v>
      </c>
      <c r="N12" t="s">
        <v>225</v>
      </c>
      <c r="O12" t="s">
        <v>265</v>
      </c>
      <c r="P12">
        <v>0.1409012079460723</v>
      </c>
      <c r="Q12" t="s">
        <v>174</v>
      </c>
      <c r="S12" t="s">
        <v>235</v>
      </c>
      <c r="T12" t="s">
        <v>265</v>
      </c>
      <c r="U12">
        <v>0.1409012079460723</v>
      </c>
      <c r="V12" t="s">
        <v>174</v>
      </c>
      <c r="X12">
        <v>0.11426940639269406</v>
      </c>
      <c r="Y12">
        <v>5.2547713165767528E-2</v>
      </c>
      <c r="Z12" t="s">
        <v>265</v>
      </c>
      <c r="AA12" t="s">
        <v>25</v>
      </c>
      <c r="AC12" t="s">
        <v>22</v>
      </c>
      <c r="AD12" t="s">
        <v>265</v>
      </c>
      <c r="AE12">
        <v>8.6879792244911158E-2</v>
      </c>
      <c r="AG12" t="s">
        <v>96</v>
      </c>
      <c r="AH12" t="s">
        <v>265</v>
      </c>
      <c r="AI12">
        <v>0.37533956783658562</v>
      </c>
      <c r="AK12">
        <v>2020</v>
      </c>
      <c r="AL12" t="s">
        <v>260</v>
      </c>
      <c r="AM12">
        <v>0.20636472249375468</v>
      </c>
      <c r="AN12" t="s">
        <v>254</v>
      </c>
    </row>
    <row r="13" spans="1:40" x14ac:dyDescent="0.45">
      <c r="C13" t="s">
        <v>261</v>
      </c>
      <c r="E13" t="s">
        <v>262</v>
      </c>
      <c r="G13" t="s">
        <v>156</v>
      </c>
      <c r="I13" t="s">
        <v>172</v>
      </c>
      <c r="J13" t="s">
        <v>266</v>
      </c>
      <c r="K13">
        <v>7.2628403848599993E-3</v>
      </c>
      <c r="L13" t="s">
        <v>174</v>
      </c>
      <c r="N13" t="s">
        <v>225</v>
      </c>
      <c r="O13" t="s">
        <v>266</v>
      </c>
      <c r="P13">
        <v>2.5421710810246356E-2</v>
      </c>
      <c r="Q13" t="s">
        <v>174</v>
      </c>
      <c r="S13" t="s">
        <v>235</v>
      </c>
      <c r="T13" t="s">
        <v>266</v>
      </c>
      <c r="U13">
        <v>2.5421710810246356E-2</v>
      </c>
      <c r="V13" t="s">
        <v>174</v>
      </c>
      <c r="X13">
        <v>2.0776255707762557E-2</v>
      </c>
      <c r="Y13">
        <v>3.5896543437005365E-2</v>
      </c>
      <c r="Z13" t="s">
        <v>266</v>
      </c>
      <c r="AA13" t="s">
        <v>25</v>
      </c>
      <c r="AC13" t="s">
        <v>22</v>
      </c>
      <c r="AD13" t="s">
        <v>266</v>
      </c>
      <c r="AE13">
        <v>2.2484522983046165E-2</v>
      </c>
      <c r="AG13" t="s">
        <v>96</v>
      </c>
      <c r="AH13" t="s">
        <v>266</v>
      </c>
      <c r="AI13">
        <v>0.1915827835436823</v>
      </c>
      <c r="AK13">
        <v>2020</v>
      </c>
      <c r="AL13" t="s">
        <v>261</v>
      </c>
      <c r="AM13">
        <v>4.2087542087542062E-2</v>
      </c>
      <c r="AN13" t="s">
        <v>254</v>
      </c>
    </row>
    <row r="14" spans="1:40" x14ac:dyDescent="0.45">
      <c r="C14" t="s">
        <v>263</v>
      </c>
      <c r="I14" t="s">
        <v>172</v>
      </c>
      <c r="J14" t="s">
        <v>267</v>
      </c>
      <c r="K14">
        <v>0.27320066158422995</v>
      </c>
      <c r="L14" t="s">
        <v>174</v>
      </c>
      <c r="N14" t="s">
        <v>225</v>
      </c>
      <c r="O14" t="s">
        <v>267</v>
      </c>
      <c r="P14">
        <v>0.1031391129358445</v>
      </c>
      <c r="Q14" t="s">
        <v>174</v>
      </c>
      <c r="S14" t="s">
        <v>235</v>
      </c>
      <c r="T14" t="s">
        <v>267</v>
      </c>
      <c r="U14">
        <v>0.1031391129358445</v>
      </c>
      <c r="V14" t="s">
        <v>174</v>
      </c>
      <c r="X14">
        <v>0.11552511415525114</v>
      </c>
      <c r="Y14">
        <v>0.16263862301005233</v>
      </c>
      <c r="Z14" t="s">
        <v>267</v>
      </c>
      <c r="AA14" t="s">
        <v>25</v>
      </c>
      <c r="AC14" t="s">
        <v>22</v>
      </c>
      <c r="AD14" t="s">
        <v>267</v>
      </c>
      <c r="AE14">
        <v>0.13745847907797287</v>
      </c>
      <c r="AG14" t="s">
        <v>96</v>
      </c>
      <c r="AH14" t="s">
        <v>267</v>
      </c>
      <c r="AI14">
        <v>0.14227499382777808</v>
      </c>
      <c r="AK14">
        <v>2020</v>
      </c>
      <c r="AL14" t="s">
        <v>263</v>
      </c>
      <c r="AM14">
        <v>0.29072707048235408</v>
      </c>
      <c r="AN14" t="s">
        <v>254</v>
      </c>
    </row>
    <row r="15" spans="1:40" x14ac:dyDescent="0.45">
      <c r="I15" t="s">
        <v>172</v>
      </c>
      <c r="J15" t="s">
        <v>268</v>
      </c>
      <c r="K15">
        <v>4.4174893449839842E-3</v>
      </c>
      <c r="L15" t="s">
        <v>174</v>
      </c>
      <c r="N15" t="s">
        <v>225</v>
      </c>
      <c r="O15" t="s">
        <v>268</v>
      </c>
      <c r="P15">
        <v>0.11267725956398154</v>
      </c>
      <c r="Q15" t="s">
        <v>174</v>
      </c>
      <c r="S15" t="s">
        <v>235</v>
      </c>
      <c r="T15" t="s">
        <v>268</v>
      </c>
      <c r="U15">
        <v>0.11267725956398154</v>
      </c>
      <c r="V15" t="s">
        <v>174</v>
      </c>
      <c r="X15">
        <v>0.11552511415525114</v>
      </c>
      <c r="Y15">
        <v>5.3125160563193538E-2</v>
      </c>
      <c r="Z15" t="s">
        <v>268</v>
      </c>
      <c r="AA15" t="s">
        <v>25</v>
      </c>
      <c r="AC15" t="s">
        <v>22</v>
      </c>
      <c r="AD15" t="s">
        <v>268</v>
      </c>
      <c r="AE15">
        <v>9.8346297167673929E-2</v>
      </c>
      <c r="AG15" t="s">
        <v>96</v>
      </c>
      <c r="AH15" t="s">
        <v>268</v>
      </c>
      <c r="AI15">
        <v>0.31938744186269585</v>
      </c>
      <c r="AK15">
        <v>2021</v>
      </c>
      <c r="AL15" t="s">
        <v>258</v>
      </c>
      <c r="AM15">
        <v>0.20772238514173993</v>
      </c>
      <c r="AN15" t="s">
        <v>254</v>
      </c>
    </row>
    <row r="16" spans="1:40" x14ac:dyDescent="0.45">
      <c r="I16" t="s">
        <v>172</v>
      </c>
      <c r="J16" t="s">
        <v>269</v>
      </c>
      <c r="K16">
        <v>2.4993037286912337E-2</v>
      </c>
      <c r="L16" t="s">
        <v>174</v>
      </c>
      <c r="N16" t="s">
        <v>225</v>
      </c>
      <c r="O16" t="s">
        <v>269</v>
      </c>
      <c r="P16">
        <v>1.9654557383705373E-2</v>
      </c>
      <c r="Q16" t="s">
        <v>174</v>
      </c>
      <c r="S16" t="s">
        <v>235</v>
      </c>
      <c r="T16" t="s">
        <v>269</v>
      </c>
      <c r="U16">
        <v>1.9654557383705373E-2</v>
      </c>
      <c r="V16" t="s">
        <v>174</v>
      </c>
      <c r="X16">
        <v>2.1004566210045664E-2</v>
      </c>
      <c r="Y16">
        <v>3.6291010947302131E-2</v>
      </c>
      <c r="Z16" t="s">
        <v>269</v>
      </c>
      <c r="AA16" t="s">
        <v>25</v>
      </c>
      <c r="AC16" t="s">
        <v>22</v>
      </c>
      <c r="AD16" t="s">
        <v>269</v>
      </c>
      <c r="AE16">
        <v>2.480768777665383E-2</v>
      </c>
      <c r="AG16" t="s">
        <v>96</v>
      </c>
      <c r="AH16" t="s">
        <v>269</v>
      </c>
      <c r="AI16">
        <v>0.14719360302335494</v>
      </c>
      <c r="AK16">
        <v>2021</v>
      </c>
      <c r="AL16" t="s">
        <v>260</v>
      </c>
      <c r="AM16">
        <v>0.28782448137286842</v>
      </c>
      <c r="AN16" t="s">
        <v>254</v>
      </c>
    </row>
    <row r="17" spans="9:40" x14ac:dyDescent="0.45">
      <c r="I17" t="s">
        <v>172</v>
      </c>
      <c r="J17" t="s">
        <v>270</v>
      </c>
      <c r="K17">
        <v>0.3550127069756388</v>
      </c>
      <c r="L17" t="s">
        <v>174</v>
      </c>
      <c r="N17" t="s">
        <v>225</v>
      </c>
      <c r="O17" t="s">
        <v>270</v>
      </c>
      <c r="P17">
        <v>6.5697121589913879E-2</v>
      </c>
      <c r="Q17" t="s">
        <v>174</v>
      </c>
      <c r="S17" t="s">
        <v>235</v>
      </c>
      <c r="T17" t="s">
        <v>270</v>
      </c>
      <c r="U17">
        <v>6.5697121589913879E-2</v>
      </c>
      <c r="V17" t="s">
        <v>174</v>
      </c>
      <c r="X17">
        <v>0.11552511415525114</v>
      </c>
      <c r="Y17">
        <v>0.16263862301005233</v>
      </c>
      <c r="Z17" t="s">
        <v>270</v>
      </c>
      <c r="AA17" t="s">
        <v>25</v>
      </c>
      <c r="AC17" t="s">
        <v>22</v>
      </c>
      <c r="AD17" t="s">
        <v>270</v>
      </c>
      <c r="AE17">
        <v>0.11279786802379507</v>
      </c>
      <c r="AG17" t="s">
        <v>96</v>
      </c>
      <c r="AH17" t="s">
        <v>270</v>
      </c>
      <c r="AI17">
        <v>0.13214378914405023</v>
      </c>
      <c r="AK17">
        <v>2021</v>
      </c>
      <c r="AL17" t="s">
        <v>261</v>
      </c>
      <c r="AM17">
        <v>0.20500705984576947</v>
      </c>
      <c r="AN17" t="s">
        <v>254</v>
      </c>
    </row>
    <row r="18" spans="9:40" x14ac:dyDescent="0.45">
      <c r="I18" t="s">
        <v>172</v>
      </c>
      <c r="J18" t="s">
        <v>271</v>
      </c>
      <c r="K18">
        <v>1.909812297465056E-2</v>
      </c>
      <c r="L18" t="s">
        <v>174</v>
      </c>
      <c r="N18" t="s">
        <v>225</v>
      </c>
      <c r="O18" t="s">
        <v>271</v>
      </c>
      <c r="P18">
        <v>8.0643183701296042E-2</v>
      </c>
      <c r="Q18" t="s">
        <v>174</v>
      </c>
      <c r="S18" t="s">
        <v>235</v>
      </c>
      <c r="T18" t="s">
        <v>271</v>
      </c>
      <c r="U18">
        <v>8.0643183701296042E-2</v>
      </c>
      <c r="V18" t="s">
        <v>174</v>
      </c>
      <c r="X18">
        <v>0.11552511415525114</v>
      </c>
      <c r="Y18">
        <v>5.3125160563193538E-2</v>
      </c>
      <c r="Z18" t="s">
        <v>271</v>
      </c>
      <c r="AA18" t="s">
        <v>25</v>
      </c>
      <c r="AC18" t="s">
        <v>22</v>
      </c>
      <c r="AD18" t="s">
        <v>271</v>
      </c>
      <c r="AE18">
        <v>7.635671034191012E-2</v>
      </c>
      <c r="AG18" t="s">
        <v>96</v>
      </c>
      <c r="AH18" t="s">
        <v>271</v>
      </c>
      <c r="AI18">
        <v>0.269273038275742</v>
      </c>
      <c r="AK18">
        <v>2021</v>
      </c>
      <c r="AL18" t="s">
        <v>263</v>
      </c>
      <c r="AM18">
        <v>0.25747102360005586</v>
      </c>
      <c r="AN18" t="s">
        <v>254</v>
      </c>
    </row>
    <row r="19" spans="9:40" x14ac:dyDescent="0.45">
      <c r="I19" t="s">
        <v>172</v>
      </c>
      <c r="J19" t="s">
        <v>272</v>
      </c>
      <c r="K19">
        <v>4.5616684970093774E-2</v>
      </c>
      <c r="L19" t="s">
        <v>174</v>
      </c>
      <c r="N19" t="s">
        <v>225</v>
      </c>
      <c r="O19" t="s">
        <v>272</v>
      </c>
      <c r="P19">
        <v>1.186787715325224E-2</v>
      </c>
      <c r="Q19" t="s">
        <v>174</v>
      </c>
      <c r="S19" t="s">
        <v>235</v>
      </c>
      <c r="T19" t="s">
        <v>272</v>
      </c>
      <c r="U19">
        <v>1.186787715325224E-2</v>
      </c>
      <c r="V19" t="s">
        <v>174</v>
      </c>
      <c r="X19">
        <v>2.1004566210045664E-2</v>
      </c>
      <c r="Y19">
        <v>3.6291010947302131E-2</v>
      </c>
      <c r="Z19" t="s">
        <v>272</v>
      </c>
      <c r="AA19" t="s">
        <v>25</v>
      </c>
      <c r="AC19" t="s">
        <v>22</v>
      </c>
      <c r="AD19" t="s">
        <v>272</v>
      </c>
      <c r="AE19">
        <v>2.001969347362112E-2</v>
      </c>
      <c r="AG19" t="s">
        <v>96</v>
      </c>
      <c r="AH19" t="s">
        <v>272</v>
      </c>
      <c r="AI19">
        <v>0.10527880672456313</v>
      </c>
      <c r="AK19">
        <v>2022</v>
      </c>
      <c r="AL19" t="s">
        <v>258</v>
      </c>
      <c r="AM19">
        <v>3.8580246913580231E-2</v>
      </c>
      <c r="AN19" t="s">
        <v>254</v>
      </c>
    </row>
    <row r="20" spans="9:40" x14ac:dyDescent="0.45">
      <c r="I20" t="s">
        <v>172</v>
      </c>
      <c r="J20" t="s">
        <v>273</v>
      </c>
      <c r="K20">
        <v>0.10087455005021956</v>
      </c>
      <c r="L20" t="s">
        <v>174</v>
      </c>
      <c r="N20" t="s">
        <v>225</v>
      </c>
      <c r="O20" t="s">
        <v>273</v>
      </c>
      <c r="P20">
        <v>0.1371360952145799</v>
      </c>
      <c r="Q20" t="s">
        <v>174</v>
      </c>
      <c r="S20" t="s">
        <v>235</v>
      </c>
      <c r="T20" t="s">
        <v>273</v>
      </c>
      <c r="U20">
        <v>0.1371360952145799</v>
      </c>
      <c r="V20" t="s">
        <v>174</v>
      </c>
      <c r="X20">
        <v>0.11301369863013698</v>
      </c>
      <c r="Y20">
        <v>0.15910300077070333</v>
      </c>
      <c r="Z20" t="s">
        <v>273</v>
      </c>
      <c r="AA20" t="s">
        <v>25</v>
      </c>
      <c r="AC20" t="s">
        <v>22</v>
      </c>
      <c r="AD20" t="s">
        <v>273</v>
      </c>
      <c r="AE20">
        <v>0.15446824528983019</v>
      </c>
      <c r="AG20" t="s">
        <v>96</v>
      </c>
      <c r="AH20" t="s">
        <v>273</v>
      </c>
      <c r="AI20">
        <v>0.10283797631235303</v>
      </c>
      <c r="AK20">
        <v>2022</v>
      </c>
      <c r="AL20" t="s">
        <v>260</v>
      </c>
      <c r="AM20">
        <v>0.18916766228594184</v>
      </c>
      <c r="AN20" t="s">
        <v>254</v>
      </c>
    </row>
    <row r="21" spans="9:40" x14ac:dyDescent="0.45">
      <c r="I21" t="s">
        <v>172</v>
      </c>
      <c r="J21" t="s">
        <v>274</v>
      </c>
      <c r="K21">
        <v>0</v>
      </c>
      <c r="L21" t="s">
        <v>174</v>
      </c>
      <c r="N21" t="s">
        <v>225</v>
      </c>
      <c r="O21" t="s">
        <v>274</v>
      </c>
      <c r="P21">
        <v>0.15145635666452892</v>
      </c>
      <c r="Q21" t="s">
        <v>174</v>
      </c>
      <c r="S21" t="s">
        <v>235</v>
      </c>
      <c r="T21" t="s">
        <v>274</v>
      </c>
      <c r="U21">
        <v>0.15145635666452892</v>
      </c>
      <c r="V21" t="s">
        <v>174</v>
      </c>
      <c r="X21">
        <v>0.11301369863013698</v>
      </c>
      <c r="Y21">
        <v>5.197026576834151E-2</v>
      </c>
      <c r="Z21" t="s">
        <v>274</v>
      </c>
      <c r="AA21" t="s">
        <v>25</v>
      </c>
      <c r="AC21" t="s">
        <v>22</v>
      </c>
      <c r="AD21" t="s">
        <v>274</v>
      </c>
      <c r="AE21">
        <v>0.11414214123525328</v>
      </c>
      <c r="AG21" t="s">
        <v>96</v>
      </c>
      <c r="AH21" t="s">
        <v>274</v>
      </c>
      <c r="AI21">
        <v>0.25734476630604752</v>
      </c>
      <c r="AK21">
        <v>2022</v>
      </c>
      <c r="AL21" t="s">
        <v>261</v>
      </c>
      <c r="AM21">
        <v>3.8580246913580231E-2</v>
      </c>
      <c r="AN21" t="s">
        <v>254</v>
      </c>
    </row>
    <row r="22" spans="9:40" x14ac:dyDescent="0.45">
      <c r="I22" t="s">
        <v>172</v>
      </c>
      <c r="J22" t="s">
        <v>275</v>
      </c>
      <c r="K22">
        <v>1.6683553366856579E-3</v>
      </c>
      <c r="L22" t="s">
        <v>174</v>
      </c>
      <c r="N22" t="s">
        <v>225</v>
      </c>
      <c r="O22" t="s">
        <v>275</v>
      </c>
      <c r="P22">
        <v>2.6208209718591266E-2</v>
      </c>
      <c r="Q22" t="s">
        <v>174</v>
      </c>
      <c r="S22" t="s">
        <v>235</v>
      </c>
      <c r="T22" t="s">
        <v>275</v>
      </c>
      <c r="U22">
        <v>2.6208209718591266E-2</v>
      </c>
      <c r="V22" t="s">
        <v>174</v>
      </c>
      <c r="X22">
        <v>2.0547945205479451E-2</v>
      </c>
      <c r="Y22">
        <v>3.5502075926708607E-2</v>
      </c>
      <c r="Z22" t="s">
        <v>275</v>
      </c>
      <c r="AA22" t="s">
        <v>25</v>
      </c>
      <c r="AC22" t="s">
        <v>22</v>
      </c>
      <c r="AD22" t="s">
        <v>275</v>
      </c>
      <c r="AE22">
        <v>2.8720845734815943E-2</v>
      </c>
      <c r="AG22" t="s">
        <v>96</v>
      </c>
      <c r="AH22" t="s">
        <v>275</v>
      </c>
      <c r="AI22">
        <v>8.0686044856779215E-2</v>
      </c>
      <c r="AK22">
        <v>2022</v>
      </c>
      <c r="AL22" t="s">
        <v>263</v>
      </c>
      <c r="AM22">
        <v>3.7335722819593763E-2</v>
      </c>
      <c r="AN22" t="s">
        <v>254</v>
      </c>
    </row>
    <row r="23" spans="9:40" x14ac:dyDescent="0.45">
      <c r="I23" t="s">
        <v>216</v>
      </c>
      <c r="J23" t="s">
        <v>264</v>
      </c>
      <c r="K23">
        <v>0.17231863423846186</v>
      </c>
      <c r="L23" t="s">
        <v>174</v>
      </c>
      <c r="N23" t="s">
        <v>226</v>
      </c>
      <c r="O23" t="s">
        <v>264</v>
      </c>
      <c r="P23">
        <v>0.12465837314100102</v>
      </c>
      <c r="Q23" t="s">
        <v>174</v>
      </c>
      <c r="S23" t="s">
        <v>236</v>
      </c>
      <c r="T23" t="s">
        <v>264</v>
      </c>
      <c r="U23">
        <v>0.12465837314100102</v>
      </c>
      <c r="V23" t="s">
        <v>174</v>
      </c>
      <c r="AC23" t="s">
        <v>19</v>
      </c>
      <c r="AD23" t="s">
        <v>264</v>
      </c>
      <c r="AE23">
        <v>0.11513135241742993</v>
      </c>
    </row>
    <row r="24" spans="9:40" x14ac:dyDescent="0.45">
      <c r="I24" t="s">
        <v>216</v>
      </c>
      <c r="J24" t="s">
        <v>265</v>
      </c>
      <c r="K24">
        <v>0</v>
      </c>
      <c r="L24" t="s">
        <v>174</v>
      </c>
      <c r="N24" t="s">
        <v>226</v>
      </c>
      <c r="O24" t="s">
        <v>265</v>
      </c>
      <c r="P24">
        <v>0.14015756296906018</v>
      </c>
      <c r="Q24" t="s">
        <v>174</v>
      </c>
      <c r="S24" t="s">
        <v>236</v>
      </c>
      <c r="T24" t="s">
        <v>265</v>
      </c>
      <c r="U24">
        <v>0.14015756296906018</v>
      </c>
      <c r="V24" t="s">
        <v>174</v>
      </c>
      <c r="AC24" t="s">
        <v>19</v>
      </c>
      <c r="AD24" t="s">
        <v>265</v>
      </c>
      <c r="AE24">
        <v>0.11316501699415871</v>
      </c>
    </row>
    <row r="25" spans="9:40" x14ac:dyDescent="0.45">
      <c r="I25" t="s">
        <v>216</v>
      </c>
      <c r="J25" t="s">
        <v>266</v>
      </c>
      <c r="K25">
        <v>8.1109536046167375E-3</v>
      </c>
      <c r="L25" t="s">
        <v>174</v>
      </c>
      <c r="N25" t="s">
        <v>226</v>
      </c>
      <c r="O25" t="s">
        <v>266</v>
      </c>
      <c r="P25">
        <v>2.5846402194029918E-2</v>
      </c>
      <c r="Q25" t="s">
        <v>174</v>
      </c>
      <c r="S25" t="s">
        <v>236</v>
      </c>
      <c r="T25" t="s">
        <v>266</v>
      </c>
      <c r="U25">
        <v>2.5846402194029918E-2</v>
      </c>
      <c r="V25" t="s">
        <v>174</v>
      </c>
      <c r="AC25" t="s">
        <v>19</v>
      </c>
      <c r="AD25" t="s">
        <v>266</v>
      </c>
      <c r="AE25">
        <v>2.0934409162411655E-2</v>
      </c>
    </row>
    <row r="26" spans="9:40" x14ac:dyDescent="0.45">
      <c r="I26" t="s">
        <v>216</v>
      </c>
      <c r="J26" t="s">
        <v>267</v>
      </c>
      <c r="K26">
        <v>0.26925370359634948</v>
      </c>
      <c r="L26" t="s">
        <v>174</v>
      </c>
      <c r="N26" t="s">
        <v>226</v>
      </c>
      <c r="O26" t="s">
        <v>267</v>
      </c>
      <c r="P26">
        <v>0.10417850446435259</v>
      </c>
      <c r="Q26" t="s">
        <v>174</v>
      </c>
      <c r="S26" t="s">
        <v>236</v>
      </c>
      <c r="T26" t="s">
        <v>267</v>
      </c>
      <c r="U26">
        <v>0.10417850446435259</v>
      </c>
      <c r="V26" t="s">
        <v>174</v>
      </c>
      <c r="AC26" t="s">
        <v>19</v>
      </c>
      <c r="AD26" t="s">
        <v>267</v>
      </c>
      <c r="AE26">
        <v>0.11651187753446922</v>
      </c>
    </row>
    <row r="27" spans="9:40" x14ac:dyDescent="0.45">
      <c r="I27" t="s">
        <v>216</v>
      </c>
      <c r="J27" t="s">
        <v>268</v>
      </c>
      <c r="K27">
        <v>5.3713061636057454E-3</v>
      </c>
      <c r="L27" t="s">
        <v>174</v>
      </c>
      <c r="N27" t="s">
        <v>226</v>
      </c>
      <c r="O27" t="s">
        <v>268</v>
      </c>
      <c r="P27">
        <v>0.11592357399460727</v>
      </c>
      <c r="Q27" t="s">
        <v>174</v>
      </c>
      <c r="S27" t="s">
        <v>236</v>
      </c>
      <c r="T27" t="s">
        <v>268</v>
      </c>
      <c r="U27">
        <v>0.11592357399460727</v>
      </c>
      <c r="V27" t="s">
        <v>174</v>
      </c>
      <c r="AC27" t="s">
        <v>19</v>
      </c>
      <c r="AD27" t="s">
        <v>268</v>
      </c>
      <c r="AE27">
        <v>0.11441275019526104</v>
      </c>
    </row>
    <row r="28" spans="9:40" x14ac:dyDescent="0.45">
      <c r="I28" t="s">
        <v>216</v>
      </c>
      <c r="J28" t="s">
        <v>269</v>
      </c>
      <c r="K28">
        <v>2.5840886355928169E-2</v>
      </c>
      <c r="L28" t="s">
        <v>174</v>
      </c>
      <c r="N28" t="s">
        <v>226</v>
      </c>
      <c r="O28" t="s">
        <v>269</v>
      </c>
      <c r="P28">
        <v>1.9993775438056992E-2</v>
      </c>
      <c r="Q28" t="s">
        <v>174</v>
      </c>
      <c r="S28" t="s">
        <v>236</v>
      </c>
      <c r="T28" t="s">
        <v>269</v>
      </c>
      <c r="U28">
        <v>1.9993775438056992E-2</v>
      </c>
      <c r="V28" t="s">
        <v>174</v>
      </c>
      <c r="AC28" t="s">
        <v>19</v>
      </c>
      <c r="AD28" t="s">
        <v>269</v>
      </c>
      <c r="AE28">
        <v>2.1174061616061026E-2</v>
      </c>
    </row>
    <row r="29" spans="9:40" x14ac:dyDescent="0.45">
      <c r="I29" t="s">
        <v>216</v>
      </c>
      <c r="J29" t="s">
        <v>270</v>
      </c>
      <c r="K29">
        <v>0.34614697736673294</v>
      </c>
      <c r="L29" t="s">
        <v>174</v>
      </c>
      <c r="N29" t="s">
        <v>226</v>
      </c>
      <c r="O29" t="s">
        <v>270</v>
      </c>
      <c r="P29">
        <v>6.566509456339685E-2</v>
      </c>
      <c r="Q29" t="s">
        <v>174</v>
      </c>
      <c r="S29" t="s">
        <v>236</v>
      </c>
      <c r="T29" t="s">
        <v>270</v>
      </c>
      <c r="U29">
        <v>6.566509456339685E-2</v>
      </c>
      <c r="V29" t="s">
        <v>174</v>
      </c>
      <c r="AC29" t="s">
        <v>19</v>
      </c>
      <c r="AD29" t="s">
        <v>270</v>
      </c>
      <c r="AE29">
        <v>0.11633273095334444</v>
      </c>
    </row>
    <row r="30" spans="9:40" x14ac:dyDescent="0.45">
      <c r="I30" t="s">
        <v>216</v>
      </c>
      <c r="J30" t="s">
        <v>271</v>
      </c>
      <c r="K30">
        <v>1.9750578920934705E-2</v>
      </c>
      <c r="L30" t="s">
        <v>174</v>
      </c>
      <c r="N30" t="s">
        <v>226</v>
      </c>
      <c r="O30" t="s">
        <v>271</v>
      </c>
      <c r="P30">
        <v>8.8303013204232908E-2</v>
      </c>
      <c r="Q30" t="s">
        <v>174</v>
      </c>
      <c r="S30" t="s">
        <v>236</v>
      </c>
      <c r="T30" t="s">
        <v>271</v>
      </c>
      <c r="U30">
        <v>8.8303013204232908E-2</v>
      </c>
      <c r="V30" t="s">
        <v>174</v>
      </c>
      <c r="AC30" t="s">
        <v>19</v>
      </c>
      <c r="AD30" t="s">
        <v>271</v>
      </c>
      <c r="AE30">
        <v>0.1143769558820923</v>
      </c>
    </row>
    <row r="31" spans="9:40" x14ac:dyDescent="0.45">
      <c r="I31" t="s">
        <v>216</v>
      </c>
      <c r="J31" t="s">
        <v>272</v>
      </c>
      <c r="K31">
        <v>4.5814689263835529E-2</v>
      </c>
      <c r="L31" t="s">
        <v>174</v>
      </c>
      <c r="N31" t="s">
        <v>226</v>
      </c>
      <c r="O31" t="s">
        <v>272</v>
      </c>
      <c r="P31">
        <v>1.2877500926234955E-2</v>
      </c>
      <c r="Q31" t="s">
        <v>174</v>
      </c>
      <c r="S31" t="s">
        <v>236</v>
      </c>
      <c r="T31" t="s">
        <v>272</v>
      </c>
      <c r="U31">
        <v>1.2877500926234955E-2</v>
      </c>
      <c r="V31" t="s">
        <v>174</v>
      </c>
      <c r="AC31" t="s">
        <v>19</v>
      </c>
      <c r="AD31" t="s">
        <v>272</v>
      </c>
      <c r="AE31">
        <v>2.1125160765094061E-2</v>
      </c>
    </row>
    <row r="32" spans="9:40" x14ac:dyDescent="0.45">
      <c r="I32" t="s">
        <v>216</v>
      </c>
      <c r="J32" t="s">
        <v>273</v>
      </c>
      <c r="K32">
        <v>0.10526717433702461</v>
      </c>
      <c r="L32" t="s">
        <v>174</v>
      </c>
      <c r="N32" t="s">
        <v>226</v>
      </c>
      <c r="O32" t="s">
        <v>273</v>
      </c>
      <c r="P32">
        <v>0.13038809670896709</v>
      </c>
      <c r="Q32" t="s">
        <v>174</v>
      </c>
      <c r="S32" t="s">
        <v>236</v>
      </c>
      <c r="T32" t="s">
        <v>273</v>
      </c>
      <c r="U32">
        <v>0.13038809670896709</v>
      </c>
      <c r="V32" t="s">
        <v>174</v>
      </c>
      <c r="AC32" t="s">
        <v>19</v>
      </c>
      <c r="AD32" t="s">
        <v>273</v>
      </c>
      <c r="AE32">
        <v>0.11410934521505671</v>
      </c>
    </row>
    <row r="33" spans="9:31" x14ac:dyDescent="0.45">
      <c r="I33" t="s">
        <v>216</v>
      </c>
      <c r="J33" t="s">
        <v>274</v>
      </c>
      <c r="K33">
        <v>0</v>
      </c>
      <c r="L33" t="s">
        <v>174</v>
      </c>
      <c r="N33" t="s">
        <v>226</v>
      </c>
      <c r="O33" t="s">
        <v>274</v>
      </c>
      <c r="P33">
        <v>0.14608392768885131</v>
      </c>
      <c r="Q33" t="s">
        <v>174</v>
      </c>
      <c r="S33" t="s">
        <v>236</v>
      </c>
      <c r="T33" t="s">
        <v>274</v>
      </c>
      <c r="U33">
        <v>0.14608392768885131</v>
      </c>
      <c r="V33" t="s">
        <v>174</v>
      </c>
      <c r="AC33" t="s">
        <v>19</v>
      </c>
      <c r="AD33" t="s">
        <v>274</v>
      </c>
      <c r="AE33">
        <v>0.11194506740261313</v>
      </c>
    </row>
    <row r="34" spans="9:31" x14ac:dyDescent="0.45">
      <c r="I34" t="s">
        <v>216</v>
      </c>
      <c r="J34" t="s">
        <v>275</v>
      </c>
      <c r="K34">
        <v>2.1250961525109079E-3</v>
      </c>
      <c r="L34" t="s">
        <v>174</v>
      </c>
      <c r="N34" t="s">
        <v>226</v>
      </c>
      <c r="O34" t="s">
        <v>275</v>
      </c>
      <c r="P34">
        <v>2.5924174707206291E-2</v>
      </c>
      <c r="Q34" t="s">
        <v>174</v>
      </c>
      <c r="S34" t="s">
        <v>236</v>
      </c>
      <c r="T34" t="s">
        <v>275</v>
      </c>
      <c r="U34">
        <v>2.5924174707206291E-2</v>
      </c>
      <c r="V34" t="s">
        <v>174</v>
      </c>
      <c r="AC34" t="s">
        <v>19</v>
      </c>
      <c r="AD34" t="s">
        <v>275</v>
      </c>
      <c r="AE34">
        <v>2.0781271862007747E-2</v>
      </c>
    </row>
    <row r="35" spans="9:31" x14ac:dyDescent="0.45">
      <c r="I35" t="s">
        <v>217</v>
      </c>
      <c r="J35" t="s">
        <v>264</v>
      </c>
      <c r="K35">
        <v>0.16975306489695746</v>
      </c>
      <c r="L35" t="s">
        <v>174</v>
      </c>
      <c r="N35" t="s">
        <v>227</v>
      </c>
      <c r="O35" t="s">
        <v>264</v>
      </c>
      <c r="P35">
        <v>0.12471754366525171</v>
      </c>
      <c r="Q35" t="s">
        <v>174</v>
      </c>
      <c r="S35" t="s">
        <v>237</v>
      </c>
      <c r="T35" t="s">
        <v>264</v>
      </c>
      <c r="U35">
        <v>0.12471754366525171</v>
      </c>
      <c r="V35" t="s">
        <v>174</v>
      </c>
    </row>
    <row r="36" spans="9:31" x14ac:dyDescent="0.45">
      <c r="I36" t="s">
        <v>217</v>
      </c>
      <c r="J36" t="s">
        <v>265</v>
      </c>
      <c r="K36">
        <v>0</v>
      </c>
      <c r="L36" t="s">
        <v>174</v>
      </c>
      <c r="N36" t="s">
        <v>227</v>
      </c>
      <c r="O36" t="s">
        <v>265</v>
      </c>
      <c r="P36">
        <v>0.14203526724931068</v>
      </c>
      <c r="Q36" t="s">
        <v>174</v>
      </c>
      <c r="S36" t="s">
        <v>237</v>
      </c>
      <c r="T36" t="s">
        <v>265</v>
      </c>
      <c r="U36">
        <v>0.14203526724931068</v>
      </c>
      <c r="V36" t="s">
        <v>174</v>
      </c>
    </row>
    <row r="37" spans="9:31" x14ac:dyDescent="0.45">
      <c r="I37" t="s">
        <v>217</v>
      </c>
      <c r="J37" t="s">
        <v>266</v>
      </c>
      <c r="K37">
        <v>7.4860128010100831E-3</v>
      </c>
      <c r="L37" t="s">
        <v>174</v>
      </c>
      <c r="N37" t="s">
        <v>227</v>
      </c>
      <c r="O37" t="s">
        <v>266</v>
      </c>
      <c r="P37">
        <v>2.617272251211232E-2</v>
      </c>
      <c r="Q37" t="s">
        <v>174</v>
      </c>
      <c r="S37" t="s">
        <v>237</v>
      </c>
      <c r="T37" t="s">
        <v>266</v>
      </c>
      <c r="U37">
        <v>2.617272251211232E-2</v>
      </c>
      <c r="V37" t="s">
        <v>174</v>
      </c>
    </row>
    <row r="38" spans="9:31" x14ac:dyDescent="0.45">
      <c r="I38" t="s">
        <v>217</v>
      </c>
      <c r="J38" t="s">
        <v>267</v>
      </c>
      <c r="K38">
        <v>0.27889760512950962</v>
      </c>
      <c r="L38" t="s">
        <v>174</v>
      </c>
      <c r="N38" t="s">
        <v>227</v>
      </c>
      <c r="O38" t="s">
        <v>267</v>
      </c>
      <c r="P38">
        <v>0.10547857999716567</v>
      </c>
      <c r="Q38" t="s">
        <v>174</v>
      </c>
      <c r="S38" t="s">
        <v>237</v>
      </c>
      <c r="T38" t="s">
        <v>267</v>
      </c>
      <c r="U38">
        <v>0.10547857999716567</v>
      </c>
      <c r="V38" t="s">
        <v>174</v>
      </c>
    </row>
    <row r="39" spans="9:31" x14ac:dyDescent="0.45">
      <c r="I39" t="s">
        <v>217</v>
      </c>
      <c r="J39" t="s">
        <v>268</v>
      </c>
      <c r="K39">
        <v>5.1596531791491176E-3</v>
      </c>
      <c r="L39" t="s">
        <v>174</v>
      </c>
      <c r="N39" t="s">
        <v>227</v>
      </c>
      <c r="O39" t="s">
        <v>268</v>
      </c>
      <c r="P39">
        <v>0.11592377719332772</v>
      </c>
      <c r="Q39" t="s">
        <v>174</v>
      </c>
      <c r="S39" t="s">
        <v>237</v>
      </c>
      <c r="T39" t="s">
        <v>268</v>
      </c>
      <c r="U39">
        <v>0.11592377719332772</v>
      </c>
      <c r="V39" t="s">
        <v>174</v>
      </c>
    </row>
    <row r="40" spans="9:31" x14ac:dyDescent="0.45">
      <c r="I40" t="s">
        <v>217</v>
      </c>
      <c r="J40" t="s">
        <v>269</v>
      </c>
      <c r="K40">
        <v>2.6392612525651556E-2</v>
      </c>
      <c r="L40" t="s">
        <v>174</v>
      </c>
      <c r="N40" t="s">
        <v>227</v>
      </c>
      <c r="O40" t="s">
        <v>269</v>
      </c>
      <c r="P40">
        <v>2.02692051333212E-2</v>
      </c>
      <c r="Q40" t="s">
        <v>174</v>
      </c>
      <c r="S40" t="s">
        <v>237</v>
      </c>
      <c r="T40" t="s">
        <v>269</v>
      </c>
      <c r="U40">
        <v>2.02692051333212E-2</v>
      </c>
      <c r="V40" t="s">
        <v>174</v>
      </c>
    </row>
    <row r="41" spans="9:31" x14ac:dyDescent="0.45">
      <c r="I41" t="s">
        <v>217</v>
      </c>
      <c r="J41" t="s">
        <v>270</v>
      </c>
      <c r="K41">
        <v>0.3429337864391469</v>
      </c>
      <c r="L41" t="s">
        <v>174</v>
      </c>
      <c r="N41" t="s">
        <v>227</v>
      </c>
      <c r="O41" t="s">
        <v>270</v>
      </c>
      <c r="P41">
        <v>6.5587010559095174E-2</v>
      </c>
      <c r="Q41" t="s">
        <v>174</v>
      </c>
      <c r="S41" t="s">
        <v>237</v>
      </c>
      <c r="T41" t="s">
        <v>270</v>
      </c>
      <c r="U41">
        <v>6.5587010559095174E-2</v>
      </c>
      <c r="V41" t="s">
        <v>174</v>
      </c>
    </row>
    <row r="42" spans="9:31" x14ac:dyDescent="0.45">
      <c r="I42" t="s">
        <v>217</v>
      </c>
      <c r="J42" t="s">
        <v>271</v>
      </c>
      <c r="K42">
        <v>1.9624946131478926E-2</v>
      </c>
      <c r="L42" t="s">
        <v>174</v>
      </c>
      <c r="N42" t="s">
        <v>227</v>
      </c>
      <c r="O42" t="s">
        <v>271</v>
      </c>
      <c r="P42">
        <v>8.4979347697198351E-2</v>
      </c>
      <c r="Q42" t="s">
        <v>174</v>
      </c>
      <c r="S42" t="s">
        <v>237</v>
      </c>
      <c r="T42" t="s">
        <v>271</v>
      </c>
      <c r="U42">
        <v>8.4979347697198351E-2</v>
      </c>
      <c r="V42" t="s">
        <v>174</v>
      </c>
    </row>
    <row r="43" spans="9:31" x14ac:dyDescent="0.45">
      <c r="I43" t="s">
        <v>217</v>
      </c>
      <c r="J43" t="s">
        <v>272</v>
      </c>
      <c r="K43">
        <v>4.5527077291546168E-2</v>
      </c>
      <c r="L43" t="s">
        <v>174</v>
      </c>
      <c r="N43" t="s">
        <v>227</v>
      </c>
      <c r="O43" t="s">
        <v>272</v>
      </c>
      <c r="P43">
        <v>1.1865116824631579E-2</v>
      </c>
      <c r="Q43" t="s">
        <v>174</v>
      </c>
      <c r="S43" t="s">
        <v>237</v>
      </c>
      <c r="T43" t="s">
        <v>272</v>
      </c>
      <c r="U43">
        <v>1.1865116824631579E-2</v>
      </c>
      <c r="V43" t="s">
        <v>174</v>
      </c>
    </row>
    <row r="44" spans="9:31" x14ac:dyDescent="0.45">
      <c r="I44" t="s">
        <v>217</v>
      </c>
      <c r="J44" t="s">
        <v>273</v>
      </c>
      <c r="K44">
        <v>0.10279942595900989</v>
      </c>
      <c r="L44" t="s">
        <v>174</v>
      </c>
      <c r="N44" t="s">
        <v>227</v>
      </c>
      <c r="O44" t="s">
        <v>273</v>
      </c>
      <c r="P44">
        <v>0.13109060317171295</v>
      </c>
      <c r="Q44" t="s">
        <v>174</v>
      </c>
      <c r="S44" t="s">
        <v>237</v>
      </c>
      <c r="T44" t="s">
        <v>273</v>
      </c>
      <c r="U44">
        <v>0.13109060317171295</v>
      </c>
      <c r="V44" t="s">
        <v>174</v>
      </c>
    </row>
    <row r="45" spans="9:31" x14ac:dyDescent="0.45">
      <c r="I45" t="s">
        <v>217</v>
      </c>
      <c r="J45" t="s">
        <v>274</v>
      </c>
      <c r="K45">
        <v>0</v>
      </c>
      <c r="L45" t="s">
        <v>174</v>
      </c>
      <c r="N45" t="s">
        <v>227</v>
      </c>
      <c r="O45" t="s">
        <v>274</v>
      </c>
      <c r="P45">
        <v>0.14598099316683713</v>
      </c>
      <c r="Q45" t="s">
        <v>174</v>
      </c>
      <c r="S45" t="s">
        <v>237</v>
      </c>
      <c r="T45" t="s">
        <v>274</v>
      </c>
      <c r="U45">
        <v>0.14598099316683713</v>
      </c>
      <c r="V45" t="s">
        <v>174</v>
      </c>
    </row>
    <row r="46" spans="9:31" x14ac:dyDescent="0.45">
      <c r="I46" t="s">
        <v>217</v>
      </c>
      <c r="J46" t="s">
        <v>275</v>
      </c>
      <c r="K46">
        <v>1.4258156465429067E-3</v>
      </c>
      <c r="L46" t="s">
        <v>174</v>
      </c>
      <c r="N46" t="s">
        <v>227</v>
      </c>
      <c r="O46" t="s">
        <v>275</v>
      </c>
      <c r="P46">
        <v>2.5899832830031895E-2</v>
      </c>
      <c r="Q46" t="s">
        <v>174</v>
      </c>
      <c r="S46" t="s">
        <v>237</v>
      </c>
      <c r="T46" t="s">
        <v>275</v>
      </c>
      <c r="U46">
        <v>2.5899832830031895E-2</v>
      </c>
      <c r="V46" t="s">
        <v>174</v>
      </c>
    </row>
    <row r="47" spans="9:31" x14ac:dyDescent="0.45">
      <c r="I47" t="s">
        <v>218</v>
      </c>
      <c r="J47" t="s">
        <v>264</v>
      </c>
      <c r="K47">
        <v>0.16911048473410148</v>
      </c>
      <c r="L47" t="s">
        <v>174</v>
      </c>
      <c r="N47" t="s">
        <v>228</v>
      </c>
      <c r="O47" t="s">
        <v>264</v>
      </c>
      <c r="P47">
        <v>0.12307508618571456</v>
      </c>
      <c r="Q47" t="s">
        <v>174</v>
      </c>
      <c r="S47" t="s">
        <v>238</v>
      </c>
      <c r="T47" t="s">
        <v>264</v>
      </c>
      <c r="U47">
        <v>0.12307508618571456</v>
      </c>
      <c r="V47" t="s">
        <v>174</v>
      </c>
    </row>
    <row r="48" spans="9:31" x14ac:dyDescent="0.45">
      <c r="I48" t="s">
        <v>218</v>
      </c>
      <c r="J48" t="s">
        <v>265</v>
      </c>
      <c r="K48">
        <v>0</v>
      </c>
      <c r="L48" t="s">
        <v>174</v>
      </c>
      <c r="N48" t="s">
        <v>228</v>
      </c>
      <c r="O48" t="s">
        <v>265</v>
      </c>
      <c r="P48">
        <v>0.14044384478457905</v>
      </c>
      <c r="Q48" t="s">
        <v>174</v>
      </c>
      <c r="S48" t="s">
        <v>238</v>
      </c>
      <c r="T48" t="s">
        <v>265</v>
      </c>
      <c r="U48">
        <v>0.14044384478457905</v>
      </c>
      <c r="V48" t="s">
        <v>174</v>
      </c>
    </row>
    <row r="49" spans="9:22" x14ac:dyDescent="0.45">
      <c r="I49" t="s">
        <v>218</v>
      </c>
      <c r="J49" t="s">
        <v>266</v>
      </c>
      <c r="K49">
        <v>7.7845021304072236E-3</v>
      </c>
      <c r="L49" t="s">
        <v>174</v>
      </c>
      <c r="N49" t="s">
        <v>228</v>
      </c>
      <c r="O49" t="s">
        <v>266</v>
      </c>
      <c r="P49">
        <v>2.4195432904482672E-2</v>
      </c>
      <c r="Q49" t="s">
        <v>174</v>
      </c>
      <c r="S49" t="s">
        <v>238</v>
      </c>
      <c r="T49" t="s">
        <v>266</v>
      </c>
      <c r="U49">
        <v>2.4195432904482672E-2</v>
      </c>
      <c r="V49" t="s">
        <v>174</v>
      </c>
    </row>
    <row r="50" spans="9:22" x14ac:dyDescent="0.45">
      <c r="I50" t="s">
        <v>218</v>
      </c>
      <c r="J50" t="s">
        <v>267</v>
      </c>
      <c r="K50">
        <v>0.27508704981845694</v>
      </c>
      <c r="L50" t="s">
        <v>174</v>
      </c>
      <c r="N50" t="s">
        <v>228</v>
      </c>
      <c r="O50" t="s">
        <v>267</v>
      </c>
      <c r="P50">
        <v>0.10174831405536484</v>
      </c>
      <c r="Q50" t="s">
        <v>174</v>
      </c>
      <c r="S50" t="s">
        <v>238</v>
      </c>
      <c r="T50" t="s">
        <v>267</v>
      </c>
      <c r="U50">
        <v>0.10174831405536484</v>
      </c>
      <c r="V50" t="s">
        <v>174</v>
      </c>
    </row>
    <row r="51" spans="9:22" x14ac:dyDescent="0.45">
      <c r="I51" t="s">
        <v>218</v>
      </c>
      <c r="J51" t="s">
        <v>268</v>
      </c>
      <c r="K51">
        <v>5.7417290463118824E-3</v>
      </c>
      <c r="L51" t="s">
        <v>174</v>
      </c>
      <c r="N51" t="s">
        <v>228</v>
      </c>
      <c r="O51" t="s">
        <v>268</v>
      </c>
      <c r="P51">
        <v>0.11292468728997215</v>
      </c>
      <c r="Q51" t="s">
        <v>174</v>
      </c>
      <c r="S51" t="s">
        <v>238</v>
      </c>
      <c r="T51" t="s">
        <v>268</v>
      </c>
      <c r="U51">
        <v>0.11292468728997215</v>
      </c>
      <c r="V51" t="s">
        <v>174</v>
      </c>
    </row>
    <row r="52" spans="9:22" x14ac:dyDescent="0.45">
      <c r="I52" t="s">
        <v>218</v>
      </c>
      <c r="J52" t="s">
        <v>269</v>
      </c>
      <c r="K52">
        <v>2.7377354288242822E-2</v>
      </c>
      <c r="L52" t="s">
        <v>174</v>
      </c>
      <c r="N52" t="s">
        <v>228</v>
      </c>
      <c r="O52" t="s">
        <v>269</v>
      </c>
      <c r="P52">
        <v>1.8818803072447848E-2</v>
      </c>
      <c r="Q52" t="s">
        <v>174</v>
      </c>
      <c r="S52" t="s">
        <v>238</v>
      </c>
      <c r="T52" t="s">
        <v>269</v>
      </c>
      <c r="U52">
        <v>1.8818803072447848E-2</v>
      </c>
      <c r="V52" t="s">
        <v>174</v>
      </c>
    </row>
    <row r="53" spans="9:22" x14ac:dyDescent="0.45">
      <c r="I53" t="s">
        <v>218</v>
      </c>
      <c r="J53" t="s">
        <v>270</v>
      </c>
      <c r="K53">
        <v>0.34140873182469006</v>
      </c>
      <c r="L53" t="s">
        <v>174</v>
      </c>
      <c r="N53" t="s">
        <v>228</v>
      </c>
      <c r="O53" t="s">
        <v>270</v>
      </c>
      <c r="P53">
        <v>6.392243106868209E-2</v>
      </c>
      <c r="Q53" t="s">
        <v>174</v>
      </c>
      <c r="S53" t="s">
        <v>238</v>
      </c>
      <c r="T53" t="s">
        <v>270</v>
      </c>
      <c r="U53">
        <v>6.392243106868209E-2</v>
      </c>
      <c r="V53" t="s">
        <v>174</v>
      </c>
    </row>
    <row r="54" spans="9:22" x14ac:dyDescent="0.45">
      <c r="I54" t="s">
        <v>218</v>
      </c>
      <c r="J54" t="s">
        <v>271</v>
      </c>
      <c r="K54">
        <v>2.0159525286935251E-2</v>
      </c>
      <c r="L54" t="s">
        <v>174</v>
      </c>
      <c r="N54" t="s">
        <v>228</v>
      </c>
      <c r="O54" t="s">
        <v>271</v>
      </c>
      <c r="P54">
        <v>7.8898042168409968E-2</v>
      </c>
      <c r="Q54" t="s">
        <v>174</v>
      </c>
      <c r="S54" t="s">
        <v>238</v>
      </c>
      <c r="T54" t="s">
        <v>271</v>
      </c>
      <c r="U54">
        <v>7.8898042168409968E-2</v>
      </c>
      <c r="V54" t="s">
        <v>174</v>
      </c>
    </row>
    <row r="55" spans="9:22" x14ac:dyDescent="0.45">
      <c r="I55" t="s">
        <v>218</v>
      </c>
      <c r="J55" t="s">
        <v>272</v>
      </c>
      <c r="K55">
        <v>4.6577797311513881E-2</v>
      </c>
      <c r="L55" t="s">
        <v>174</v>
      </c>
      <c r="N55" t="s">
        <v>228</v>
      </c>
      <c r="O55" t="s">
        <v>272</v>
      </c>
      <c r="P55">
        <v>1.1159939750512592E-2</v>
      </c>
      <c r="Q55" t="s">
        <v>174</v>
      </c>
      <c r="S55" t="s">
        <v>238</v>
      </c>
      <c r="T55" t="s">
        <v>272</v>
      </c>
      <c r="U55">
        <v>1.1159939750512592E-2</v>
      </c>
      <c r="V55" t="s">
        <v>174</v>
      </c>
    </row>
    <row r="56" spans="9:22" x14ac:dyDescent="0.45">
      <c r="I56" t="s">
        <v>218</v>
      </c>
      <c r="J56" t="s">
        <v>273</v>
      </c>
      <c r="K56">
        <v>0.10503584831443147</v>
      </c>
      <c r="L56" t="s">
        <v>174</v>
      </c>
      <c r="N56" t="s">
        <v>228</v>
      </c>
      <c r="O56" t="s">
        <v>273</v>
      </c>
      <c r="P56">
        <v>0.14224329949505968</v>
      </c>
      <c r="Q56" t="s">
        <v>174</v>
      </c>
      <c r="S56" t="s">
        <v>238</v>
      </c>
      <c r="T56" t="s">
        <v>273</v>
      </c>
      <c r="U56">
        <v>0.14224329949505968</v>
      </c>
      <c r="V56" t="s">
        <v>174</v>
      </c>
    </row>
    <row r="57" spans="9:22" x14ac:dyDescent="0.45">
      <c r="I57" t="s">
        <v>218</v>
      </c>
      <c r="J57" t="s">
        <v>274</v>
      </c>
      <c r="K57">
        <v>0</v>
      </c>
      <c r="L57" t="s">
        <v>174</v>
      </c>
      <c r="N57" t="s">
        <v>228</v>
      </c>
      <c r="O57" t="s">
        <v>274</v>
      </c>
      <c r="P57">
        <v>0.15594164006864433</v>
      </c>
      <c r="Q57" t="s">
        <v>174</v>
      </c>
      <c r="S57" t="s">
        <v>238</v>
      </c>
      <c r="T57" t="s">
        <v>274</v>
      </c>
      <c r="U57">
        <v>0.15594164006864433</v>
      </c>
      <c r="V57" t="s">
        <v>174</v>
      </c>
    </row>
    <row r="58" spans="9:22" x14ac:dyDescent="0.45">
      <c r="I58" t="s">
        <v>218</v>
      </c>
      <c r="J58" t="s">
        <v>275</v>
      </c>
      <c r="K58">
        <v>1.7169772449085647E-3</v>
      </c>
      <c r="L58" t="s">
        <v>174</v>
      </c>
      <c r="N58" t="s">
        <v>228</v>
      </c>
      <c r="O58" t="s">
        <v>275</v>
      </c>
      <c r="P58">
        <v>2.6628479156133145E-2</v>
      </c>
      <c r="Q58" t="s">
        <v>174</v>
      </c>
      <c r="S58" t="s">
        <v>238</v>
      </c>
      <c r="T58" t="s">
        <v>275</v>
      </c>
      <c r="U58">
        <v>2.6628479156133145E-2</v>
      </c>
      <c r="V58" t="s">
        <v>174</v>
      </c>
    </row>
    <row r="59" spans="9:22" x14ac:dyDescent="0.45">
      <c r="I59" t="s">
        <v>219</v>
      </c>
      <c r="J59" t="s">
        <v>264</v>
      </c>
      <c r="K59">
        <v>0.1691395813922931</v>
      </c>
      <c r="L59" t="s">
        <v>174</v>
      </c>
      <c r="N59" t="s">
        <v>229</v>
      </c>
      <c r="O59" t="s">
        <v>264</v>
      </c>
      <c r="P59">
        <v>0.11763249578418171</v>
      </c>
      <c r="Q59" t="s">
        <v>174</v>
      </c>
      <c r="S59" t="s">
        <v>239</v>
      </c>
      <c r="T59" t="s">
        <v>264</v>
      </c>
      <c r="U59">
        <v>0.11763249578418171</v>
      </c>
      <c r="V59" t="s">
        <v>174</v>
      </c>
    </row>
    <row r="60" spans="9:22" x14ac:dyDescent="0.45">
      <c r="I60" t="s">
        <v>219</v>
      </c>
      <c r="J60" t="s">
        <v>265</v>
      </c>
      <c r="K60">
        <v>0</v>
      </c>
      <c r="L60" t="s">
        <v>174</v>
      </c>
      <c r="N60" t="s">
        <v>229</v>
      </c>
      <c r="O60" t="s">
        <v>265</v>
      </c>
      <c r="P60">
        <v>0.13718236665760189</v>
      </c>
      <c r="Q60" t="s">
        <v>174</v>
      </c>
      <c r="S60" t="s">
        <v>239</v>
      </c>
      <c r="T60" t="s">
        <v>265</v>
      </c>
      <c r="U60">
        <v>0.13718236665760189</v>
      </c>
      <c r="V60" t="s">
        <v>174</v>
      </c>
    </row>
    <row r="61" spans="9:22" x14ac:dyDescent="0.45">
      <c r="I61" t="s">
        <v>219</v>
      </c>
      <c r="J61" t="s">
        <v>266</v>
      </c>
      <c r="K61">
        <v>8.1753814867752822E-3</v>
      </c>
      <c r="L61" t="s">
        <v>174</v>
      </c>
      <c r="N61" t="s">
        <v>229</v>
      </c>
      <c r="O61" t="s">
        <v>266</v>
      </c>
      <c r="P61">
        <v>2.297501530124392E-2</v>
      </c>
      <c r="Q61" t="s">
        <v>174</v>
      </c>
      <c r="S61" t="s">
        <v>239</v>
      </c>
      <c r="T61" t="s">
        <v>266</v>
      </c>
      <c r="U61">
        <v>2.297501530124392E-2</v>
      </c>
      <c r="V61" t="s">
        <v>174</v>
      </c>
    </row>
    <row r="62" spans="9:22" x14ac:dyDescent="0.45">
      <c r="I62" t="s">
        <v>219</v>
      </c>
      <c r="J62" t="s">
        <v>267</v>
      </c>
      <c r="K62">
        <v>0.27308934527399448</v>
      </c>
      <c r="L62" t="s">
        <v>174</v>
      </c>
      <c r="N62" t="s">
        <v>229</v>
      </c>
      <c r="O62" t="s">
        <v>267</v>
      </c>
      <c r="P62">
        <v>0.10409601071079075</v>
      </c>
      <c r="Q62" t="s">
        <v>174</v>
      </c>
      <c r="S62" t="s">
        <v>239</v>
      </c>
      <c r="T62" t="s">
        <v>267</v>
      </c>
      <c r="U62">
        <v>0.10409601071079075</v>
      </c>
      <c r="V62" t="s">
        <v>174</v>
      </c>
    </row>
    <row r="63" spans="9:22" x14ac:dyDescent="0.45">
      <c r="I63" t="s">
        <v>219</v>
      </c>
      <c r="J63" t="s">
        <v>268</v>
      </c>
      <c r="K63">
        <v>6.7523116311844749E-3</v>
      </c>
      <c r="L63" t="s">
        <v>174</v>
      </c>
      <c r="N63" t="s">
        <v>229</v>
      </c>
      <c r="O63" t="s">
        <v>268</v>
      </c>
      <c r="P63">
        <v>0.11471466006349307</v>
      </c>
      <c r="Q63" t="s">
        <v>174</v>
      </c>
      <c r="S63" t="s">
        <v>239</v>
      </c>
      <c r="T63" t="s">
        <v>268</v>
      </c>
      <c r="U63">
        <v>0.11471466006349307</v>
      </c>
      <c r="V63" t="s">
        <v>174</v>
      </c>
    </row>
    <row r="64" spans="9:22" x14ac:dyDescent="0.45">
      <c r="I64" t="s">
        <v>219</v>
      </c>
      <c r="J64" t="s">
        <v>269</v>
      </c>
      <c r="K64">
        <v>2.9106260393196037E-2</v>
      </c>
      <c r="L64" t="s">
        <v>174</v>
      </c>
      <c r="N64" t="s">
        <v>229</v>
      </c>
      <c r="O64" t="s">
        <v>269</v>
      </c>
      <c r="P64">
        <v>1.8969465766748881E-2</v>
      </c>
      <c r="Q64" t="s">
        <v>174</v>
      </c>
      <c r="S64" t="s">
        <v>239</v>
      </c>
      <c r="T64" t="s">
        <v>269</v>
      </c>
      <c r="U64">
        <v>1.8969465766748881E-2</v>
      </c>
      <c r="V64" t="s">
        <v>174</v>
      </c>
    </row>
    <row r="65" spans="9:22" x14ac:dyDescent="0.45">
      <c r="I65" t="s">
        <v>219</v>
      </c>
      <c r="J65" t="s">
        <v>270</v>
      </c>
      <c r="K65">
        <v>0.33946181475317333</v>
      </c>
      <c r="L65" t="s">
        <v>174</v>
      </c>
      <c r="N65" t="s">
        <v>229</v>
      </c>
      <c r="O65" t="s">
        <v>270</v>
      </c>
      <c r="P65">
        <v>6.2108038226803629E-2</v>
      </c>
      <c r="Q65" t="s">
        <v>174</v>
      </c>
      <c r="S65" t="s">
        <v>239</v>
      </c>
      <c r="T65" t="s">
        <v>270</v>
      </c>
      <c r="U65">
        <v>6.2108038226803629E-2</v>
      </c>
      <c r="V65" t="s">
        <v>174</v>
      </c>
    </row>
    <row r="66" spans="9:22" x14ac:dyDescent="0.45">
      <c r="I66" t="s">
        <v>219</v>
      </c>
      <c r="J66" t="s">
        <v>271</v>
      </c>
      <c r="K66">
        <v>2.0580748922945896E-2</v>
      </c>
      <c r="L66" t="s">
        <v>174</v>
      </c>
      <c r="N66" t="s">
        <v>229</v>
      </c>
      <c r="O66" t="s">
        <v>271</v>
      </c>
      <c r="P66">
        <v>8.1862308821909049E-2</v>
      </c>
      <c r="Q66" t="s">
        <v>174</v>
      </c>
      <c r="S66" t="s">
        <v>239</v>
      </c>
      <c r="T66" t="s">
        <v>271</v>
      </c>
      <c r="U66">
        <v>8.1862308821909049E-2</v>
      </c>
      <c r="V66" t="s">
        <v>174</v>
      </c>
    </row>
    <row r="67" spans="9:22" x14ac:dyDescent="0.45">
      <c r="I67" t="s">
        <v>219</v>
      </c>
      <c r="J67" t="s">
        <v>272</v>
      </c>
      <c r="K67">
        <v>4.7402663499594329E-2</v>
      </c>
      <c r="L67" t="s">
        <v>174</v>
      </c>
      <c r="N67" t="s">
        <v>229</v>
      </c>
      <c r="O67" t="s">
        <v>272</v>
      </c>
      <c r="P67">
        <v>1.1221903311257135E-2</v>
      </c>
      <c r="Q67" t="s">
        <v>174</v>
      </c>
      <c r="S67" t="s">
        <v>239</v>
      </c>
      <c r="T67" t="s">
        <v>272</v>
      </c>
      <c r="U67">
        <v>1.1221903311257135E-2</v>
      </c>
      <c r="V67" t="s">
        <v>174</v>
      </c>
    </row>
    <row r="68" spans="9:22" x14ac:dyDescent="0.45">
      <c r="I68" t="s">
        <v>219</v>
      </c>
      <c r="J68" t="s">
        <v>273</v>
      </c>
      <c r="K68">
        <v>0.10440171621368802</v>
      </c>
      <c r="L68" t="s">
        <v>174</v>
      </c>
      <c r="N68" t="s">
        <v>229</v>
      </c>
      <c r="O68" t="s">
        <v>273</v>
      </c>
      <c r="P68">
        <v>0.14420745977083865</v>
      </c>
      <c r="Q68" t="s">
        <v>174</v>
      </c>
      <c r="S68" t="s">
        <v>239</v>
      </c>
      <c r="T68" t="s">
        <v>273</v>
      </c>
      <c r="U68">
        <v>0.14420745977083865</v>
      </c>
      <c r="V68" t="s">
        <v>174</v>
      </c>
    </row>
    <row r="69" spans="9:22" x14ac:dyDescent="0.45">
      <c r="I69" t="s">
        <v>219</v>
      </c>
      <c r="J69" t="s">
        <v>274</v>
      </c>
      <c r="K69">
        <v>0</v>
      </c>
      <c r="L69" t="s">
        <v>174</v>
      </c>
      <c r="N69" t="s">
        <v>229</v>
      </c>
      <c r="O69" t="s">
        <v>274</v>
      </c>
      <c r="P69">
        <v>0.15791509030786832</v>
      </c>
      <c r="Q69" t="s">
        <v>174</v>
      </c>
      <c r="S69" t="s">
        <v>239</v>
      </c>
      <c r="T69" t="s">
        <v>274</v>
      </c>
      <c r="U69">
        <v>0.15791509030786832</v>
      </c>
      <c r="V69" t="s">
        <v>174</v>
      </c>
    </row>
    <row r="70" spans="9:22" x14ac:dyDescent="0.45">
      <c r="I70" t="s">
        <v>219</v>
      </c>
      <c r="J70" t="s">
        <v>275</v>
      </c>
      <c r="K70">
        <v>1.8901764331543142E-3</v>
      </c>
      <c r="L70" t="s">
        <v>174</v>
      </c>
      <c r="N70" t="s">
        <v>229</v>
      </c>
      <c r="O70" t="s">
        <v>275</v>
      </c>
      <c r="P70">
        <v>2.7115185277259864E-2</v>
      </c>
      <c r="Q70" t="s">
        <v>174</v>
      </c>
      <c r="S70" t="s">
        <v>239</v>
      </c>
      <c r="T70" t="s">
        <v>275</v>
      </c>
      <c r="U70">
        <v>2.7115185277259864E-2</v>
      </c>
      <c r="V70" t="s">
        <v>174</v>
      </c>
    </row>
    <row r="71" spans="9:22" x14ac:dyDescent="0.45">
      <c r="I71" t="s">
        <v>220</v>
      </c>
      <c r="J71" t="s">
        <v>264</v>
      </c>
      <c r="K71">
        <v>0.15995854423581843</v>
      </c>
      <c r="L71" t="s">
        <v>174</v>
      </c>
      <c r="N71" t="s">
        <v>230</v>
      </c>
      <c r="O71" t="s">
        <v>264</v>
      </c>
      <c r="P71">
        <v>0.11973294088352394</v>
      </c>
      <c r="Q71" t="s">
        <v>174</v>
      </c>
      <c r="S71" t="s">
        <v>240</v>
      </c>
      <c r="T71" t="s">
        <v>264</v>
      </c>
      <c r="U71">
        <v>0.11973294088352394</v>
      </c>
      <c r="V71" t="s">
        <v>174</v>
      </c>
    </row>
    <row r="72" spans="9:22" x14ac:dyDescent="0.45">
      <c r="I72" t="s">
        <v>220</v>
      </c>
      <c r="J72" t="s">
        <v>265</v>
      </c>
      <c r="K72">
        <v>0</v>
      </c>
      <c r="L72" t="s">
        <v>174</v>
      </c>
      <c r="N72" t="s">
        <v>230</v>
      </c>
      <c r="O72" t="s">
        <v>265</v>
      </c>
      <c r="P72">
        <v>0.13521529393896678</v>
      </c>
      <c r="Q72" t="s">
        <v>174</v>
      </c>
      <c r="S72" t="s">
        <v>240</v>
      </c>
      <c r="T72" t="s">
        <v>265</v>
      </c>
      <c r="U72">
        <v>0.13521529393896678</v>
      </c>
      <c r="V72" t="s">
        <v>174</v>
      </c>
    </row>
    <row r="73" spans="9:22" x14ac:dyDescent="0.45">
      <c r="I73" t="s">
        <v>220</v>
      </c>
      <c r="J73" t="s">
        <v>266</v>
      </c>
      <c r="K73">
        <v>6.6591501957179566E-3</v>
      </c>
      <c r="L73" t="s">
        <v>174</v>
      </c>
      <c r="N73" t="s">
        <v>230</v>
      </c>
      <c r="O73" t="s">
        <v>266</v>
      </c>
      <c r="P73">
        <v>2.4384246825956298E-2</v>
      </c>
      <c r="Q73" t="s">
        <v>174</v>
      </c>
      <c r="S73" t="s">
        <v>240</v>
      </c>
      <c r="T73" t="s">
        <v>266</v>
      </c>
      <c r="U73">
        <v>2.4384246825956298E-2</v>
      </c>
      <c r="V73" t="s">
        <v>174</v>
      </c>
    </row>
    <row r="74" spans="9:22" x14ac:dyDescent="0.45">
      <c r="I74" t="s">
        <v>220</v>
      </c>
      <c r="J74" t="s">
        <v>267</v>
      </c>
      <c r="K74">
        <v>0.28436388552726644</v>
      </c>
      <c r="L74" t="s">
        <v>174</v>
      </c>
      <c r="N74" t="s">
        <v>230</v>
      </c>
      <c r="O74" t="s">
        <v>267</v>
      </c>
      <c r="P74">
        <v>0.1056400624830644</v>
      </c>
      <c r="Q74" t="s">
        <v>174</v>
      </c>
      <c r="S74" t="s">
        <v>240</v>
      </c>
      <c r="T74" t="s">
        <v>267</v>
      </c>
      <c r="U74">
        <v>0.1056400624830644</v>
      </c>
      <c r="V74" t="s">
        <v>174</v>
      </c>
    </row>
    <row r="75" spans="9:22" x14ac:dyDescent="0.45">
      <c r="I75" t="s">
        <v>220</v>
      </c>
      <c r="J75" t="s">
        <v>268</v>
      </c>
      <c r="K75">
        <v>4.4253398028200677E-3</v>
      </c>
      <c r="L75" t="s">
        <v>174</v>
      </c>
      <c r="N75" t="s">
        <v>230</v>
      </c>
      <c r="O75" t="s">
        <v>268</v>
      </c>
      <c r="P75">
        <v>0.11583748779005652</v>
      </c>
      <c r="Q75" t="s">
        <v>174</v>
      </c>
      <c r="S75" t="s">
        <v>240</v>
      </c>
      <c r="T75" t="s">
        <v>268</v>
      </c>
      <c r="U75">
        <v>0.11583748779005652</v>
      </c>
      <c r="V75" t="s">
        <v>174</v>
      </c>
    </row>
    <row r="76" spans="9:22" x14ac:dyDescent="0.45">
      <c r="I76" t="s">
        <v>220</v>
      </c>
      <c r="J76" t="s">
        <v>269</v>
      </c>
      <c r="K76">
        <v>2.4572559038480563E-2</v>
      </c>
      <c r="L76" t="s">
        <v>174</v>
      </c>
      <c r="N76" t="s">
        <v>230</v>
      </c>
      <c r="O76" t="s">
        <v>269</v>
      </c>
      <c r="P76">
        <v>1.9385015330894102E-2</v>
      </c>
      <c r="Q76" t="s">
        <v>174</v>
      </c>
      <c r="S76" t="s">
        <v>240</v>
      </c>
      <c r="T76" t="s">
        <v>269</v>
      </c>
      <c r="U76">
        <v>1.9385015330894102E-2</v>
      </c>
      <c r="V76" t="s">
        <v>174</v>
      </c>
    </row>
    <row r="77" spans="9:22" x14ac:dyDescent="0.45">
      <c r="I77" t="s">
        <v>220</v>
      </c>
      <c r="J77" t="s">
        <v>270</v>
      </c>
      <c r="K77">
        <v>0.36051907957493851</v>
      </c>
      <c r="L77" t="s">
        <v>174</v>
      </c>
      <c r="N77" t="s">
        <v>230</v>
      </c>
      <c r="O77" t="s">
        <v>270</v>
      </c>
      <c r="P77">
        <v>6.3876748566473504E-2</v>
      </c>
      <c r="Q77" t="s">
        <v>174</v>
      </c>
      <c r="S77" t="s">
        <v>240</v>
      </c>
      <c r="T77" t="s">
        <v>270</v>
      </c>
      <c r="U77">
        <v>6.3876748566473504E-2</v>
      </c>
      <c r="V77" t="s">
        <v>174</v>
      </c>
    </row>
    <row r="78" spans="9:22" x14ac:dyDescent="0.45">
      <c r="I78" t="s">
        <v>220</v>
      </c>
      <c r="J78" t="s">
        <v>271</v>
      </c>
      <c r="K78">
        <v>1.8565481600311975E-2</v>
      </c>
      <c r="L78" t="s">
        <v>174</v>
      </c>
      <c r="N78" t="s">
        <v>230</v>
      </c>
      <c r="O78" t="s">
        <v>271</v>
      </c>
      <c r="P78">
        <v>8.4847646648009339E-2</v>
      </c>
      <c r="Q78" t="s">
        <v>174</v>
      </c>
      <c r="S78" t="s">
        <v>240</v>
      </c>
      <c r="T78" t="s">
        <v>271</v>
      </c>
      <c r="U78">
        <v>8.4847646648009339E-2</v>
      </c>
      <c r="V78" t="s">
        <v>174</v>
      </c>
    </row>
    <row r="79" spans="9:22" x14ac:dyDescent="0.45">
      <c r="I79" t="s">
        <v>220</v>
      </c>
      <c r="J79" t="s">
        <v>272</v>
      </c>
      <c r="K79">
        <v>4.2035208588444936E-2</v>
      </c>
      <c r="L79" t="s">
        <v>174</v>
      </c>
      <c r="N79" t="s">
        <v>230</v>
      </c>
      <c r="O79" t="s">
        <v>272</v>
      </c>
      <c r="P79">
        <v>1.1580521034713596E-2</v>
      </c>
      <c r="Q79" t="s">
        <v>174</v>
      </c>
      <c r="S79" t="s">
        <v>240</v>
      </c>
      <c r="T79" t="s">
        <v>272</v>
      </c>
      <c r="U79">
        <v>1.1580521034713596E-2</v>
      </c>
      <c r="V79" t="s">
        <v>174</v>
      </c>
    </row>
    <row r="80" spans="9:22" x14ac:dyDescent="0.45">
      <c r="I80" t="s">
        <v>220</v>
      </c>
      <c r="J80" t="s">
        <v>273</v>
      </c>
      <c r="K80">
        <v>9.7220642007976824E-2</v>
      </c>
      <c r="L80" t="s">
        <v>174</v>
      </c>
      <c r="N80" t="s">
        <v>230</v>
      </c>
      <c r="O80" t="s">
        <v>273</v>
      </c>
      <c r="P80">
        <v>0.1400665445127153</v>
      </c>
      <c r="Q80" t="s">
        <v>174</v>
      </c>
      <c r="S80" t="s">
        <v>240</v>
      </c>
      <c r="T80" t="s">
        <v>273</v>
      </c>
      <c r="U80">
        <v>0.1400665445127153</v>
      </c>
      <c r="V80" t="s">
        <v>174</v>
      </c>
    </row>
    <row r="81" spans="9:22" x14ac:dyDescent="0.45">
      <c r="I81" t="s">
        <v>220</v>
      </c>
      <c r="J81" t="s">
        <v>274</v>
      </c>
      <c r="K81">
        <v>0</v>
      </c>
      <c r="L81" t="s">
        <v>174</v>
      </c>
      <c r="N81" t="s">
        <v>230</v>
      </c>
      <c r="O81" t="s">
        <v>274</v>
      </c>
      <c r="P81">
        <v>0.15317833494492433</v>
      </c>
      <c r="Q81" t="s">
        <v>174</v>
      </c>
      <c r="S81" t="s">
        <v>240</v>
      </c>
      <c r="T81" t="s">
        <v>274</v>
      </c>
      <c r="U81">
        <v>0.15317833494492433</v>
      </c>
      <c r="V81" t="s">
        <v>174</v>
      </c>
    </row>
    <row r="82" spans="9:22" x14ac:dyDescent="0.45">
      <c r="I82" t="s">
        <v>220</v>
      </c>
      <c r="J82" t="s">
        <v>275</v>
      </c>
      <c r="K82">
        <v>1.6801094282263606E-3</v>
      </c>
      <c r="L82" t="s">
        <v>174</v>
      </c>
      <c r="N82" t="s">
        <v>230</v>
      </c>
      <c r="O82" t="s">
        <v>275</v>
      </c>
      <c r="P82">
        <v>2.6255157040705374E-2</v>
      </c>
      <c r="Q82" t="s">
        <v>174</v>
      </c>
      <c r="S82" t="s">
        <v>240</v>
      </c>
      <c r="T82" t="s">
        <v>275</v>
      </c>
      <c r="U82">
        <v>2.6255157040705374E-2</v>
      </c>
      <c r="V82" t="s">
        <v>174</v>
      </c>
    </row>
    <row r="83" spans="9:22" x14ac:dyDescent="0.45">
      <c r="I83" t="s">
        <v>221</v>
      </c>
      <c r="J83" t="s">
        <v>264</v>
      </c>
      <c r="K83">
        <v>0.16353882521214477</v>
      </c>
      <c r="L83" t="s">
        <v>174</v>
      </c>
      <c r="N83" t="s">
        <v>231</v>
      </c>
      <c r="O83" t="s">
        <v>264</v>
      </c>
      <c r="P83">
        <v>0.11655863882819441</v>
      </c>
      <c r="Q83" t="s">
        <v>174</v>
      </c>
      <c r="S83" t="s">
        <v>241</v>
      </c>
      <c r="T83" t="s">
        <v>264</v>
      </c>
      <c r="U83">
        <v>0.11655863882819441</v>
      </c>
      <c r="V83" t="s">
        <v>174</v>
      </c>
    </row>
    <row r="84" spans="9:22" x14ac:dyDescent="0.45">
      <c r="I84" t="s">
        <v>221</v>
      </c>
      <c r="J84" t="s">
        <v>265</v>
      </c>
      <c r="K84">
        <v>0</v>
      </c>
      <c r="L84" t="s">
        <v>174</v>
      </c>
      <c r="N84" t="s">
        <v>231</v>
      </c>
      <c r="O84" t="s">
        <v>265</v>
      </c>
      <c r="P84">
        <v>0.1324873490530368</v>
      </c>
      <c r="Q84" t="s">
        <v>174</v>
      </c>
      <c r="S84" t="s">
        <v>241</v>
      </c>
      <c r="T84" t="s">
        <v>265</v>
      </c>
      <c r="U84">
        <v>0.1324873490530368</v>
      </c>
      <c r="V84" t="s">
        <v>174</v>
      </c>
    </row>
    <row r="85" spans="9:22" x14ac:dyDescent="0.45">
      <c r="I85" t="s">
        <v>221</v>
      </c>
      <c r="J85" t="s">
        <v>266</v>
      </c>
      <c r="K85">
        <v>6.8813279306591101E-3</v>
      </c>
      <c r="L85" t="s">
        <v>174</v>
      </c>
      <c r="N85" t="s">
        <v>231</v>
      </c>
      <c r="O85" t="s">
        <v>266</v>
      </c>
      <c r="P85">
        <v>2.3742718468512936E-2</v>
      </c>
      <c r="Q85" t="s">
        <v>174</v>
      </c>
      <c r="S85" t="s">
        <v>241</v>
      </c>
      <c r="T85" t="s">
        <v>266</v>
      </c>
      <c r="U85">
        <v>2.3742718468512936E-2</v>
      </c>
      <c r="V85" t="s">
        <v>174</v>
      </c>
    </row>
    <row r="86" spans="9:22" x14ac:dyDescent="0.45">
      <c r="I86" t="s">
        <v>221</v>
      </c>
      <c r="J86" t="s">
        <v>267</v>
      </c>
      <c r="K86">
        <v>0.27899882955046185</v>
      </c>
      <c r="L86" t="s">
        <v>174</v>
      </c>
      <c r="N86" t="s">
        <v>231</v>
      </c>
      <c r="O86" t="s">
        <v>267</v>
      </c>
      <c r="P86">
        <v>0.10876895255467087</v>
      </c>
      <c r="Q86" t="s">
        <v>174</v>
      </c>
      <c r="S86" t="s">
        <v>241</v>
      </c>
      <c r="T86" t="s">
        <v>267</v>
      </c>
      <c r="U86">
        <v>0.10876895255467087</v>
      </c>
      <c r="V86" t="s">
        <v>174</v>
      </c>
    </row>
    <row r="87" spans="9:22" x14ac:dyDescent="0.45">
      <c r="I87" t="s">
        <v>221</v>
      </c>
      <c r="J87" t="s">
        <v>268</v>
      </c>
      <c r="K87">
        <v>4.1580474232622453E-3</v>
      </c>
      <c r="L87" t="s">
        <v>174</v>
      </c>
      <c r="N87" t="s">
        <v>231</v>
      </c>
      <c r="O87" t="s">
        <v>268</v>
      </c>
      <c r="P87">
        <v>0.11815528273735346</v>
      </c>
      <c r="Q87" t="s">
        <v>174</v>
      </c>
      <c r="S87" t="s">
        <v>241</v>
      </c>
      <c r="T87" t="s">
        <v>268</v>
      </c>
      <c r="U87">
        <v>0.11815528273735346</v>
      </c>
      <c r="V87" t="s">
        <v>174</v>
      </c>
    </row>
    <row r="88" spans="9:22" x14ac:dyDescent="0.45">
      <c r="I88" t="s">
        <v>221</v>
      </c>
      <c r="J88" t="s">
        <v>269</v>
      </c>
      <c r="K88">
        <v>2.4739729074413099E-2</v>
      </c>
      <c r="L88" t="s">
        <v>174</v>
      </c>
      <c r="N88" t="s">
        <v>231</v>
      </c>
      <c r="O88" t="s">
        <v>269</v>
      </c>
      <c r="P88">
        <v>1.940788880400169E-2</v>
      </c>
      <c r="Q88" t="s">
        <v>174</v>
      </c>
      <c r="S88" t="s">
        <v>241</v>
      </c>
      <c r="T88" t="s">
        <v>269</v>
      </c>
      <c r="U88">
        <v>1.940788880400169E-2</v>
      </c>
      <c r="V88" t="s">
        <v>174</v>
      </c>
    </row>
    <row r="89" spans="9:22" x14ac:dyDescent="0.45">
      <c r="I89" t="s">
        <v>221</v>
      </c>
      <c r="J89" t="s">
        <v>270</v>
      </c>
      <c r="K89">
        <v>0.35928050125366406</v>
      </c>
      <c r="L89" t="s">
        <v>174</v>
      </c>
      <c r="N89" t="s">
        <v>231</v>
      </c>
      <c r="O89" t="s">
        <v>270</v>
      </c>
      <c r="P89">
        <v>6.2151360664164164E-2</v>
      </c>
      <c r="Q89" t="s">
        <v>174</v>
      </c>
      <c r="S89" t="s">
        <v>241</v>
      </c>
      <c r="T89" t="s">
        <v>270</v>
      </c>
      <c r="U89">
        <v>6.2151360664164164E-2</v>
      </c>
      <c r="V89" t="s">
        <v>174</v>
      </c>
    </row>
    <row r="90" spans="9:22" x14ac:dyDescent="0.45">
      <c r="I90" t="s">
        <v>221</v>
      </c>
      <c r="J90" t="s">
        <v>271</v>
      </c>
      <c r="K90">
        <v>1.8746110173724094E-2</v>
      </c>
      <c r="L90" t="s">
        <v>174</v>
      </c>
      <c r="N90" t="s">
        <v>231</v>
      </c>
      <c r="O90" t="s">
        <v>271</v>
      </c>
      <c r="P90">
        <v>8.5385345263953971E-2</v>
      </c>
      <c r="Q90" t="s">
        <v>174</v>
      </c>
      <c r="S90" t="s">
        <v>241</v>
      </c>
      <c r="T90" t="s">
        <v>271</v>
      </c>
      <c r="U90">
        <v>8.5385345263953971E-2</v>
      </c>
      <c r="V90" t="s">
        <v>174</v>
      </c>
    </row>
    <row r="91" spans="9:22" x14ac:dyDescent="0.45">
      <c r="I91" t="s">
        <v>221</v>
      </c>
      <c r="J91" t="s">
        <v>272</v>
      </c>
      <c r="K91">
        <v>4.4278785636060455E-2</v>
      </c>
      <c r="L91" t="s">
        <v>174</v>
      </c>
      <c r="N91" t="s">
        <v>231</v>
      </c>
      <c r="O91" t="s">
        <v>272</v>
      </c>
      <c r="P91">
        <v>1.1885478976500117E-2</v>
      </c>
      <c r="Q91" t="s">
        <v>174</v>
      </c>
      <c r="S91" t="s">
        <v>241</v>
      </c>
      <c r="T91" t="s">
        <v>272</v>
      </c>
      <c r="U91">
        <v>1.1885478976500117E-2</v>
      </c>
      <c r="V91" t="s">
        <v>174</v>
      </c>
    </row>
    <row r="92" spans="9:22" x14ac:dyDescent="0.45">
      <c r="I92" t="s">
        <v>221</v>
      </c>
      <c r="J92" t="s">
        <v>273</v>
      </c>
      <c r="K92">
        <v>9.7936592977146755E-2</v>
      </c>
      <c r="L92" t="s">
        <v>174</v>
      </c>
      <c r="N92" t="s">
        <v>231</v>
      </c>
      <c r="O92" t="s">
        <v>273</v>
      </c>
      <c r="P92">
        <v>0.14181459436402222</v>
      </c>
      <c r="Q92" t="s">
        <v>174</v>
      </c>
      <c r="S92" t="s">
        <v>241</v>
      </c>
      <c r="T92" t="s">
        <v>273</v>
      </c>
      <c r="U92">
        <v>0.14181459436402222</v>
      </c>
      <c r="V92" t="s">
        <v>174</v>
      </c>
    </row>
    <row r="93" spans="9:22" x14ac:dyDescent="0.45">
      <c r="I93" t="s">
        <v>221</v>
      </c>
      <c r="J93" t="s">
        <v>274</v>
      </c>
      <c r="K93">
        <v>0</v>
      </c>
      <c r="L93" t="s">
        <v>174</v>
      </c>
      <c r="N93" t="s">
        <v>231</v>
      </c>
      <c r="O93" t="s">
        <v>274</v>
      </c>
      <c r="P93">
        <v>0.1530409337956305</v>
      </c>
      <c r="Q93" t="s">
        <v>174</v>
      </c>
      <c r="S93" t="s">
        <v>241</v>
      </c>
      <c r="T93" t="s">
        <v>274</v>
      </c>
      <c r="U93">
        <v>0.1530409337956305</v>
      </c>
      <c r="V93" t="s">
        <v>174</v>
      </c>
    </row>
    <row r="94" spans="9:22" x14ac:dyDescent="0.45">
      <c r="I94" t="s">
        <v>221</v>
      </c>
      <c r="J94" t="s">
        <v>275</v>
      </c>
      <c r="K94">
        <v>1.4412507684624439E-3</v>
      </c>
      <c r="L94" t="s">
        <v>174</v>
      </c>
      <c r="N94" t="s">
        <v>231</v>
      </c>
      <c r="O94" t="s">
        <v>275</v>
      </c>
      <c r="P94">
        <v>2.6601456489958163E-2</v>
      </c>
      <c r="Q94" t="s">
        <v>174</v>
      </c>
      <c r="S94" t="s">
        <v>241</v>
      </c>
      <c r="T94" t="s">
        <v>275</v>
      </c>
      <c r="U94">
        <v>2.6601456489958163E-2</v>
      </c>
      <c r="V94" t="s">
        <v>174</v>
      </c>
    </row>
    <row r="95" spans="9:22" x14ac:dyDescent="0.45">
      <c r="I95" t="s">
        <v>222</v>
      </c>
      <c r="J95" t="s">
        <v>264</v>
      </c>
      <c r="K95">
        <v>0.16807071900055076</v>
      </c>
      <c r="L95" t="s">
        <v>174</v>
      </c>
      <c r="N95" t="s">
        <v>232</v>
      </c>
      <c r="O95" t="s">
        <v>264</v>
      </c>
      <c r="P95">
        <v>0.1168026078013316</v>
      </c>
      <c r="Q95" t="s">
        <v>174</v>
      </c>
      <c r="S95" t="s">
        <v>242</v>
      </c>
      <c r="T95" t="s">
        <v>264</v>
      </c>
      <c r="U95">
        <v>0.1168026078013316</v>
      </c>
      <c r="V95" t="s">
        <v>174</v>
      </c>
    </row>
    <row r="96" spans="9:22" x14ac:dyDescent="0.45">
      <c r="I96" t="s">
        <v>222</v>
      </c>
      <c r="J96" t="s">
        <v>265</v>
      </c>
      <c r="K96">
        <v>0</v>
      </c>
      <c r="L96" t="s">
        <v>174</v>
      </c>
      <c r="N96" t="s">
        <v>232</v>
      </c>
      <c r="O96" t="s">
        <v>265</v>
      </c>
      <c r="P96">
        <v>0.12488562007801268</v>
      </c>
      <c r="Q96" t="s">
        <v>174</v>
      </c>
      <c r="S96" t="s">
        <v>242</v>
      </c>
      <c r="T96" t="s">
        <v>265</v>
      </c>
      <c r="U96">
        <v>0.12488562007801268</v>
      </c>
      <c r="V96" t="s">
        <v>174</v>
      </c>
    </row>
    <row r="97" spans="9:22" x14ac:dyDescent="0.45">
      <c r="I97" t="s">
        <v>222</v>
      </c>
      <c r="J97" t="s">
        <v>266</v>
      </c>
      <c r="K97">
        <v>6.2086239726459281E-3</v>
      </c>
      <c r="L97" t="s">
        <v>174</v>
      </c>
      <c r="N97" t="s">
        <v>232</v>
      </c>
      <c r="O97" t="s">
        <v>266</v>
      </c>
      <c r="P97">
        <v>2.3330785580928798E-2</v>
      </c>
      <c r="Q97" t="s">
        <v>174</v>
      </c>
      <c r="S97" t="s">
        <v>242</v>
      </c>
      <c r="T97" t="s">
        <v>266</v>
      </c>
      <c r="U97">
        <v>2.3330785580928798E-2</v>
      </c>
      <c r="V97" t="s">
        <v>174</v>
      </c>
    </row>
    <row r="98" spans="9:22" x14ac:dyDescent="0.45">
      <c r="I98" t="s">
        <v>222</v>
      </c>
      <c r="J98" t="s">
        <v>267</v>
      </c>
      <c r="K98">
        <v>0.28920502314686047</v>
      </c>
      <c r="L98" t="s">
        <v>174</v>
      </c>
      <c r="N98" t="s">
        <v>232</v>
      </c>
      <c r="O98" t="s">
        <v>267</v>
      </c>
      <c r="P98">
        <v>0.11495508286895789</v>
      </c>
      <c r="Q98" t="s">
        <v>174</v>
      </c>
      <c r="S98" t="s">
        <v>242</v>
      </c>
      <c r="T98" t="s">
        <v>267</v>
      </c>
      <c r="U98">
        <v>0.11495508286895789</v>
      </c>
      <c r="V98" t="s">
        <v>174</v>
      </c>
    </row>
    <row r="99" spans="9:22" x14ac:dyDescent="0.45">
      <c r="I99" t="s">
        <v>222</v>
      </c>
      <c r="J99" t="s">
        <v>268</v>
      </c>
      <c r="K99">
        <v>5.1997129207836841E-3</v>
      </c>
      <c r="L99" t="s">
        <v>174</v>
      </c>
      <c r="N99" t="s">
        <v>232</v>
      </c>
      <c r="O99" t="s">
        <v>268</v>
      </c>
      <c r="P99">
        <v>0.11986988440680199</v>
      </c>
      <c r="Q99" t="s">
        <v>174</v>
      </c>
      <c r="S99" t="s">
        <v>242</v>
      </c>
      <c r="T99" t="s">
        <v>268</v>
      </c>
      <c r="U99">
        <v>0.11986988440680199</v>
      </c>
      <c r="V99" t="s">
        <v>174</v>
      </c>
    </row>
    <row r="100" spans="9:22" x14ac:dyDescent="0.45">
      <c r="I100" t="s">
        <v>222</v>
      </c>
      <c r="J100" t="s">
        <v>269</v>
      </c>
      <c r="K100">
        <v>2.4929637573302674E-2</v>
      </c>
      <c r="L100" t="s">
        <v>174</v>
      </c>
      <c r="N100" t="s">
        <v>232</v>
      </c>
      <c r="O100" t="s">
        <v>269</v>
      </c>
      <c r="P100">
        <v>2.0710160852765391E-2</v>
      </c>
      <c r="Q100" t="s">
        <v>174</v>
      </c>
      <c r="S100" t="s">
        <v>242</v>
      </c>
      <c r="T100" t="s">
        <v>269</v>
      </c>
      <c r="U100">
        <v>2.0710160852765391E-2</v>
      </c>
      <c r="V100" t="s">
        <v>174</v>
      </c>
    </row>
    <row r="101" spans="9:22" x14ac:dyDescent="0.45">
      <c r="I101" t="s">
        <v>222</v>
      </c>
      <c r="J101" t="s">
        <v>270</v>
      </c>
      <c r="K101">
        <v>0.348497783636039</v>
      </c>
      <c r="L101" t="s">
        <v>174</v>
      </c>
      <c r="N101" t="s">
        <v>232</v>
      </c>
      <c r="O101" t="s">
        <v>270</v>
      </c>
      <c r="P101">
        <v>7.1686333497298221E-2</v>
      </c>
      <c r="Q101" t="s">
        <v>174</v>
      </c>
      <c r="S101" t="s">
        <v>242</v>
      </c>
      <c r="T101" t="s">
        <v>270</v>
      </c>
      <c r="U101">
        <v>7.1686333497298221E-2</v>
      </c>
      <c r="V101" t="s">
        <v>174</v>
      </c>
    </row>
    <row r="102" spans="9:22" x14ac:dyDescent="0.45">
      <c r="I102" t="s">
        <v>222</v>
      </c>
      <c r="J102" t="s">
        <v>271</v>
      </c>
      <c r="K102">
        <v>1.8842435779572984E-2</v>
      </c>
      <c r="L102" t="s">
        <v>174</v>
      </c>
      <c r="N102" t="s">
        <v>232</v>
      </c>
      <c r="O102" t="s">
        <v>271</v>
      </c>
      <c r="P102">
        <v>9.1010804525300845E-2</v>
      </c>
      <c r="Q102" t="s">
        <v>174</v>
      </c>
      <c r="S102" t="s">
        <v>242</v>
      </c>
      <c r="T102" t="s">
        <v>271</v>
      </c>
      <c r="U102">
        <v>9.1010804525300845E-2</v>
      </c>
      <c r="V102" t="s">
        <v>174</v>
      </c>
    </row>
    <row r="103" spans="9:22" x14ac:dyDescent="0.45">
      <c r="I103" t="s">
        <v>222</v>
      </c>
      <c r="J103" t="s">
        <v>272</v>
      </c>
      <c r="K103">
        <v>4.2901468240548753E-2</v>
      </c>
      <c r="L103" t="s">
        <v>174</v>
      </c>
      <c r="N103" t="s">
        <v>232</v>
      </c>
      <c r="O103" t="s">
        <v>272</v>
      </c>
      <c r="P103">
        <v>1.4944433426703506E-2</v>
      </c>
      <c r="Q103" t="s">
        <v>174</v>
      </c>
      <c r="S103" t="s">
        <v>242</v>
      </c>
      <c r="T103" t="s">
        <v>272</v>
      </c>
      <c r="U103">
        <v>1.4944433426703506E-2</v>
      </c>
      <c r="V103" t="s">
        <v>174</v>
      </c>
    </row>
    <row r="104" spans="9:22" x14ac:dyDescent="0.45">
      <c r="I104" t="s">
        <v>222</v>
      </c>
      <c r="J104" t="s">
        <v>273</v>
      </c>
      <c r="K104">
        <v>9.5177297496947144E-2</v>
      </c>
      <c r="L104" t="s">
        <v>174</v>
      </c>
      <c r="N104" t="s">
        <v>232</v>
      </c>
      <c r="O104" t="s">
        <v>273</v>
      </c>
      <c r="P104">
        <v>0.13335366680610894</v>
      </c>
      <c r="Q104" t="s">
        <v>174</v>
      </c>
      <c r="S104" t="s">
        <v>242</v>
      </c>
      <c r="T104" t="s">
        <v>273</v>
      </c>
      <c r="U104">
        <v>0.13335366680610894</v>
      </c>
      <c r="V104" t="s">
        <v>174</v>
      </c>
    </row>
    <row r="105" spans="9:22" x14ac:dyDescent="0.45">
      <c r="I105" t="s">
        <v>222</v>
      </c>
      <c r="J105" t="s">
        <v>274</v>
      </c>
      <c r="K105">
        <v>0</v>
      </c>
      <c r="L105" t="s">
        <v>174</v>
      </c>
      <c r="N105" t="s">
        <v>232</v>
      </c>
      <c r="O105" t="s">
        <v>274</v>
      </c>
      <c r="P105">
        <v>0.14327931841722491</v>
      </c>
      <c r="Q105" t="s">
        <v>174</v>
      </c>
      <c r="S105" t="s">
        <v>242</v>
      </c>
      <c r="T105" t="s">
        <v>274</v>
      </c>
      <c r="U105">
        <v>0.14327931841722491</v>
      </c>
      <c r="V105" t="s">
        <v>174</v>
      </c>
    </row>
    <row r="106" spans="9:22" x14ac:dyDescent="0.45">
      <c r="I106" t="s">
        <v>222</v>
      </c>
      <c r="J106" t="s">
        <v>275</v>
      </c>
      <c r="K106">
        <v>9.6729823274644149E-4</v>
      </c>
      <c r="L106" t="s">
        <v>174</v>
      </c>
      <c r="N106" t="s">
        <v>232</v>
      </c>
      <c r="O106" t="s">
        <v>275</v>
      </c>
      <c r="P106">
        <v>2.517130173856796E-2</v>
      </c>
      <c r="Q106" t="s">
        <v>174</v>
      </c>
      <c r="S106" t="s">
        <v>242</v>
      </c>
      <c r="T106" t="s">
        <v>275</v>
      </c>
      <c r="U106">
        <v>2.517130173856796E-2</v>
      </c>
      <c r="V106" t="s">
        <v>174</v>
      </c>
    </row>
    <row r="107" spans="9:22" x14ac:dyDescent="0.45">
      <c r="I107" t="s">
        <v>223</v>
      </c>
      <c r="J107" t="s">
        <v>264</v>
      </c>
      <c r="K107">
        <v>0.16897268140481556</v>
      </c>
      <c r="L107" t="s">
        <v>174</v>
      </c>
      <c r="N107" t="s">
        <v>233</v>
      </c>
      <c r="O107" t="s">
        <v>264</v>
      </c>
      <c r="P107">
        <v>0.12206088773847706</v>
      </c>
      <c r="Q107" t="s">
        <v>174</v>
      </c>
      <c r="S107" t="s">
        <v>243</v>
      </c>
      <c r="T107" t="s">
        <v>264</v>
      </c>
      <c r="U107">
        <v>0.12206088773847706</v>
      </c>
      <c r="V107" t="s">
        <v>174</v>
      </c>
    </row>
    <row r="108" spans="9:22" x14ac:dyDescent="0.45">
      <c r="I108" t="s">
        <v>223</v>
      </c>
      <c r="J108" t="s">
        <v>265</v>
      </c>
      <c r="K108">
        <v>0</v>
      </c>
      <c r="L108" t="s">
        <v>174</v>
      </c>
      <c r="N108" t="s">
        <v>233</v>
      </c>
      <c r="O108" t="s">
        <v>265</v>
      </c>
      <c r="P108">
        <v>0.13396154313364483</v>
      </c>
      <c r="Q108" t="s">
        <v>174</v>
      </c>
      <c r="S108" t="s">
        <v>243</v>
      </c>
      <c r="T108" t="s">
        <v>265</v>
      </c>
      <c r="U108">
        <v>0.13396154313364483</v>
      </c>
      <c r="V108" t="s">
        <v>174</v>
      </c>
    </row>
    <row r="109" spans="9:22" x14ac:dyDescent="0.45">
      <c r="I109" t="s">
        <v>223</v>
      </c>
      <c r="J109" t="s">
        <v>266</v>
      </c>
      <c r="K109">
        <v>6.9531818936392964E-3</v>
      </c>
      <c r="L109" t="s">
        <v>174</v>
      </c>
      <c r="N109" t="s">
        <v>233</v>
      </c>
      <c r="O109" t="s">
        <v>266</v>
      </c>
      <c r="P109">
        <v>2.5016663125019024E-2</v>
      </c>
      <c r="Q109" t="s">
        <v>174</v>
      </c>
      <c r="S109" t="s">
        <v>243</v>
      </c>
      <c r="T109" t="s">
        <v>266</v>
      </c>
      <c r="U109">
        <v>2.5016663125019024E-2</v>
      </c>
      <c r="V109" t="s">
        <v>174</v>
      </c>
    </row>
    <row r="110" spans="9:22" x14ac:dyDescent="0.45">
      <c r="I110" t="s">
        <v>223</v>
      </c>
      <c r="J110" t="s">
        <v>267</v>
      </c>
      <c r="K110">
        <v>0.2823537871797997</v>
      </c>
      <c r="L110" t="s">
        <v>174</v>
      </c>
      <c r="N110" t="s">
        <v>233</v>
      </c>
      <c r="O110" t="s">
        <v>267</v>
      </c>
      <c r="P110">
        <v>0.10643903781954364</v>
      </c>
      <c r="Q110" t="s">
        <v>174</v>
      </c>
      <c r="S110" t="s">
        <v>243</v>
      </c>
      <c r="T110" t="s">
        <v>267</v>
      </c>
      <c r="U110">
        <v>0.10643903781954364</v>
      </c>
      <c r="V110" t="s">
        <v>174</v>
      </c>
    </row>
    <row r="111" spans="9:22" x14ac:dyDescent="0.45">
      <c r="I111" t="s">
        <v>223</v>
      </c>
      <c r="J111" t="s">
        <v>268</v>
      </c>
      <c r="K111">
        <v>4.7269078121714219E-3</v>
      </c>
      <c r="L111" t="s">
        <v>174</v>
      </c>
      <c r="N111" t="s">
        <v>233</v>
      </c>
      <c r="O111" t="s">
        <v>268</v>
      </c>
      <c r="P111">
        <v>0.11498580370603043</v>
      </c>
      <c r="Q111" t="s">
        <v>174</v>
      </c>
      <c r="S111" t="s">
        <v>243</v>
      </c>
      <c r="T111" t="s">
        <v>268</v>
      </c>
      <c r="U111">
        <v>0.11498580370603043</v>
      </c>
      <c r="V111" t="s">
        <v>174</v>
      </c>
    </row>
    <row r="112" spans="9:22" x14ac:dyDescent="0.45">
      <c r="I112" t="s">
        <v>223</v>
      </c>
      <c r="J112" t="s">
        <v>269</v>
      </c>
      <c r="K112">
        <v>2.5468194382674371E-2</v>
      </c>
      <c r="L112" t="s">
        <v>174</v>
      </c>
      <c r="N112" t="s">
        <v>233</v>
      </c>
      <c r="O112" t="s">
        <v>269</v>
      </c>
      <c r="P112">
        <v>1.9798060217174063E-2</v>
      </c>
      <c r="Q112" t="s">
        <v>174</v>
      </c>
      <c r="S112" t="s">
        <v>243</v>
      </c>
      <c r="T112" t="s">
        <v>269</v>
      </c>
      <c r="U112">
        <v>1.9798060217174063E-2</v>
      </c>
      <c r="V112" t="s">
        <v>174</v>
      </c>
    </row>
    <row r="113" spans="9:22" x14ac:dyDescent="0.45">
      <c r="I113" t="s">
        <v>223</v>
      </c>
      <c r="J113" t="s">
        <v>270</v>
      </c>
      <c r="K113">
        <v>0.34925523248011675</v>
      </c>
      <c r="L113" t="s">
        <v>174</v>
      </c>
      <c r="N113" t="s">
        <v>233</v>
      </c>
      <c r="O113" t="s">
        <v>270</v>
      </c>
      <c r="P113">
        <v>6.6924074170381972E-2</v>
      </c>
      <c r="Q113" t="s">
        <v>174</v>
      </c>
      <c r="S113" t="s">
        <v>243</v>
      </c>
      <c r="T113" t="s">
        <v>270</v>
      </c>
      <c r="U113">
        <v>6.6924074170381972E-2</v>
      </c>
      <c r="V113" t="s">
        <v>174</v>
      </c>
    </row>
    <row r="114" spans="9:22" x14ac:dyDescent="0.45">
      <c r="I114" t="s">
        <v>223</v>
      </c>
      <c r="J114" t="s">
        <v>271</v>
      </c>
      <c r="K114">
        <v>1.926578699729593E-2</v>
      </c>
      <c r="L114" t="s">
        <v>174</v>
      </c>
      <c r="N114" t="s">
        <v>233</v>
      </c>
      <c r="O114" t="s">
        <v>271</v>
      </c>
      <c r="P114">
        <v>8.9822274851460548E-2</v>
      </c>
      <c r="Q114" t="s">
        <v>174</v>
      </c>
      <c r="S114" t="s">
        <v>243</v>
      </c>
      <c r="T114" t="s">
        <v>271</v>
      </c>
      <c r="U114">
        <v>8.9822274851460548E-2</v>
      </c>
      <c r="V114" t="s">
        <v>174</v>
      </c>
    </row>
    <row r="115" spans="9:22" x14ac:dyDescent="0.45">
      <c r="I115" t="s">
        <v>223</v>
      </c>
      <c r="J115" t="s">
        <v>272</v>
      </c>
      <c r="K115">
        <v>4.450030536815764E-2</v>
      </c>
      <c r="L115" t="s">
        <v>174</v>
      </c>
      <c r="N115" t="s">
        <v>233</v>
      </c>
      <c r="O115" t="s">
        <v>272</v>
      </c>
      <c r="P115">
        <v>1.3033748629180227E-2</v>
      </c>
      <c r="Q115" t="s">
        <v>174</v>
      </c>
      <c r="S115" t="s">
        <v>243</v>
      </c>
      <c r="T115" t="s">
        <v>272</v>
      </c>
      <c r="U115">
        <v>1.3033748629180227E-2</v>
      </c>
      <c r="V115" t="s">
        <v>174</v>
      </c>
    </row>
    <row r="116" spans="9:22" x14ac:dyDescent="0.45">
      <c r="I116" t="s">
        <v>223</v>
      </c>
      <c r="J116" t="s">
        <v>273</v>
      </c>
      <c r="K116">
        <v>9.7294887744147227E-2</v>
      </c>
      <c r="L116" t="s">
        <v>174</v>
      </c>
      <c r="N116" t="s">
        <v>233</v>
      </c>
      <c r="O116" t="s">
        <v>273</v>
      </c>
      <c r="P116">
        <v>0.13381686288855127</v>
      </c>
      <c r="Q116" t="s">
        <v>174</v>
      </c>
      <c r="S116" t="s">
        <v>243</v>
      </c>
      <c r="T116" t="s">
        <v>273</v>
      </c>
      <c r="U116">
        <v>0.13381686288855127</v>
      </c>
      <c r="V116" t="s">
        <v>174</v>
      </c>
    </row>
    <row r="117" spans="9:22" x14ac:dyDescent="0.45">
      <c r="I117" t="s">
        <v>223</v>
      </c>
      <c r="J117" t="s">
        <v>274</v>
      </c>
      <c r="K117">
        <v>0</v>
      </c>
      <c r="L117" t="s">
        <v>174</v>
      </c>
      <c r="N117" t="s">
        <v>233</v>
      </c>
      <c r="O117" t="s">
        <v>274</v>
      </c>
      <c r="P117">
        <v>0.14838752569977434</v>
      </c>
      <c r="Q117" t="s">
        <v>174</v>
      </c>
      <c r="S117" t="s">
        <v>243</v>
      </c>
      <c r="T117" t="s">
        <v>274</v>
      </c>
      <c r="U117">
        <v>0.14838752569977434</v>
      </c>
      <c r="V117" t="s">
        <v>174</v>
      </c>
    </row>
    <row r="118" spans="9:22" x14ac:dyDescent="0.45">
      <c r="I118" t="s">
        <v>223</v>
      </c>
      <c r="J118" t="s">
        <v>275</v>
      </c>
      <c r="K118">
        <v>1.2090347371785492E-3</v>
      </c>
      <c r="L118" t="s">
        <v>174</v>
      </c>
      <c r="N118" t="s">
        <v>233</v>
      </c>
      <c r="O118" t="s">
        <v>275</v>
      </c>
      <c r="P118">
        <v>2.5753518020759345E-2</v>
      </c>
      <c r="Q118" t="s">
        <v>174</v>
      </c>
      <c r="S118" t="s">
        <v>243</v>
      </c>
      <c r="T118" t="s">
        <v>275</v>
      </c>
      <c r="U118">
        <v>2.5753518020759345E-2</v>
      </c>
      <c r="V118" t="s">
        <v>174</v>
      </c>
    </row>
    <row r="119" spans="9:22" x14ac:dyDescent="0.45">
      <c r="I119" t="s">
        <v>224</v>
      </c>
      <c r="J119" t="s">
        <v>264</v>
      </c>
      <c r="K119">
        <v>0.1713116239078499</v>
      </c>
      <c r="L119" t="s">
        <v>174</v>
      </c>
      <c r="N119" t="s">
        <v>234</v>
      </c>
      <c r="O119" t="s">
        <v>264</v>
      </c>
      <c r="P119">
        <v>0.11978049050163553</v>
      </c>
      <c r="Q119" t="s">
        <v>174</v>
      </c>
      <c r="S119" t="s">
        <v>244</v>
      </c>
      <c r="T119" t="s">
        <v>264</v>
      </c>
      <c r="U119">
        <v>0.11978049050163553</v>
      </c>
      <c r="V119" t="s">
        <v>174</v>
      </c>
    </row>
    <row r="120" spans="9:22" x14ac:dyDescent="0.45">
      <c r="I120" t="s">
        <v>224</v>
      </c>
      <c r="J120" t="s">
        <v>265</v>
      </c>
      <c r="K120">
        <v>0</v>
      </c>
      <c r="L120" t="s">
        <v>174</v>
      </c>
      <c r="N120" t="s">
        <v>234</v>
      </c>
      <c r="O120" t="s">
        <v>265</v>
      </c>
      <c r="P120">
        <v>0.12888430084927918</v>
      </c>
      <c r="Q120" t="s">
        <v>174</v>
      </c>
      <c r="S120" t="s">
        <v>244</v>
      </c>
      <c r="T120" t="s">
        <v>265</v>
      </c>
      <c r="U120">
        <v>0.12888430084927918</v>
      </c>
      <c r="V120" t="s">
        <v>174</v>
      </c>
    </row>
    <row r="121" spans="9:22" x14ac:dyDescent="0.45">
      <c r="I121" t="s">
        <v>224</v>
      </c>
      <c r="J121" t="s">
        <v>266</v>
      </c>
      <c r="K121">
        <v>6.9639105597416318E-3</v>
      </c>
      <c r="L121" t="s">
        <v>174</v>
      </c>
      <c r="N121" t="s">
        <v>234</v>
      </c>
      <c r="O121" t="s">
        <v>266</v>
      </c>
      <c r="P121">
        <v>2.4211764251032081E-2</v>
      </c>
      <c r="Q121" t="s">
        <v>174</v>
      </c>
      <c r="S121" t="s">
        <v>244</v>
      </c>
      <c r="T121" t="s">
        <v>266</v>
      </c>
      <c r="U121">
        <v>2.4211764251032081E-2</v>
      </c>
      <c r="V121" t="s">
        <v>174</v>
      </c>
    </row>
    <row r="122" spans="9:22" x14ac:dyDescent="0.45">
      <c r="I122" t="s">
        <v>224</v>
      </c>
      <c r="J122" t="s">
        <v>267</v>
      </c>
      <c r="K122">
        <v>0.28549749613107062</v>
      </c>
      <c r="L122" t="s">
        <v>174</v>
      </c>
      <c r="N122" t="s">
        <v>234</v>
      </c>
      <c r="O122" t="s">
        <v>267</v>
      </c>
      <c r="P122">
        <v>0.11213219086817654</v>
      </c>
      <c r="Q122" t="s">
        <v>174</v>
      </c>
      <c r="S122" t="s">
        <v>244</v>
      </c>
      <c r="T122" t="s">
        <v>267</v>
      </c>
      <c r="U122">
        <v>0.11213219086817654</v>
      </c>
      <c r="V122" t="s">
        <v>174</v>
      </c>
    </row>
    <row r="123" spans="9:22" x14ac:dyDescent="0.45">
      <c r="I123" t="s">
        <v>224</v>
      </c>
      <c r="J123" t="s">
        <v>268</v>
      </c>
      <c r="K123">
        <v>5.2298179353206051E-3</v>
      </c>
      <c r="L123" t="s">
        <v>174</v>
      </c>
      <c r="N123" t="s">
        <v>234</v>
      </c>
      <c r="O123" t="s">
        <v>268</v>
      </c>
      <c r="P123">
        <v>0.11894502131493749</v>
      </c>
      <c r="Q123" t="s">
        <v>174</v>
      </c>
      <c r="S123" t="s">
        <v>244</v>
      </c>
      <c r="T123" t="s">
        <v>268</v>
      </c>
      <c r="U123">
        <v>0.11894502131493749</v>
      </c>
      <c r="V123" t="s">
        <v>174</v>
      </c>
    </row>
    <row r="124" spans="9:22" x14ac:dyDescent="0.45">
      <c r="I124" t="s">
        <v>224</v>
      </c>
      <c r="J124" t="s">
        <v>269</v>
      </c>
      <c r="K124">
        <v>2.5697344994835464E-2</v>
      </c>
      <c r="L124" t="s">
        <v>174</v>
      </c>
      <c r="N124" t="s">
        <v>234</v>
      </c>
      <c r="O124" t="s">
        <v>269</v>
      </c>
      <c r="P124">
        <v>2.004664229347115E-2</v>
      </c>
      <c r="Q124" t="s">
        <v>174</v>
      </c>
      <c r="S124" t="s">
        <v>244</v>
      </c>
      <c r="T124" t="s">
        <v>269</v>
      </c>
      <c r="U124">
        <v>2.004664229347115E-2</v>
      </c>
      <c r="V124" t="s">
        <v>174</v>
      </c>
    </row>
    <row r="125" spans="9:22" x14ac:dyDescent="0.45">
      <c r="I125" t="s">
        <v>224</v>
      </c>
      <c r="J125" t="s">
        <v>270</v>
      </c>
      <c r="K125">
        <v>0.34199757789927532</v>
      </c>
      <c r="L125" t="s">
        <v>174</v>
      </c>
      <c r="N125" t="s">
        <v>234</v>
      </c>
      <c r="O125" t="s">
        <v>270</v>
      </c>
      <c r="P125">
        <v>6.7726805752240743E-2</v>
      </c>
      <c r="Q125" t="s">
        <v>174</v>
      </c>
      <c r="S125" t="s">
        <v>244</v>
      </c>
      <c r="T125" t="s">
        <v>270</v>
      </c>
      <c r="U125">
        <v>6.7726805752240743E-2</v>
      </c>
      <c r="V125" t="s">
        <v>174</v>
      </c>
    </row>
    <row r="126" spans="9:22" x14ac:dyDescent="0.45">
      <c r="I126" t="s">
        <v>224</v>
      </c>
      <c r="J126" t="s">
        <v>271</v>
      </c>
      <c r="K126">
        <v>1.9213519190984487E-2</v>
      </c>
      <c r="L126" t="s">
        <v>174</v>
      </c>
      <c r="N126" t="s">
        <v>234</v>
      </c>
      <c r="O126" t="s">
        <v>271</v>
      </c>
      <c r="P126">
        <v>9.0089235768915518E-2</v>
      </c>
      <c r="Q126" t="s">
        <v>174</v>
      </c>
      <c r="S126" t="s">
        <v>244</v>
      </c>
      <c r="T126" t="s">
        <v>271</v>
      </c>
      <c r="U126">
        <v>9.0089235768915518E-2</v>
      </c>
      <c r="V126" t="s">
        <v>174</v>
      </c>
    </row>
    <row r="127" spans="9:22" x14ac:dyDescent="0.45">
      <c r="I127" t="s">
        <v>224</v>
      </c>
      <c r="J127" t="s">
        <v>272</v>
      </c>
      <c r="K127">
        <v>4.4043267009026658E-2</v>
      </c>
      <c r="L127" t="s">
        <v>174</v>
      </c>
      <c r="N127" t="s">
        <v>234</v>
      </c>
      <c r="O127" t="s">
        <v>272</v>
      </c>
      <c r="P127">
        <v>1.4047601936222705E-2</v>
      </c>
      <c r="Q127" t="s">
        <v>174</v>
      </c>
      <c r="S127" t="s">
        <v>244</v>
      </c>
      <c r="T127" t="s">
        <v>272</v>
      </c>
      <c r="U127">
        <v>1.4047601936222705E-2</v>
      </c>
      <c r="V127" t="s">
        <v>174</v>
      </c>
    </row>
    <row r="128" spans="9:22" x14ac:dyDescent="0.45">
      <c r="I128" t="s">
        <v>224</v>
      </c>
      <c r="J128" t="s">
        <v>273</v>
      </c>
      <c r="K128">
        <v>9.8960145512751937E-2</v>
      </c>
      <c r="L128" t="s">
        <v>174</v>
      </c>
      <c r="N128" t="s">
        <v>234</v>
      </c>
      <c r="O128" t="s">
        <v>273</v>
      </c>
      <c r="P128">
        <v>0.13337806728568269</v>
      </c>
      <c r="Q128" t="s">
        <v>174</v>
      </c>
      <c r="S128" t="s">
        <v>244</v>
      </c>
      <c r="T128" t="s">
        <v>273</v>
      </c>
      <c r="U128">
        <v>0.13337806728568269</v>
      </c>
      <c r="V128" t="s">
        <v>174</v>
      </c>
    </row>
    <row r="129" spans="9:22" x14ac:dyDescent="0.45">
      <c r="I129" t="s">
        <v>224</v>
      </c>
      <c r="J129" t="s">
        <v>274</v>
      </c>
      <c r="K129">
        <v>0</v>
      </c>
      <c r="L129" t="s">
        <v>174</v>
      </c>
      <c r="N129" t="s">
        <v>234</v>
      </c>
      <c r="O129" t="s">
        <v>274</v>
      </c>
      <c r="P129">
        <v>0.14578575191409215</v>
      </c>
      <c r="Q129" t="s">
        <v>174</v>
      </c>
      <c r="S129" t="s">
        <v>244</v>
      </c>
      <c r="T129" t="s">
        <v>274</v>
      </c>
      <c r="U129">
        <v>0.14578575191409215</v>
      </c>
      <c r="V129" t="s">
        <v>174</v>
      </c>
    </row>
    <row r="130" spans="9:22" x14ac:dyDescent="0.45">
      <c r="I130" t="s">
        <v>224</v>
      </c>
      <c r="J130" t="s">
        <v>275</v>
      </c>
      <c r="K130">
        <v>1.0852968591446384E-3</v>
      </c>
      <c r="L130" t="s">
        <v>174</v>
      </c>
      <c r="N130" t="s">
        <v>234</v>
      </c>
      <c r="O130" t="s">
        <v>275</v>
      </c>
      <c r="P130">
        <v>2.4972127264314126E-2</v>
      </c>
      <c r="Q130" t="s">
        <v>174</v>
      </c>
      <c r="S130" t="s">
        <v>244</v>
      </c>
      <c r="T130" t="s">
        <v>275</v>
      </c>
      <c r="U130">
        <v>2.4972127264314126E-2</v>
      </c>
      <c r="V13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2025-11-25T16:49:25Z</dcterms:modified>
</cp:coreProperties>
</file>