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Veda\VerveStacks\assumptions\VerveStacks_ISO_template\SuppXLS\"/>
    </mc:Choice>
  </mc:AlternateContent>
  <xr:revisionPtr revIDLastSave="0" documentId="13_ncr:1_{A0A5510F-36FF-40A7-9764-8E8450A7FA30}" xr6:coauthVersionLast="47" xr6:coauthVersionMax="47" xr10:uidLastSave="{00000000-0000-0000-0000-000000000000}"/>
  <bookViews>
    <workbookView xWindow="-83" yWindow="0" windowWidth="14566" windowHeight="17363" activeTab="1"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 name="DEF topology" sheetId="8"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 i="1" l="1"/>
  <c r="BH5" i="7"/>
  <c r="BG5" i="7"/>
  <c r="BF5" i="7"/>
  <c r="BH4" i="7"/>
  <c r="BG4" i="7"/>
  <c r="BF4" i="7"/>
  <c r="BH3" i="7"/>
  <c r="BG3" i="7"/>
  <c r="BF3" i="7"/>
  <c r="AH5" i="7"/>
  <c r="AG5" i="7"/>
  <c r="AF5" i="7"/>
  <c r="AH4" i="7"/>
  <c r="AG4" i="7"/>
  <c r="AF4" i="7"/>
  <c r="AF3" i="7"/>
  <c r="AG3" i="7" s="1"/>
  <c r="AH3" i="7" s="1"/>
  <c r="AB5" i="7"/>
  <c r="AE5" i="7" s="1"/>
  <c r="BE5" i="7" s="1"/>
  <c r="AA5" i="7"/>
  <c r="AD5" i="7" s="1"/>
  <c r="BD5" i="7" s="1"/>
  <c r="AB4" i="7"/>
  <c r="AE4" i="7" s="1"/>
  <c r="BE4" i="7" s="1"/>
  <c r="AA4" i="7"/>
  <c r="AD4" i="7" s="1"/>
  <c r="BD4" i="7" s="1"/>
  <c r="Z5" i="7"/>
  <c r="AC5" i="7" s="1"/>
  <c r="BC5" i="7" s="1"/>
  <c r="Z4" i="7"/>
  <c r="AC4" i="7" s="1"/>
  <c r="BC4" i="7" s="1"/>
  <c r="O3" i="7"/>
  <c r="P3" i="7" s="1"/>
  <c r="BD10" i="7"/>
  <c r="BC10" i="7"/>
  <c r="BB10" i="7"/>
  <c r="BA10" i="7"/>
  <c r="AZ10" i="7"/>
  <c r="AY10" i="7"/>
  <c r="AX10" i="7"/>
  <c r="AW10" i="7"/>
  <c r="AV10" i="7"/>
  <c r="AU10" i="7"/>
  <c r="AT10" i="7"/>
  <c r="AS10" i="7"/>
  <c r="AR10" i="7"/>
  <c r="AQ10" i="7"/>
  <c r="AP10" i="7"/>
  <c r="AO10" i="7"/>
  <c r="AN10" i="7"/>
  <c r="AM10" i="7"/>
  <c r="AL10" i="7"/>
  <c r="AK10" i="7"/>
  <c r="AJ10" i="7"/>
  <c r="K25" i="7" s="1"/>
  <c r="BD9" i="7"/>
  <c r="BC9" i="7"/>
  <c r="BB9" i="7"/>
  <c r="BA9" i="7"/>
  <c r="AZ9" i="7"/>
  <c r="AY9" i="7"/>
  <c r="AX9" i="7"/>
  <c r="AW9" i="7"/>
  <c r="AV9" i="7"/>
  <c r="AU9" i="7"/>
  <c r="AT9" i="7"/>
  <c r="AS9" i="7"/>
  <c r="AR9" i="7"/>
  <c r="AQ9" i="7"/>
  <c r="AP9" i="7"/>
  <c r="AO9" i="7"/>
  <c r="AN9" i="7"/>
  <c r="AM9" i="7"/>
  <c r="AL9" i="7"/>
  <c r="AK9" i="7"/>
  <c r="AJ9" i="7"/>
  <c r="K24" i="7" s="1"/>
  <c r="BD8" i="7"/>
  <c r="BC8" i="7"/>
  <c r="BB8" i="7"/>
  <c r="BA8" i="7"/>
  <c r="AZ8" i="7"/>
  <c r="AY8" i="7"/>
  <c r="AX8" i="7"/>
  <c r="AW8" i="7"/>
  <c r="AV8" i="7"/>
  <c r="AU8" i="7"/>
  <c r="AT8" i="7"/>
  <c r="AS8" i="7"/>
  <c r="AR8" i="7"/>
  <c r="AQ8" i="7"/>
  <c r="AP8" i="7"/>
  <c r="AO8" i="7"/>
  <c r="AN8" i="7"/>
  <c r="AM8" i="7"/>
  <c r="AL8" i="7"/>
  <c r="AK8" i="7"/>
  <c r="AY5" i="7"/>
  <c r="AX5" i="7"/>
  <c r="AW5" i="7"/>
  <c r="AV5" i="7"/>
  <c r="AU5" i="7"/>
  <c r="AT5" i="7"/>
  <c r="AS5" i="7"/>
  <c r="AR5" i="7"/>
  <c r="AQ5" i="7"/>
  <c r="AP5" i="7"/>
  <c r="AO5" i="7"/>
  <c r="AN5" i="7"/>
  <c r="AM5" i="7"/>
  <c r="AL5" i="7"/>
  <c r="AK5" i="7"/>
  <c r="AJ5" i="7"/>
  <c r="K23" i="7" s="1"/>
  <c r="AY4" i="7"/>
  <c r="AX4" i="7"/>
  <c r="AW4" i="7"/>
  <c r="AV4" i="7"/>
  <c r="AU4" i="7"/>
  <c r="AT4" i="7"/>
  <c r="AS4" i="7"/>
  <c r="AR4" i="7"/>
  <c r="AQ4" i="7"/>
  <c r="AP4" i="7"/>
  <c r="AO4" i="7"/>
  <c r="AN4" i="7"/>
  <c r="AM4" i="7"/>
  <c r="AL4" i="7"/>
  <c r="AK4" i="7"/>
  <c r="AJ4" i="7"/>
  <c r="K22" i="7" s="1"/>
  <c r="AO3" i="7"/>
  <c r="AN3" i="7"/>
  <c r="AM3" i="7"/>
  <c r="AL3" i="7"/>
  <c r="AK3" i="7"/>
  <c r="BB4" i="7" l="1"/>
  <c r="AZ5" i="7"/>
  <c r="BA5" i="7"/>
  <c r="AZ4" i="7"/>
  <c r="BA4" i="7"/>
  <c r="BB5" i="7"/>
  <c r="AP3" i="7"/>
  <c r="Q3" i="7"/>
  <c r="L5" i="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 r="AQ3" i="7" l="1"/>
  <c r="R3" i="7"/>
  <c r="S3" i="7" l="1"/>
  <c r="AR3" i="7"/>
  <c r="T3" i="7" l="1"/>
  <c r="AS3" i="7"/>
  <c r="AT3" i="7" l="1"/>
  <c r="U3" i="7"/>
  <c r="V3" i="7" l="1"/>
  <c r="AU3" i="7"/>
  <c r="W3" i="7" l="1"/>
  <c r="AV3" i="7"/>
  <c r="AW3" i="7" l="1"/>
  <c r="X3" i="7"/>
  <c r="Y3" i="7" l="1"/>
  <c r="Z3" i="7" s="1"/>
  <c r="AX3" i="7"/>
  <c r="AA3" i="7" l="1"/>
  <c r="AZ3" i="7"/>
  <c r="AY3" i="7"/>
  <c r="AB3" i="7" l="1"/>
  <c r="BA3" i="7"/>
  <c r="BB3" i="7" l="1"/>
  <c r="AC3" i="7"/>
  <c r="AD3" i="7" l="1"/>
  <c r="BC3" i="7"/>
  <c r="AE3" i="7" l="1"/>
  <c r="BE3" i="7" s="1"/>
  <c r="BD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tc={F4E4F727-2A91-4760-B84E-3C8E8E996337}</author>
  </authors>
  <commentList>
    <comment ref="H20" authorId="0" shapeId="0" xr:uid="{F4E4F727-2A91-4760-B84E-3C8E8E996337}">
      <text>
        <t xml:space="preserve">[Threaded comment]
Your version of Excel allows you to read this threaded comment; however, any edits to it will get removed if the file is opened in a newer version of Excel. Learn more: https://go.microsoft.com/fwlink/?linkid=870924
Comment:
    CAP (nonRE) &gt; COMPRD (DEF_C) </t>
      </text>
    </comment>
  </commentList>
</comments>
</file>

<file path=xl/sharedStrings.xml><?xml version="1.0" encoding="utf-8"?>
<sst xmlns="http://schemas.openxmlformats.org/spreadsheetml/2006/main" count="432" uniqueCount="284">
  <si>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</si>
  <si>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</si>
  <si>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</si>
  <si>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</si>
  <si>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</si>
  <si>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</si>
  <si>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</si>
  <si>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</si>
  <si>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</si>
  <si>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</si>
  <si>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</si>
  <si>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</si>
  <si>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</si>
  <si>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</si>
  <si>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</si>
  <si>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</si>
  <si>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</si>
  <si>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</si>
  <si>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</si>
  <si>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</si>
  <si>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</si>
  <si>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</si>
  <si>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</si>
  <si>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</si>
  <si>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</si>
  <si>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</si>
  <si>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</si>
  <si>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</si>
  <si>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</si>
  <si>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</si>
  <si>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</si>
  <si>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</si>
  <si>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</si>
  <si>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</si>
  <si>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</si>
  <si>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</si>
  <si>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</si>
  <si>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</si>
  <si>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</si>
  <si>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</si>
  <si>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</si>
  <si>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</si>
  <si>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</si>
  <si>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</si>
  <si>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</si>
  <si>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</si>
  <si>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</si>
  <si>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</si>
  <si>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</si>
  <si>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</si>
  <si>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</si>
  <si>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</si>
  <si>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</si>
  <si>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</si>
  <si>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</si>
  <si>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</si>
  <si>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</si>
  <si>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</si>
  <si>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</si>
  <si>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</si>
  <si>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</si>
  <si>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</si>
  <si>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</si>
  <si>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</si>
  <si>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</si>
  <si>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</si>
  <si>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</si>
  <si>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</si>
  <si>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</si>
  <si>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</si>
  <si>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</si>
  <si>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</si>
  <si>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</si>
  <si>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</si>
  <si>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</si>
  <si>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</si>
  <si>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</si>
  <si>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</si>
  <si>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</si>
  <si>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</si>
  <si>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pset_pd</t>
  </si>
  <si>
    <t>-aggregated*</t>
  </si>
  <si>
    <t>&lt;.02</t>
  </si>
  <si>
    <t>&lt;.05</t>
  </si>
  <si>
    <t>*technology</t>
  </si>
  <si>
    <t>*Size Class</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</si>
  <si>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</si>
  <si>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</si>
  <si>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</si>
  <si>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</si>
  <si>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</si>
  <si>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</si>
  <si>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</si>
  <si>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</si>
  <si>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</si>
  <si>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</si>
  <si>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</si>
  <si>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</si>
  <si>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</si>
  <si>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</si>
  <si>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</si>
  <si>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</si>
  <si>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</si>
  <si>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</si>
  <si>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</si>
  <si>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</si>
  <si>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</si>
  <si>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</si>
  <si>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</si>
  <si>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</si>
  <si>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</si>
  <si>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</si>
  <si>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</si>
  <si>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</si>
  <si>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</si>
  <si>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</si>
  <si>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</si>
  <si>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</si>
  <si>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</si>
  <si>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</si>
  <si>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</si>
  <si>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</si>
  <si>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</si>
  <si>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</si>
  <si>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</si>
  <si>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</si>
  <si>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</si>
  <si>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</si>
  <si>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</si>
  <si>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</si>
  <si>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</si>
  <si>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</si>
  <si>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</si>
  <si>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</si>
  <si>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</si>
  <si>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</si>
  <si>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</si>
  <si>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</si>
  <si>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</si>
  <si>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</si>
  <si>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</si>
  <si>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</si>
  <si>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</si>
  <si>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</si>
  <si>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</si>
  <si>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</si>
  <si>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</si>
  <si>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</si>
  <si>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</si>
  <si>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</si>
  <si>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</si>
  <si>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</si>
  <si>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</si>
  <si>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</si>
  <si>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</si>
  <si>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</si>
  <si>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</si>
  <si>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</si>
  <si>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</si>
  <si>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</si>
  <si>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</si>
  <si>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</si>
  <si>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</si>
  <si>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</si>
  <si>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</si>
  <si>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</si>
  <si>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</si>
  <si>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</si>
  <si>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</si>
  <si>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</si>
  <si>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</si>
  <si>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</si>
  <si>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</si>
  <si>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</si>
  <si>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</si>
  <si>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</si>
  <si>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</si>
  <si>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</si>
  <si>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</si>
  <si>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</si>
  <si>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</si>
  <si>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</si>
  <si>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</si>
  <si>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</si>
  <si>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</si>
  <si>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</si>
  <si>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</si>
  <si>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</si>
  <si>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</si>
  <si>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</si>
  <si>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</si>
  <si>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</si>
  <si>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</si>
  <si>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</si>
  <si>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</si>
  <si>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</si>
  <si>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</si>
  <si>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</si>
  <si>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</si>
  <si>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</si>
  <si>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</si>
  <si>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</si>
  <si>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</si>
  <si>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</si>
  <si>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</si>
  <si>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</si>
  <si>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</si>
  <si>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</si>
  <si>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</si>
  <si>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</si>
  <si>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</si>
  <si>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</si>
  <si>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</si>
  <si>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</si>
  <si>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</si>
  <si>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</si>
  <si>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</si>
  <si>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</si>
  <si>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</si>
  <si>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</si>
  <si>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</si>
  <si>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</si>
  <si>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</si>
  <si>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</si>
  <si>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</si>
  <si>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</si>
  <si>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</si>
  <si>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</si>
  <si>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</si>
  <si>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</si>
  <si>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</si>
  <si>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</si>
  <si>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</si>
  <si>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</si>
  <si>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</si>
  <si>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</si>
  <si>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</si>
  <si>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</si>
  <si>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</si>
  <si>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</si>
  <si>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</si>
  <si>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coal</t>
  </si>
  <si>
    <t>~TFM_TOPINS</t>
  </si>
  <si>
    <t>process</t>
  </si>
  <si>
    <t>commodity</t>
  </si>
  <si>
    <t>io</t>
  </si>
  <si>
    <t>IN</t>
  </si>
  <si>
    <t>ELC4H,ELC</t>
  </si>
  <si>
    <t>distr*</t>
  </si>
  <si>
    <t>OUT</t>
  </si>
  <si>
    <t>~UC_Sets: R_E: AllRegions</t>
  </si>
  <si>
    <t>~UC_T: LO</t>
  </si>
  <si>
    <t>UC_N</t>
  </si>
  <si>
    <t>PSET_PN</t>
  </si>
  <si>
    <t>Pset_CI</t>
  </si>
  <si>
    <t>PSET_CO</t>
  </si>
  <si>
    <t>Cset_CN</t>
  </si>
  <si>
    <t>TimeSlice</t>
  </si>
  <si>
    <t>UC_CAP</t>
  </si>
  <si>
    <t>UC_COMPRD</t>
  </si>
  <si>
    <t>UC_RHSRT</t>
  </si>
  <si>
    <t>UC_RHSRT~0</t>
  </si>
  <si>
    <t>UC_Desc</t>
  </si>
  <si>
    <t>UCE_Min-DispatchableCAP</t>
  </si>
  <si>
    <t>ELE,CHP</t>
  </si>
  <si>
    <t>*,-solar,-wind*,-ELC,-ELCSPV,-elc[_]???[_]*,-e[_]*</t>
  </si>
  <si>
    <t>Min dispatchable capacity for VRE portfolio</t>
  </si>
  <si>
    <t>DEF_C</t>
  </si>
  <si>
    <t>Gas Turbine*</t>
  </si>
  <si>
    <t/>
  </si>
  <si>
    <t>ELC4H,ELC8H,ELCnH</t>
  </si>
  <si>
    <t>AuxStoOUT</t>
  </si>
  <si>
    <t>STG</t>
  </si>
  <si>
    <t>*8h*</t>
  </si>
  <si>
    <t>*4h*</t>
  </si>
  <si>
    <t>pset_Set</t>
  </si>
  <si>
    <t>OCGT</t>
  </si>
  <si>
    <t>Int_Comb</t>
  </si>
  <si>
    <t>Gas_Oil_Steam</t>
  </si>
  <si>
    <t>Supercrit_Coal,IGCC</t>
  </si>
  <si>
    <t>*Gas Turbine*</t>
  </si>
  <si>
    <t>Nuclear_P</t>
  </si>
  <si>
    <t>CCGT,CHP_Gas</t>
  </si>
  <si>
    <t>Subcrit_Coal,Bio_Power,CHP_Coal,CHP_Bio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</si>
</sst>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20">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xf numFmtId="0" fontId="3" fillId="0" borderId="0" xfId="0" quotePrefix="1" applyFont="1"/>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黄 凱凱(Kaikai Huang)" id="{EA662EF9-C1C3-4C75-9049-4457D0909F07}" userId="S::J2412140@jera.co.jp::f9b6adb6-b751-4da6-9b6e-314b902b48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6-04-17T06:07:36.14" personId="{EA662EF9-C1C3-4C75-9049-4457D0909F07}" id="{F4E4F727-2A91-4760-B84E-3C8E8E996337}">
    <text xml:space="preserve">CAP (nonRE) &gt; COMPRD (DEF_C)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8"/>
  <sheetViews>
    <sheetView workbookViewId="0">
      <selection activeCell="H15" sqref="H15"/>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27.730468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194</v>
      </c>
      <c r="N2" s="2" t="s">
        <v>86</v>
      </c>
    </row>
    <row r="3" spans="2:19" ht="15" thickTop="1" thickBot="1" x14ac:dyDescent="0.5">
      <c r="B3" t="s">
        <v>84</v>
      </c>
      <c r="C3" t="s">
        <v>85</v>
      </c>
      <c r="D3" s="3" t="s">
        <v>0</v>
      </c>
      <c r="E3" s="3" t="s">
        <v>2</v>
      </c>
      <c r="F3" s="3" t="s">
        <v>3</v>
      </c>
      <c r="G3" s="3" t="s">
        <v>1</v>
      </c>
      <c r="H3" s="3" t="s">
        <v>4</v>
      </c>
      <c r="I3" s="3" t="s">
        <v>74</v>
      </c>
      <c r="J3" s="3" t="s">
        <v>75</v>
      </c>
      <c r="K3" s="3" t="s">
        <v>80</v>
      </c>
      <c r="L3" s="3" t="s">
        <v>195</v>
      </c>
      <c r="M3" s="9"/>
      <c r="N3" s="3" t="s">
        <v>2</v>
      </c>
      <c r="O3" s="3" t="s">
        <v>3</v>
      </c>
      <c r="P3" s="3" t="s">
        <v>4</v>
      </c>
      <c r="Q3" s="9" t="s">
        <v>74</v>
      </c>
      <c r="R3" s="9" t="s">
        <v>75</v>
      </c>
      <c r="S3" s="9" t="s">
        <v>80</v>
      </c>
    </row>
    <row r="4" spans="2:19" x14ac:dyDescent="0.45">
      <c r="B4" t="s">
        <v>15</v>
      </c>
      <c r="C4" t="s">
        <v>21</v>
      </c>
      <c r="D4">
        <v>0.35000000000000003</v>
      </c>
      <c r="E4">
        <v>1.5</v>
      </c>
      <c r="F4">
        <v>0.8</v>
      </c>
      <c r="G4">
        <v>0.02</v>
      </c>
      <c r="H4" t="s">
        <v>276</v>
      </c>
      <c r="K4" s="1" t="s">
        <v>81</v>
      </c>
      <c r="L4" s="1">
        <f>dcost_data!C2</f>
        <v>50</v>
      </c>
      <c r="N4">
        <v>1.5</v>
      </c>
      <c r="O4">
        <v>0.8</v>
      </c>
      <c r="P4" t="str">
        <f t="shared" ref="P4:P17" si="0">H4</f>
        <v>OCGT</v>
      </c>
      <c r="Q4" t="str">
        <f>IF(I4="","",I4)</f>
        <v/>
      </c>
      <c r="R4" t="str">
        <f t="shared" ref="R4:R17" si="1">IF(J4="","",J4)</f>
        <v/>
      </c>
      <c r="S4" t="str">
        <f t="shared" ref="S4:S17" si="2">IF(K4="","",K4)</f>
        <v>-aggregated*</v>
      </c>
    </row>
    <row r="5" spans="2:19" x14ac:dyDescent="0.45">
      <c r="B5" t="s">
        <v>15</v>
      </c>
      <c r="C5" t="s">
        <v>20</v>
      </c>
      <c r="D5">
        <v>0.3</v>
      </c>
      <c r="E5">
        <v>1</v>
      </c>
      <c r="F5">
        <v>1</v>
      </c>
      <c r="G5">
        <v>1.4999999999999999E-2</v>
      </c>
      <c r="H5" t="s">
        <v>276</v>
      </c>
      <c r="I5" t="s">
        <v>76</v>
      </c>
      <c r="J5" t="s">
        <v>77</v>
      </c>
      <c r="K5" s="1" t="s">
        <v>81</v>
      </c>
      <c r="L5" s="1">
        <f>dcost_data!C3</f>
        <v>40</v>
      </c>
      <c r="N5">
        <v>1</v>
      </c>
      <c r="O5">
        <v>1</v>
      </c>
      <c r="P5" t="str">
        <f t="shared" si="0"/>
        <v>OCGT</v>
      </c>
      <c r="Q5" t="str">
        <f t="shared" ref="Q5:Q17" si="3">IF(I5="","",I5)</f>
        <v>PASTI</v>
      </c>
      <c r="R5" t="str">
        <f t="shared" si="1"/>
        <v>&lt;.2</v>
      </c>
      <c r="S5" t="str">
        <f t="shared" si="2"/>
        <v>-aggregated*</v>
      </c>
    </row>
    <row r="6" spans="2:19" x14ac:dyDescent="0.45">
      <c r="B6" t="s">
        <v>15</v>
      </c>
      <c r="C6" t="s">
        <v>19</v>
      </c>
      <c r="D6">
        <v>0.25</v>
      </c>
      <c r="E6">
        <v>0.5</v>
      </c>
      <c r="F6">
        <v>1.2</v>
      </c>
      <c r="G6">
        <v>0.01</v>
      </c>
      <c r="H6" t="s">
        <v>276</v>
      </c>
      <c r="I6" t="s">
        <v>76</v>
      </c>
      <c r="J6" t="s">
        <v>83</v>
      </c>
      <c r="K6" s="1" t="s">
        <v>81</v>
      </c>
      <c r="L6" s="1">
        <f>dcost_data!C4</f>
        <v>30</v>
      </c>
      <c r="N6">
        <v>0.5</v>
      </c>
      <c r="O6">
        <v>1.2</v>
      </c>
      <c r="P6" t="str">
        <f t="shared" si="0"/>
        <v>OCGT</v>
      </c>
      <c r="Q6" t="str">
        <f t="shared" si="3"/>
        <v>PASTI</v>
      </c>
      <c r="R6" t="str">
        <f t="shared" si="1"/>
        <v>&lt;.05</v>
      </c>
      <c r="S6" t="str">
        <f t="shared" si="2"/>
        <v>-aggregated*</v>
      </c>
    </row>
    <row r="7" spans="2:19" x14ac:dyDescent="0.45">
      <c r="B7" t="s">
        <v>22</v>
      </c>
      <c r="C7" t="s">
        <v>24</v>
      </c>
      <c r="D7">
        <v>0.55000000000000004</v>
      </c>
      <c r="E7">
        <v>4</v>
      </c>
      <c r="F7">
        <v>0.45</v>
      </c>
      <c r="G7">
        <v>0.04</v>
      </c>
      <c r="H7" t="s">
        <v>282</v>
      </c>
      <c r="K7" s="1" t="s">
        <v>81</v>
      </c>
      <c r="L7" s="1">
        <f>dcost_data!C5</f>
        <v>60</v>
      </c>
      <c r="N7">
        <v>4</v>
      </c>
      <c r="O7">
        <v>0.45</v>
      </c>
      <c r="P7" t="str">
        <f t="shared" si="0"/>
        <v>CCGT,CHP_Gas</v>
      </c>
      <c r="Q7" t="str">
        <f t="shared" si="3"/>
        <v/>
      </c>
      <c r="R7" t="str">
        <f t="shared" si="1"/>
        <v/>
      </c>
      <c r="S7" t="str">
        <f t="shared" si="2"/>
        <v>-aggregated*</v>
      </c>
    </row>
    <row r="8" spans="2:19" x14ac:dyDescent="0.45">
      <c r="B8" t="s">
        <v>22</v>
      </c>
      <c r="C8" t="s">
        <v>23</v>
      </c>
      <c r="D8">
        <v>0.5</v>
      </c>
      <c r="E8">
        <v>2</v>
      </c>
      <c r="F8">
        <v>0.6</v>
      </c>
      <c r="G8">
        <v>2.5000000000000001E-2</v>
      </c>
      <c r="H8" t="str">
        <f>H7</f>
        <v>CCGT,CHP_Gas</v>
      </c>
      <c r="I8" t="s">
        <v>76</v>
      </c>
      <c r="J8" t="s">
        <v>78</v>
      </c>
      <c r="K8" s="1" t="s">
        <v>81</v>
      </c>
      <c r="L8" s="1">
        <f>dcost_data!C6</f>
        <v>50</v>
      </c>
      <c r="N8">
        <v>2</v>
      </c>
      <c r="O8">
        <v>0.6</v>
      </c>
      <c r="P8" t="str">
        <f t="shared" si="0"/>
        <v>CCGT,CHP_Gas</v>
      </c>
      <c r="Q8" t="str">
        <f t="shared" si="3"/>
        <v>PASTI</v>
      </c>
      <c r="R8" t="str">
        <f t="shared" si="1"/>
        <v>&lt;.3</v>
      </c>
      <c r="S8" t="str">
        <f t="shared" si="2"/>
        <v>-aggregated*</v>
      </c>
    </row>
    <row r="9" spans="2:19" x14ac:dyDescent="0.45">
      <c r="B9" t="s">
        <v>25</v>
      </c>
      <c r="C9" t="s">
        <v>21</v>
      </c>
      <c r="D9">
        <v>0.4</v>
      </c>
      <c r="E9">
        <v>5</v>
      </c>
      <c r="F9">
        <v>0.3</v>
      </c>
      <c r="G9">
        <v>3.5000000000000003E-2</v>
      </c>
      <c r="H9" t="s">
        <v>278</v>
      </c>
      <c r="K9" s="1" t="s">
        <v>81</v>
      </c>
      <c r="L9" s="1">
        <f>dcost_data!C7</f>
        <v>70</v>
      </c>
      <c r="N9">
        <v>5</v>
      </c>
      <c r="O9">
        <v>0.3</v>
      </c>
      <c r="P9" t="str">
        <f t="shared" si="0"/>
        <v>Gas_Oil_Steam</v>
      </c>
      <c r="Q9" t="str">
        <f t="shared" si="3"/>
        <v/>
      </c>
      <c r="R9" t="str">
        <f t="shared" si="1"/>
        <v/>
      </c>
      <c r="S9" t="str">
        <f t="shared" si="2"/>
        <v>-aggregated*</v>
      </c>
    </row>
    <row r="10" spans="2:19" x14ac:dyDescent="0.45">
      <c r="B10" t="s">
        <v>25</v>
      </c>
      <c r="C10" t="s">
        <v>26</v>
      </c>
      <c r="D10">
        <v>0.35000000000000003</v>
      </c>
      <c r="E10">
        <v>3</v>
      </c>
      <c r="F10">
        <v>0.4</v>
      </c>
      <c r="G10">
        <v>2.5000000000000001E-2</v>
      </c>
      <c r="H10" t="s">
        <v>278</v>
      </c>
      <c r="I10" t="s">
        <v>76</v>
      </c>
      <c r="J10" t="s">
        <v>77</v>
      </c>
      <c r="K10" s="1" t="s">
        <v>81</v>
      </c>
      <c r="L10" s="1">
        <f>dcost_data!C8</f>
        <v>60</v>
      </c>
      <c r="N10">
        <v>3</v>
      </c>
      <c r="O10">
        <v>0.4</v>
      </c>
      <c r="P10" t="str">
        <f t="shared" si="0"/>
        <v>Gas_Oil_Steam</v>
      </c>
      <c r="Q10" t="str">
        <f t="shared" si="3"/>
        <v>PASTI</v>
      </c>
      <c r="R10" t="str">
        <f t="shared" si="1"/>
        <v>&lt;.2</v>
      </c>
      <c r="S10" t="str">
        <f t="shared" si="2"/>
        <v>-aggregated*</v>
      </c>
    </row>
    <row r="11" spans="2:19" x14ac:dyDescent="0.45">
      <c r="B11" t="s">
        <v>16</v>
      </c>
      <c r="C11" t="s">
        <v>73</v>
      </c>
      <c r="D11">
        <v>0.35000000000000003</v>
      </c>
      <c r="E11">
        <v>2</v>
      </c>
      <c r="F11">
        <v>0.6</v>
      </c>
      <c r="G11">
        <v>0.02</v>
      </c>
      <c r="H11" t="s">
        <v>277</v>
      </c>
      <c r="K11" s="1" t="s">
        <v>81</v>
      </c>
      <c r="L11" s="1">
        <f>dcost_data!C9</f>
        <v>40</v>
      </c>
      <c r="N11">
        <v>2</v>
      </c>
      <c r="O11">
        <v>0.6</v>
      </c>
      <c r="P11" t="str">
        <f t="shared" si="0"/>
        <v>Int_Comb</v>
      </c>
      <c r="Q11" t="str">
        <f t="shared" si="3"/>
        <v/>
      </c>
      <c r="R11" t="str">
        <f t="shared" si="1"/>
        <v/>
      </c>
      <c r="S11" t="str">
        <f t="shared" si="2"/>
        <v>-aggregated*</v>
      </c>
    </row>
    <row r="12" spans="2:19" x14ac:dyDescent="0.45">
      <c r="B12" t="s">
        <v>16</v>
      </c>
      <c r="C12" t="s">
        <v>27</v>
      </c>
      <c r="D12">
        <v>0.3</v>
      </c>
      <c r="E12">
        <v>1</v>
      </c>
      <c r="F12">
        <v>1.2</v>
      </c>
      <c r="G12">
        <v>0.01</v>
      </c>
      <c r="H12" t="s">
        <v>277</v>
      </c>
      <c r="I12" t="s">
        <v>76</v>
      </c>
      <c r="J12" t="s">
        <v>82</v>
      </c>
      <c r="K12" s="1" t="s">
        <v>81</v>
      </c>
      <c r="L12" s="1">
        <f>dcost_data!C10</f>
        <v>30</v>
      </c>
      <c r="N12">
        <v>1</v>
      </c>
      <c r="O12">
        <v>1.2</v>
      </c>
      <c r="P12" t="str">
        <f t="shared" si="0"/>
        <v>Int_Comb</v>
      </c>
      <c r="Q12" t="str">
        <f t="shared" si="3"/>
        <v>PASTI</v>
      </c>
      <c r="R12" t="str">
        <f t="shared" si="1"/>
        <v>&lt;.02</v>
      </c>
      <c r="S12" t="str">
        <f t="shared" si="2"/>
        <v>-aggregated*</v>
      </c>
    </row>
    <row r="13" spans="2:19" x14ac:dyDescent="0.45">
      <c r="B13" t="s">
        <v>13</v>
      </c>
      <c r="C13" t="s">
        <v>24</v>
      </c>
      <c r="D13">
        <v>0.42</v>
      </c>
      <c r="E13">
        <v>7</v>
      </c>
      <c r="F13">
        <v>0.2</v>
      </c>
      <c r="G13">
        <v>0.06</v>
      </c>
      <c r="H13" t="s">
        <v>283</v>
      </c>
      <c r="K13" s="1" t="s">
        <v>81</v>
      </c>
      <c r="L13" s="1">
        <f>dcost_data!C11</f>
        <v>100</v>
      </c>
      <c r="N13">
        <v>7</v>
      </c>
      <c r="O13">
        <v>0.2</v>
      </c>
      <c r="P13" t="str">
        <f t="shared" si="0"/>
        <v>Subcrit_Coal,Bio_Power,CHP_Coal,CHP_Bio</v>
      </c>
      <c r="Q13" t="str">
        <f t="shared" si="3"/>
        <v/>
      </c>
      <c r="R13" t="str">
        <f t="shared" si="1"/>
        <v/>
      </c>
      <c r="S13" t="str">
        <f t="shared" si="2"/>
        <v>-aggregated*</v>
      </c>
    </row>
    <row r="14" spans="2:19" x14ac:dyDescent="0.45">
      <c r="B14" t="s">
        <v>13</v>
      </c>
      <c r="C14" t="s">
        <v>23</v>
      </c>
      <c r="D14">
        <v>0.38</v>
      </c>
      <c r="E14">
        <v>5</v>
      </c>
      <c r="F14">
        <v>0.3</v>
      </c>
      <c r="G14">
        <v>0.04</v>
      </c>
      <c r="H14" t="str">
        <f>H13</f>
        <v>Subcrit_Coal,Bio_Power,CHP_Coal,CHP_Bio</v>
      </c>
      <c r="I14" t="s">
        <v>76</v>
      </c>
      <c r="J14" t="s">
        <v>78</v>
      </c>
      <c r="K14" s="1" t="s">
        <v>81</v>
      </c>
      <c r="L14" s="1">
        <f>dcost_data!C12</f>
        <v>90</v>
      </c>
      <c r="N14">
        <v>5</v>
      </c>
      <c r="O14">
        <v>0.3</v>
      </c>
      <c r="P14" t="str">
        <f t="shared" si="0"/>
        <v>Subcrit_Coal,Bio_Power,CHP_Coal,CHP_Bio</v>
      </c>
      <c r="Q14" t="str">
        <f t="shared" si="3"/>
        <v>PASTI</v>
      </c>
      <c r="R14" t="str">
        <f t="shared" si="1"/>
        <v>&lt;.3</v>
      </c>
      <c r="S14" t="str">
        <f t="shared" si="2"/>
        <v>-aggregated*</v>
      </c>
    </row>
    <row r="15" spans="2:19" x14ac:dyDescent="0.45">
      <c r="B15" t="s">
        <v>14</v>
      </c>
      <c r="C15" t="s">
        <v>29</v>
      </c>
      <c r="D15">
        <v>0.48</v>
      </c>
      <c r="E15">
        <v>8</v>
      </c>
      <c r="F15">
        <v>0.15</v>
      </c>
      <c r="G15">
        <v>7.0000000000000007E-2</v>
      </c>
      <c r="H15" t="s">
        <v>279</v>
      </c>
      <c r="K15" s="1" t="s">
        <v>81</v>
      </c>
      <c r="L15" s="1">
        <f>dcost_data!C13</f>
        <v>110</v>
      </c>
      <c r="N15">
        <v>8</v>
      </c>
      <c r="O15">
        <v>0.15</v>
      </c>
      <c r="P15" t="str">
        <f t="shared" si="0"/>
        <v>Supercrit_Coal,IGCC</v>
      </c>
      <c r="Q15" t="str">
        <f t="shared" si="3"/>
        <v/>
      </c>
      <c r="R15" t="str">
        <f t="shared" si="1"/>
        <v/>
      </c>
      <c r="S15" t="str">
        <f t="shared" si="2"/>
        <v>-aggregated*</v>
      </c>
    </row>
    <row r="16" spans="2:19" x14ac:dyDescent="0.45">
      <c r="B16" t="s">
        <v>14</v>
      </c>
      <c r="C16" t="s">
        <v>28</v>
      </c>
      <c r="D16">
        <v>0.45</v>
      </c>
      <c r="E16">
        <v>6</v>
      </c>
      <c r="F16">
        <v>0.25</v>
      </c>
      <c r="G16">
        <v>0.05</v>
      </c>
      <c r="H16" t="str">
        <f>H15</f>
        <v>Supercrit_Coal,IGCC</v>
      </c>
      <c r="I16" t="s">
        <v>76</v>
      </c>
      <c r="J16" t="s">
        <v>79</v>
      </c>
      <c r="K16" s="1" t="s">
        <v>81</v>
      </c>
      <c r="L16" s="1">
        <f>dcost_data!C14</f>
        <v>100</v>
      </c>
      <c r="N16">
        <v>6</v>
      </c>
      <c r="O16">
        <v>0.25</v>
      </c>
      <c r="P16" t="str">
        <f t="shared" si="0"/>
        <v>Supercrit_Coal,IGCC</v>
      </c>
      <c r="Q16" t="str">
        <f t="shared" si="3"/>
        <v>PASTI</v>
      </c>
      <c r="R16" t="str">
        <f t="shared" si="1"/>
        <v>&lt;.5</v>
      </c>
      <c r="S16" t="str">
        <f t="shared" si="2"/>
        <v>-aggregated*</v>
      </c>
    </row>
    <row r="17" spans="2:19" x14ac:dyDescent="0.45">
      <c r="B17" t="s">
        <v>5</v>
      </c>
      <c r="C17" t="s">
        <v>30</v>
      </c>
      <c r="D17">
        <v>0.70000000000000007</v>
      </c>
      <c r="E17">
        <v>24</v>
      </c>
      <c r="F17">
        <v>0.05</v>
      </c>
      <c r="G17">
        <v>0.1</v>
      </c>
      <c r="H17" t="s">
        <v>281</v>
      </c>
      <c r="K17" s="1" t="s">
        <v>81</v>
      </c>
      <c r="L17" s="1">
        <f>dcost_data!C15</f>
        <v>500</v>
      </c>
      <c r="N17">
        <v>24</v>
      </c>
      <c r="O17">
        <v>0.05</v>
      </c>
      <c r="P17" t="str">
        <f t="shared" si="0"/>
        <v>Nuclear_P</v>
      </c>
      <c r="Q17" t="str">
        <f t="shared" si="3"/>
        <v/>
      </c>
      <c r="R17" t="str">
        <f t="shared" si="1"/>
        <v/>
      </c>
      <c r="S17" t="str">
        <f t="shared" si="2"/>
        <v>-aggregated*</v>
      </c>
    </row>
    <row r="18" spans="2:19" x14ac:dyDescent="0.45">
      <c r="B18" s="15" t="s">
        <v>15</v>
      </c>
      <c r="C18" s="15" t="s">
        <v>19</v>
      </c>
      <c r="D18" s="15">
        <v>0</v>
      </c>
      <c r="E18" s="15">
        <v>0.5</v>
      </c>
      <c r="F18" s="15">
        <v>1.2</v>
      </c>
      <c r="G18" s="15">
        <v>0.01</v>
      </c>
      <c r="H18" s="15"/>
      <c r="I18" s="15"/>
      <c r="J18" s="15"/>
      <c r="K18" s="19" t="s">
        <v>280</v>
      </c>
      <c r="L18" s="19">
        <v>30</v>
      </c>
      <c r="M18" s="15"/>
      <c r="N18" s="15">
        <v>0.5</v>
      </c>
      <c r="O18" s="15">
        <v>1.2</v>
      </c>
      <c r="P18" s="15"/>
      <c r="Q18" s="15" t="s">
        <v>269</v>
      </c>
      <c r="R18" s="15" t="s">
        <v>269</v>
      </c>
      <c r="S18" s="15" t="s">
        <v>268</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BH26"/>
  <sheetViews>
    <sheetView tabSelected="1" topLeftCell="C1" workbookViewId="0">
      <selection activeCell="I25" sqref="I25"/>
    </sheetView>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29" max="34" width="4" customWidth="1"/>
    <col min="36" max="36" width="14.53125" bestFit="1" customWidth="1"/>
    <col min="37" max="37" width="1.73046875" bestFit="1" customWidth="1"/>
    <col min="38" max="38" width="4.73046875" bestFit="1" customWidth="1"/>
    <col min="39" max="39" width="5.73046875" bestFit="1" customWidth="1"/>
    <col min="40" max="40" width="2.73046875" bestFit="1" customWidth="1"/>
    <col min="41" max="41" width="4.73046875" bestFit="1" customWidth="1"/>
    <col min="42" max="42" width="5.73046875" bestFit="1" customWidth="1"/>
    <col min="43" max="43" width="2.73046875" bestFit="1" customWidth="1"/>
    <col min="44" max="44" width="4.73046875" bestFit="1" customWidth="1"/>
    <col min="45" max="45" width="5.73046875" bestFit="1" customWidth="1"/>
    <col min="46" max="46" width="2.73046875" bestFit="1" customWidth="1"/>
    <col min="47" max="47" width="4.73046875" bestFit="1" customWidth="1"/>
    <col min="48" max="48" width="5.73046875" bestFit="1" customWidth="1"/>
    <col min="49" max="49" width="3.73046875" bestFit="1" customWidth="1"/>
    <col min="50" max="50" width="4.73046875" bestFit="1" customWidth="1"/>
    <col min="51" max="51" width="5.73046875" bestFit="1" customWidth="1"/>
    <col min="52" max="52" width="3.73046875" bestFit="1" customWidth="1"/>
    <col min="53" max="53" width="4.73046875" bestFit="1" customWidth="1"/>
    <col min="54" max="54" width="5.73046875" bestFit="1" customWidth="1"/>
    <col min="55" max="55" width="3.73046875" bestFit="1" customWidth="1"/>
    <col min="56" max="56" width="5.73046875" bestFit="1" customWidth="1"/>
    <col min="57" max="57" width="4.73046875" bestFit="1" customWidth="1"/>
    <col min="58" max="58" width="3.73046875" bestFit="1" customWidth="1"/>
    <col min="59" max="60" width="4.73046875" bestFit="1" customWidth="1"/>
  </cols>
  <sheetData>
    <row r="2" spans="2:60" ht="17.25" thickBot="1" x14ac:dyDescent="0.55000000000000004">
      <c r="B2" s="16" t="s">
        <v>196</v>
      </c>
      <c r="AJ2" s="2" t="s">
        <v>197</v>
      </c>
    </row>
    <row r="3" spans="2:60" ht="15" thickTop="1" thickBot="1" x14ac:dyDescent="0.5">
      <c r="B3" t="s">
        <v>198</v>
      </c>
      <c r="C3" t="s">
        <v>199</v>
      </c>
      <c r="D3" t="s">
        <v>200</v>
      </c>
      <c r="E3" t="s">
        <v>201</v>
      </c>
      <c r="F3" t="s">
        <v>202</v>
      </c>
      <c r="G3" t="s">
        <v>203</v>
      </c>
      <c r="H3" t="s">
        <v>204</v>
      </c>
      <c r="I3" t="s">
        <v>205</v>
      </c>
      <c r="J3" t="s">
        <v>206</v>
      </c>
      <c r="K3">
        <v>1</v>
      </c>
      <c r="L3">
        <v>39</v>
      </c>
      <c r="M3">
        <v>40</v>
      </c>
      <c r="N3">
        <v>41</v>
      </c>
      <c r="O3">
        <f>N3+18</f>
        <v>59</v>
      </c>
      <c r="P3">
        <f>O3+1</f>
        <v>60</v>
      </c>
      <c r="Q3">
        <f>P3+1</f>
        <v>61</v>
      </c>
      <c r="R3">
        <f>Q3+18</f>
        <v>79</v>
      </c>
      <c r="S3">
        <f>R3+1</f>
        <v>80</v>
      </c>
      <c r="T3">
        <f>S3+1</f>
        <v>81</v>
      </c>
      <c r="U3">
        <f>T3+18</f>
        <v>99</v>
      </c>
      <c r="V3">
        <f>U3+1</f>
        <v>100</v>
      </c>
      <c r="W3">
        <f>V3+1</f>
        <v>101</v>
      </c>
      <c r="X3">
        <f>W3+18</f>
        <v>119</v>
      </c>
      <c r="Y3">
        <f>X3+1</f>
        <v>120</v>
      </c>
      <c r="Z3">
        <f>Y3+1</f>
        <v>121</v>
      </c>
      <c r="AA3">
        <f>Z3+18</f>
        <v>139</v>
      </c>
      <c r="AB3">
        <f>AA3+1</f>
        <v>140</v>
      </c>
      <c r="AC3">
        <f>AB3+1</f>
        <v>141</v>
      </c>
      <c r="AD3">
        <f>AC3+18</f>
        <v>159</v>
      </c>
      <c r="AE3">
        <f>AD3+1</f>
        <v>160</v>
      </c>
      <c r="AF3">
        <f>AE3+1</f>
        <v>161</v>
      </c>
      <c r="AG3">
        <f>AF3+18</f>
        <v>179</v>
      </c>
      <c r="AH3">
        <f>AG3+1</f>
        <v>180</v>
      </c>
      <c r="AJ3" s="3" t="s">
        <v>207</v>
      </c>
      <c r="AK3" s="3">
        <f t="shared" ref="AK3:AY4" si="0">K3</f>
        <v>1</v>
      </c>
      <c r="AL3" s="3">
        <f t="shared" si="0"/>
        <v>39</v>
      </c>
      <c r="AM3" s="3">
        <f t="shared" si="0"/>
        <v>40</v>
      </c>
      <c r="AN3" s="3">
        <f t="shared" si="0"/>
        <v>41</v>
      </c>
      <c r="AO3" s="3">
        <f t="shared" si="0"/>
        <v>59</v>
      </c>
      <c r="AP3" s="3">
        <f t="shared" si="0"/>
        <v>60</v>
      </c>
      <c r="AQ3" s="3">
        <f t="shared" si="0"/>
        <v>61</v>
      </c>
      <c r="AR3" s="3">
        <f t="shared" si="0"/>
        <v>79</v>
      </c>
      <c r="AS3" s="3">
        <f t="shared" si="0"/>
        <v>80</v>
      </c>
      <c r="AT3" s="3">
        <f t="shared" si="0"/>
        <v>81</v>
      </c>
      <c r="AU3" s="3">
        <f t="shared" si="0"/>
        <v>99</v>
      </c>
      <c r="AV3" s="3">
        <f t="shared" si="0"/>
        <v>100</v>
      </c>
      <c r="AW3" s="3">
        <f t="shared" si="0"/>
        <v>101</v>
      </c>
      <c r="AX3" s="3">
        <f t="shared" si="0"/>
        <v>119</v>
      </c>
      <c r="AY3" s="3">
        <f t="shared" si="0"/>
        <v>120</v>
      </c>
      <c r="AZ3" s="3">
        <f t="shared" ref="AZ3:AZ5" si="1">Z3</f>
        <v>121</v>
      </c>
      <c r="BA3" s="3">
        <f t="shared" ref="BA3:BA5" si="2">AA3</f>
        <v>139</v>
      </c>
      <c r="BB3" s="3">
        <f t="shared" ref="BB3:BB5" si="3">AB3</f>
        <v>140</v>
      </c>
      <c r="BC3" s="3">
        <f t="shared" ref="BC3:BC5" si="4">AC3</f>
        <v>141</v>
      </c>
      <c r="BD3" s="3">
        <f t="shared" ref="BD3:BE5" si="5">AD3</f>
        <v>159</v>
      </c>
      <c r="BE3" s="3">
        <f t="shared" si="5"/>
        <v>160</v>
      </c>
      <c r="BF3" s="3">
        <f t="shared" ref="BF3:BF5" si="6">AF3</f>
        <v>161</v>
      </c>
      <c r="BG3" s="3">
        <f t="shared" ref="BG3:BG5" si="7">AG3</f>
        <v>179</v>
      </c>
      <c r="BH3" s="3">
        <f t="shared" ref="BH3:BH5" si="8">AH3</f>
        <v>180</v>
      </c>
    </row>
    <row r="4" spans="2:60" x14ac:dyDescent="0.45">
      <c r="B4" t="s">
        <v>208</v>
      </c>
      <c r="C4" t="s">
        <v>209</v>
      </c>
      <c r="D4" t="s">
        <v>210</v>
      </c>
      <c r="E4" t="s">
        <v>210</v>
      </c>
      <c r="F4" t="s">
        <v>211</v>
      </c>
      <c r="G4" s="17">
        <v>39.18</v>
      </c>
      <c r="H4" s="17" t="s">
        <v>212</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Z4">
        <f>W4</f>
        <v>1</v>
      </c>
      <c r="AA4">
        <f t="shared" ref="AA4:AE5" si="9">X4</f>
        <v>1.1100000000000001</v>
      </c>
      <c r="AB4">
        <f t="shared" si="9"/>
        <v>6.18</v>
      </c>
      <c r="AC4">
        <f t="shared" si="9"/>
        <v>1</v>
      </c>
      <c r="AD4">
        <f t="shared" si="9"/>
        <v>1.1100000000000001</v>
      </c>
      <c r="AE4">
        <f t="shared" si="9"/>
        <v>6.18</v>
      </c>
      <c r="AF4">
        <f t="shared" ref="AF4:AF5" si="10">AC4</f>
        <v>1</v>
      </c>
      <c r="AG4">
        <f t="shared" ref="AG4:AG5" si="11">AD4</f>
        <v>1.1100000000000001</v>
      </c>
      <c r="AH4">
        <f t="shared" ref="AH4:AH5" si="12">AE4</f>
        <v>6.18</v>
      </c>
      <c r="AJ4">
        <f t="shared" ref="AJ4:AY5" si="13">J4</f>
        <v>81</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c r="AT4">
        <f t="shared" si="0"/>
        <v>1</v>
      </c>
      <c r="AU4">
        <f t="shared" si="0"/>
        <v>1.1100000000000001</v>
      </c>
      <c r="AV4">
        <f t="shared" si="0"/>
        <v>6.18</v>
      </c>
      <c r="AW4">
        <f t="shared" si="0"/>
        <v>1</v>
      </c>
      <c r="AX4">
        <f t="shared" si="0"/>
        <v>1.1100000000000001</v>
      </c>
      <c r="AY4">
        <f t="shared" si="0"/>
        <v>6.18</v>
      </c>
      <c r="AZ4">
        <f t="shared" si="1"/>
        <v>1</v>
      </c>
      <c r="BA4">
        <f t="shared" si="2"/>
        <v>1.1100000000000001</v>
      </c>
      <c r="BB4">
        <f t="shared" si="3"/>
        <v>6.18</v>
      </c>
      <c r="BC4">
        <f t="shared" si="4"/>
        <v>1</v>
      </c>
      <c r="BD4">
        <f t="shared" si="5"/>
        <v>1.1100000000000001</v>
      </c>
      <c r="BE4">
        <f t="shared" si="5"/>
        <v>6.18</v>
      </c>
      <c r="BF4">
        <f t="shared" si="6"/>
        <v>1</v>
      </c>
      <c r="BG4">
        <f t="shared" si="7"/>
        <v>1.1100000000000001</v>
      </c>
      <c r="BH4">
        <f t="shared" si="8"/>
        <v>6.18</v>
      </c>
    </row>
    <row r="5" spans="2:60" x14ac:dyDescent="0.45">
      <c r="B5" t="s">
        <v>213</v>
      </c>
      <c r="C5" t="s">
        <v>210</v>
      </c>
      <c r="D5" t="s">
        <v>214</v>
      </c>
      <c r="E5" t="s">
        <v>210</v>
      </c>
      <c r="F5" t="s">
        <v>211</v>
      </c>
      <c r="G5" s="17">
        <v>19.34</v>
      </c>
      <c r="H5" s="17" t="s">
        <v>212</v>
      </c>
      <c r="I5" s="17">
        <v>28.67</v>
      </c>
      <c r="J5">
        <v>82</v>
      </c>
      <c r="K5">
        <v>1</v>
      </c>
      <c r="L5">
        <v>1.48</v>
      </c>
      <c r="M5">
        <v>10</v>
      </c>
      <c r="N5">
        <v>1</v>
      </c>
      <c r="O5">
        <v>1.48</v>
      </c>
      <c r="P5">
        <v>10</v>
      </c>
      <c r="Q5">
        <v>1</v>
      </c>
      <c r="R5">
        <v>1.48</v>
      </c>
      <c r="S5">
        <v>10</v>
      </c>
      <c r="T5">
        <v>1</v>
      </c>
      <c r="U5">
        <v>1.48</v>
      </c>
      <c r="V5">
        <v>10</v>
      </c>
      <c r="W5">
        <v>1</v>
      </c>
      <c r="X5">
        <v>1.48</v>
      </c>
      <c r="Y5">
        <v>10</v>
      </c>
      <c r="Z5">
        <f>W5</f>
        <v>1</v>
      </c>
      <c r="AA5">
        <f t="shared" si="9"/>
        <v>1.48</v>
      </c>
      <c r="AB5">
        <f t="shared" si="9"/>
        <v>10</v>
      </c>
      <c r="AC5">
        <f t="shared" si="9"/>
        <v>1</v>
      </c>
      <c r="AD5">
        <f t="shared" si="9"/>
        <v>1.48</v>
      </c>
      <c r="AE5">
        <f t="shared" si="9"/>
        <v>10</v>
      </c>
      <c r="AF5">
        <f t="shared" si="10"/>
        <v>1</v>
      </c>
      <c r="AG5">
        <f t="shared" si="11"/>
        <v>1.48</v>
      </c>
      <c r="AH5">
        <f t="shared" si="12"/>
        <v>10</v>
      </c>
      <c r="AJ5">
        <f t="shared" si="13"/>
        <v>82</v>
      </c>
      <c r="AK5">
        <f t="shared" si="13"/>
        <v>1</v>
      </c>
      <c r="AL5">
        <f t="shared" si="13"/>
        <v>1.48</v>
      </c>
      <c r="AM5">
        <f t="shared" si="13"/>
        <v>10</v>
      </c>
      <c r="AN5">
        <f t="shared" si="13"/>
        <v>1</v>
      </c>
      <c r="AO5">
        <f t="shared" si="13"/>
        <v>1.48</v>
      </c>
      <c r="AP5">
        <f t="shared" si="13"/>
        <v>10</v>
      </c>
      <c r="AQ5">
        <f t="shared" si="13"/>
        <v>1</v>
      </c>
      <c r="AR5">
        <f t="shared" si="13"/>
        <v>1.48</v>
      </c>
      <c r="AS5">
        <f t="shared" si="13"/>
        <v>10</v>
      </c>
      <c r="AT5">
        <f t="shared" si="13"/>
        <v>1</v>
      </c>
      <c r="AU5">
        <f t="shared" si="13"/>
        <v>1.48</v>
      </c>
      <c r="AV5">
        <f t="shared" si="13"/>
        <v>10</v>
      </c>
      <c r="AW5">
        <f t="shared" si="13"/>
        <v>1</v>
      </c>
      <c r="AX5">
        <f t="shared" si="13"/>
        <v>1.48</v>
      </c>
      <c r="AY5">
        <f t="shared" si="13"/>
        <v>10</v>
      </c>
      <c r="AZ5">
        <f t="shared" si="1"/>
        <v>1</v>
      </c>
      <c r="BA5">
        <f t="shared" si="2"/>
        <v>1.48</v>
      </c>
      <c r="BB5">
        <f t="shared" si="3"/>
        <v>10</v>
      </c>
      <c r="BC5">
        <f t="shared" si="4"/>
        <v>1</v>
      </c>
      <c r="BD5">
        <f t="shared" si="5"/>
        <v>1.48</v>
      </c>
      <c r="BE5">
        <f t="shared" si="5"/>
        <v>10</v>
      </c>
      <c r="BF5">
        <f t="shared" si="6"/>
        <v>1</v>
      </c>
      <c r="BG5">
        <f t="shared" si="7"/>
        <v>1.48</v>
      </c>
      <c r="BH5">
        <f t="shared" si="8"/>
        <v>10</v>
      </c>
    </row>
    <row r="7" spans="2:60" ht="17.25" thickBot="1" x14ac:dyDescent="0.55000000000000004">
      <c r="AJ7" s="2" t="s">
        <v>197</v>
      </c>
    </row>
    <row r="8" spans="2:60" ht="15" thickTop="1" thickBot="1" x14ac:dyDescent="0.5">
      <c r="B8" t="s">
        <v>198</v>
      </c>
      <c r="C8" t="s">
        <v>199</v>
      </c>
      <c r="D8" t="s">
        <v>200</v>
      </c>
      <c r="E8" t="s">
        <v>201</v>
      </c>
      <c r="F8" t="s">
        <v>202</v>
      </c>
      <c r="G8" t="s">
        <v>203</v>
      </c>
      <c r="H8" t="s">
        <v>206</v>
      </c>
      <c r="I8">
        <v>1</v>
      </c>
      <c r="J8">
        <v>29</v>
      </c>
      <c r="K8">
        <v>30</v>
      </c>
      <c r="L8">
        <v>31</v>
      </c>
      <c r="M8">
        <v>59</v>
      </c>
      <c r="N8">
        <v>60</v>
      </c>
      <c r="O8">
        <v>61</v>
      </c>
      <c r="P8">
        <v>89</v>
      </c>
      <c r="Q8">
        <v>90</v>
      </c>
      <c r="R8">
        <v>91</v>
      </c>
      <c r="S8">
        <v>119</v>
      </c>
      <c r="T8">
        <v>120</v>
      </c>
      <c r="U8">
        <v>121</v>
      </c>
      <c r="V8">
        <v>149</v>
      </c>
      <c r="W8">
        <v>150</v>
      </c>
      <c r="X8">
        <v>151</v>
      </c>
      <c r="Y8">
        <v>179</v>
      </c>
      <c r="Z8">
        <v>180</v>
      </c>
      <c r="AA8">
        <v>181</v>
      </c>
      <c r="AB8">
        <v>200</v>
      </c>
      <c r="AJ8" s="3" t="s">
        <v>207</v>
      </c>
      <c r="AK8" s="3">
        <f t="shared" ref="AK8:AZ10" si="14">I8</f>
        <v>1</v>
      </c>
      <c r="AL8" s="3">
        <f t="shared" si="14"/>
        <v>29</v>
      </c>
      <c r="AM8" s="3">
        <f t="shared" si="14"/>
        <v>30</v>
      </c>
      <c r="AN8" s="3">
        <f t="shared" si="14"/>
        <v>31</v>
      </c>
      <c r="AO8" s="3">
        <f t="shared" si="14"/>
        <v>59</v>
      </c>
      <c r="AP8" s="3">
        <f t="shared" si="14"/>
        <v>60</v>
      </c>
      <c r="AQ8" s="3">
        <f t="shared" si="14"/>
        <v>61</v>
      </c>
      <c r="AR8" s="3">
        <f t="shared" si="14"/>
        <v>89</v>
      </c>
      <c r="AS8" s="3">
        <f t="shared" si="14"/>
        <v>90</v>
      </c>
      <c r="AT8" s="3">
        <f t="shared" si="14"/>
        <v>91</v>
      </c>
      <c r="AU8" s="3">
        <f t="shared" si="14"/>
        <v>119</v>
      </c>
      <c r="AV8" s="3">
        <f t="shared" si="14"/>
        <v>120</v>
      </c>
      <c r="AW8" s="3">
        <f t="shared" si="14"/>
        <v>121</v>
      </c>
      <c r="AX8" s="3">
        <f t="shared" si="14"/>
        <v>149</v>
      </c>
      <c r="AY8" s="3">
        <f t="shared" si="14"/>
        <v>150</v>
      </c>
      <c r="AZ8" s="3">
        <f t="shared" si="14"/>
        <v>151</v>
      </c>
      <c r="BA8" s="3">
        <f t="shared" ref="AU8:BD10" si="15">Y8</f>
        <v>179</v>
      </c>
      <c r="BB8" s="3">
        <f t="shared" si="15"/>
        <v>180</v>
      </c>
      <c r="BC8" s="3">
        <f t="shared" si="15"/>
        <v>181</v>
      </c>
      <c r="BD8" s="3">
        <f t="shared" si="15"/>
        <v>200</v>
      </c>
    </row>
    <row r="9" spans="2:60" x14ac:dyDescent="0.45">
      <c r="B9" t="s">
        <v>215</v>
      </c>
      <c r="C9" t="s">
        <v>210</v>
      </c>
      <c r="D9" t="s">
        <v>210</v>
      </c>
      <c r="E9" t="s">
        <v>210</v>
      </c>
      <c r="F9" t="s">
        <v>216</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J9">
        <f t="shared" ref="AJ9:AJ10" si="16">H9</f>
        <v>83</v>
      </c>
      <c r="AK9">
        <f t="shared" si="14"/>
        <v>1</v>
      </c>
      <c r="AL9">
        <f t="shared" si="14"/>
        <v>1</v>
      </c>
      <c r="AM9">
        <f t="shared" si="14"/>
        <v>3.72</v>
      </c>
      <c r="AN9">
        <f t="shared" si="14"/>
        <v>1</v>
      </c>
      <c r="AO9">
        <f t="shared" si="14"/>
        <v>1</v>
      </c>
      <c r="AP9">
        <f t="shared" si="14"/>
        <v>3.72</v>
      </c>
      <c r="AQ9">
        <f t="shared" si="14"/>
        <v>1</v>
      </c>
      <c r="AR9">
        <f t="shared" si="14"/>
        <v>1</v>
      </c>
      <c r="AS9">
        <f t="shared" si="14"/>
        <v>3.72</v>
      </c>
      <c r="AT9">
        <f t="shared" si="14"/>
        <v>1</v>
      </c>
      <c r="AU9">
        <f t="shared" si="15"/>
        <v>1</v>
      </c>
      <c r="AV9">
        <f t="shared" si="15"/>
        <v>3.72</v>
      </c>
      <c r="AW9">
        <f t="shared" si="15"/>
        <v>1</v>
      </c>
      <c r="AX9">
        <f t="shared" si="15"/>
        <v>1</v>
      </c>
      <c r="AY9">
        <f t="shared" si="15"/>
        <v>3.72</v>
      </c>
      <c r="AZ9">
        <f t="shared" si="15"/>
        <v>1</v>
      </c>
      <c r="BA9">
        <f t="shared" si="15"/>
        <v>1</v>
      </c>
      <c r="BB9">
        <f t="shared" si="15"/>
        <v>3.72</v>
      </c>
      <c r="BC9">
        <f t="shared" si="15"/>
        <v>1</v>
      </c>
      <c r="BD9">
        <f t="shared" si="15"/>
        <v>3.72</v>
      </c>
    </row>
    <row r="10" spans="2:60" x14ac:dyDescent="0.45">
      <c r="B10" t="s">
        <v>217</v>
      </c>
      <c r="C10" t="s">
        <v>210</v>
      </c>
      <c r="D10" t="s">
        <v>210</v>
      </c>
      <c r="E10" t="s">
        <v>210</v>
      </c>
      <c r="F10" t="s">
        <v>216</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J10">
        <f t="shared" si="16"/>
        <v>84</v>
      </c>
      <c r="AK10">
        <f t="shared" si="14"/>
        <v>1</v>
      </c>
      <c r="AL10">
        <f t="shared" si="14"/>
        <v>1</v>
      </c>
      <c r="AM10">
        <f t="shared" si="14"/>
        <v>13.27</v>
      </c>
      <c r="AN10">
        <f t="shared" si="14"/>
        <v>1</v>
      </c>
      <c r="AO10">
        <f t="shared" si="14"/>
        <v>1</v>
      </c>
      <c r="AP10">
        <f t="shared" si="14"/>
        <v>13.27</v>
      </c>
      <c r="AQ10">
        <f t="shared" si="14"/>
        <v>1</v>
      </c>
      <c r="AR10">
        <f t="shared" si="14"/>
        <v>1</v>
      </c>
      <c r="AS10">
        <f t="shared" si="14"/>
        <v>13.27</v>
      </c>
      <c r="AT10">
        <f t="shared" si="14"/>
        <v>1</v>
      </c>
      <c r="AU10">
        <f t="shared" si="15"/>
        <v>1</v>
      </c>
      <c r="AV10">
        <f t="shared" si="15"/>
        <v>13.27</v>
      </c>
      <c r="AW10">
        <f t="shared" si="15"/>
        <v>1</v>
      </c>
      <c r="AX10">
        <f t="shared" si="15"/>
        <v>1</v>
      </c>
      <c r="AY10">
        <f t="shared" si="15"/>
        <v>13.27</v>
      </c>
      <c r="AZ10">
        <f t="shared" si="15"/>
        <v>1</v>
      </c>
      <c r="BA10">
        <f t="shared" si="15"/>
        <v>1</v>
      </c>
      <c r="BB10">
        <f t="shared" si="15"/>
        <v>13.27</v>
      </c>
      <c r="BC10">
        <f t="shared" si="15"/>
        <v>1</v>
      </c>
      <c r="BD10">
        <f t="shared" si="15"/>
        <v>13.27</v>
      </c>
    </row>
    <row r="13" spans="2:60" x14ac:dyDescent="0.45">
      <c r="B13" s="16" t="s">
        <v>218</v>
      </c>
    </row>
    <row r="14" spans="2:60" x14ac:dyDescent="0.45">
      <c r="B14" s="18" t="s">
        <v>219</v>
      </c>
      <c r="C14" s="18"/>
      <c r="D14" s="18"/>
    </row>
    <row r="15" spans="2:60" x14ac:dyDescent="0.45">
      <c r="B15" s="18" t="s">
        <v>220</v>
      </c>
      <c r="C15" s="18"/>
      <c r="D15" s="18"/>
    </row>
    <row r="16" spans="2:60" x14ac:dyDescent="0.45">
      <c r="B16" s="18" t="s">
        <v>221</v>
      </c>
      <c r="C16" s="18"/>
      <c r="D16" s="18"/>
    </row>
    <row r="18" spans="2:12" x14ac:dyDescent="0.45">
      <c r="B18" s="18" t="s">
        <v>222</v>
      </c>
      <c r="C18" s="18" t="s">
        <v>223</v>
      </c>
      <c r="D18" s="18" t="s">
        <v>224</v>
      </c>
    </row>
    <row r="19" spans="2:12" x14ac:dyDescent="0.45">
      <c r="B19" s="18" t="s">
        <v>225</v>
      </c>
      <c r="C19" s="18" t="s">
        <v>226</v>
      </c>
      <c r="D19" s="18">
        <v>253</v>
      </c>
    </row>
    <row r="20" spans="2:12" ht="17.25" thickBot="1" x14ac:dyDescent="0.55000000000000004">
      <c r="B20" s="18" t="s">
        <v>227</v>
      </c>
      <c r="C20" s="18" t="s">
        <v>226</v>
      </c>
      <c r="D20" s="18">
        <v>203</v>
      </c>
      <c r="H20" s="2" t="s">
        <v>228</v>
      </c>
    </row>
    <row r="21" spans="2:12" ht="15" thickTop="1" thickBot="1" x14ac:dyDescent="0.5">
      <c r="B21" s="18" t="s">
        <v>229</v>
      </c>
      <c r="C21" s="18" t="s">
        <v>230</v>
      </c>
      <c r="D21" s="18">
        <v>82</v>
      </c>
      <c r="H21" s="3" t="s">
        <v>231</v>
      </c>
      <c r="I21" s="3" t="s">
        <v>232</v>
      </c>
      <c r="J21" s="3" t="s">
        <v>233</v>
      </c>
      <c r="K21" s="3">
        <v>2019</v>
      </c>
      <c r="L21" s="3">
        <v>0</v>
      </c>
    </row>
    <row r="22" spans="2:12" x14ac:dyDescent="0.45">
      <c r="B22" s="18" t="s">
        <v>234</v>
      </c>
      <c r="C22" s="18" t="s">
        <v>230</v>
      </c>
      <c r="D22" s="18">
        <v>242</v>
      </c>
      <c r="H22" t="s">
        <v>235</v>
      </c>
      <c r="I22" t="s">
        <v>264</v>
      </c>
      <c r="J22" t="s">
        <v>241</v>
      </c>
      <c r="K22">
        <f>AJ4</f>
        <v>81</v>
      </c>
      <c r="L22">
        <v>2</v>
      </c>
    </row>
    <row r="23" spans="2:12" x14ac:dyDescent="0.45">
      <c r="B23" s="18" t="s">
        <v>236</v>
      </c>
      <c r="C23" s="18" t="s">
        <v>230</v>
      </c>
      <c r="D23" s="18">
        <v>226</v>
      </c>
      <c r="H23" t="s">
        <v>235</v>
      </c>
      <c r="I23" t="s">
        <v>278</v>
      </c>
      <c r="K23">
        <f>AJ5</f>
        <v>82</v>
      </c>
      <c r="L23">
        <v>2</v>
      </c>
    </row>
    <row r="24" spans="2:12" x14ac:dyDescent="0.45">
      <c r="B24" s="18" t="s">
        <v>237</v>
      </c>
      <c r="C24" s="18" t="s">
        <v>226</v>
      </c>
      <c r="D24" s="18">
        <v>174</v>
      </c>
      <c r="H24" t="s">
        <v>235</v>
      </c>
      <c r="I24" t="s">
        <v>282</v>
      </c>
      <c r="K24">
        <f>AJ9</f>
        <v>83</v>
      </c>
      <c r="L24">
        <v>2</v>
      </c>
    </row>
    <row r="25" spans="2:12" x14ac:dyDescent="0.45">
      <c r="B25" s="18" t="s">
        <v>238</v>
      </c>
      <c r="C25" s="18" t="s">
        <v>226</v>
      </c>
      <c r="D25" s="18">
        <v>258</v>
      </c>
      <c r="H25" t="s">
        <v>235</v>
      </c>
      <c r="I25" t="s">
        <v>276</v>
      </c>
      <c r="K25">
        <f>AJ10</f>
        <v>84</v>
      </c>
      <c r="L25">
        <v>2</v>
      </c>
    </row>
    <row r="26" spans="2:12" x14ac:dyDescent="0.45">
      <c r="B26" s="18" t="s">
        <v>239</v>
      </c>
      <c r="C26" s="18" t="s">
        <v>240</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193</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topLeftCell="A15" workbookViewId="0">
      <selection activeCell="B24" sqref="B24"/>
    </sheetView>
  </sheetViews>
  <sheetFormatPr defaultRowHeight="14.25" x14ac:dyDescent="0.45"/>
  <cols>
    <col min="1" max="1" width="29.33203125" customWidth="1"/>
    <col min="2" max="5" width="51" customWidth="1"/>
  </cols>
  <sheetData>
    <row r="1" spans="1:5" ht="23.25" x14ac:dyDescent="0.45">
      <c r="A1" s="10" t="s">
        <v>87</v>
      </c>
    </row>
    <row r="3" spans="1:5" x14ac:dyDescent="0.45">
      <c r="A3" s="11" t="s">
        <v>88</v>
      </c>
      <c r="B3" s="11" t="s">
        <v>89</v>
      </c>
      <c r="C3" s="11" t="s">
        <v>90</v>
      </c>
      <c r="D3" s="11" t="s">
        <v>91</v>
      </c>
      <c r="E3" s="11" t="s">
        <v>92</v>
      </c>
    </row>
    <row r="4" spans="1:5" ht="85.5" x14ac:dyDescent="0.45">
      <c r="A4" s="12" t="s">
        <v>93</v>
      </c>
      <c r="B4" s="13" t="s">
        <v>94</v>
      </c>
      <c r="C4" s="14" t="s">
        <v>95</v>
      </c>
      <c r="D4" s="14" t="s">
        <v>96</v>
      </c>
      <c r="E4" s="14" t="s">
        <v>97</v>
      </c>
    </row>
    <row r="5" spans="1:5" ht="142.5" x14ac:dyDescent="0.45">
      <c r="A5" s="12" t="s">
        <v>98</v>
      </c>
      <c r="B5" s="14" t="s">
        <v>99</v>
      </c>
      <c r="C5" s="14" t="s">
        <v>100</v>
      </c>
      <c r="D5" s="14" t="s">
        <v>101</v>
      </c>
      <c r="E5" s="14" t="s">
        <v>102</v>
      </c>
    </row>
    <row r="6" spans="1:5" ht="114" x14ac:dyDescent="0.45">
      <c r="A6" s="12" t="s">
        <v>103</v>
      </c>
      <c r="B6" s="13" t="s">
        <v>104</v>
      </c>
      <c r="C6" s="14" t="s">
        <v>105</v>
      </c>
      <c r="D6" s="14" t="s">
        <v>106</v>
      </c>
      <c r="E6" s="14" t="s">
        <v>107</v>
      </c>
    </row>
    <row r="7" spans="1:5" ht="185.25" x14ac:dyDescent="0.45">
      <c r="A7" s="12" t="s">
        <v>108</v>
      </c>
      <c r="B7" s="12" t="s">
        <v>109</v>
      </c>
      <c r="C7" s="14" t="s">
        <v>110</v>
      </c>
      <c r="D7" s="12" t="s">
        <v>111</v>
      </c>
      <c r="E7" s="14" t="s">
        <v>112</v>
      </c>
    </row>
    <row r="8" spans="1:5" ht="128.25" x14ac:dyDescent="0.45">
      <c r="A8" s="12" t="s">
        <v>113</v>
      </c>
      <c r="B8" s="13" t="s">
        <v>114</v>
      </c>
      <c r="C8" s="14" t="s">
        <v>115</v>
      </c>
      <c r="D8" s="14" t="s">
        <v>116</v>
      </c>
      <c r="E8" s="14" t="s">
        <v>117</v>
      </c>
    </row>
    <row r="9" spans="1:5" ht="128.25" x14ac:dyDescent="0.45">
      <c r="A9" s="12" t="s">
        <v>118</v>
      </c>
      <c r="B9" s="12" t="s">
        <v>119</v>
      </c>
      <c r="C9" s="14" t="s">
        <v>120</v>
      </c>
      <c r="D9" s="14" t="s">
        <v>121</v>
      </c>
      <c r="E9" s="14" t="s">
        <v>122</v>
      </c>
    </row>
    <row r="10" spans="1:5" ht="114" x14ac:dyDescent="0.45">
      <c r="A10" s="12" t="s">
        <v>123</v>
      </c>
      <c r="B10" s="13" t="s">
        <v>124</v>
      </c>
      <c r="C10" s="14" t="s">
        <v>125</v>
      </c>
      <c r="D10" s="14" t="s">
        <v>126</v>
      </c>
      <c r="E10" s="14" t="s">
        <v>127</v>
      </c>
    </row>
    <row r="11" spans="1:5" ht="128.25" x14ac:dyDescent="0.45">
      <c r="A11" s="12" t="s">
        <v>128</v>
      </c>
      <c r="B11" s="12" t="s">
        <v>129</v>
      </c>
      <c r="C11" s="14" t="s">
        <v>130</v>
      </c>
      <c r="D11" s="14" t="s">
        <v>131</v>
      </c>
      <c r="E11" s="14" t="s">
        <v>132</v>
      </c>
    </row>
    <row r="12" spans="1:5" ht="128.25" x14ac:dyDescent="0.45">
      <c r="A12" s="12" t="s">
        <v>133</v>
      </c>
      <c r="B12" s="13" t="s">
        <v>134</v>
      </c>
      <c r="C12" s="14" t="s">
        <v>135</v>
      </c>
      <c r="D12" s="14" t="s">
        <v>136</v>
      </c>
      <c r="E12" s="14" t="s">
        <v>137</v>
      </c>
    </row>
    <row r="13" spans="1:5" ht="185.25" x14ac:dyDescent="0.45">
      <c r="A13" s="12" t="s">
        <v>138</v>
      </c>
      <c r="B13" s="13" t="s">
        <v>139</v>
      </c>
      <c r="C13" s="14" t="s">
        <v>140</v>
      </c>
      <c r="D13" s="14" t="s">
        <v>141</v>
      </c>
      <c r="E13" s="14" t="s">
        <v>142</v>
      </c>
    </row>
    <row r="14" spans="1:5" ht="228" x14ac:dyDescent="0.45">
      <c r="A14" s="12" t="s">
        <v>143</v>
      </c>
      <c r="B14" s="12" t="s">
        <v>144</v>
      </c>
      <c r="C14" s="14" t="s">
        <v>145</v>
      </c>
      <c r="D14" s="12" t="s">
        <v>146</v>
      </c>
      <c r="E14" s="14" t="s">
        <v>147</v>
      </c>
    </row>
    <row r="15" spans="1:5" ht="171" x14ac:dyDescent="0.45">
      <c r="A15" s="12" t="s">
        <v>148</v>
      </c>
      <c r="B15" s="13" t="s">
        <v>149</v>
      </c>
      <c r="C15" s="14" t="s">
        <v>150</v>
      </c>
      <c r="D15" s="14" t="s">
        <v>151</v>
      </c>
      <c r="E15" s="14" t="s">
        <v>152</v>
      </c>
    </row>
    <row r="16" spans="1:5" ht="156.75" x14ac:dyDescent="0.45">
      <c r="A16" s="12" t="s">
        <v>153</v>
      </c>
      <c r="B16" s="12" t="s">
        <v>154</v>
      </c>
      <c r="C16" s="14" t="s">
        <v>155</v>
      </c>
      <c r="D16" s="14" t="s">
        <v>156</v>
      </c>
      <c r="E16" s="14" t="s">
        <v>157</v>
      </c>
    </row>
    <row r="17" spans="1:5" ht="156.75" x14ac:dyDescent="0.45">
      <c r="A17" s="12" t="s">
        <v>158</v>
      </c>
      <c r="B17" s="12" t="s">
        <v>159</v>
      </c>
      <c r="C17" s="14" t="s">
        <v>160</v>
      </c>
      <c r="D17" s="14" t="s">
        <v>161</v>
      </c>
      <c r="E17" s="14" t="s">
        <v>162</v>
      </c>
    </row>
    <row r="18" spans="1:5" ht="171" x14ac:dyDescent="0.45">
      <c r="A18" s="12" t="s">
        <v>163</v>
      </c>
      <c r="B18" s="12" t="s">
        <v>164</v>
      </c>
      <c r="C18" s="14" t="s">
        <v>165</v>
      </c>
      <c r="D18" s="14" t="s">
        <v>166</v>
      </c>
      <c r="E18" s="14" t="s">
        <v>167</v>
      </c>
    </row>
    <row r="19" spans="1:5" ht="128.25" x14ac:dyDescent="0.45">
      <c r="A19" s="12" t="s">
        <v>168</v>
      </c>
      <c r="B19" s="13" t="s">
        <v>169</v>
      </c>
      <c r="C19" s="14" t="s">
        <v>170</v>
      </c>
      <c r="D19" s="14" t="s">
        <v>171</v>
      </c>
      <c r="E19" s="14" t="s">
        <v>172</v>
      </c>
    </row>
    <row r="20" spans="1:5" ht="142.5" x14ac:dyDescent="0.45">
      <c r="A20" s="12" t="s">
        <v>173</v>
      </c>
      <c r="B20" s="12" t="s">
        <v>174</v>
      </c>
      <c r="C20" s="14" t="s">
        <v>175</v>
      </c>
      <c r="D20" s="14" t="s">
        <v>176</v>
      </c>
      <c r="E20" s="14" t="s">
        <v>177</v>
      </c>
    </row>
    <row r="21" spans="1:5" ht="185.25" x14ac:dyDescent="0.45">
      <c r="A21" s="12" t="s">
        <v>178</v>
      </c>
      <c r="B21" s="12" t="s">
        <v>179</v>
      </c>
      <c r="C21" s="14" t="s">
        <v>180</v>
      </c>
      <c r="D21" s="14" t="s">
        <v>181</v>
      </c>
      <c r="E21" s="14" t="s">
        <v>182</v>
      </c>
    </row>
    <row r="22" spans="1:5" ht="185.25" x14ac:dyDescent="0.45">
      <c r="A22" s="12" t="s">
        <v>183</v>
      </c>
      <c r="B22" s="12" t="s">
        <v>184</v>
      </c>
      <c r="C22" s="14" t="s">
        <v>185</v>
      </c>
      <c r="D22" s="14" t="s">
        <v>186</v>
      </c>
      <c r="E22" s="14" t="s">
        <v>187</v>
      </c>
    </row>
    <row r="23" spans="1:5" ht="242.25" x14ac:dyDescent="0.45">
      <c r="A23" s="12" t="s">
        <v>188</v>
      </c>
      <c r="B23" s="12" t="s">
        <v>189</v>
      </c>
      <c r="C23" s="14" t="s">
        <v>190</v>
      </c>
      <c r="D23" s="14" t="s">
        <v>191</v>
      </c>
      <c r="E23" s="14" t="s">
        <v>192</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CB6B-18A0-47FE-98AC-84F99BF1E696}">
  <dimension ref="B3:M24"/>
  <sheetViews>
    <sheetView workbookViewId="0">
      <selection activeCell="A7" sqref="A7"/>
    </sheetView>
  </sheetViews>
  <sheetFormatPr defaultRowHeight="14.25" x14ac:dyDescent="0.45"/>
  <cols>
    <col min="2" max="2" width="15.1328125" customWidth="1"/>
    <col min="3" max="3" width="16.53125" bestFit="1" customWidth="1"/>
    <col min="4" max="4" width="4.796875" bestFit="1" customWidth="1"/>
    <col min="6" max="6" width="9.73046875" bestFit="1" customWidth="1"/>
    <col min="7" max="7" width="12.265625" bestFit="1" customWidth="1"/>
    <col min="8" max="8" width="10.86328125" bestFit="1" customWidth="1"/>
    <col min="9" max="9" width="7.1328125" bestFit="1" customWidth="1"/>
    <col min="10" max="10" width="11.19921875" bestFit="1" customWidth="1"/>
    <col min="11" max="11" width="9.1328125" bestFit="1" customWidth="1"/>
    <col min="12" max="12" width="11.06640625" bestFit="1" customWidth="1"/>
    <col min="13" max="13" width="35.19921875" bestFit="1" customWidth="1"/>
  </cols>
  <sheetData>
    <row r="3" spans="2:5" ht="17.25" thickBot="1" x14ac:dyDescent="0.55000000000000004">
      <c r="B3" s="2" t="s">
        <v>242</v>
      </c>
    </row>
    <row r="4" spans="2:5" ht="15" thickTop="1" thickBot="1" x14ac:dyDescent="0.5">
      <c r="B4" s="3" t="s">
        <v>243</v>
      </c>
      <c r="C4" s="3" t="s">
        <v>244</v>
      </c>
      <c r="D4" s="3" t="s">
        <v>245</v>
      </c>
      <c r="E4" s="3" t="s">
        <v>275</v>
      </c>
    </row>
    <row r="5" spans="2:5" x14ac:dyDescent="0.45">
      <c r="B5" t="s">
        <v>273</v>
      </c>
      <c r="C5" t="s">
        <v>270</v>
      </c>
      <c r="D5" t="s">
        <v>246</v>
      </c>
      <c r="E5" t="s">
        <v>272</v>
      </c>
    </row>
    <row r="6" spans="2:5" x14ac:dyDescent="0.45">
      <c r="B6" t="s">
        <v>274</v>
      </c>
      <c r="C6" t="s">
        <v>247</v>
      </c>
      <c r="D6" t="s">
        <v>246</v>
      </c>
      <c r="E6" t="s">
        <v>272</v>
      </c>
    </row>
    <row r="7" spans="2:5" x14ac:dyDescent="0.45">
      <c r="B7" t="s">
        <v>248</v>
      </c>
      <c r="C7" t="s">
        <v>270</v>
      </c>
      <c r="D7" t="s">
        <v>249</v>
      </c>
    </row>
    <row r="17" spans="2:13" ht="17.25" thickBot="1" x14ac:dyDescent="0.55000000000000004">
      <c r="B17" s="2" t="s">
        <v>250</v>
      </c>
    </row>
    <row r="18" spans="2:13" ht="14.65" thickTop="1" x14ac:dyDescent="0.45"/>
    <row r="20" spans="2:13" ht="17.25" thickBot="1" x14ac:dyDescent="0.55000000000000004">
      <c r="H20" s="2" t="s">
        <v>251</v>
      </c>
    </row>
    <row r="21" spans="2:13" ht="15" thickTop="1" thickBot="1" x14ac:dyDescent="0.5">
      <c r="B21" s="3" t="s">
        <v>252</v>
      </c>
      <c r="C21" s="3" t="s">
        <v>232</v>
      </c>
      <c r="D21" s="3" t="s">
        <v>253</v>
      </c>
      <c r="E21" s="3" t="s">
        <v>254</v>
      </c>
      <c r="F21" s="3" t="s">
        <v>255</v>
      </c>
      <c r="G21" s="3" t="s">
        <v>256</v>
      </c>
      <c r="H21" s="3" t="s">
        <v>257</v>
      </c>
      <c r="I21" s="3" t="s">
        <v>258</v>
      </c>
      <c r="J21" s="3" t="s">
        <v>259</v>
      </c>
      <c r="K21" s="3" t="s">
        <v>260</v>
      </c>
      <c r="L21" s="3" t="s">
        <v>261</v>
      </c>
      <c r="M21" s="3" t="s">
        <v>262</v>
      </c>
    </row>
    <row r="22" spans="2:13" x14ac:dyDescent="0.45">
      <c r="B22" t="s">
        <v>263</v>
      </c>
      <c r="C22" t="s">
        <v>264</v>
      </c>
      <c r="E22" t="s">
        <v>265</v>
      </c>
      <c r="I22">
        <v>1</v>
      </c>
      <c r="K22">
        <v>0</v>
      </c>
      <c r="L22">
        <v>5</v>
      </c>
      <c r="M22" t="s">
        <v>266</v>
      </c>
    </row>
    <row r="23" spans="2:13" x14ac:dyDescent="0.45">
      <c r="G23" t="s">
        <v>267</v>
      </c>
      <c r="J23">
        <v>-1</v>
      </c>
    </row>
    <row r="24" spans="2:13" x14ac:dyDescent="0.45">
      <c r="C24" t="s">
        <v>272</v>
      </c>
      <c r="F24" t="s">
        <v>271</v>
      </c>
      <c r="I24">
        <v>0.5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veda input</vt:lpstr>
      <vt:lpstr>Thermal elec op costs</vt:lpstr>
      <vt:lpstr>uc_data</vt:lpstr>
      <vt:lpstr>dcost_data</vt:lpstr>
      <vt:lpstr>readme_dcost</vt:lpstr>
      <vt:lpstr>uc_tech_map</vt:lpstr>
      <vt:lpstr>DEF topology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2026-09-04T18:55:25Z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141872584819793</vt:r8>
  </property>
</Properties>
</file>