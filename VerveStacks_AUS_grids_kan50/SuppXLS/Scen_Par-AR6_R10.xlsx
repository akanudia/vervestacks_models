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53C049D1-F0BF-4306-947C-64D4DBA02BFC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D15" i="1"/>
  <c r="I15" i="1"/>
  <c r="H15" i="1"/>
  <c r="G15" i="1"/>
  <c r="F15" i="1"/>
  <c r="E15" i="1"/>
  <c r="J15" i="1"/>
  <c r="C15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U15" i="1"/>
  <c r="S15" i="1"/>
  <c r="R15" i="1"/>
  <c r="Q15" i="1"/>
  <c r="D20" i="1"/>
  <c r="O20" i="1" s="1"/>
  <c r="I19" i="1"/>
  <c r="F22" i="1"/>
  <c r="E19" i="1"/>
  <c r="E22" i="1"/>
  <c r="D19" i="1"/>
  <c r="O19" i="1" s="1"/>
  <c r="J21" i="1"/>
  <c r="T25" i="1"/>
  <c r="I21" i="1"/>
  <c r="H21" i="1"/>
  <c r="G21" i="1"/>
  <c r="Q25" i="1"/>
  <c r="F21" i="1"/>
  <c r="E21" i="1"/>
  <c r="D21" i="1"/>
  <c r="O21" i="1" s="1"/>
  <c r="J20" i="1"/>
  <c r="I20" i="1"/>
  <c r="T15" i="1"/>
  <c r="H20" i="1"/>
  <c r="G20" i="1"/>
  <c r="F20" i="1"/>
  <c r="E20" i="1"/>
  <c r="P15" i="1"/>
  <c r="J19" i="1"/>
  <c r="J22" i="1"/>
  <c r="T24" i="1"/>
  <c r="J50" i="1"/>
  <c r="Q24" i="1" l="1"/>
  <c r="P24" i="1"/>
  <c r="P25" i="1"/>
  <c r="S24" i="1"/>
  <c r="S25" i="1"/>
  <c r="R24" i="1"/>
  <c r="R25" i="1"/>
  <c r="U24" i="1"/>
  <c r="U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<sst xmlns="http://schemas.openxmlformats.org/spreadsheetml/2006/main" count="1685" uniqueCount="110">
  <si>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</si>
  <si>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</si>
  <si>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</si>
  <si>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</si>
  <si>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</si>
  <si>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</si>
  <si>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</si>
  <si>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</si>
  <si>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</si>
  <si>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</si>
  <si>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</si>
  <si>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</si>
  <si>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</si>
  <si>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</si>
  <si>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</si>
  <si>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</si>
  <si>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</si>
  <si>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</si>
  <si>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</si>
  <si>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</si>
  <si>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</si>
  <si>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</si>
  <si>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</si>
  <si>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</si>
  <si>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</si>
  <si>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</si>
  <si>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</si>
  <si>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</si>
  <si>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</si>
  <si>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</si>
  <si>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</si>
  <si>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</si>
  <si>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</si>
  <si>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</si>
  <si>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</si>
  <si>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</si>
  <si>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</si>
  <si>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</si>
  <si>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</si>
  <si>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</si>
  <si>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</si>
  <si>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</si>
  <si>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</si>
  <si>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</si>
  <si>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</si>
  <si>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</si>
  <si>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</si>
  <si>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</si>
  <si>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</si>
  <si>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</si>
  <si>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</si>
  <si>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</si>
  <si>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</si>
  <si>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</si>
  <si>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</si>
  <si>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</si>
  <si>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</si>
  <si>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</si>
  <si>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</si>
  <si>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</si>
  <si>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</si>
  <si>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</si>
  <si>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</si>
  <si>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</si>
  <si>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</si>
  <si>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</si>
  <si>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</si>
  <si>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</si>
  <si>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</si>
  <si>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</si>
  <si>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</si>
  <si>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</si>
  <si>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</si>
  <si>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</si>
  <si>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</si>
  <si>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</si>
  <si>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</si>
  <si>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</si>
  <si>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</si>
  <si>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</si>
  <si>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</si>
  <si>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</si>
  <si>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</si>
  <si>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</si>
  <si>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</si>
  <si>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</si>
  <si>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</si>
  <si>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</si>
  <si>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</si>
  <si>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</si>
  <si>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</si>
  <si>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</si>
  <si>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</si>
  <si>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</si>
  <si>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</si>
  <si>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</si>
  <si>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</si>
  <si>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</si>
  <si>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</si>
  <si>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</si>
  <si>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</si>
  <si>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</si>
  <si>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</si>
  <si>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</si>
  <si>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</si>
  <si>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</si>
  <si>
    <t>CAGR</t>
  </si>
  <si>
    <t>Slower Growth</t>
  </si>
  <si>
    <t>Step Change</t>
  </si>
  <si>
    <t>Accelerated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</si>
</sst>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276.2364</c:v>
                </c:pt>
                <c:pt idx="2">
                  <c:v>301.15183999999999</c:v>
                </c:pt>
                <c:pt idx="3">
                  <c:v>327.96302000000003</c:v>
                </c:pt>
                <c:pt idx="4">
                  <c:v>357.48239999999998</c:v>
                </c:pt>
                <c:pt idx="5">
                  <c:v>389.43915999999996</c:v>
                </c:pt>
                <c:pt idx="6">
                  <c:v>424.37493999999998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/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N13" sqref="N13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C9">
        <v>2022</v>
      </c>
      <c r="D9">
        <v>2025</v>
      </c>
      <c r="E9">
        <v>2030</v>
      </c>
      <c r="F9">
        <v>2035</v>
      </c>
      <c r="G9">
        <v>2040</v>
      </c>
      <c r="H9">
        <v>2045</v>
      </c>
      <c r="I9">
        <v>2050</v>
      </c>
      <c r="J9" t="s">
        <v>106</v>
      </c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A10" t="s">
        <v>94</v>
      </c>
      <c r="B10" t="s">
        <v>107</v>
      </c>
      <c r="C10">
        <v>1</v>
      </c>
      <c r="D10">
        <v>1.02</v>
      </c>
      <c r="E10">
        <v>1.1120000000000001</v>
      </c>
      <c r="F10">
        <v>1.2110000000000001</v>
      </c>
      <c r="G10">
        <v>1.32</v>
      </c>
      <c r="H10">
        <v>1.4379999999999999</v>
      </c>
      <c r="I10">
        <v>1.5669999999999999</v>
      </c>
      <c r="J10">
        <v>1.7299999999999999E-2</v>
      </c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B11" t="s">
        <v>108</v>
      </c>
      <c r="C11">
        <v>1</v>
      </c>
      <c r="D11">
        <v>1.02</v>
      </c>
      <c r="E11">
        <v>1.159</v>
      </c>
      <c r="F11">
        <v>1.3180000000000001</v>
      </c>
      <c r="G11">
        <v>1.498</v>
      </c>
      <c r="H11">
        <v>1.7030000000000001</v>
      </c>
      <c r="I11">
        <v>1.9359999999999999</v>
      </c>
      <c r="J11">
        <v>2.5999999999999999E-2</v>
      </c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A12" t="s">
        <v>81</v>
      </c>
      <c r="B12" t="s">
        <v>109</v>
      </c>
      <c r="C12">
        <v>1</v>
      </c>
      <c r="D12">
        <v>1.02</v>
      </c>
      <c r="E12">
        <v>1.1990000000000001</v>
      </c>
      <c r="F12">
        <v>1.411</v>
      </c>
      <c r="G12">
        <v>1.659</v>
      </c>
      <c r="H12">
        <v>1.9510000000000001</v>
      </c>
      <c r="I12">
        <v>2.294</v>
      </c>
      <c r="J12">
        <v>3.2899999999999999E-2</v>
      </c>
      <c r="N12" s="17">
        <f>3.27*0.8*8.76</f>
        <v>22.916160000000001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/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controller!$D$5</f>
        <v>base</v>
      </c>
      <c r="D15" s="11">
        <f>SUMIF($A$10:$A$12,$C$15,C$10:C$12)</f>
        <v>1</v>
      </c>
      <c r="E15" s="11">
        <f t="shared" ref="E15:J15" si="0">SUMIF($A$10:$A$12,$C$15,D$10:D$12)</f>
        <v>1.02</v>
      </c>
      <c r="F15" s="11">
        <f t="shared" si="0"/>
        <v>1.1120000000000001</v>
      </c>
      <c r="G15" s="11">
        <f t="shared" si="0"/>
        <v>1.2110000000000001</v>
      </c>
      <c r="H15" s="11">
        <f t="shared" si="0"/>
        <v>1.32</v>
      </c>
      <c r="I15" s="11">
        <f t="shared" si="0"/>
        <v>1.4379999999999999</v>
      </c>
      <c r="J15" s="11">
        <f>SUMIF($A$10:$A$12,$C$15,I$10:I$12)</f>
        <v>1.5669999999999999</v>
      </c>
      <c r="O15" s="8">
        <f>N11</f>
        <v>270.82</v>
      </c>
      <c r="P15" s="8">
        <f t="shared" ref="P15:U15" si="1">$N$11*E15</f>
        <v>276.2364</v>
      </c>
      <c r="Q15" s="8">
        <f t="shared" si="1"/>
        <v>301.15183999999999</v>
      </c>
      <c r="R15" s="8">
        <f t="shared" si="1"/>
        <v>327.96302000000003</v>
      </c>
      <c r="S15" s="8">
        <f t="shared" si="1"/>
        <v>357.48239999999998</v>
      </c>
      <c r="T15" s="8">
        <f t="shared" si="1"/>
        <v>389.43915999999996</v>
      </c>
      <c r="U15" s="8">
        <f t="shared" si="1"/>
        <v>424.37493999999998</v>
      </c>
    </row>
    <row r="16" spans="1:34" ht="14.65" thickTop="1" x14ac:dyDescent="0.45">
      <c r="B16" t="s">
        <v>93</v>
      </c>
      <c r="D16" s="11">
        <v>1</v>
      </c>
      <c r="E16" s="11">
        <v>1</v>
      </c>
      <c r="F16" s="11">
        <v>1</v>
      </c>
      <c r="G16" s="11">
        <v>1</v>
      </c>
      <c r="H16" s="11">
        <v>1</v>
      </c>
      <c r="I16" s="11">
        <v>1</v>
      </c>
      <c r="J16" s="11">
        <v>1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2">P18</f>
        <v>2025</v>
      </c>
      <c r="F18" s="7">
        <f t="shared" si="2"/>
        <v>2030</v>
      </c>
      <c r="G18" s="7">
        <f t="shared" si="2"/>
        <v>2035</v>
      </c>
      <c r="H18" s="7">
        <f t="shared" si="2"/>
        <v>2040</v>
      </c>
      <c r="I18" s="7">
        <f t="shared" si="2"/>
        <v>2045</v>
      </c>
      <c r="J18" s="7">
        <f t="shared" si="2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3">D19*O$15</f>
        <v>0</v>
      </c>
      <c r="P19" s="6">
        <f t="shared" si="3"/>
        <v>0</v>
      </c>
      <c r="Q19" s="6">
        <f t="shared" si="3"/>
        <v>0</v>
      </c>
      <c r="R19" s="6">
        <f t="shared" si="3"/>
        <v>0</v>
      </c>
      <c r="S19" s="6">
        <f t="shared" si="3"/>
        <v>0</v>
      </c>
      <c r="T19" s="6">
        <f t="shared" si="3"/>
        <v>0</v>
      </c>
      <c r="U19" s="6">
        <f t="shared" si="3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</v>
      </c>
      <c r="E20" s="11">
        <f>SUMIFS(ar6_r10!$F$2:$F$99999,ar6_r10!$A$2:$A$99999,$C$15,ar6_r10!$C$2:$C$99999,E$18,ar6_r10!$M$2:$M$99999,$B20,ar6_r10!$B$2:$B$99999,$A$2)</f>
        <v>0</v>
      </c>
      <c r="F20" s="11">
        <f>SUMIFS(ar6_r10!$F$2:$F$99999,ar6_r10!$A$2:$A$99999,$C$15,ar6_r10!$C$2:$C$99999,F$18,ar6_r10!$M$2:$M$99999,$B20,ar6_r10!$B$2:$B$99999,$A$2)</f>
        <v>0</v>
      </c>
      <c r="G20" s="11">
        <f>SUMIFS(ar6_r10!$F$2:$F$99999,ar6_r10!$A$2:$A$99999,$C$15,ar6_r10!$C$2:$C$99999,G$18,ar6_r10!$M$2:$M$99999,$B20,ar6_r10!$B$2:$B$99999,$A$2)</f>
        <v>0</v>
      </c>
      <c r="H20" s="11">
        <f>SUMIFS(ar6_r10!$F$2:$F$99999,ar6_r10!$A$2:$A$99999,$C$15,ar6_r10!$C$2:$C$99999,H$18,ar6_r10!$M$2:$M$99999,$B20,ar6_r10!$B$2:$B$99999,$A$2)</f>
        <v>0</v>
      </c>
      <c r="I20" s="11">
        <f>SUMIFS(ar6_r10!$F$2:$F$99999,ar6_r10!$A$2:$A$99999,$C$15,ar6_r10!$C$2:$C$99999,I$18,ar6_r10!$M$2:$M$99999,$B20,ar6_r10!$B$2:$B$99999,$A$2)</f>
        <v>0</v>
      </c>
      <c r="J20" s="11">
        <f>SUMIFS(ar6_r10!$F$2:$F$99999,ar6_r10!$A$2:$A$99999,$C$15,ar6_r10!$C$2:$C$99999,J$18,ar6_r10!$M$2:$M$99999,$B20,ar6_r10!$B$2:$B$99999,$A$2)</f>
        <v>0</v>
      </c>
      <c r="N20" s="10" t="s">
        <v>18</v>
      </c>
      <c r="O20" s="6">
        <f t="shared" si="3"/>
        <v>0</v>
      </c>
      <c r="P20" s="6">
        <f t="shared" si="3"/>
        <v>0</v>
      </c>
      <c r="Q20" s="6">
        <f t="shared" si="3"/>
        <v>0</v>
      </c>
      <c r="R20" s="6">
        <f t="shared" si="3"/>
        <v>0</v>
      </c>
      <c r="S20" s="6">
        <f t="shared" si="3"/>
        <v>0</v>
      </c>
      <c r="T20" s="6">
        <f t="shared" si="3"/>
        <v>0</v>
      </c>
      <c r="U20" s="6">
        <f t="shared" si="3"/>
        <v>0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</v>
      </c>
      <c r="E21" s="11">
        <f>SUMIFS(ar6_r10!$F$2:$F$99999,ar6_r10!$A$2:$A$99999,$C$15,ar6_r10!$C$2:$C$99999,E$18,ar6_r10!$M$2:$M$99999,$B21,ar6_r10!$B$2:$B$99999,$A$2)</f>
        <v>0</v>
      </c>
      <c r="F21" s="11">
        <f>SUMIFS(ar6_r10!$F$2:$F$99999,ar6_r10!$A$2:$A$99999,$C$15,ar6_r10!$C$2:$C$99999,F$18,ar6_r10!$M$2:$M$99999,$B21,ar6_r10!$B$2:$B$99999,$A$2)</f>
        <v>0</v>
      </c>
      <c r="G21" s="11">
        <f>SUMIFS(ar6_r10!$F$2:$F$99999,ar6_r10!$A$2:$A$99999,$C$15,ar6_r10!$C$2:$C$99999,G$18,ar6_r10!$M$2:$M$99999,$B21,ar6_r10!$B$2:$B$99999,$A$2)</f>
        <v>0</v>
      </c>
      <c r="H21" s="11">
        <f>SUMIFS(ar6_r10!$F$2:$F$99999,ar6_r10!$A$2:$A$99999,$C$15,ar6_r10!$C$2:$C$99999,H$18,ar6_r10!$M$2:$M$99999,$B21,ar6_r10!$B$2:$B$99999,$A$2)</f>
        <v>0</v>
      </c>
      <c r="I21" s="11">
        <f>SUMIFS(ar6_r10!$F$2:$F$99999,ar6_r10!$A$2:$A$99999,$C$15,ar6_r10!$C$2:$C$99999,I$18,ar6_r10!$M$2:$M$99999,$B21,ar6_r10!$B$2:$B$99999,$A$2)</f>
        <v>0</v>
      </c>
      <c r="J21" s="11">
        <f>SUMIFS(ar6_r10!$F$2:$F$99999,ar6_r10!$A$2:$A$99999,$C$15,ar6_r10!$C$2:$C$99999,J$18,ar6_r10!$M$2:$M$99999,$B21,ar6_r10!$B$2:$B$99999,$A$2)</f>
        <v>0</v>
      </c>
      <c r="N21" s="10" t="s">
        <v>21</v>
      </c>
      <c r="O21" s="6">
        <f t="shared" si="3"/>
        <v>0</v>
      </c>
      <c r="P21" s="6">
        <f t="shared" si="3"/>
        <v>0</v>
      </c>
      <c r="Q21" s="6">
        <f t="shared" si="3"/>
        <v>0</v>
      </c>
      <c r="R21" s="6">
        <f t="shared" si="3"/>
        <v>0</v>
      </c>
      <c r="S21" s="6">
        <f t="shared" si="3"/>
        <v>0</v>
      </c>
      <c r="T21" s="6">
        <f t="shared" si="3"/>
        <v>0</v>
      </c>
      <c r="U21" s="6">
        <f t="shared" si="3"/>
        <v>0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</v>
      </c>
      <c r="E22" s="11">
        <f>SUMIFS(ar6_r10!$F$2:$F$99999,ar6_r10!$A$2:$A$99999,$C$15,ar6_r10!$C$2:$C$99999,E$18,ar6_r10!$M$2:$M$99999,$B22,ar6_r10!$B$2:$B$99999,$A$2)</f>
        <v>0</v>
      </c>
      <c r="F22" s="11">
        <f>SUMIFS(ar6_r10!$F$2:$F$99999,ar6_r10!$A$2:$A$99999,$C$15,ar6_r10!$C$2:$C$99999,F$18,ar6_r10!$M$2:$M$99999,$B22,ar6_r10!$B$2:$B$99999,$A$2)</f>
        <v>0</v>
      </c>
      <c r="G22" s="11">
        <f>SUMIFS(ar6_r10!$F$2:$F$99999,ar6_r10!$A$2:$A$99999,$C$15,ar6_r10!$C$2:$C$99999,G$18,ar6_r10!$M$2:$M$99999,$B22,ar6_r10!$B$2:$B$99999,$A$2)</f>
        <v>0</v>
      </c>
      <c r="H22" s="11">
        <f>SUMIFS(ar6_r10!$F$2:$F$99999,ar6_r10!$A$2:$A$99999,$C$15,ar6_r10!$C$2:$C$99999,H$18,ar6_r10!$M$2:$M$99999,$B22,ar6_r10!$B$2:$B$99999,$A$2)</f>
        <v>0</v>
      </c>
      <c r="I22" s="11">
        <f>SUMIFS(ar6_r10!$F$2:$F$99999,ar6_r10!$A$2:$A$99999,$C$15,ar6_r10!$C$2:$C$99999,I$18,ar6_r10!$M$2:$M$99999,$B22,ar6_r10!$B$2:$B$99999,$A$2)</f>
        <v>0</v>
      </c>
      <c r="J22" s="11">
        <f>SUMIFS(ar6_r10!$F$2:$F$99999,ar6_r10!$A$2:$A$99999,$C$15,ar6_r10!$C$2:$C$99999,J$18,ar6_r10!$M$2:$M$99999,$B22,ar6_r10!$B$2:$B$99999,$A$2)</f>
        <v>0</v>
      </c>
      <c r="N22" s="10" t="s">
        <v>23</v>
      </c>
      <c r="O22" s="6">
        <f>D22*O$15</f>
        <v>0</v>
      </c>
      <c r="P22" s="6">
        <f t="shared" ref="P22:U22" si="4">O22</f>
        <v>0</v>
      </c>
      <c r="Q22" s="6">
        <f t="shared" si="4"/>
        <v>0</v>
      </c>
      <c r="R22" s="6">
        <f t="shared" si="4"/>
        <v>0</v>
      </c>
      <c r="S22" s="6">
        <f t="shared" si="4"/>
        <v>0</v>
      </c>
      <c r="T22" s="6">
        <f t="shared" si="4"/>
        <v>0</v>
      </c>
      <c r="U22" s="6">
        <f t="shared" si="4"/>
        <v>0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5">O15-SUM(O20:O22)</f>
        <v>270.82</v>
      </c>
      <c r="P23" s="6">
        <f t="shared" si="5"/>
        <v>276.2364</v>
      </c>
      <c r="Q23" s="6">
        <f t="shared" si="5"/>
        <v>301.15183999999999</v>
      </c>
      <c r="R23" s="6">
        <f t="shared" si="5"/>
        <v>327.96302000000003</v>
      </c>
      <c r="S23" s="6">
        <f t="shared" si="5"/>
        <v>357.48239999999998</v>
      </c>
      <c r="T23" s="6">
        <f t="shared" si="5"/>
        <v>389.43915999999996</v>
      </c>
      <c r="U23" s="6">
        <f t="shared" si="5"/>
        <v>424.37493999999998</v>
      </c>
      <c r="V23" t="s">
        <v>16</v>
      </c>
    </row>
    <row r="24" spans="2:24" x14ac:dyDescent="0.45">
      <c r="N24" s="18" t="s">
        <v>101</v>
      </c>
      <c r="O24" s="19">
        <f>N12</f>
        <v>22.916160000000001</v>
      </c>
      <c r="P24" s="20">
        <f>$N$12*E16</f>
        <v>22.916160000000001</v>
      </c>
      <c r="Q24" s="20">
        <f>$N$12*F16</f>
        <v>22.916160000000001</v>
      </c>
      <c r="R24" s="20">
        <f t="shared" ref="R24:U24" si="6">$N$12*G16</f>
        <v>22.916160000000001</v>
      </c>
      <c r="S24" s="20">
        <f t="shared" si="6"/>
        <v>22.916160000000001</v>
      </c>
      <c r="T24" s="20">
        <f t="shared" si="6"/>
        <v>22.916160000000001</v>
      </c>
      <c r="U24" s="20">
        <f t="shared" si="6"/>
        <v>22.916160000000001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7">$N$13*F16</f>
        <v>0</v>
      </c>
      <c r="R25" s="20">
        <f t="shared" si="7"/>
        <v>0</v>
      </c>
      <c r="S25" s="20">
        <f t="shared" si="7"/>
        <v>0</v>
      </c>
      <c r="T25" s="20">
        <f t="shared" si="7"/>
        <v>0</v>
      </c>
      <c r="U25" s="20">
        <f t="shared" si="7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8">O18</f>
        <v>2022</v>
      </c>
      <c r="P29" s="4">
        <f t="shared" si="8"/>
        <v>2025</v>
      </c>
      <c r="Q29" s="4">
        <f t="shared" si="8"/>
        <v>2030</v>
      </c>
      <c r="R29" s="4">
        <f t="shared" si="8"/>
        <v>2035</v>
      </c>
      <c r="S29" s="4">
        <f t="shared" si="8"/>
        <v>2040</v>
      </c>
      <c r="T29" s="4">
        <f t="shared" si="8"/>
        <v>2045</v>
      </c>
      <c r="U29" s="4">
        <f t="shared" si="8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9">F18</f>
        <v>2030</v>
      </c>
      <c r="G46">
        <f t="shared" si="9"/>
        <v>2035</v>
      </c>
      <c r="H46">
        <f t="shared" si="9"/>
        <v>2040</v>
      </c>
      <c r="I46">
        <f t="shared" si="9"/>
        <v>2045</v>
      </c>
      <c r="J46">
        <f t="shared" si="9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10">AVERAGE($M47:$N47)*D39</f>
        <v>13.700000000000001</v>
      </c>
      <c r="E47">
        <f t="shared" si="10"/>
        <v>14.111000000000001</v>
      </c>
      <c r="F47">
        <f t="shared" si="10"/>
        <v>15.481</v>
      </c>
      <c r="G47">
        <f t="shared" si="10"/>
        <v>15.891999999999999</v>
      </c>
      <c r="H47">
        <f t="shared" si="10"/>
        <v>16.303000000000001</v>
      </c>
      <c r="I47">
        <f t="shared" si="10"/>
        <v>17.399000000000001</v>
      </c>
      <c r="J47">
        <f t="shared" si="10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1">B48</f>
        <v>Coal</v>
      </c>
      <c r="D48">
        <f t="shared" si="10"/>
        <v>9.1499999999999986</v>
      </c>
      <c r="E48">
        <f t="shared" si="10"/>
        <v>9.4244999999999983</v>
      </c>
      <c r="F48">
        <f t="shared" si="10"/>
        <v>9.9734999999999996</v>
      </c>
      <c r="G48">
        <f t="shared" si="10"/>
        <v>10.796999999999997</v>
      </c>
      <c r="H48">
        <f t="shared" si="10"/>
        <v>11.620499999999998</v>
      </c>
      <c r="I48">
        <f t="shared" si="10"/>
        <v>12.352499999999999</v>
      </c>
      <c r="J48">
        <f t="shared" si="10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1"/>
        <v>Oil</v>
      </c>
      <c r="D49">
        <f t="shared" si="10"/>
        <v>53</v>
      </c>
      <c r="E49">
        <f t="shared" si="10"/>
        <v>55.120000000000005</v>
      </c>
      <c r="F49">
        <f t="shared" si="10"/>
        <v>55.650000000000006</v>
      </c>
      <c r="G49">
        <f t="shared" si="10"/>
        <v>55.120000000000005</v>
      </c>
      <c r="H49">
        <f t="shared" si="10"/>
        <v>55.120000000000005</v>
      </c>
      <c r="I49">
        <f t="shared" si="10"/>
        <v>62.01</v>
      </c>
      <c r="J49">
        <f t="shared" si="10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1"/>
        <v>Bioenergy</v>
      </c>
      <c r="D50">
        <f t="shared" si="10"/>
        <v>24</v>
      </c>
      <c r="J50" t="e">
        <f>VLOOKUP($C$15,$AF$9:$AH$16,3,FALSE)*D50</f>
        <v>#N/A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2026-09-07T17:54:27Z</dcterms:modified>
</cp:coreProperties>
</file>