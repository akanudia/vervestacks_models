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03B37BF9-4CCD-4902-9C66-4EF62108041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<sst xmlns="http://schemas.openxmlformats.org/spreadsheetml/2006/main" count="58627" uniqueCount="92">
  <si>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</si>
  <si>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</si>
  <si>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</si>
  <si>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</si>
  <si>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</si>
  <si>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</si>
  <si>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</si>
  <si>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</si>
  <si>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</si>
  <si>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</si>
  <si>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</si>
  <si>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</si>
  <si>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</si>
  <si>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</si>
  <si>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</si>
  <si>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</si>
  <si>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</si>
  <si>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</si>
  <si>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</si>
  <si>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</si>
  <si>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</si>
  <si>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</si>
  <si>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</si>
  <si>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</si>
  <si>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</si>
  <si>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</si>
  <si>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</si>
  <si>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</si>
  <si>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</si>
  <si>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</si>
  <si>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</si>
  <si>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</si>
  <si>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</si>
  <si>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</si>
  <si>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</si>
  <si>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</si>
  <si>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</si>
  <si>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</si>
  <si>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</si>
  <si>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</si>
  <si>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</si>
  <si>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</si>
  <si>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</si>
  <si>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</si>
  <si>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</si>
  <si>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</si>
  <si>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</si>
  <si>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</si>
  <si>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</si>
  <si>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</si>
  <si>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</si>
  <si>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</si>
  <si>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</si>
  <si>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</si>
  <si>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</si>
  <si>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</si>
  <si>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</si>
  <si>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</si>
  <si>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</si>
  <si>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</si>
  <si>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</si>
  <si>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</si>
  <si>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</si>
  <si>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</si>
  <si>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</si>
  <si>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</si>
  <si>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</si>
  <si>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</si>
  <si>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</si>
  <si>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</si>
  <si>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</si>
  <si>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</si>
  <si>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</si>
  <si>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</si>
  <si>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</si>
  <si>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</si>
  <si>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</si>
  <si>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</si>
  <si>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</si>
  <si>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</si>
  <si>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</si>
  <si>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</si>
  <si>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</si>
  <si>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</si>
  <si>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CAN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</si>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</sst>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789.75</c:v>
                </c:pt>
                <c:pt idx="1">
                  <c:v>771.66949253199505</c:v>
                </c:pt>
                <c:pt idx="2">
                  <c:v>901.30508952697676</c:v>
                </c:pt>
                <c:pt idx="3">
                  <c:v>978.31726400807668</c:v>
                </c:pt>
                <c:pt idx="4">
                  <c:v>1038.374565727351</c:v>
                </c:pt>
                <c:pt idx="5">
                  <c:v>1062.1535988953883</c:v>
                </c:pt>
                <c:pt idx="6">
                  <c:v>1035.654281854084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104.95</c:v>
                </c:pt>
                <c:pt idx="1">
                  <c:v>113.58962967886215</c:v>
                </c:pt>
                <c:pt idx="2">
                  <c:v>128.71144351742527</c:v>
                </c:pt>
                <c:pt idx="3">
                  <c:v>111.31483356660854</c:v>
                </c:pt>
                <c:pt idx="4">
                  <c:v>90.030062006896614</c:v>
                </c:pt>
                <c:pt idx="5">
                  <c:v>114.44349885447538</c:v>
                </c:pt>
                <c:pt idx="6">
                  <c:v>140.19579928688162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789.74999999999989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789.75</v>
      </c>
      <c r="S12" s="8">
        <f t="shared" ref="S12:X12" si="0">SUM(S17:S20)</f>
        <v>771.66949253199505</v>
      </c>
      <c r="T12" s="8">
        <f t="shared" si="0"/>
        <v>901.30508952697676</v>
      </c>
      <c r="U12" s="8">
        <f t="shared" si="0"/>
        <v>978.31726400807668</v>
      </c>
      <c r="V12" s="8">
        <f t="shared" si="0"/>
        <v>1038.374565727351</v>
      </c>
      <c r="W12" s="8">
        <f t="shared" si="0"/>
        <v>1062.1535988953883</v>
      </c>
      <c r="X12" s="8">
        <f t="shared" si="0"/>
        <v>1035.654281854084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8.8000000000000005E-3</v>
      </c>
      <c r="H16" s="10">
        <f>SUMIFS(ngfs_median!$J$2:$J$17119,ngfs_median!$B$2:$B$17119,Veda!$C$5,ngfs_median!$H$2:$H$17119,Veda!$Q16,ngfs_median!$I$2:$I$17119,Veda!H$15)</f>
        <v>4.0849999999999997E-2</v>
      </c>
      <c r="I16" s="10">
        <f>SUMIFS(ngfs_median!$J$2:$J$17119,ngfs_median!$B$2:$B$17119,Veda!$C$5,ngfs_median!$H$2:$H$17119,Veda!$Q16,ngfs_median!$I$2:$I$17119,Veda!I$15)</f>
        <v>6.4549999999999996E-2</v>
      </c>
      <c r="J16" s="10">
        <f>SUMIFS(ngfs_median!$J$2:$J$17119,ngfs_median!$B$2:$B$17119,Veda!$C$5,ngfs_median!$H$2:$H$17119,Veda!$Q16,ngfs_median!$I$2:$I$17119,Veda!J$15)</f>
        <v>8.3000000000000004E-2</v>
      </c>
      <c r="K16" s="10">
        <f>SUMIFS(ngfs_median!$J$2:$J$17119,ngfs_median!$B$2:$B$17119,Veda!$C$5,ngfs_median!$H$2:$H$17119,Veda!$Q16,ngfs_median!$I$2:$I$17119,Veda!K$15)</f>
        <v>9.5049999999999996E-2</v>
      </c>
      <c r="L16" s="10">
        <f>SUMIFS(ngfs_median!$J$2:$J$17119,ngfs_median!$B$2:$B$17119,Veda!$C$5,ngfs_median!$H$2:$H$17119,Veda!$Q16,ngfs_median!$I$2:$I$17119,Veda!L$15)</f>
        <v>0.10580000000000001</v>
      </c>
      <c r="M16" s="10">
        <f>SUMIFS(ngfs_median!$J$2:$J$17119,ngfs_median!$B$2:$B$17119,Veda!$C$5,ngfs_median!$H$2:$H$17119,Veda!$Q16,ngfs_median!$I$2:$I$17119,Veda!M$15)</f>
        <v>0.1138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6.583333333333333</v>
      </c>
      <c r="U16" s="6">
        <f t="shared" si="2"/>
        <v>11.708333333333336</v>
      </c>
      <c r="V16" s="6">
        <f t="shared" si="2"/>
        <v>15.055555555555555</v>
      </c>
      <c r="W16" s="6">
        <f t="shared" si="2"/>
        <v>18.041666666666668</v>
      </c>
      <c r="X16" s="6">
        <f t="shared" si="2"/>
        <v>20.263888888888889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1.67E-2</v>
      </c>
      <c r="H17" s="10">
        <f>SUMIFS(ngfs_median!$J$2:$J$17119,ngfs_median!$B$2:$B$17119,Veda!$C$5,ngfs_median!$H$2:$H$17119,Veda!$Q17,ngfs_median!$I$2:$I$17119,Veda!H$15)</f>
        <v>5.815E-2</v>
      </c>
      <c r="I17" s="10">
        <f>SUMIFS(ngfs_median!$J$2:$J$17119,ngfs_median!$B$2:$B$17119,Veda!$C$5,ngfs_median!$H$2:$H$17119,Veda!$Q17,ngfs_median!$I$2:$I$17119,Veda!I$15)</f>
        <v>0.1661</v>
      </c>
      <c r="J17" s="10">
        <f>SUMIFS(ngfs_median!$J$2:$J$17119,ngfs_median!$B$2:$B$17119,Veda!$C$5,ngfs_median!$H$2:$H$17119,Veda!$Q17,ngfs_median!$I$2:$I$17119,Veda!J$15)</f>
        <v>0.30405000000000004</v>
      </c>
      <c r="K17" s="10">
        <f>SUMIFS(ngfs_median!$J$2:$J$17119,ngfs_median!$B$2:$B$17119,Veda!$C$5,ngfs_median!$H$2:$H$17119,Veda!$Q17,ngfs_median!$I$2:$I$17119,Veda!K$15)</f>
        <v>0.41459999999999997</v>
      </c>
      <c r="L17" s="10">
        <f>SUMIFS(ngfs_median!$J$2:$J$17119,ngfs_median!$B$2:$B$17119,Veda!$C$5,ngfs_median!$H$2:$H$17119,Veda!$Q17,ngfs_median!$I$2:$I$17119,Veda!L$15)</f>
        <v>0.45684999999999998</v>
      </c>
      <c r="M17" s="10">
        <f>SUMIFS(ngfs_median!$J$2:$J$17119,ngfs_median!$B$2:$B$17119,Veda!$C$5,ngfs_median!$H$2:$H$17119,Veda!$Q17,ngfs_median!$I$2:$I$17119,Veda!M$15)</f>
        <v>0.47720000000000001</v>
      </c>
      <c r="Q17" s="12" t="s">
        <v>10</v>
      </c>
      <c r="R17" s="6">
        <f>$Q$10*G17/SUM($G$17:$G$19)</f>
        <v>7.8325414971642351</v>
      </c>
      <c r="S17" s="6">
        <f>R17</f>
        <v>7.8325414971642351</v>
      </c>
      <c r="T17" s="6">
        <f t="shared" ref="T17:X17" si="3">S17</f>
        <v>7.8325414971642351</v>
      </c>
      <c r="U17" s="6">
        <f t="shared" si="3"/>
        <v>7.8325414971642351</v>
      </c>
      <c r="V17" s="6">
        <f t="shared" si="3"/>
        <v>7.8325414971642351</v>
      </c>
      <c r="W17" s="6">
        <f t="shared" si="3"/>
        <v>7.8325414971642351</v>
      </c>
      <c r="X17" s="6">
        <f t="shared" si="3"/>
        <v>7.8325414971642351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1.0012000000000001</v>
      </c>
      <c r="H18" s="10">
        <f>SUMIFS(ngfs_median!$J$2:$J$17119,ngfs_median!$B$2:$B$17119,Veda!$C$5,ngfs_median!$H$2:$H$17119,Veda!$Q18,ngfs_median!$I$2:$I$17119,Veda!H$15)</f>
        <v>0.95009999999999994</v>
      </c>
      <c r="I18" s="10">
        <f>SUMIFS(ngfs_median!$J$2:$J$17119,ngfs_median!$B$2:$B$17119,Veda!$C$5,ngfs_median!$H$2:$H$17119,Veda!$Q18,ngfs_median!$I$2:$I$17119,Veda!I$15)</f>
        <v>1.0381</v>
      </c>
      <c r="J18" s="10">
        <f>SUMIFS(ngfs_median!$J$2:$J$17119,ngfs_median!$B$2:$B$17119,Veda!$C$5,ngfs_median!$H$2:$H$17119,Veda!$Q18,ngfs_median!$I$2:$I$17119,Veda!J$15)</f>
        <v>1.0342500000000001</v>
      </c>
      <c r="K18" s="10">
        <f>SUMIFS(ngfs_median!$J$2:$J$17119,ngfs_median!$B$2:$B$17119,Veda!$C$5,ngfs_median!$H$2:$H$17119,Veda!$Q18,ngfs_median!$I$2:$I$17119,Veda!K$15)</f>
        <v>1.0258500000000002</v>
      </c>
      <c r="L18" s="10">
        <f>SUMIFS(ngfs_median!$J$2:$J$17119,ngfs_median!$B$2:$B$17119,Veda!$C$5,ngfs_median!$H$2:$H$17119,Veda!$Q18,ngfs_median!$I$2:$I$17119,Veda!L$15)</f>
        <v>1.00665</v>
      </c>
      <c r="M18" s="10">
        <f>SUMIFS(ngfs_median!$J$2:$J$17119,ngfs_median!$B$2:$B$17119,Veda!$C$5,ngfs_median!$H$2:$H$17119,Veda!$Q18,ngfs_median!$I$2:$I$17119,Veda!M$15)</f>
        <v>0.9434499999999999</v>
      </c>
      <c r="Q18" s="12" t="s">
        <v>12</v>
      </c>
      <c r="R18" s="6">
        <f>$Q$10*G18/SUM($G$17:$G$19)</f>
        <v>469.57727826112773</v>
      </c>
      <c r="S18" s="6">
        <f t="shared" ref="S18:X19" si="4">R18*H18/G18</f>
        <v>445.61063930872695</v>
      </c>
      <c r="T18" s="6">
        <f t="shared" si="4"/>
        <v>486.88391186863436</v>
      </c>
      <c r="U18" s="6">
        <f t="shared" si="4"/>
        <v>485.07820619413843</v>
      </c>
      <c r="V18" s="6">
        <f t="shared" si="4"/>
        <v>481.13848472251095</v>
      </c>
      <c r="W18" s="6">
        <f t="shared" si="4"/>
        <v>472.13340707307657</v>
      </c>
      <c r="X18" s="6">
        <f t="shared" si="4"/>
        <v>442.49169314368851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0.66595000000000004</v>
      </c>
      <c r="H19" s="10">
        <f>SUMIFS(ngfs_median!$J$2:$J$17119,ngfs_median!$B$2:$B$17119,Veda!$C$5,ngfs_median!$H$2:$H$17119,Veda!$Q19,ngfs_median!$I$2:$I$17119,Veda!H$15)</f>
        <v>0.63705000000000001</v>
      </c>
      <c r="I19" s="10">
        <f>SUMIFS(ngfs_median!$J$2:$J$17119,ngfs_median!$B$2:$B$17119,Veda!$C$5,ngfs_median!$H$2:$H$17119,Veda!$Q19,ngfs_median!$I$2:$I$17119,Veda!I$15)</f>
        <v>0.71750000000000003</v>
      </c>
      <c r="J19" s="10">
        <f>SUMIFS(ngfs_median!$J$2:$J$17119,ngfs_median!$B$2:$B$17119,Veda!$C$5,ngfs_median!$H$2:$H$17119,Veda!$Q19,ngfs_median!$I$2:$I$17119,Veda!J$15)</f>
        <v>0.74760000000000004</v>
      </c>
      <c r="K19" s="10">
        <f>SUMIFS(ngfs_median!$J$2:$J$17119,ngfs_median!$B$2:$B$17119,Veda!$C$5,ngfs_median!$H$2:$H$17119,Veda!$Q19,ngfs_median!$I$2:$I$17119,Veda!K$15)</f>
        <v>0.77349999999999997</v>
      </c>
      <c r="L19" s="10">
        <f>SUMIFS(ngfs_median!$J$2:$J$17119,ngfs_median!$B$2:$B$17119,Veda!$C$5,ngfs_median!$H$2:$H$17119,Veda!$Q19,ngfs_median!$I$2:$I$17119,Veda!L$15)</f>
        <v>0.80115000000000003</v>
      </c>
      <c r="M19" s="10">
        <f>SUMIFS(ngfs_median!$J$2:$J$17119,ngfs_median!$B$2:$B$17119,Veda!$C$5,ngfs_median!$H$2:$H$17119,Veda!$Q19,ngfs_median!$I$2:$I$17119,Veda!M$15)</f>
        <v>0.78749999999999998</v>
      </c>
      <c r="Q19" s="12" t="s">
        <v>13</v>
      </c>
      <c r="R19" s="6">
        <f>$Q$10*G19/SUM($G$17:$G$19)</f>
        <v>312.34018024170797</v>
      </c>
      <c r="S19" s="6">
        <f t="shared" si="4"/>
        <v>298.78566232146562</v>
      </c>
      <c r="T19" s="6">
        <f t="shared" si="4"/>
        <v>336.51787570151731</v>
      </c>
      <c r="U19" s="6">
        <f t="shared" si="4"/>
        <v>350.63521097484926</v>
      </c>
      <c r="V19" s="6">
        <f t="shared" si="4"/>
        <v>362.78268551236738</v>
      </c>
      <c r="W19" s="6">
        <f t="shared" si="4"/>
        <v>375.75093535647466</v>
      </c>
      <c r="X19" s="6">
        <f t="shared" si="4"/>
        <v>369.34888796507988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19.440649404638176</v>
      </c>
      <c r="T20" s="6">
        <f t="shared" si="5"/>
        <v>70.070760459660889</v>
      </c>
      <c r="U20" s="6">
        <f t="shared" si="5"/>
        <v>134.77130534192474</v>
      </c>
      <c r="V20" s="6">
        <f t="shared" si="5"/>
        <v>186.62085399530829</v>
      </c>
      <c r="W20" s="6">
        <f t="shared" si="5"/>
        <v>206.43671496867293</v>
      </c>
      <c r="X20" s="6">
        <f t="shared" si="5"/>
        <v>215.9811592481515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104.95</v>
      </c>
      <c r="D22" s="12" t="s">
        <v>79</v>
      </c>
      <c r="G22" s="8">
        <f>G35/$G$35*$B22</f>
        <v>104.95</v>
      </c>
      <c r="H22" s="8">
        <f t="shared" ref="H22:M22" si="6">H35/$G$35*$B22</f>
        <v>113.58962967886215</v>
      </c>
      <c r="I22" s="8">
        <f t="shared" si="6"/>
        <v>128.71144351742527</v>
      </c>
      <c r="J22" s="8">
        <f t="shared" si="6"/>
        <v>111.31483356660854</v>
      </c>
      <c r="K22" s="8">
        <f t="shared" si="6"/>
        <v>90.030062006896614</v>
      </c>
      <c r="L22" s="8">
        <f t="shared" si="6"/>
        <v>114.44349885447538</v>
      </c>
      <c r="M22" s="8">
        <f t="shared" si="6"/>
        <v>140.19579928688162</v>
      </c>
      <c r="Q22" t="s">
        <v>64</v>
      </c>
      <c r="T22" s="8">
        <f>I35*1000</f>
        <v>31368.800000000003</v>
      </c>
      <c r="U22" s="8">
        <f>J35*1000</f>
        <v>27128.999999999996</v>
      </c>
      <c r="V22" s="8">
        <f>K35*1000</f>
        <v>21941.600000000002</v>
      </c>
      <c r="W22" s="8">
        <f>L35*1000</f>
        <v>27891.500000000004</v>
      </c>
      <c r="X22" s="8">
        <f>M35*1000</f>
        <v>34167.700000000004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14.1</v>
      </c>
      <c r="S26" s="3">
        <f>AVERAGEIFS(historical_data_long!$D$3:$D$9999,historical_data_long!$B$3:$B$9999,"&gt;2017",historical_data_long!$A$3:$A$9999,$O26)</f>
        <v>14.183333333333332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65.400000000000006</v>
      </c>
      <c r="S27" s="3">
        <f>AVERAGEIFS(historical_data_long!$D$3:$D$9999,historical_data_long!$B$3:$B$9999,"&gt;2017",historical_data_long!$A$3:$A$9999,$O27)</f>
        <v>60.733333333333327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25.5778</v>
      </c>
      <c r="H35" s="11">
        <f>SUMIFS(ngfs_median!$J$2:$J$17119,ngfs_median!$B$2:$B$17119,Veda!$C$5,ngfs_median!$D$2:$D$17119,Veda!$D22,ngfs_median!$I$2:$I$17119,Veda!H$15)</f>
        <v>27.683399999999999</v>
      </c>
      <c r="I35" s="11">
        <f>SUMIFS(ngfs_median!$J$2:$J$17119,ngfs_median!$B$2:$B$17119,Veda!$C$5,ngfs_median!$D$2:$D$17119,Veda!$D22,ngfs_median!$I$2:$I$17119,Veda!I$15)</f>
        <v>31.368800000000004</v>
      </c>
      <c r="J35" s="11">
        <f>SUMIFS(ngfs_median!$J$2:$J$17119,ngfs_median!$B$2:$B$17119,Veda!$C$5,ngfs_median!$D$2:$D$17119,Veda!$D22,ngfs_median!$I$2:$I$17119,Veda!J$15)</f>
        <v>27.128999999999998</v>
      </c>
      <c r="K35" s="11">
        <f>SUMIFS(ngfs_median!$J$2:$J$17119,ngfs_median!$B$2:$B$17119,Veda!$C$5,ngfs_median!$D$2:$D$17119,Veda!$D22,ngfs_median!$I$2:$I$17119,Veda!K$15)</f>
        <v>21.941600000000001</v>
      </c>
      <c r="L35" s="11">
        <f>SUMIFS(ngfs_median!$J$2:$J$17119,ngfs_median!$B$2:$B$17119,Veda!$C$5,ngfs_median!$D$2:$D$17119,Veda!$D22,ngfs_median!$I$2:$I$17119,Veda!L$15)</f>
        <v>27.891500000000004</v>
      </c>
      <c r="M35" s="11">
        <f>SUMIFS(ngfs_median!$J$2:$J$17119,ngfs_median!$B$2:$B$17119,Veda!$C$5,ngfs_median!$D$2:$D$17119,Veda!$D22,ngfs_median!$I$2:$I$17119,Veda!M$15)</f>
        <v>34.167700000000004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8.92</v>
      </c>
    </row>
    <row r="3" spans="1:4" x14ac:dyDescent="0.45">
      <c r="A3" t="s">
        <v>34</v>
      </c>
      <c r="B3">
        <v>2000</v>
      </c>
      <c r="C3" t="s">
        <v>74</v>
      </c>
      <c r="D3">
        <v>116.23</v>
      </c>
    </row>
    <row r="4" spans="1:4" x14ac:dyDescent="0.45">
      <c r="A4" t="s">
        <v>36</v>
      </c>
      <c r="B4">
        <v>2000</v>
      </c>
      <c r="C4" t="s">
        <v>74</v>
      </c>
      <c r="D4">
        <v>35.83</v>
      </c>
    </row>
    <row r="5" spans="1:4" x14ac:dyDescent="0.45">
      <c r="A5" t="s">
        <v>56</v>
      </c>
      <c r="B5">
        <v>2000</v>
      </c>
      <c r="C5" t="s">
        <v>74</v>
      </c>
      <c r="D5">
        <v>356.76</v>
      </c>
    </row>
    <row r="6" spans="1:4" x14ac:dyDescent="0.45">
      <c r="A6" t="s">
        <v>57</v>
      </c>
      <c r="B6">
        <v>2000</v>
      </c>
      <c r="C6" t="s">
        <v>74</v>
      </c>
      <c r="D6">
        <v>72.290000000000006</v>
      </c>
    </row>
    <row r="7" spans="1:4" x14ac:dyDescent="0.45">
      <c r="A7" t="s">
        <v>38</v>
      </c>
      <c r="B7">
        <v>2000</v>
      </c>
      <c r="C7" t="s">
        <v>74</v>
      </c>
      <c r="D7">
        <v>13.51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0.26</v>
      </c>
    </row>
    <row r="10" spans="1:4" x14ac:dyDescent="0.45">
      <c r="A10" t="s">
        <v>32</v>
      </c>
      <c r="B10">
        <v>2001</v>
      </c>
      <c r="C10" t="s">
        <v>74</v>
      </c>
      <c r="D10">
        <v>9.67</v>
      </c>
    </row>
    <row r="11" spans="1:4" x14ac:dyDescent="0.45">
      <c r="A11" t="s">
        <v>34</v>
      </c>
      <c r="B11">
        <v>2001</v>
      </c>
      <c r="C11" t="s">
        <v>74</v>
      </c>
      <c r="D11">
        <v>111.69</v>
      </c>
    </row>
    <row r="12" spans="1:4" x14ac:dyDescent="0.45">
      <c r="A12" t="s">
        <v>36</v>
      </c>
      <c r="B12">
        <v>2001</v>
      </c>
      <c r="C12" t="s">
        <v>74</v>
      </c>
      <c r="D12">
        <v>42.29</v>
      </c>
    </row>
    <row r="13" spans="1:4" x14ac:dyDescent="0.45">
      <c r="A13" t="s">
        <v>56</v>
      </c>
      <c r="B13">
        <v>2001</v>
      </c>
      <c r="C13" t="s">
        <v>74</v>
      </c>
      <c r="D13">
        <v>331.52</v>
      </c>
    </row>
    <row r="14" spans="1:4" x14ac:dyDescent="0.45">
      <c r="A14" t="s">
        <v>57</v>
      </c>
      <c r="B14">
        <v>2001</v>
      </c>
      <c r="C14" t="s">
        <v>74</v>
      </c>
      <c r="D14">
        <v>76.16</v>
      </c>
    </row>
    <row r="15" spans="1:4" x14ac:dyDescent="0.45">
      <c r="A15" t="s">
        <v>38</v>
      </c>
      <c r="B15">
        <v>2001</v>
      </c>
      <c r="C15" t="s">
        <v>74</v>
      </c>
      <c r="D15">
        <v>16.079999999999998</v>
      </c>
    </row>
    <row r="16" spans="1:4" x14ac:dyDescent="0.45">
      <c r="A16" t="s">
        <v>58</v>
      </c>
      <c r="B16">
        <v>2001</v>
      </c>
      <c r="C16" t="s">
        <v>74</v>
      </c>
      <c r="D16">
        <v>0.02</v>
      </c>
    </row>
    <row r="17" spans="1:4" x14ac:dyDescent="0.45">
      <c r="A17" t="s">
        <v>91</v>
      </c>
      <c r="B17">
        <v>2001</v>
      </c>
      <c r="C17" t="s">
        <v>74</v>
      </c>
      <c r="D17">
        <v>0.33</v>
      </c>
    </row>
    <row r="18" spans="1:4" x14ac:dyDescent="0.45">
      <c r="A18" t="s">
        <v>32</v>
      </c>
      <c r="B18">
        <v>2002</v>
      </c>
      <c r="C18" t="s">
        <v>74</v>
      </c>
      <c r="D18">
        <v>10.050000000000001</v>
      </c>
    </row>
    <row r="19" spans="1:4" x14ac:dyDescent="0.45">
      <c r="A19" t="s">
        <v>34</v>
      </c>
      <c r="B19">
        <v>2002</v>
      </c>
      <c r="C19" t="s">
        <v>74</v>
      </c>
      <c r="D19">
        <v>110.7</v>
      </c>
    </row>
    <row r="20" spans="1:4" x14ac:dyDescent="0.45">
      <c r="A20" t="s">
        <v>36</v>
      </c>
      <c r="B20">
        <v>2002</v>
      </c>
      <c r="C20" t="s">
        <v>74</v>
      </c>
      <c r="D20">
        <v>38.83</v>
      </c>
    </row>
    <row r="21" spans="1:4" x14ac:dyDescent="0.45">
      <c r="A21" t="s">
        <v>56</v>
      </c>
      <c r="B21">
        <v>2002</v>
      </c>
      <c r="C21" t="s">
        <v>74</v>
      </c>
      <c r="D21">
        <v>349.27</v>
      </c>
    </row>
    <row r="22" spans="1:4" x14ac:dyDescent="0.45">
      <c r="A22" t="s">
        <v>57</v>
      </c>
      <c r="B22">
        <v>2002</v>
      </c>
      <c r="C22" t="s">
        <v>74</v>
      </c>
      <c r="D22">
        <v>75</v>
      </c>
    </row>
    <row r="23" spans="1:4" x14ac:dyDescent="0.45">
      <c r="A23" t="s">
        <v>38</v>
      </c>
      <c r="B23">
        <v>2002</v>
      </c>
      <c r="C23" t="s">
        <v>74</v>
      </c>
      <c r="D23">
        <v>15.51</v>
      </c>
    </row>
    <row r="24" spans="1:4" x14ac:dyDescent="0.45">
      <c r="A24" t="s">
        <v>58</v>
      </c>
      <c r="B24">
        <v>2002</v>
      </c>
      <c r="C24" t="s">
        <v>74</v>
      </c>
      <c r="D24">
        <v>0.02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9.42</v>
      </c>
    </row>
    <row r="27" spans="1:4" x14ac:dyDescent="0.45">
      <c r="A27" t="s">
        <v>34</v>
      </c>
      <c r="B27">
        <v>2003</v>
      </c>
      <c r="C27" t="s">
        <v>74</v>
      </c>
      <c r="D27">
        <v>109.56</v>
      </c>
    </row>
    <row r="28" spans="1:4" x14ac:dyDescent="0.45">
      <c r="A28" t="s">
        <v>36</v>
      </c>
      <c r="B28">
        <v>2003</v>
      </c>
      <c r="C28" t="s">
        <v>74</v>
      </c>
      <c r="D28">
        <v>38.729999999999997</v>
      </c>
    </row>
    <row r="29" spans="1:4" x14ac:dyDescent="0.45">
      <c r="A29" t="s">
        <v>56</v>
      </c>
      <c r="B29">
        <v>2003</v>
      </c>
      <c r="C29" t="s">
        <v>74</v>
      </c>
      <c r="D29">
        <v>336.14</v>
      </c>
    </row>
    <row r="30" spans="1:4" x14ac:dyDescent="0.45">
      <c r="A30" t="s">
        <v>57</v>
      </c>
      <c r="B30">
        <v>2003</v>
      </c>
      <c r="C30" t="s">
        <v>74</v>
      </c>
      <c r="D30">
        <v>74.37</v>
      </c>
    </row>
    <row r="31" spans="1:4" x14ac:dyDescent="0.45">
      <c r="A31" t="s">
        <v>38</v>
      </c>
      <c r="B31">
        <v>2003</v>
      </c>
      <c r="C31" t="s">
        <v>74</v>
      </c>
      <c r="D31">
        <v>19.34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0.69</v>
      </c>
    </row>
    <row r="34" spans="1:4" x14ac:dyDescent="0.45">
      <c r="A34" t="s">
        <v>32</v>
      </c>
      <c r="B34">
        <v>2004</v>
      </c>
      <c r="C34" t="s">
        <v>74</v>
      </c>
      <c r="D34">
        <v>9.8000000000000007</v>
      </c>
    </row>
    <row r="35" spans="1:4" x14ac:dyDescent="0.45">
      <c r="A35" t="s">
        <v>34</v>
      </c>
      <c r="B35">
        <v>2004</v>
      </c>
      <c r="C35" t="s">
        <v>74</v>
      </c>
      <c r="D35">
        <v>99.9</v>
      </c>
    </row>
    <row r="36" spans="1:4" x14ac:dyDescent="0.45">
      <c r="A36" t="s">
        <v>36</v>
      </c>
      <c r="B36">
        <v>2004</v>
      </c>
      <c r="C36" t="s">
        <v>74</v>
      </c>
      <c r="D36">
        <v>40.44</v>
      </c>
    </row>
    <row r="37" spans="1:4" x14ac:dyDescent="0.45">
      <c r="A37" t="s">
        <v>56</v>
      </c>
      <c r="B37">
        <v>2004</v>
      </c>
      <c r="C37" t="s">
        <v>74</v>
      </c>
      <c r="D37">
        <v>338.4</v>
      </c>
    </row>
    <row r="38" spans="1:4" x14ac:dyDescent="0.45">
      <c r="A38" t="s">
        <v>57</v>
      </c>
      <c r="B38">
        <v>2004</v>
      </c>
      <c r="C38" t="s">
        <v>74</v>
      </c>
      <c r="D38">
        <v>89.76</v>
      </c>
    </row>
    <row r="39" spans="1:4" x14ac:dyDescent="0.45">
      <c r="A39" t="s">
        <v>38</v>
      </c>
      <c r="B39">
        <v>2004</v>
      </c>
      <c r="C39" t="s">
        <v>74</v>
      </c>
      <c r="D39">
        <v>19.25</v>
      </c>
    </row>
    <row r="40" spans="1:4" x14ac:dyDescent="0.45">
      <c r="A40" t="s">
        <v>58</v>
      </c>
      <c r="B40">
        <v>2004</v>
      </c>
      <c r="C40" t="s">
        <v>74</v>
      </c>
      <c r="D40">
        <v>0.01</v>
      </c>
    </row>
    <row r="41" spans="1:4" x14ac:dyDescent="0.45">
      <c r="A41" t="s">
        <v>91</v>
      </c>
      <c r="B41">
        <v>2004</v>
      </c>
      <c r="C41" t="s">
        <v>74</v>
      </c>
      <c r="D41">
        <v>0.94</v>
      </c>
    </row>
    <row r="42" spans="1:4" x14ac:dyDescent="0.45">
      <c r="A42" t="s">
        <v>32</v>
      </c>
      <c r="B42">
        <v>2005</v>
      </c>
      <c r="C42" t="s">
        <v>74</v>
      </c>
      <c r="D42">
        <v>9.16</v>
      </c>
    </row>
    <row r="43" spans="1:4" x14ac:dyDescent="0.45">
      <c r="A43" t="s">
        <v>34</v>
      </c>
      <c r="B43">
        <v>2005</v>
      </c>
      <c r="C43" t="s">
        <v>74</v>
      </c>
      <c r="D43">
        <v>102.86</v>
      </c>
    </row>
    <row r="44" spans="1:4" x14ac:dyDescent="0.45">
      <c r="A44" t="s">
        <v>36</v>
      </c>
      <c r="B44">
        <v>2005</v>
      </c>
      <c r="C44" t="s">
        <v>74</v>
      </c>
      <c r="D44">
        <v>36.880000000000003</v>
      </c>
    </row>
    <row r="45" spans="1:4" x14ac:dyDescent="0.45">
      <c r="A45" t="s">
        <v>56</v>
      </c>
      <c r="B45">
        <v>2005</v>
      </c>
      <c r="C45" t="s">
        <v>74</v>
      </c>
      <c r="D45">
        <v>361.96</v>
      </c>
    </row>
    <row r="46" spans="1:4" x14ac:dyDescent="0.45">
      <c r="A46" t="s">
        <v>57</v>
      </c>
      <c r="B46">
        <v>2005</v>
      </c>
      <c r="C46" t="s">
        <v>74</v>
      </c>
      <c r="D46">
        <v>91.4</v>
      </c>
    </row>
    <row r="47" spans="1:4" x14ac:dyDescent="0.45">
      <c r="A47" t="s">
        <v>38</v>
      </c>
      <c r="B47">
        <v>2005</v>
      </c>
      <c r="C47" t="s">
        <v>74</v>
      </c>
      <c r="D47">
        <v>16.649999999999999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1.57</v>
      </c>
    </row>
    <row r="50" spans="1:4" x14ac:dyDescent="0.45">
      <c r="A50" t="s">
        <v>32</v>
      </c>
      <c r="B50">
        <v>2006</v>
      </c>
      <c r="C50" t="s">
        <v>74</v>
      </c>
      <c r="D50">
        <v>8.94</v>
      </c>
    </row>
    <row r="51" spans="1:4" x14ac:dyDescent="0.45">
      <c r="A51" t="s">
        <v>34</v>
      </c>
      <c r="B51">
        <v>2006</v>
      </c>
      <c r="C51" t="s">
        <v>74</v>
      </c>
      <c r="D51">
        <v>95.92</v>
      </c>
    </row>
    <row r="52" spans="1:4" x14ac:dyDescent="0.45">
      <c r="A52" t="s">
        <v>36</v>
      </c>
      <c r="B52">
        <v>2006</v>
      </c>
      <c r="C52" t="s">
        <v>74</v>
      </c>
      <c r="D52">
        <v>40.42</v>
      </c>
    </row>
    <row r="53" spans="1:4" x14ac:dyDescent="0.45">
      <c r="A53" t="s">
        <v>56</v>
      </c>
      <c r="B53">
        <v>2006</v>
      </c>
      <c r="C53" t="s">
        <v>74</v>
      </c>
      <c r="D53">
        <v>352.89</v>
      </c>
    </row>
    <row r="54" spans="1:4" x14ac:dyDescent="0.45">
      <c r="A54" t="s">
        <v>57</v>
      </c>
      <c r="B54">
        <v>2006</v>
      </c>
      <c r="C54" t="s">
        <v>74</v>
      </c>
      <c r="D54">
        <v>97.28</v>
      </c>
    </row>
    <row r="55" spans="1:4" x14ac:dyDescent="0.45">
      <c r="A55" t="s">
        <v>38</v>
      </c>
      <c r="B55">
        <v>2006</v>
      </c>
      <c r="C55" t="s">
        <v>74</v>
      </c>
      <c r="D55">
        <v>10.49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2.4700000000000002</v>
      </c>
    </row>
    <row r="58" spans="1:4" x14ac:dyDescent="0.45">
      <c r="A58" t="s">
        <v>32</v>
      </c>
      <c r="B58">
        <v>2007</v>
      </c>
      <c r="C58" t="s">
        <v>74</v>
      </c>
      <c r="D58">
        <v>8.99</v>
      </c>
    </row>
    <row r="59" spans="1:4" x14ac:dyDescent="0.45">
      <c r="A59" t="s">
        <v>34</v>
      </c>
      <c r="B59">
        <v>2007</v>
      </c>
      <c r="C59" t="s">
        <v>74</v>
      </c>
      <c r="D59">
        <v>106.47</v>
      </c>
    </row>
    <row r="60" spans="1:4" x14ac:dyDescent="0.45">
      <c r="A60" t="s">
        <v>36</v>
      </c>
      <c r="B60">
        <v>2007</v>
      </c>
      <c r="C60" t="s">
        <v>74</v>
      </c>
      <c r="D60">
        <v>43.01</v>
      </c>
    </row>
    <row r="61" spans="1:4" x14ac:dyDescent="0.45">
      <c r="A61" t="s">
        <v>56</v>
      </c>
      <c r="B61">
        <v>2007</v>
      </c>
      <c r="C61" t="s">
        <v>74</v>
      </c>
      <c r="D61">
        <v>367.62</v>
      </c>
    </row>
    <row r="62" spans="1:4" x14ac:dyDescent="0.45">
      <c r="A62" t="s">
        <v>57</v>
      </c>
      <c r="B62">
        <v>2007</v>
      </c>
      <c r="C62" t="s">
        <v>74</v>
      </c>
      <c r="D62">
        <v>92.83</v>
      </c>
    </row>
    <row r="63" spans="1:4" x14ac:dyDescent="0.45">
      <c r="A63" t="s">
        <v>38</v>
      </c>
      <c r="B63">
        <v>2007</v>
      </c>
      <c r="C63" t="s">
        <v>74</v>
      </c>
      <c r="D63">
        <v>12.23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3.01</v>
      </c>
    </row>
    <row r="66" spans="1:4" x14ac:dyDescent="0.45">
      <c r="A66" t="s">
        <v>32</v>
      </c>
      <c r="B66">
        <v>2008</v>
      </c>
      <c r="C66" t="s">
        <v>74</v>
      </c>
      <c r="D66">
        <v>7.98</v>
      </c>
    </row>
    <row r="67" spans="1:4" x14ac:dyDescent="0.45">
      <c r="A67" t="s">
        <v>34</v>
      </c>
      <c r="B67">
        <v>2008</v>
      </c>
      <c r="C67" t="s">
        <v>74</v>
      </c>
      <c r="D67">
        <v>100.8</v>
      </c>
    </row>
    <row r="68" spans="1:4" x14ac:dyDescent="0.45">
      <c r="A68" t="s">
        <v>36</v>
      </c>
      <c r="B68">
        <v>2008</v>
      </c>
      <c r="C68" t="s">
        <v>74</v>
      </c>
      <c r="D68">
        <v>39.630000000000003</v>
      </c>
    </row>
    <row r="69" spans="1:4" x14ac:dyDescent="0.45">
      <c r="A69" t="s">
        <v>56</v>
      </c>
      <c r="B69">
        <v>2008</v>
      </c>
      <c r="C69" t="s">
        <v>74</v>
      </c>
      <c r="D69">
        <v>377.49</v>
      </c>
    </row>
    <row r="70" spans="1:4" x14ac:dyDescent="0.45">
      <c r="A70" t="s">
        <v>57</v>
      </c>
      <c r="B70">
        <v>2008</v>
      </c>
      <c r="C70" t="s">
        <v>74</v>
      </c>
      <c r="D70">
        <v>95.35</v>
      </c>
    </row>
    <row r="71" spans="1:4" x14ac:dyDescent="0.45">
      <c r="A71" t="s">
        <v>38</v>
      </c>
      <c r="B71">
        <v>2008</v>
      </c>
      <c r="C71" t="s">
        <v>74</v>
      </c>
      <c r="D71">
        <v>10.029999999999999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3.79</v>
      </c>
    </row>
    <row r="74" spans="1:4" x14ac:dyDescent="0.45">
      <c r="A74" t="s">
        <v>32</v>
      </c>
      <c r="B74">
        <v>2009</v>
      </c>
      <c r="C74" t="s">
        <v>74</v>
      </c>
      <c r="D74">
        <v>8.94</v>
      </c>
    </row>
    <row r="75" spans="1:4" x14ac:dyDescent="0.45">
      <c r="A75" t="s">
        <v>34</v>
      </c>
      <c r="B75">
        <v>2009</v>
      </c>
      <c r="C75" t="s">
        <v>74</v>
      </c>
      <c r="D75">
        <v>84.72</v>
      </c>
    </row>
    <row r="76" spans="1:4" x14ac:dyDescent="0.45">
      <c r="A76" t="s">
        <v>36</v>
      </c>
      <c r="B76">
        <v>2009</v>
      </c>
      <c r="C76" t="s">
        <v>74</v>
      </c>
      <c r="D76">
        <v>45.27</v>
      </c>
    </row>
    <row r="77" spans="1:4" x14ac:dyDescent="0.45">
      <c r="A77" t="s">
        <v>56</v>
      </c>
      <c r="B77">
        <v>2009</v>
      </c>
      <c r="C77" t="s">
        <v>74</v>
      </c>
      <c r="D77">
        <v>368.69</v>
      </c>
    </row>
    <row r="78" spans="1:4" x14ac:dyDescent="0.45">
      <c r="A78" t="s">
        <v>57</v>
      </c>
      <c r="B78">
        <v>2009</v>
      </c>
      <c r="C78" t="s">
        <v>74</v>
      </c>
      <c r="D78">
        <v>89.46</v>
      </c>
    </row>
    <row r="79" spans="1:4" x14ac:dyDescent="0.45">
      <c r="A79" t="s">
        <v>38</v>
      </c>
      <c r="B79">
        <v>2009</v>
      </c>
      <c r="C79" t="s">
        <v>74</v>
      </c>
      <c r="D79">
        <v>10.039999999999999</v>
      </c>
    </row>
    <row r="80" spans="1:4" x14ac:dyDescent="0.45">
      <c r="A80" t="s">
        <v>58</v>
      </c>
      <c r="B80">
        <v>2009</v>
      </c>
      <c r="C80" t="s">
        <v>74</v>
      </c>
      <c r="D80">
        <v>0.11</v>
      </c>
    </row>
    <row r="81" spans="1:4" x14ac:dyDescent="0.45">
      <c r="A81" t="s">
        <v>91</v>
      </c>
      <c r="B81">
        <v>2009</v>
      </c>
      <c r="C81" t="s">
        <v>74</v>
      </c>
      <c r="D81">
        <v>6.64</v>
      </c>
    </row>
    <row r="82" spans="1:4" x14ac:dyDescent="0.45">
      <c r="A82" t="s">
        <v>32</v>
      </c>
      <c r="B82">
        <v>2010</v>
      </c>
      <c r="C82" t="s">
        <v>74</v>
      </c>
      <c r="D82">
        <v>10.3</v>
      </c>
    </row>
    <row r="83" spans="1:4" x14ac:dyDescent="0.45">
      <c r="A83" t="s">
        <v>34</v>
      </c>
      <c r="B83">
        <v>2010</v>
      </c>
      <c r="C83" t="s">
        <v>74</v>
      </c>
      <c r="D83">
        <v>86.45</v>
      </c>
    </row>
    <row r="84" spans="1:4" x14ac:dyDescent="0.45">
      <c r="A84" t="s">
        <v>36</v>
      </c>
      <c r="B84">
        <v>2010</v>
      </c>
      <c r="C84" t="s">
        <v>74</v>
      </c>
      <c r="D84">
        <v>52.78</v>
      </c>
    </row>
    <row r="85" spans="1:4" x14ac:dyDescent="0.45">
      <c r="A85" t="s">
        <v>56</v>
      </c>
      <c r="B85">
        <v>2010</v>
      </c>
      <c r="C85" t="s">
        <v>74</v>
      </c>
      <c r="D85">
        <v>351.39</v>
      </c>
    </row>
    <row r="86" spans="1:4" x14ac:dyDescent="0.45">
      <c r="A86" t="s">
        <v>57</v>
      </c>
      <c r="B86">
        <v>2010</v>
      </c>
      <c r="C86" t="s">
        <v>74</v>
      </c>
      <c r="D86">
        <v>90.03</v>
      </c>
    </row>
    <row r="87" spans="1:4" x14ac:dyDescent="0.45">
      <c r="A87" t="s">
        <v>38</v>
      </c>
      <c r="B87">
        <v>2010</v>
      </c>
      <c r="C87" t="s">
        <v>74</v>
      </c>
      <c r="D87">
        <v>7.1</v>
      </c>
    </row>
    <row r="88" spans="1:4" x14ac:dyDescent="0.45">
      <c r="A88" t="s">
        <v>58</v>
      </c>
      <c r="B88">
        <v>2010</v>
      </c>
      <c r="C88" t="s">
        <v>74</v>
      </c>
      <c r="D88">
        <v>0.26</v>
      </c>
    </row>
    <row r="89" spans="1:4" x14ac:dyDescent="0.45">
      <c r="A89" t="s">
        <v>91</v>
      </c>
      <c r="B89">
        <v>2010</v>
      </c>
      <c r="C89" t="s">
        <v>74</v>
      </c>
      <c r="D89">
        <v>8.7200000000000006</v>
      </c>
    </row>
    <row r="90" spans="1:4" x14ac:dyDescent="0.45">
      <c r="A90" t="s">
        <v>32</v>
      </c>
      <c r="B90">
        <v>2011</v>
      </c>
      <c r="C90" t="s">
        <v>74</v>
      </c>
      <c r="D90">
        <v>10.210000000000001</v>
      </c>
    </row>
    <row r="91" spans="1:4" x14ac:dyDescent="0.45">
      <c r="A91" t="s">
        <v>34</v>
      </c>
      <c r="B91">
        <v>2011</v>
      </c>
      <c r="C91" t="s">
        <v>74</v>
      </c>
      <c r="D91">
        <v>79.900000000000006</v>
      </c>
    </row>
    <row r="92" spans="1:4" x14ac:dyDescent="0.45">
      <c r="A92" t="s">
        <v>36</v>
      </c>
      <c r="B92">
        <v>2011</v>
      </c>
      <c r="C92" t="s">
        <v>74</v>
      </c>
      <c r="D92">
        <v>62.53</v>
      </c>
    </row>
    <row r="93" spans="1:4" x14ac:dyDescent="0.45">
      <c r="A93" t="s">
        <v>56</v>
      </c>
      <c r="B93">
        <v>2011</v>
      </c>
      <c r="C93" t="s">
        <v>74</v>
      </c>
      <c r="D93">
        <v>375.72</v>
      </c>
    </row>
    <row r="94" spans="1:4" x14ac:dyDescent="0.45">
      <c r="A94" t="s">
        <v>57</v>
      </c>
      <c r="B94">
        <v>2011</v>
      </c>
      <c r="C94" t="s">
        <v>74</v>
      </c>
      <c r="D94">
        <v>92.94</v>
      </c>
    </row>
    <row r="95" spans="1:4" x14ac:dyDescent="0.45">
      <c r="A95" t="s">
        <v>38</v>
      </c>
      <c r="B95">
        <v>2011</v>
      </c>
      <c r="C95" t="s">
        <v>74</v>
      </c>
      <c r="D95">
        <v>6.21</v>
      </c>
    </row>
    <row r="96" spans="1:4" x14ac:dyDescent="0.45">
      <c r="A96" t="s">
        <v>58</v>
      </c>
      <c r="B96">
        <v>2011</v>
      </c>
      <c r="C96" t="s">
        <v>74</v>
      </c>
      <c r="D96">
        <v>0.56999999999999995</v>
      </c>
    </row>
    <row r="97" spans="1:4" x14ac:dyDescent="0.45">
      <c r="A97" t="s">
        <v>91</v>
      </c>
      <c r="B97">
        <v>2011</v>
      </c>
      <c r="C97" t="s">
        <v>74</v>
      </c>
      <c r="D97">
        <v>10.19</v>
      </c>
    </row>
    <row r="98" spans="1:4" x14ac:dyDescent="0.45">
      <c r="A98" t="s">
        <v>32</v>
      </c>
      <c r="B98">
        <v>2012</v>
      </c>
      <c r="C98" t="s">
        <v>74</v>
      </c>
      <c r="D98">
        <v>10.91</v>
      </c>
    </row>
    <row r="99" spans="1:4" x14ac:dyDescent="0.45">
      <c r="A99" t="s">
        <v>34</v>
      </c>
      <c r="B99">
        <v>2012</v>
      </c>
      <c r="C99" t="s">
        <v>74</v>
      </c>
      <c r="D99">
        <v>69.349999999999994</v>
      </c>
    </row>
    <row r="100" spans="1:4" x14ac:dyDescent="0.45">
      <c r="A100" t="s">
        <v>36</v>
      </c>
      <c r="B100">
        <v>2012</v>
      </c>
      <c r="C100" t="s">
        <v>74</v>
      </c>
      <c r="D100">
        <v>63.24</v>
      </c>
    </row>
    <row r="101" spans="1:4" x14ac:dyDescent="0.45">
      <c r="A101" t="s">
        <v>56</v>
      </c>
      <c r="B101">
        <v>2012</v>
      </c>
      <c r="C101" t="s">
        <v>74</v>
      </c>
      <c r="D101">
        <v>380.27</v>
      </c>
    </row>
    <row r="102" spans="1:4" x14ac:dyDescent="0.45">
      <c r="A102" t="s">
        <v>57</v>
      </c>
      <c r="B102">
        <v>2012</v>
      </c>
      <c r="C102" t="s">
        <v>74</v>
      </c>
      <c r="D102">
        <v>94.2</v>
      </c>
    </row>
    <row r="103" spans="1:4" x14ac:dyDescent="0.45">
      <c r="A103" t="s">
        <v>38</v>
      </c>
      <c r="B103">
        <v>2012</v>
      </c>
      <c r="C103" t="s">
        <v>74</v>
      </c>
      <c r="D103">
        <v>6.38</v>
      </c>
    </row>
    <row r="104" spans="1:4" x14ac:dyDescent="0.45">
      <c r="A104" t="s">
        <v>58</v>
      </c>
      <c r="B104">
        <v>2012</v>
      </c>
      <c r="C104" t="s">
        <v>74</v>
      </c>
      <c r="D104">
        <v>0.88</v>
      </c>
    </row>
    <row r="105" spans="1:4" x14ac:dyDescent="0.45">
      <c r="A105" t="s">
        <v>91</v>
      </c>
      <c r="B105">
        <v>2012</v>
      </c>
      <c r="C105" t="s">
        <v>74</v>
      </c>
      <c r="D105">
        <v>11.31</v>
      </c>
    </row>
    <row r="106" spans="1:4" x14ac:dyDescent="0.45">
      <c r="A106" t="s">
        <v>32</v>
      </c>
      <c r="B106">
        <v>2013</v>
      </c>
      <c r="C106" t="s">
        <v>74</v>
      </c>
      <c r="D106">
        <v>11.04</v>
      </c>
    </row>
    <row r="107" spans="1:4" x14ac:dyDescent="0.45">
      <c r="A107" t="s">
        <v>34</v>
      </c>
      <c r="B107">
        <v>2013</v>
      </c>
      <c r="C107" t="s">
        <v>74</v>
      </c>
      <c r="D107">
        <v>70.540000000000006</v>
      </c>
    </row>
    <row r="108" spans="1:4" x14ac:dyDescent="0.45">
      <c r="A108" t="s">
        <v>36</v>
      </c>
      <c r="B108">
        <v>2013</v>
      </c>
      <c r="C108" t="s">
        <v>74</v>
      </c>
      <c r="D108">
        <v>60.29</v>
      </c>
    </row>
    <row r="109" spans="1:4" x14ac:dyDescent="0.45">
      <c r="A109" t="s">
        <v>56</v>
      </c>
      <c r="B109">
        <v>2013</v>
      </c>
      <c r="C109" t="s">
        <v>74</v>
      </c>
      <c r="D109">
        <v>391.79</v>
      </c>
    </row>
    <row r="110" spans="1:4" x14ac:dyDescent="0.45">
      <c r="A110" t="s">
        <v>57</v>
      </c>
      <c r="B110">
        <v>2013</v>
      </c>
      <c r="C110" t="s">
        <v>74</v>
      </c>
      <c r="D110">
        <v>102.72</v>
      </c>
    </row>
    <row r="111" spans="1:4" x14ac:dyDescent="0.45">
      <c r="A111" t="s">
        <v>38</v>
      </c>
      <c r="B111">
        <v>2013</v>
      </c>
      <c r="C111" t="s">
        <v>74</v>
      </c>
      <c r="D111">
        <v>6.66</v>
      </c>
    </row>
    <row r="112" spans="1:4" x14ac:dyDescent="0.45">
      <c r="A112" t="s">
        <v>58</v>
      </c>
      <c r="B112">
        <v>2013</v>
      </c>
      <c r="C112" t="s">
        <v>74</v>
      </c>
      <c r="D112">
        <v>1.5</v>
      </c>
    </row>
    <row r="113" spans="1:4" x14ac:dyDescent="0.45">
      <c r="A113" t="s">
        <v>91</v>
      </c>
      <c r="B113">
        <v>2013</v>
      </c>
      <c r="C113" t="s">
        <v>74</v>
      </c>
      <c r="D113">
        <v>11.15</v>
      </c>
    </row>
    <row r="114" spans="1:4" x14ac:dyDescent="0.45">
      <c r="A114" t="s">
        <v>32</v>
      </c>
      <c r="B114">
        <v>2014</v>
      </c>
      <c r="C114" t="s">
        <v>74</v>
      </c>
      <c r="D114">
        <v>9.8000000000000007</v>
      </c>
    </row>
    <row r="115" spans="1:4" x14ac:dyDescent="0.45">
      <c r="A115" t="s">
        <v>34</v>
      </c>
      <c r="B115">
        <v>2014</v>
      </c>
      <c r="C115" t="s">
        <v>74</v>
      </c>
      <c r="D115">
        <v>69.38</v>
      </c>
    </row>
    <row r="116" spans="1:4" x14ac:dyDescent="0.45">
      <c r="A116" t="s">
        <v>36</v>
      </c>
      <c r="B116">
        <v>2014</v>
      </c>
      <c r="C116" t="s">
        <v>74</v>
      </c>
      <c r="D116">
        <v>65.05</v>
      </c>
    </row>
    <row r="117" spans="1:4" x14ac:dyDescent="0.45">
      <c r="A117" t="s">
        <v>56</v>
      </c>
      <c r="B117">
        <v>2014</v>
      </c>
      <c r="C117" t="s">
        <v>74</v>
      </c>
      <c r="D117">
        <v>382.5</v>
      </c>
    </row>
    <row r="118" spans="1:4" x14ac:dyDescent="0.45">
      <c r="A118" t="s">
        <v>57</v>
      </c>
      <c r="B118">
        <v>2014</v>
      </c>
      <c r="C118" t="s">
        <v>74</v>
      </c>
      <c r="D118">
        <v>106.54</v>
      </c>
    </row>
    <row r="119" spans="1:4" x14ac:dyDescent="0.45">
      <c r="A119" t="s">
        <v>38</v>
      </c>
      <c r="B119">
        <v>2014</v>
      </c>
      <c r="C119" t="s">
        <v>74</v>
      </c>
      <c r="D119">
        <v>4.76</v>
      </c>
    </row>
    <row r="120" spans="1:4" x14ac:dyDescent="0.45">
      <c r="A120" t="s">
        <v>58</v>
      </c>
      <c r="B120">
        <v>2014</v>
      </c>
      <c r="C120" t="s">
        <v>74</v>
      </c>
      <c r="D120">
        <v>2.12</v>
      </c>
    </row>
    <row r="121" spans="1:4" x14ac:dyDescent="0.45">
      <c r="A121" t="s">
        <v>91</v>
      </c>
      <c r="B121">
        <v>2014</v>
      </c>
      <c r="C121" t="s">
        <v>74</v>
      </c>
      <c r="D121">
        <v>12.82</v>
      </c>
    </row>
    <row r="122" spans="1:4" x14ac:dyDescent="0.45">
      <c r="A122" t="s">
        <v>32</v>
      </c>
      <c r="B122">
        <v>2015</v>
      </c>
      <c r="C122" t="s">
        <v>74</v>
      </c>
      <c r="D122">
        <v>9.99</v>
      </c>
    </row>
    <row r="123" spans="1:4" x14ac:dyDescent="0.45">
      <c r="A123" t="s">
        <v>34</v>
      </c>
      <c r="B123">
        <v>2015</v>
      </c>
      <c r="C123" t="s">
        <v>74</v>
      </c>
      <c r="D123">
        <v>64.959999999999994</v>
      </c>
    </row>
    <row r="124" spans="1:4" x14ac:dyDescent="0.45">
      <c r="A124" t="s">
        <v>36</v>
      </c>
      <c r="B124">
        <v>2015</v>
      </c>
      <c r="C124" t="s">
        <v>74</v>
      </c>
      <c r="D124">
        <v>67.98</v>
      </c>
    </row>
    <row r="125" spans="1:4" x14ac:dyDescent="0.45">
      <c r="A125" t="s">
        <v>56</v>
      </c>
      <c r="B125">
        <v>2015</v>
      </c>
      <c r="C125" t="s">
        <v>74</v>
      </c>
      <c r="D125">
        <v>382.19</v>
      </c>
    </row>
    <row r="126" spans="1:4" x14ac:dyDescent="0.45">
      <c r="A126" t="s">
        <v>57</v>
      </c>
      <c r="B126">
        <v>2015</v>
      </c>
      <c r="C126" t="s">
        <v>74</v>
      </c>
      <c r="D126">
        <v>101.1</v>
      </c>
    </row>
    <row r="127" spans="1:4" x14ac:dyDescent="0.45">
      <c r="A127" t="s">
        <v>38</v>
      </c>
      <c r="B127">
        <v>2015</v>
      </c>
      <c r="C127" t="s">
        <v>74</v>
      </c>
      <c r="D127">
        <v>5</v>
      </c>
    </row>
    <row r="128" spans="1:4" x14ac:dyDescent="0.45">
      <c r="A128" t="s">
        <v>58</v>
      </c>
      <c r="B128">
        <v>2015</v>
      </c>
      <c r="C128" t="s">
        <v>74</v>
      </c>
      <c r="D128">
        <v>2.89</v>
      </c>
    </row>
    <row r="129" spans="1:4" x14ac:dyDescent="0.45">
      <c r="A129" t="s">
        <v>91</v>
      </c>
      <c r="B129">
        <v>2015</v>
      </c>
      <c r="C129" t="s">
        <v>74</v>
      </c>
      <c r="D129">
        <v>26.97</v>
      </c>
    </row>
    <row r="130" spans="1:4" x14ac:dyDescent="0.45">
      <c r="A130" t="s">
        <v>32</v>
      </c>
      <c r="B130">
        <v>2016</v>
      </c>
      <c r="C130" t="s">
        <v>74</v>
      </c>
      <c r="D130">
        <v>11.36</v>
      </c>
    </row>
    <row r="131" spans="1:4" x14ac:dyDescent="0.45">
      <c r="A131" t="s">
        <v>34</v>
      </c>
      <c r="B131">
        <v>2016</v>
      </c>
      <c r="C131" t="s">
        <v>74</v>
      </c>
      <c r="D131">
        <v>65.02</v>
      </c>
    </row>
    <row r="132" spans="1:4" x14ac:dyDescent="0.45">
      <c r="A132" t="s">
        <v>36</v>
      </c>
      <c r="B132">
        <v>2016</v>
      </c>
      <c r="C132" t="s">
        <v>74</v>
      </c>
      <c r="D132">
        <v>65.819999999999993</v>
      </c>
    </row>
    <row r="133" spans="1:4" x14ac:dyDescent="0.45">
      <c r="A133" t="s">
        <v>56</v>
      </c>
      <c r="B133">
        <v>2016</v>
      </c>
      <c r="C133" t="s">
        <v>74</v>
      </c>
      <c r="D133">
        <v>385.43</v>
      </c>
    </row>
    <row r="134" spans="1:4" x14ac:dyDescent="0.45">
      <c r="A134" t="s">
        <v>57</v>
      </c>
      <c r="B134">
        <v>2016</v>
      </c>
      <c r="C134" t="s">
        <v>74</v>
      </c>
      <c r="D134">
        <v>100.72</v>
      </c>
    </row>
    <row r="135" spans="1:4" x14ac:dyDescent="0.45">
      <c r="A135" t="s">
        <v>38</v>
      </c>
      <c r="B135">
        <v>2016</v>
      </c>
      <c r="C135" t="s">
        <v>74</v>
      </c>
      <c r="D135">
        <v>4.84</v>
      </c>
    </row>
    <row r="136" spans="1:4" x14ac:dyDescent="0.45">
      <c r="A136" t="s">
        <v>58</v>
      </c>
      <c r="B136">
        <v>2016</v>
      </c>
      <c r="C136" t="s">
        <v>74</v>
      </c>
      <c r="D136">
        <v>4.03</v>
      </c>
    </row>
    <row r="137" spans="1:4" x14ac:dyDescent="0.45">
      <c r="A137" t="s">
        <v>91</v>
      </c>
      <c r="B137">
        <v>2016</v>
      </c>
      <c r="C137" t="s">
        <v>74</v>
      </c>
      <c r="D137">
        <v>30.93</v>
      </c>
    </row>
    <row r="138" spans="1:4" x14ac:dyDescent="0.45">
      <c r="A138" t="s">
        <v>32</v>
      </c>
      <c r="B138">
        <v>2017</v>
      </c>
      <c r="C138" t="s">
        <v>74</v>
      </c>
      <c r="D138">
        <v>11.15</v>
      </c>
    </row>
    <row r="139" spans="1:4" x14ac:dyDescent="0.45">
      <c r="A139" t="s">
        <v>34</v>
      </c>
      <c r="B139">
        <v>2017</v>
      </c>
      <c r="C139" t="s">
        <v>74</v>
      </c>
      <c r="D139">
        <v>62.81</v>
      </c>
    </row>
    <row r="140" spans="1:4" x14ac:dyDescent="0.45">
      <c r="A140" t="s">
        <v>36</v>
      </c>
      <c r="B140">
        <v>2017</v>
      </c>
      <c r="C140" t="s">
        <v>74</v>
      </c>
      <c r="D140">
        <v>61.46</v>
      </c>
    </row>
    <row r="141" spans="1:4" x14ac:dyDescent="0.45">
      <c r="A141" t="s">
        <v>56</v>
      </c>
      <c r="B141">
        <v>2017</v>
      </c>
      <c r="C141" t="s">
        <v>74</v>
      </c>
      <c r="D141">
        <v>394.59</v>
      </c>
    </row>
    <row r="142" spans="1:4" x14ac:dyDescent="0.45">
      <c r="A142" t="s">
        <v>57</v>
      </c>
      <c r="B142">
        <v>2017</v>
      </c>
      <c r="C142" t="s">
        <v>74</v>
      </c>
      <c r="D142">
        <v>100.6</v>
      </c>
    </row>
    <row r="143" spans="1:4" x14ac:dyDescent="0.45">
      <c r="A143" t="s">
        <v>38</v>
      </c>
      <c r="B143">
        <v>2017</v>
      </c>
      <c r="C143" t="s">
        <v>74</v>
      </c>
      <c r="D143">
        <v>3.92</v>
      </c>
    </row>
    <row r="144" spans="1:4" x14ac:dyDescent="0.45">
      <c r="A144" t="s">
        <v>58</v>
      </c>
      <c r="B144">
        <v>2017</v>
      </c>
      <c r="C144" t="s">
        <v>74</v>
      </c>
      <c r="D144">
        <v>3.57</v>
      </c>
    </row>
    <row r="145" spans="1:4" x14ac:dyDescent="0.45">
      <c r="A145" t="s">
        <v>91</v>
      </c>
      <c r="B145">
        <v>2017</v>
      </c>
      <c r="C145" t="s">
        <v>74</v>
      </c>
      <c r="D145">
        <v>31.51</v>
      </c>
    </row>
    <row r="146" spans="1:4" x14ac:dyDescent="0.45">
      <c r="A146" t="s">
        <v>32</v>
      </c>
      <c r="B146">
        <v>2018</v>
      </c>
      <c r="C146" t="s">
        <v>74</v>
      </c>
      <c r="D146">
        <v>10.54</v>
      </c>
    </row>
    <row r="147" spans="1:4" x14ac:dyDescent="0.45">
      <c r="A147" t="s">
        <v>34</v>
      </c>
      <c r="B147">
        <v>2018</v>
      </c>
      <c r="C147" t="s">
        <v>74</v>
      </c>
      <c r="D147">
        <v>53.02</v>
      </c>
    </row>
    <row r="148" spans="1:4" x14ac:dyDescent="0.45">
      <c r="A148" t="s">
        <v>36</v>
      </c>
      <c r="B148">
        <v>2018</v>
      </c>
      <c r="C148" t="s">
        <v>74</v>
      </c>
      <c r="D148">
        <v>70.739999999999995</v>
      </c>
    </row>
    <row r="149" spans="1:4" x14ac:dyDescent="0.45">
      <c r="A149" t="s">
        <v>56</v>
      </c>
      <c r="B149">
        <v>2018</v>
      </c>
      <c r="C149" t="s">
        <v>74</v>
      </c>
      <c r="D149">
        <v>385.89</v>
      </c>
    </row>
    <row r="150" spans="1:4" x14ac:dyDescent="0.45">
      <c r="A150" t="s">
        <v>57</v>
      </c>
      <c r="B150">
        <v>2018</v>
      </c>
      <c r="C150" t="s">
        <v>74</v>
      </c>
      <c r="D150">
        <v>100.03</v>
      </c>
    </row>
    <row r="151" spans="1:4" x14ac:dyDescent="0.45">
      <c r="A151" t="s">
        <v>38</v>
      </c>
      <c r="B151">
        <v>2018</v>
      </c>
      <c r="C151" t="s">
        <v>74</v>
      </c>
      <c r="D151">
        <v>4.0199999999999996</v>
      </c>
    </row>
    <row r="152" spans="1:4" x14ac:dyDescent="0.45">
      <c r="A152" t="s">
        <v>58</v>
      </c>
      <c r="B152">
        <v>2018</v>
      </c>
      <c r="C152" t="s">
        <v>74</v>
      </c>
      <c r="D152">
        <v>3.8</v>
      </c>
    </row>
    <row r="153" spans="1:4" x14ac:dyDescent="0.45">
      <c r="A153" t="s">
        <v>91</v>
      </c>
      <c r="B153">
        <v>2018</v>
      </c>
      <c r="C153" t="s">
        <v>74</v>
      </c>
      <c r="D153">
        <v>33.47</v>
      </c>
    </row>
    <row r="154" spans="1:4" x14ac:dyDescent="0.45">
      <c r="A154" t="s">
        <v>32</v>
      </c>
      <c r="B154">
        <v>2019</v>
      </c>
      <c r="C154" t="s">
        <v>74</v>
      </c>
      <c r="D154">
        <v>10.31</v>
      </c>
    </row>
    <row r="155" spans="1:4" x14ac:dyDescent="0.45">
      <c r="A155" t="s">
        <v>34</v>
      </c>
      <c r="B155">
        <v>2019</v>
      </c>
      <c r="C155" t="s">
        <v>74</v>
      </c>
      <c r="D155">
        <v>50.14</v>
      </c>
    </row>
    <row r="156" spans="1:4" x14ac:dyDescent="0.45">
      <c r="A156" t="s">
        <v>36</v>
      </c>
      <c r="B156">
        <v>2019</v>
      </c>
      <c r="C156" t="s">
        <v>74</v>
      </c>
      <c r="D156">
        <v>72.94</v>
      </c>
    </row>
    <row r="157" spans="1:4" x14ac:dyDescent="0.45">
      <c r="A157" t="s">
        <v>56</v>
      </c>
      <c r="B157">
        <v>2019</v>
      </c>
      <c r="C157" t="s">
        <v>74</v>
      </c>
      <c r="D157">
        <v>381.77</v>
      </c>
    </row>
    <row r="158" spans="1:4" x14ac:dyDescent="0.45">
      <c r="A158" t="s">
        <v>57</v>
      </c>
      <c r="B158">
        <v>2019</v>
      </c>
      <c r="C158" t="s">
        <v>74</v>
      </c>
      <c r="D158">
        <v>100.49</v>
      </c>
    </row>
    <row r="159" spans="1:4" x14ac:dyDescent="0.45">
      <c r="A159" t="s">
        <v>38</v>
      </c>
      <c r="B159">
        <v>2019</v>
      </c>
      <c r="C159" t="s">
        <v>74</v>
      </c>
      <c r="D159">
        <v>3.42</v>
      </c>
    </row>
    <row r="160" spans="1:4" x14ac:dyDescent="0.45">
      <c r="A160" t="s">
        <v>58</v>
      </c>
      <c r="B160">
        <v>2019</v>
      </c>
      <c r="C160" t="s">
        <v>74</v>
      </c>
      <c r="D160">
        <v>4.08</v>
      </c>
    </row>
    <row r="161" spans="1:4" x14ac:dyDescent="0.45">
      <c r="A161" t="s">
        <v>91</v>
      </c>
      <c r="B161">
        <v>2019</v>
      </c>
      <c r="C161" t="s">
        <v>74</v>
      </c>
      <c r="D161">
        <v>32.880000000000003</v>
      </c>
    </row>
    <row r="162" spans="1:4" x14ac:dyDescent="0.45">
      <c r="A162" t="s">
        <v>32</v>
      </c>
      <c r="B162">
        <v>2020</v>
      </c>
      <c r="C162" t="s">
        <v>74</v>
      </c>
      <c r="D162">
        <v>10.01</v>
      </c>
    </row>
    <row r="163" spans="1:4" x14ac:dyDescent="0.45">
      <c r="A163" t="s">
        <v>34</v>
      </c>
      <c r="B163">
        <v>2020</v>
      </c>
      <c r="C163" t="s">
        <v>74</v>
      </c>
      <c r="D163">
        <v>39.83</v>
      </c>
    </row>
    <row r="164" spans="1:4" x14ac:dyDescent="0.45">
      <c r="A164" t="s">
        <v>36</v>
      </c>
      <c r="B164">
        <v>2020</v>
      </c>
      <c r="C164" t="s">
        <v>74</v>
      </c>
      <c r="D164">
        <v>75.38</v>
      </c>
    </row>
    <row r="165" spans="1:4" x14ac:dyDescent="0.45">
      <c r="A165" t="s">
        <v>56</v>
      </c>
      <c r="B165">
        <v>2020</v>
      </c>
      <c r="C165" t="s">
        <v>74</v>
      </c>
      <c r="D165">
        <v>386.55</v>
      </c>
    </row>
    <row r="166" spans="1:4" x14ac:dyDescent="0.45">
      <c r="A166" t="s">
        <v>57</v>
      </c>
      <c r="B166">
        <v>2020</v>
      </c>
      <c r="C166" t="s">
        <v>74</v>
      </c>
      <c r="D166">
        <v>97.51</v>
      </c>
    </row>
    <row r="167" spans="1:4" x14ac:dyDescent="0.45">
      <c r="A167" t="s">
        <v>38</v>
      </c>
      <c r="B167">
        <v>2020</v>
      </c>
      <c r="C167" t="s">
        <v>74</v>
      </c>
      <c r="D167">
        <v>4.58</v>
      </c>
    </row>
    <row r="168" spans="1:4" x14ac:dyDescent="0.45">
      <c r="A168" t="s">
        <v>58</v>
      </c>
      <c r="B168">
        <v>2020</v>
      </c>
      <c r="C168" t="s">
        <v>74</v>
      </c>
      <c r="D168">
        <v>4.28</v>
      </c>
    </row>
    <row r="169" spans="1:4" x14ac:dyDescent="0.45">
      <c r="A169" t="s">
        <v>91</v>
      </c>
      <c r="B169">
        <v>2020</v>
      </c>
      <c r="C169" t="s">
        <v>74</v>
      </c>
      <c r="D169">
        <v>35.76</v>
      </c>
    </row>
    <row r="170" spans="1:4" x14ac:dyDescent="0.45">
      <c r="A170" t="s">
        <v>32</v>
      </c>
      <c r="B170">
        <v>2021</v>
      </c>
      <c r="C170" t="s">
        <v>74</v>
      </c>
      <c r="D170">
        <v>10.18</v>
      </c>
    </row>
    <row r="171" spans="1:4" x14ac:dyDescent="0.45">
      <c r="A171" t="s">
        <v>34</v>
      </c>
      <c r="B171">
        <v>2021</v>
      </c>
      <c r="C171" t="s">
        <v>74</v>
      </c>
      <c r="D171">
        <v>35.5</v>
      </c>
    </row>
    <row r="172" spans="1:4" x14ac:dyDescent="0.45">
      <c r="A172" t="s">
        <v>36</v>
      </c>
      <c r="B172">
        <v>2021</v>
      </c>
      <c r="C172" t="s">
        <v>74</v>
      </c>
      <c r="D172">
        <v>82.34</v>
      </c>
    </row>
    <row r="173" spans="1:4" x14ac:dyDescent="0.45">
      <c r="A173" t="s">
        <v>56</v>
      </c>
      <c r="B173">
        <v>2021</v>
      </c>
      <c r="C173" t="s">
        <v>74</v>
      </c>
      <c r="D173">
        <v>382.43</v>
      </c>
    </row>
    <row r="174" spans="1:4" x14ac:dyDescent="0.45">
      <c r="A174" t="s">
        <v>57</v>
      </c>
      <c r="B174">
        <v>2021</v>
      </c>
      <c r="C174" t="s">
        <v>74</v>
      </c>
      <c r="D174">
        <v>91.98</v>
      </c>
    </row>
    <row r="175" spans="1:4" x14ac:dyDescent="0.45">
      <c r="A175" t="s">
        <v>38</v>
      </c>
      <c r="B175">
        <v>2021</v>
      </c>
      <c r="C175" t="s">
        <v>74</v>
      </c>
      <c r="D175">
        <v>4.16</v>
      </c>
    </row>
    <row r="176" spans="1:4" x14ac:dyDescent="0.45">
      <c r="A176" t="s">
        <v>58</v>
      </c>
      <c r="B176">
        <v>2021</v>
      </c>
      <c r="C176" t="s">
        <v>74</v>
      </c>
      <c r="D176">
        <v>6.04</v>
      </c>
    </row>
    <row r="177" spans="1:4" x14ac:dyDescent="0.45">
      <c r="A177" t="s">
        <v>91</v>
      </c>
      <c r="B177">
        <v>2021</v>
      </c>
      <c r="C177" t="s">
        <v>74</v>
      </c>
      <c r="D177">
        <v>37.299999999999997</v>
      </c>
    </row>
    <row r="178" spans="1:4" x14ac:dyDescent="0.45">
      <c r="A178" t="s">
        <v>32</v>
      </c>
      <c r="B178">
        <v>2022</v>
      </c>
      <c r="C178" t="s">
        <v>74</v>
      </c>
      <c r="D178">
        <v>9.1199999999999992</v>
      </c>
    </row>
    <row r="179" spans="1:4" x14ac:dyDescent="0.45">
      <c r="A179" t="s">
        <v>34</v>
      </c>
      <c r="B179">
        <v>2022</v>
      </c>
      <c r="C179" t="s">
        <v>74</v>
      </c>
      <c r="D179">
        <v>27.11</v>
      </c>
    </row>
    <row r="180" spans="1:4" x14ac:dyDescent="0.45">
      <c r="A180" t="s">
        <v>36</v>
      </c>
      <c r="B180">
        <v>2022</v>
      </c>
      <c r="C180" t="s">
        <v>74</v>
      </c>
      <c r="D180">
        <v>87.51</v>
      </c>
    </row>
    <row r="181" spans="1:4" x14ac:dyDescent="0.45">
      <c r="A181" t="s">
        <v>56</v>
      </c>
      <c r="B181">
        <v>2022</v>
      </c>
      <c r="C181" t="s">
        <v>74</v>
      </c>
      <c r="D181">
        <v>397.73</v>
      </c>
    </row>
    <row r="182" spans="1:4" x14ac:dyDescent="0.45">
      <c r="A182" t="s">
        <v>57</v>
      </c>
      <c r="B182">
        <v>2022</v>
      </c>
      <c r="C182" t="s">
        <v>74</v>
      </c>
      <c r="D182">
        <v>86.63</v>
      </c>
    </row>
    <row r="183" spans="1:4" x14ac:dyDescent="0.45">
      <c r="A183" t="s">
        <v>38</v>
      </c>
      <c r="B183">
        <v>2022</v>
      </c>
      <c r="C183" t="s">
        <v>74</v>
      </c>
      <c r="D183">
        <v>5.42</v>
      </c>
    </row>
    <row r="184" spans="1:4" x14ac:dyDescent="0.45">
      <c r="A184" t="s">
        <v>58</v>
      </c>
      <c r="B184">
        <v>2022</v>
      </c>
      <c r="C184" t="s">
        <v>74</v>
      </c>
      <c r="D184">
        <v>7.05</v>
      </c>
    </row>
    <row r="185" spans="1:4" x14ac:dyDescent="0.45">
      <c r="A185" t="s">
        <v>91</v>
      </c>
      <c r="B185">
        <v>2022</v>
      </c>
      <c r="C185" t="s">
        <v>74</v>
      </c>
      <c r="D185">
        <v>38.380000000000003</v>
      </c>
    </row>
    <row r="186" spans="1:4" x14ac:dyDescent="0.45">
      <c r="A186" t="s">
        <v>32</v>
      </c>
      <c r="B186">
        <v>2023</v>
      </c>
      <c r="C186" t="s">
        <v>74</v>
      </c>
      <c r="D186">
        <v>10.38</v>
      </c>
    </row>
    <row r="187" spans="1:4" x14ac:dyDescent="0.45">
      <c r="A187" t="s">
        <v>34</v>
      </c>
      <c r="B187">
        <v>2023</v>
      </c>
      <c r="C187" t="s">
        <v>74</v>
      </c>
      <c r="D187">
        <v>24.52</v>
      </c>
    </row>
    <row r="188" spans="1:4" x14ac:dyDescent="0.45">
      <c r="A188" t="s">
        <v>36</v>
      </c>
      <c r="B188">
        <v>2023</v>
      </c>
      <c r="C188" t="s">
        <v>74</v>
      </c>
      <c r="D188">
        <v>93.46</v>
      </c>
    </row>
    <row r="189" spans="1:4" x14ac:dyDescent="0.45">
      <c r="A189" t="s">
        <v>56</v>
      </c>
      <c r="B189">
        <v>2023</v>
      </c>
      <c r="C189" t="s">
        <v>74</v>
      </c>
      <c r="D189">
        <v>364.2</v>
      </c>
    </row>
    <row r="190" spans="1:4" x14ac:dyDescent="0.45">
      <c r="A190" t="s">
        <v>57</v>
      </c>
      <c r="B190">
        <v>2023</v>
      </c>
      <c r="C190" t="s">
        <v>74</v>
      </c>
      <c r="D190">
        <v>89.02</v>
      </c>
    </row>
    <row r="191" spans="1:4" x14ac:dyDescent="0.45">
      <c r="A191" t="s">
        <v>38</v>
      </c>
      <c r="B191">
        <v>2023</v>
      </c>
      <c r="C191" t="s">
        <v>74</v>
      </c>
      <c r="D191">
        <v>5.03</v>
      </c>
    </row>
    <row r="192" spans="1:4" x14ac:dyDescent="0.45">
      <c r="A192" t="s">
        <v>58</v>
      </c>
      <c r="B192">
        <v>2023</v>
      </c>
      <c r="C192" t="s">
        <v>74</v>
      </c>
      <c r="D192">
        <v>7.64</v>
      </c>
    </row>
    <row r="193" spans="1:4" x14ac:dyDescent="0.45">
      <c r="A193" t="s">
        <v>91</v>
      </c>
      <c r="B193">
        <v>2023</v>
      </c>
      <c r="C193" t="s">
        <v>74</v>
      </c>
      <c r="D193">
        <v>38.94</v>
      </c>
    </row>
    <row r="194" spans="1:4" x14ac:dyDescent="0.45">
      <c r="A194" t="s">
        <v>32</v>
      </c>
      <c r="B194">
        <v>2000</v>
      </c>
      <c r="C194" t="s">
        <v>75</v>
      </c>
      <c r="D194">
        <v>1.68</v>
      </c>
    </row>
    <row r="195" spans="1:4" x14ac:dyDescent="0.45">
      <c r="A195" t="s">
        <v>34</v>
      </c>
      <c r="B195">
        <v>2000</v>
      </c>
      <c r="C195" t="s">
        <v>75</v>
      </c>
      <c r="D195">
        <v>18.559999999999999</v>
      </c>
    </row>
    <row r="196" spans="1:4" x14ac:dyDescent="0.45">
      <c r="A196" t="s">
        <v>36</v>
      </c>
      <c r="B196">
        <v>2000</v>
      </c>
      <c r="C196" t="s">
        <v>75</v>
      </c>
      <c r="D196">
        <v>5.93</v>
      </c>
    </row>
    <row r="197" spans="1:4" x14ac:dyDescent="0.45">
      <c r="A197" t="s">
        <v>56</v>
      </c>
      <c r="B197">
        <v>2000</v>
      </c>
      <c r="C197" t="s">
        <v>75</v>
      </c>
      <c r="D197">
        <v>67.23</v>
      </c>
    </row>
    <row r="198" spans="1:4" x14ac:dyDescent="0.45">
      <c r="A198" t="s">
        <v>57</v>
      </c>
      <c r="B198">
        <v>2000</v>
      </c>
      <c r="C198" t="s">
        <v>75</v>
      </c>
      <c r="D198">
        <v>10.61</v>
      </c>
    </row>
    <row r="199" spans="1:4" x14ac:dyDescent="0.45">
      <c r="A199" t="s">
        <v>38</v>
      </c>
      <c r="B199">
        <v>2000</v>
      </c>
      <c r="C199" t="s">
        <v>75</v>
      </c>
      <c r="D199">
        <v>2.23</v>
      </c>
    </row>
    <row r="200" spans="1:4" x14ac:dyDescent="0.45">
      <c r="A200" t="s">
        <v>58</v>
      </c>
      <c r="B200">
        <v>2000</v>
      </c>
      <c r="C200" t="s">
        <v>75</v>
      </c>
      <c r="D200">
        <v>0.01</v>
      </c>
    </row>
    <row r="201" spans="1:4" x14ac:dyDescent="0.45">
      <c r="A201" t="s">
        <v>91</v>
      </c>
      <c r="B201">
        <v>2000</v>
      </c>
      <c r="C201" t="s">
        <v>75</v>
      </c>
      <c r="D201">
        <v>0.09</v>
      </c>
    </row>
    <row r="202" spans="1:4" x14ac:dyDescent="0.45">
      <c r="A202" t="s">
        <v>32</v>
      </c>
      <c r="B202">
        <v>2001</v>
      </c>
      <c r="C202" t="s">
        <v>75</v>
      </c>
      <c r="D202">
        <v>1.7</v>
      </c>
    </row>
    <row r="203" spans="1:4" x14ac:dyDescent="0.45">
      <c r="A203" t="s">
        <v>34</v>
      </c>
      <c r="B203">
        <v>2001</v>
      </c>
      <c r="C203" t="s">
        <v>75</v>
      </c>
      <c r="D203">
        <v>18.559999999999999</v>
      </c>
    </row>
    <row r="204" spans="1:4" x14ac:dyDescent="0.45">
      <c r="A204" t="s">
        <v>36</v>
      </c>
      <c r="B204">
        <v>2001</v>
      </c>
      <c r="C204" t="s">
        <v>75</v>
      </c>
      <c r="D204">
        <v>7.65</v>
      </c>
    </row>
    <row r="205" spans="1:4" x14ac:dyDescent="0.45">
      <c r="A205" t="s">
        <v>56</v>
      </c>
      <c r="B205">
        <v>2001</v>
      </c>
      <c r="C205" t="s">
        <v>75</v>
      </c>
      <c r="D205">
        <v>66.88</v>
      </c>
    </row>
    <row r="206" spans="1:4" x14ac:dyDescent="0.45">
      <c r="A206" t="s">
        <v>57</v>
      </c>
      <c r="B206">
        <v>2001</v>
      </c>
      <c r="C206" t="s">
        <v>75</v>
      </c>
      <c r="D206">
        <v>10.61</v>
      </c>
    </row>
    <row r="207" spans="1:4" x14ac:dyDescent="0.45">
      <c r="A207" t="s">
        <v>38</v>
      </c>
      <c r="B207">
        <v>2001</v>
      </c>
      <c r="C207" t="s">
        <v>75</v>
      </c>
      <c r="D207">
        <v>2.23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0.13</v>
      </c>
    </row>
    <row r="210" spans="1:4" x14ac:dyDescent="0.45">
      <c r="A210" t="s">
        <v>32</v>
      </c>
      <c r="B210">
        <v>2002</v>
      </c>
      <c r="C210" t="s">
        <v>75</v>
      </c>
      <c r="D210">
        <v>1.83</v>
      </c>
    </row>
    <row r="211" spans="1:4" x14ac:dyDescent="0.45">
      <c r="A211" t="s">
        <v>34</v>
      </c>
      <c r="B211">
        <v>2002</v>
      </c>
      <c r="C211" t="s">
        <v>75</v>
      </c>
      <c r="D211">
        <v>18.559999999999999</v>
      </c>
    </row>
    <row r="212" spans="1:4" x14ac:dyDescent="0.45">
      <c r="A212" t="s">
        <v>36</v>
      </c>
      <c r="B212">
        <v>2002</v>
      </c>
      <c r="C212" t="s">
        <v>75</v>
      </c>
      <c r="D212">
        <v>8.1</v>
      </c>
    </row>
    <row r="213" spans="1:4" x14ac:dyDescent="0.45">
      <c r="A213" t="s">
        <v>56</v>
      </c>
      <c r="B213">
        <v>2002</v>
      </c>
      <c r="C213" t="s">
        <v>75</v>
      </c>
      <c r="D213">
        <v>69.03</v>
      </c>
    </row>
    <row r="214" spans="1:4" x14ac:dyDescent="0.45">
      <c r="A214" t="s">
        <v>57</v>
      </c>
      <c r="B214">
        <v>2002</v>
      </c>
      <c r="C214" t="s">
        <v>75</v>
      </c>
      <c r="D214">
        <v>10.61</v>
      </c>
    </row>
    <row r="215" spans="1:4" x14ac:dyDescent="0.45">
      <c r="A215" t="s">
        <v>38</v>
      </c>
      <c r="B215">
        <v>2002</v>
      </c>
      <c r="C215" t="s">
        <v>75</v>
      </c>
      <c r="D215">
        <v>2.23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0.16</v>
      </c>
    </row>
    <row r="218" spans="1:4" x14ac:dyDescent="0.45">
      <c r="A218" t="s">
        <v>32</v>
      </c>
      <c r="B218">
        <v>2003</v>
      </c>
      <c r="C218" t="s">
        <v>75</v>
      </c>
      <c r="D218">
        <v>2.11</v>
      </c>
    </row>
    <row r="219" spans="1:4" x14ac:dyDescent="0.45">
      <c r="A219" t="s">
        <v>34</v>
      </c>
      <c r="B219">
        <v>2003</v>
      </c>
      <c r="C219" t="s">
        <v>75</v>
      </c>
      <c r="D219">
        <v>18.559999999999999</v>
      </c>
    </row>
    <row r="220" spans="1:4" x14ac:dyDescent="0.45">
      <c r="A220" t="s">
        <v>36</v>
      </c>
      <c r="B220">
        <v>2003</v>
      </c>
      <c r="C220" t="s">
        <v>75</v>
      </c>
      <c r="D220">
        <v>9.91</v>
      </c>
    </row>
    <row r="221" spans="1:4" x14ac:dyDescent="0.45">
      <c r="A221" t="s">
        <v>56</v>
      </c>
      <c r="B221">
        <v>2003</v>
      </c>
      <c r="C221" t="s">
        <v>75</v>
      </c>
      <c r="D221">
        <v>70.2</v>
      </c>
    </row>
    <row r="222" spans="1:4" x14ac:dyDescent="0.45">
      <c r="A222" t="s">
        <v>57</v>
      </c>
      <c r="B222">
        <v>2003</v>
      </c>
      <c r="C222" t="s">
        <v>75</v>
      </c>
      <c r="D222">
        <v>10.61</v>
      </c>
    </row>
    <row r="223" spans="1:4" x14ac:dyDescent="0.45">
      <c r="A223" t="s">
        <v>38</v>
      </c>
      <c r="B223">
        <v>2003</v>
      </c>
      <c r="C223" t="s">
        <v>75</v>
      </c>
      <c r="D223">
        <v>2.23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0.33</v>
      </c>
    </row>
    <row r="226" spans="1:4" x14ac:dyDescent="0.45">
      <c r="A226" t="s">
        <v>32</v>
      </c>
      <c r="B226">
        <v>2004</v>
      </c>
      <c r="C226" t="s">
        <v>75</v>
      </c>
      <c r="D226">
        <v>2.06</v>
      </c>
    </row>
    <row r="227" spans="1:4" x14ac:dyDescent="0.45">
      <c r="A227" t="s">
        <v>34</v>
      </c>
      <c r="B227">
        <v>2004</v>
      </c>
      <c r="C227" t="s">
        <v>75</v>
      </c>
      <c r="D227">
        <v>18.559999999999999</v>
      </c>
    </row>
    <row r="228" spans="1:4" x14ac:dyDescent="0.45">
      <c r="A228" t="s">
        <v>36</v>
      </c>
      <c r="B228">
        <v>2004</v>
      </c>
      <c r="C228" t="s">
        <v>75</v>
      </c>
      <c r="D228">
        <v>11.08</v>
      </c>
    </row>
    <row r="229" spans="1:4" x14ac:dyDescent="0.45">
      <c r="A229" t="s">
        <v>56</v>
      </c>
      <c r="B229">
        <v>2004</v>
      </c>
      <c r="C229" t="s">
        <v>75</v>
      </c>
      <c r="D229">
        <v>70.680000000000007</v>
      </c>
    </row>
    <row r="230" spans="1:4" x14ac:dyDescent="0.45">
      <c r="A230" t="s">
        <v>57</v>
      </c>
      <c r="B230">
        <v>2004</v>
      </c>
      <c r="C230" t="s">
        <v>75</v>
      </c>
      <c r="D230">
        <v>12.81</v>
      </c>
    </row>
    <row r="231" spans="1:4" x14ac:dyDescent="0.45">
      <c r="A231" t="s">
        <v>38</v>
      </c>
      <c r="B231">
        <v>2004</v>
      </c>
      <c r="C231" t="s">
        <v>75</v>
      </c>
      <c r="D231">
        <v>2.23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0.44</v>
      </c>
    </row>
    <row r="234" spans="1:4" x14ac:dyDescent="0.45">
      <c r="A234" t="s">
        <v>32</v>
      </c>
      <c r="B234">
        <v>2005</v>
      </c>
      <c r="C234" t="s">
        <v>75</v>
      </c>
      <c r="D234">
        <v>1.96</v>
      </c>
    </row>
    <row r="235" spans="1:4" x14ac:dyDescent="0.45">
      <c r="A235" t="s">
        <v>34</v>
      </c>
      <c r="B235">
        <v>2005</v>
      </c>
      <c r="C235" t="s">
        <v>75</v>
      </c>
      <c r="D235">
        <v>16.37</v>
      </c>
    </row>
    <row r="236" spans="1:4" x14ac:dyDescent="0.45">
      <c r="A236" t="s">
        <v>36</v>
      </c>
      <c r="B236">
        <v>2005</v>
      </c>
      <c r="C236" t="s">
        <v>75</v>
      </c>
      <c r="D236">
        <v>11.08</v>
      </c>
    </row>
    <row r="237" spans="1:4" x14ac:dyDescent="0.45">
      <c r="A237" t="s">
        <v>56</v>
      </c>
      <c r="B237">
        <v>2005</v>
      </c>
      <c r="C237" t="s">
        <v>75</v>
      </c>
      <c r="D237">
        <v>71.8</v>
      </c>
    </row>
    <row r="238" spans="1:4" x14ac:dyDescent="0.45">
      <c r="A238" t="s">
        <v>57</v>
      </c>
      <c r="B238">
        <v>2005</v>
      </c>
      <c r="C238" t="s">
        <v>75</v>
      </c>
      <c r="D238">
        <v>13.35</v>
      </c>
    </row>
    <row r="239" spans="1:4" x14ac:dyDescent="0.45">
      <c r="A239" t="s">
        <v>38</v>
      </c>
      <c r="B239">
        <v>2005</v>
      </c>
      <c r="C239" t="s">
        <v>75</v>
      </c>
      <c r="D239">
        <v>2.2799999999999998</v>
      </c>
    </row>
    <row r="240" spans="1:4" x14ac:dyDescent="0.45">
      <c r="A240" t="s">
        <v>58</v>
      </c>
      <c r="B240">
        <v>2005</v>
      </c>
      <c r="C240" t="s">
        <v>75</v>
      </c>
      <c r="D240">
        <v>0.02</v>
      </c>
    </row>
    <row r="241" spans="1:4" x14ac:dyDescent="0.45">
      <c r="A241" t="s">
        <v>91</v>
      </c>
      <c r="B241">
        <v>2005</v>
      </c>
      <c r="C241" t="s">
        <v>75</v>
      </c>
      <c r="D241">
        <v>0.68</v>
      </c>
    </row>
    <row r="242" spans="1:4" x14ac:dyDescent="0.45">
      <c r="A242" t="s">
        <v>32</v>
      </c>
      <c r="B242">
        <v>2006</v>
      </c>
      <c r="C242" t="s">
        <v>75</v>
      </c>
      <c r="D242">
        <v>1.97</v>
      </c>
    </row>
    <row r="243" spans="1:4" x14ac:dyDescent="0.45">
      <c r="A243" t="s">
        <v>34</v>
      </c>
      <c r="B243">
        <v>2006</v>
      </c>
      <c r="C243" t="s">
        <v>75</v>
      </c>
      <c r="D243">
        <v>16.37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72.66</v>
      </c>
    </row>
    <row r="246" spans="1:4" x14ac:dyDescent="0.45">
      <c r="A246" t="s">
        <v>57</v>
      </c>
      <c r="B246">
        <v>2006</v>
      </c>
      <c r="C246" t="s">
        <v>75</v>
      </c>
      <c r="D246">
        <v>13.35</v>
      </c>
    </row>
    <row r="247" spans="1:4" x14ac:dyDescent="0.45">
      <c r="A247" t="s">
        <v>38</v>
      </c>
      <c r="B247">
        <v>2006</v>
      </c>
      <c r="C247" t="s">
        <v>75</v>
      </c>
      <c r="D247">
        <v>2.2799999999999998</v>
      </c>
    </row>
    <row r="248" spans="1:4" x14ac:dyDescent="0.45">
      <c r="A248" t="s">
        <v>58</v>
      </c>
      <c r="B248">
        <v>2006</v>
      </c>
      <c r="C248" t="s">
        <v>75</v>
      </c>
      <c r="D248">
        <v>0.02</v>
      </c>
    </row>
    <row r="249" spans="1:4" x14ac:dyDescent="0.45">
      <c r="A249" t="s">
        <v>91</v>
      </c>
      <c r="B249">
        <v>2006</v>
      </c>
      <c r="C249" t="s">
        <v>75</v>
      </c>
      <c r="D249">
        <v>1.42</v>
      </c>
    </row>
    <row r="250" spans="1:4" x14ac:dyDescent="0.45">
      <c r="A250" t="s">
        <v>32</v>
      </c>
      <c r="B250">
        <v>2007</v>
      </c>
      <c r="C250" t="s">
        <v>75</v>
      </c>
      <c r="D250">
        <v>2.0099999999999998</v>
      </c>
    </row>
    <row r="251" spans="1:4" x14ac:dyDescent="0.45">
      <c r="A251" t="s">
        <v>34</v>
      </c>
      <c r="B251">
        <v>2007</v>
      </c>
      <c r="C251" t="s">
        <v>75</v>
      </c>
      <c r="D251">
        <v>16.37</v>
      </c>
    </row>
    <row r="252" spans="1:4" x14ac:dyDescent="0.45">
      <c r="A252" t="s">
        <v>36</v>
      </c>
      <c r="B252">
        <v>2007</v>
      </c>
      <c r="C252" t="s">
        <v>75</v>
      </c>
      <c r="D252">
        <v>11.74</v>
      </c>
    </row>
    <row r="253" spans="1:4" x14ac:dyDescent="0.45">
      <c r="A253" t="s">
        <v>56</v>
      </c>
      <c r="B253">
        <v>2007</v>
      </c>
      <c r="C253" t="s">
        <v>75</v>
      </c>
      <c r="D253">
        <v>73.28</v>
      </c>
    </row>
    <row r="254" spans="1:4" x14ac:dyDescent="0.45">
      <c r="A254" t="s">
        <v>57</v>
      </c>
      <c r="B254">
        <v>2007</v>
      </c>
      <c r="C254" t="s">
        <v>75</v>
      </c>
      <c r="D254">
        <v>13.35</v>
      </c>
    </row>
    <row r="255" spans="1:4" x14ac:dyDescent="0.45">
      <c r="A255" t="s">
        <v>38</v>
      </c>
      <c r="B255">
        <v>2007</v>
      </c>
      <c r="C255" t="s">
        <v>75</v>
      </c>
      <c r="D255">
        <v>2.2799999999999998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1.84</v>
      </c>
    </row>
    <row r="258" spans="1:4" x14ac:dyDescent="0.45">
      <c r="A258" t="s">
        <v>32</v>
      </c>
      <c r="B258">
        <v>2008</v>
      </c>
      <c r="C258" t="s">
        <v>75</v>
      </c>
      <c r="D258">
        <v>2.0099999999999998</v>
      </c>
    </row>
    <row r="259" spans="1:4" x14ac:dyDescent="0.45">
      <c r="A259" t="s">
        <v>34</v>
      </c>
      <c r="B259">
        <v>2008</v>
      </c>
      <c r="C259" t="s">
        <v>75</v>
      </c>
      <c r="D259">
        <v>16.37</v>
      </c>
    </row>
    <row r="260" spans="1:4" x14ac:dyDescent="0.45">
      <c r="A260" t="s">
        <v>36</v>
      </c>
      <c r="B260">
        <v>2008</v>
      </c>
      <c r="C260" t="s">
        <v>75</v>
      </c>
      <c r="D260">
        <v>12.83</v>
      </c>
    </row>
    <row r="261" spans="1:4" x14ac:dyDescent="0.45">
      <c r="A261" t="s">
        <v>56</v>
      </c>
      <c r="B261">
        <v>2008</v>
      </c>
      <c r="C261" t="s">
        <v>75</v>
      </c>
      <c r="D261">
        <v>74.23</v>
      </c>
    </row>
    <row r="262" spans="1:4" x14ac:dyDescent="0.45">
      <c r="A262" t="s">
        <v>57</v>
      </c>
      <c r="B262">
        <v>2008</v>
      </c>
      <c r="C262" t="s">
        <v>75</v>
      </c>
      <c r="D262">
        <v>13.35</v>
      </c>
    </row>
    <row r="263" spans="1:4" x14ac:dyDescent="0.45">
      <c r="A263" t="s">
        <v>38</v>
      </c>
      <c r="B263">
        <v>2008</v>
      </c>
      <c r="C263" t="s">
        <v>75</v>
      </c>
      <c r="D263">
        <v>2.2799999999999998</v>
      </c>
    </row>
    <row r="264" spans="1:4" x14ac:dyDescent="0.45">
      <c r="A264" t="s">
        <v>58</v>
      </c>
      <c r="B264">
        <v>2008</v>
      </c>
      <c r="C264" t="s">
        <v>75</v>
      </c>
      <c r="D264">
        <v>0.04</v>
      </c>
    </row>
    <row r="265" spans="1:4" x14ac:dyDescent="0.45">
      <c r="A265" t="s">
        <v>91</v>
      </c>
      <c r="B265">
        <v>2008</v>
      </c>
      <c r="C265" t="s">
        <v>75</v>
      </c>
      <c r="D265">
        <v>2.34</v>
      </c>
    </row>
    <row r="266" spans="1:4" x14ac:dyDescent="0.45">
      <c r="A266" t="s">
        <v>32</v>
      </c>
      <c r="B266">
        <v>2009</v>
      </c>
      <c r="C266" t="s">
        <v>75</v>
      </c>
      <c r="D266">
        <v>1.99</v>
      </c>
    </row>
    <row r="267" spans="1:4" x14ac:dyDescent="0.45">
      <c r="A267" t="s">
        <v>34</v>
      </c>
      <c r="B267">
        <v>2009</v>
      </c>
      <c r="C267" t="s">
        <v>75</v>
      </c>
      <c r="D267">
        <v>16.37</v>
      </c>
    </row>
    <row r="268" spans="1:4" x14ac:dyDescent="0.45">
      <c r="A268" t="s">
        <v>36</v>
      </c>
      <c r="B268">
        <v>2009</v>
      </c>
      <c r="C268" t="s">
        <v>75</v>
      </c>
      <c r="D268">
        <v>15.32</v>
      </c>
    </row>
    <row r="269" spans="1:4" x14ac:dyDescent="0.45">
      <c r="A269" t="s">
        <v>56</v>
      </c>
      <c r="B269">
        <v>2009</v>
      </c>
      <c r="C269" t="s">
        <v>75</v>
      </c>
      <c r="D269">
        <v>74.510000000000005</v>
      </c>
    </row>
    <row r="270" spans="1:4" x14ac:dyDescent="0.45">
      <c r="A270" t="s">
        <v>57</v>
      </c>
      <c r="B270">
        <v>2009</v>
      </c>
      <c r="C270" t="s">
        <v>75</v>
      </c>
      <c r="D270">
        <v>12.66</v>
      </c>
    </row>
    <row r="271" spans="1:4" x14ac:dyDescent="0.45">
      <c r="A271" t="s">
        <v>38</v>
      </c>
      <c r="B271">
        <v>2009</v>
      </c>
      <c r="C271" t="s">
        <v>75</v>
      </c>
      <c r="D271">
        <v>2.2799999999999998</v>
      </c>
    </row>
    <row r="272" spans="1:4" x14ac:dyDescent="0.45">
      <c r="A272" t="s">
        <v>58</v>
      </c>
      <c r="B272">
        <v>2009</v>
      </c>
      <c r="C272" t="s">
        <v>75</v>
      </c>
      <c r="D272">
        <v>0.11</v>
      </c>
    </row>
    <row r="273" spans="1:4" x14ac:dyDescent="0.45">
      <c r="A273" t="s">
        <v>91</v>
      </c>
      <c r="B273">
        <v>2009</v>
      </c>
      <c r="C273" t="s">
        <v>75</v>
      </c>
      <c r="D273">
        <v>3.28</v>
      </c>
    </row>
    <row r="274" spans="1:4" x14ac:dyDescent="0.45">
      <c r="A274" t="s">
        <v>32</v>
      </c>
      <c r="B274">
        <v>2010</v>
      </c>
      <c r="C274" t="s">
        <v>75</v>
      </c>
      <c r="D274">
        <v>2.04</v>
      </c>
    </row>
    <row r="275" spans="1:4" x14ac:dyDescent="0.45">
      <c r="A275" t="s">
        <v>34</v>
      </c>
      <c r="B275">
        <v>2010</v>
      </c>
      <c r="C275" t="s">
        <v>75</v>
      </c>
      <c r="D275">
        <v>14.05</v>
      </c>
    </row>
    <row r="276" spans="1:4" x14ac:dyDescent="0.45">
      <c r="A276" t="s">
        <v>36</v>
      </c>
      <c r="B276">
        <v>2010</v>
      </c>
      <c r="C276" t="s">
        <v>75</v>
      </c>
      <c r="D276">
        <v>16.27</v>
      </c>
    </row>
    <row r="277" spans="1:4" x14ac:dyDescent="0.45">
      <c r="A277" t="s">
        <v>56</v>
      </c>
      <c r="B277">
        <v>2010</v>
      </c>
      <c r="C277" t="s">
        <v>75</v>
      </c>
      <c r="D277">
        <v>74.900000000000006</v>
      </c>
    </row>
    <row r="278" spans="1:4" x14ac:dyDescent="0.45">
      <c r="A278" t="s">
        <v>57</v>
      </c>
      <c r="B278">
        <v>2010</v>
      </c>
      <c r="C278" t="s">
        <v>75</v>
      </c>
      <c r="D278">
        <v>12.66</v>
      </c>
    </row>
    <row r="279" spans="1:4" x14ac:dyDescent="0.45">
      <c r="A279" t="s">
        <v>38</v>
      </c>
      <c r="B279">
        <v>2010</v>
      </c>
      <c r="C279" t="s">
        <v>75</v>
      </c>
      <c r="D279">
        <v>2.2799999999999998</v>
      </c>
    </row>
    <row r="280" spans="1:4" x14ac:dyDescent="0.45">
      <c r="A280" t="s">
        <v>58</v>
      </c>
      <c r="B280">
        <v>2010</v>
      </c>
      <c r="C280" t="s">
        <v>75</v>
      </c>
      <c r="D280">
        <v>0.25</v>
      </c>
    </row>
    <row r="281" spans="1:4" x14ac:dyDescent="0.45">
      <c r="A281" t="s">
        <v>91</v>
      </c>
      <c r="B281">
        <v>2010</v>
      </c>
      <c r="C281" t="s">
        <v>75</v>
      </c>
      <c r="D281">
        <v>3.97</v>
      </c>
    </row>
    <row r="282" spans="1:4" x14ac:dyDescent="0.45">
      <c r="A282" t="s">
        <v>32</v>
      </c>
      <c r="B282">
        <v>2011</v>
      </c>
      <c r="C282" t="s">
        <v>75</v>
      </c>
      <c r="D282">
        <v>2.0499999999999998</v>
      </c>
    </row>
    <row r="283" spans="1:4" x14ac:dyDescent="0.45">
      <c r="A283" t="s">
        <v>34</v>
      </c>
      <c r="B283">
        <v>2011</v>
      </c>
      <c r="C283" t="s">
        <v>75</v>
      </c>
      <c r="D283">
        <v>13.57</v>
      </c>
    </row>
    <row r="284" spans="1:4" x14ac:dyDescent="0.45">
      <c r="A284" t="s">
        <v>36</v>
      </c>
      <c r="B284">
        <v>2011</v>
      </c>
      <c r="C284" t="s">
        <v>75</v>
      </c>
      <c r="D284">
        <v>16.32</v>
      </c>
    </row>
    <row r="285" spans="1:4" x14ac:dyDescent="0.45">
      <c r="A285" t="s">
        <v>56</v>
      </c>
      <c r="B285">
        <v>2011</v>
      </c>
      <c r="C285" t="s">
        <v>75</v>
      </c>
      <c r="D285">
        <v>75.400000000000006</v>
      </c>
    </row>
    <row r="286" spans="1:4" x14ac:dyDescent="0.45">
      <c r="A286" t="s">
        <v>57</v>
      </c>
      <c r="B286">
        <v>2011</v>
      </c>
      <c r="C286" t="s">
        <v>75</v>
      </c>
      <c r="D286">
        <v>12.66</v>
      </c>
    </row>
    <row r="287" spans="1:4" x14ac:dyDescent="0.45">
      <c r="A287" t="s">
        <v>38</v>
      </c>
      <c r="B287">
        <v>2011</v>
      </c>
      <c r="C287" t="s">
        <v>75</v>
      </c>
      <c r="D287">
        <v>2.2799999999999998</v>
      </c>
    </row>
    <row r="288" spans="1:4" x14ac:dyDescent="0.45">
      <c r="A288" t="s">
        <v>58</v>
      </c>
      <c r="B288">
        <v>2011</v>
      </c>
      <c r="C288" t="s">
        <v>75</v>
      </c>
      <c r="D288">
        <v>0.63</v>
      </c>
    </row>
    <row r="289" spans="1:4" x14ac:dyDescent="0.45">
      <c r="A289" t="s">
        <v>91</v>
      </c>
      <c r="B289">
        <v>2011</v>
      </c>
      <c r="C289" t="s">
        <v>75</v>
      </c>
      <c r="D289">
        <v>5.26</v>
      </c>
    </row>
    <row r="290" spans="1:4" x14ac:dyDescent="0.45">
      <c r="A290" t="s">
        <v>32</v>
      </c>
      <c r="B290">
        <v>2012</v>
      </c>
      <c r="C290" t="s">
        <v>75</v>
      </c>
      <c r="D290">
        <v>2.15</v>
      </c>
    </row>
    <row r="291" spans="1:4" x14ac:dyDescent="0.45">
      <c r="A291" t="s">
        <v>34</v>
      </c>
      <c r="B291">
        <v>2012</v>
      </c>
      <c r="C291" t="s">
        <v>75</v>
      </c>
      <c r="D291">
        <v>13.34</v>
      </c>
    </row>
    <row r="292" spans="1:4" x14ac:dyDescent="0.45">
      <c r="A292" t="s">
        <v>36</v>
      </c>
      <c r="B292">
        <v>2012</v>
      </c>
      <c r="C292" t="s">
        <v>75</v>
      </c>
      <c r="D292">
        <v>16.77</v>
      </c>
    </row>
    <row r="293" spans="1:4" x14ac:dyDescent="0.45">
      <c r="A293" t="s">
        <v>56</v>
      </c>
      <c r="B293">
        <v>2012</v>
      </c>
      <c r="C293" t="s">
        <v>75</v>
      </c>
      <c r="D293">
        <v>75.36</v>
      </c>
    </row>
    <row r="294" spans="1:4" x14ac:dyDescent="0.45">
      <c r="A294" t="s">
        <v>57</v>
      </c>
      <c r="B294">
        <v>2012</v>
      </c>
      <c r="C294" t="s">
        <v>75</v>
      </c>
      <c r="D294">
        <v>13.37</v>
      </c>
    </row>
    <row r="295" spans="1:4" x14ac:dyDescent="0.45">
      <c r="A295" t="s">
        <v>38</v>
      </c>
      <c r="B295">
        <v>2012</v>
      </c>
      <c r="C295" t="s">
        <v>75</v>
      </c>
      <c r="D295">
        <v>2.2799999999999998</v>
      </c>
    </row>
    <row r="296" spans="1:4" x14ac:dyDescent="0.45">
      <c r="A296" t="s">
        <v>58</v>
      </c>
      <c r="B296">
        <v>2012</v>
      </c>
      <c r="C296" t="s">
        <v>75</v>
      </c>
      <c r="D296">
        <v>0.77</v>
      </c>
    </row>
    <row r="297" spans="1:4" x14ac:dyDescent="0.45">
      <c r="A297" t="s">
        <v>91</v>
      </c>
      <c r="B297">
        <v>2012</v>
      </c>
      <c r="C297" t="s">
        <v>75</v>
      </c>
      <c r="D297">
        <v>6.2</v>
      </c>
    </row>
    <row r="298" spans="1:4" x14ac:dyDescent="0.45">
      <c r="A298" t="s">
        <v>32</v>
      </c>
      <c r="B298">
        <v>2013</v>
      </c>
      <c r="C298" t="s">
        <v>75</v>
      </c>
      <c r="D298">
        <v>2.36</v>
      </c>
    </row>
    <row r="299" spans="1:4" x14ac:dyDescent="0.45">
      <c r="A299" t="s">
        <v>34</v>
      </c>
      <c r="B299">
        <v>2013</v>
      </c>
      <c r="C299" t="s">
        <v>75</v>
      </c>
      <c r="D299">
        <v>10.25</v>
      </c>
    </row>
    <row r="300" spans="1:4" x14ac:dyDescent="0.45">
      <c r="A300" t="s">
        <v>36</v>
      </c>
      <c r="B300">
        <v>2013</v>
      </c>
      <c r="C300" t="s">
        <v>75</v>
      </c>
      <c r="D300">
        <v>17.14</v>
      </c>
    </row>
    <row r="301" spans="1:4" x14ac:dyDescent="0.45">
      <c r="A301" t="s">
        <v>56</v>
      </c>
      <c r="B301">
        <v>2013</v>
      </c>
      <c r="C301" t="s">
        <v>75</v>
      </c>
      <c r="D301">
        <v>75.34</v>
      </c>
    </row>
    <row r="302" spans="1:4" x14ac:dyDescent="0.45">
      <c r="A302" t="s">
        <v>57</v>
      </c>
      <c r="B302">
        <v>2013</v>
      </c>
      <c r="C302" t="s">
        <v>75</v>
      </c>
      <c r="D302">
        <v>14.03</v>
      </c>
    </row>
    <row r="303" spans="1:4" x14ac:dyDescent="0.45">
      <c r="A303" t="s">
        <v>38</v>
      </c>
      <c r="B303">
        <v>2013</v>
      </c>
      <c r="C303" t="s">
        <v>75</v>
      </c>
      <c r="D303">
        <v>2.2799999999999998</v>
      </c>
    </row>
    <row r="304" spans="1:4" x14ac:dyDescent="0.45">
      <c r="A304" t="s">
        <v>58</v>
      </c>
      <c r="B304">
        <v>2013</v>
      </c>
      <c r="C304" t="s">
        <v>75</v>
      </c>
      <c r="D304">
        <v>1.21</v>
      </c>
    </row>
    <row r="305" spans="1:4" x14ac:dyDescent="0.45">
      <c r="A305" t="s">
        <v>91</v>
      </c>
      <c r="B305">
        <v>2013</v>
      </c>
      <c r="C305" t="s">
        <v>75</v>
      </c>
      <c r="D305">
        <v>7.8</v>
      </c>
    </row>
    <row r="306" spans="1:4" x14ac:dyDescent="0.45">
      <c r="A306" t="s">
        <v>32</v>
      </c>
      <c r="B306">
        <v>2014</v>
      </c>
      <c r="C306" t="s">
        <v>75</v>
      </c>
      <c r="D306">
        <v>2.61</v>
      </c>
    </row>
    <row r="307" spans="1:4" x14ac:dyDescent="0.45">
      <c r="A307" t="s">
        <v>34</v>
      </c>
      <c r="B307">
        <v>2014</v>
      </c>
      <c r="C307" t="s">
        <v>75</v>
      </c>
      <c r="D307">
        <v>9.98</v>
      </c>
    </row>
    <row r="308" spans="1:4" x14ac:dyDescent="0.45">
      <c r="A308" t="s">
        <v>36</v>
      </c>
      <c r="B308">
        <v>2014</v>
      </c>
      <c r="C308" t="s">
        <v>75</v>
      </c>
      <c r="D308">
        <v>17.14</v>
      </c>
    </row>
    <row r="309" spans="1:4" x14ac:dyDescent="0.45">
      <c r="A309" t="s">
        <v>56</v>
      </c>
      <c r="B309">
        <v>2014</v>
      </c>
      <c r="C309" t="s">
        <v>75</v>
      </c>
      <c r="D309">
        <v>75.3</v>
      </c>
    </row>
    <row r="310" spans="1:4" x14ac:dyDescent="0.45">
      <c r="A310" t="s">
        <v>57</v>
      </c>
      <c r="B310">
        <v>2014</v>
      </c>
      <c r="C310" t="s">
        <v>75</v>
      </c>
      <c r="D310">
        <v>14.03</v>
      </c>
    </row>
    <row r="311" spans="1:4" x14ac:dyDescent="0.45">
      <c r="A311" t="s">
        <v>38</v>
      </c>
      <c r="B311">
        <v>2014</v>
      </c>
      <c r="C311" t="s">
        <v>75</v>
      </c>
      <c r="D311">
        <v>2.2799999999999998</v>
      </c>
    </row>
    <row r="312" spans="1:4" x14ac:dyDescent="0.45">
      <c r="A312" t="s">
        <v>58</v>
      </c>
      <c r="B312">
        <v>2014</v>
      </c>
      <c r="C312" t="s">
        <v>75</v>
      </c>
      <c r="D312">
        <v>1.84</v>
      </c>
    </row>
    <row r="313" spans="1:4" x14ac:dyDescent="0.45">
      <c r="A313" t="s">
        <v>91</v>
      </c>
      <c r="B313">
        <v>2014</v>
      </c>
      <c r="C313" t="s">
        <v>75</v>
      </c>
      <c r="D313">
        <v>9.69</v>
      </c>
    </row>
    <row r="314" spans="1:4" x14ac:dyDescent="0.45">
      <c r="A314" t="s">
        <v>32</v>
      </c>
      <c r="B314">
        <v>2015</v>
      </c>
      <c r="C314" t="s">
        <v>75</v>
      </c>
      <c r="D314">
        <v>2.59</v>
      </c>
    </row>
    <row r="315" spans="1:4" x14ac:dyDescent="0.45">
      <c r="A315" t="s">
        <v>34</v>
      </c>
      <c r="B315">
        <v>2015</v>
      </c>
      <c r="C315" t="s">
        <v>75</v>
      </c>
      <c r="D315">
        <v>9.98</v>
      </c>
    </row>
    <row r="316" spans="1:4" x14ac:dyDescent="0.45">
      <c r="A316" t="s">
        <v>36</v>
      </c>
      <c r="B316">
        <v>2015</v>
      </c>
      <c r="C316" t="s">
        <v>75</v>
      </c>
      <c r="D316">
        <v>18.38</v>
      </c>
    </row>
    <row r="317" spans="1:4" x14ac:dyDescent="0.45">
      <c r="A317" t="s">
        <v>56</v>
      </c>
      <c r="B317">
        <v>2015</v>
      </c>
      <c r="C317" t="s">
        <v>75</v>
      </c>
      <c r="D317">
        <v>79.23</v>
      </c>
    </row>
    <row r="318" spans="1:4" x14ac:dyDescent="0.45">
      <c r="A318" t="s">
        <v>57</v>
      </c>
      <c r="B318">
        <v>2015</v>
      </c>
      <c r="C318" t="s">
        <v>75</v>
      </c>
      <c r="D318">
        <v>14.03</v>
      </c>
    </row>
    <row r="319" spans="1:4" x14ac:dyDescent="0.45">
      <c r="A319" t="s">
        <v>38</v>
      </c>
      <c r="B319">
        <v>2015</v>
      </c>
      <c r="C319" t="s">
        <v>75</v>
      </c>
      <c r="D319">
        <v>2.2799999999999998</v>
      </c>
    </row>
    <row r="320" spans="1:4" x14ac:dyDescent="0.45">
      <c r="A320" t="s">
        <v>58</v>
      </c>
      <c r="B320">
        <v>2015</v>
      </c>
      <c r="C320" t="s">
        <v>75</v>
      </c>
      <c r="D320">
        <v>2.52</v>
      </c>
    </row>
    <row r="321" spans="1:4" x14ac:dyDescent="0.45">
      <c r="A321" t="s">
        <v>91</v>
      </c>
      <c r="B321">
        <v>2015</v>
      </c>
      <c r="C321" t="s">
        <v>75</v>
      </c>
      <c r="D321">
        <v>11.21</v>
      </c>
    </row>
    <row r="322" spans="1:4" x14ac:dyDescent="0.45">
      <c r="A322" t="s">
        <v>32</v>
      </c>
      <c r="B322">
        <v>2016</v>
      </c>
      <c r="C322" t="s">
        <v>75</v>
      </c>
      <c r="D322">
        <v>2.66</v>
      </c>
    </row>
    <row r="323" spans="1:4" x14ac:dyDescent="0.45">
      <c r="A323" t="s">
        <v>34</v>
      </c>
      <c r="B323">
        <v>2016</v>
      </c>
      <c r="C323" t="s">
        <v>75</v>
      </c>
      <c r="D323">
        <v>9.98</v>
      </c>
    </row>
    <row r="324" spans="1:4" x14ac:dyDescent="0.45">
      <c r="A324" t="s">
        <v>36</v>
      </c>
      <c r="B324">
        <v>2016</v>
      </c>
      <c r="C324" t="s">
        <v>75</v>
      </c>
      <c r="D324">
        <v>18.48</v>
      </c>
    </row>
    <row r="325" spans="1:4" x14ac:dyDescent="0.45">
      <c r="A325" t="s">
        <v>56</v>
      </c>
      <c r="B325">
        <v>2016</v>
      </c>
      <c r="C325" t="s">
        <v>75</v>
      </c>
      <c r="D325">
        <v>80.13</v>
      </c>
    </row>
    <row r="326" spans="1:4" x14ac:dyDescent="0.45">
      <c r="A326" t="s">
        <v>57</v>
      </c>
      <c r="B326">
        <v>2016</v>
      </c>
      <c r="C326" t="s">
        <v>75</v>
      </c>
      <c r="D326">
        <v>14.03</v>
      </c>
    </row>
    <row r="327" spans="1:4" x14ac:dyDescent="0.45">
      <c r="A327" t="s">
        <v>38</v>
      </c>
      <c r="B327">
        <v>2016</v>
      </c>
      <c r="C327" t="s">
        <v>75</v>
      </c>
      <c r="D327">
        <v>2.2799999999999998</v>
      </c>
    </row>
    <row r="328" spans="1:4" x14ac:dyDescent="0.45">
      <c r="A328" t="s">
        <v>58</v>
      </c>
      <c r="B328">
        <v>2016</v>
      </c>
      <c r="C328" t="s">
        <v>75</v>
      </c>
      <c r="D328">
        <v>2.66</v>
      </c>
    </row>
    <row r="329" spans="1:4" x14ac:dyDescent="0.45">
      <c r="A329" t="s">
        <v>91</v>
      </c>
      <c r="B329">
        <v>2016</v>
      </c>
      <c r="C329" t="s">
        <v>75</v>
      </c>
      <c r="D329">
        <v>11.97</v>
      </c>
    </row>
    <row r="330" spans="1:4" x14ac:dyDescent="0.45">
      <c r="A330" t="s">
        <v>32</v>
      </c>
      <c r="B330">
        <v>2017</v>
      </c>
      <c r="C330" t="s">
        <v>75</v>
      </c>
      <c r="D330">
        <v>2.74</v>
      </c>
    </row>
    <row r="331" spans="1:4" x14ac:dyDescent="0.45">
      <c r="A331" t="s">
        <v>34</v>
      </c>
      <c r="B331">
        <v>2017</v>
      </c>
      <c r="C331" t="s">
        <v>75</v>
      </c>
      <c r="D331">
        <v>9.98</v>
      </c>
    </row>
    <row r="332" spans="1:4" x14ac:dyDescent="0.45">
      <c r="A332" t="s">
        <v>36</v>
      </c>
      <c r="B332">
        <v>2017</v>
      </c>
      <c r="C332" t="s">
        <v>75</v>
      </c>
      <c r="D332">
        <v>18.78</v>
      </c>
    </row>
    <row r="333" spans="1:4" x14ac:dyDescent="0.45">
      <c r="A333" t="s">
        <v>56</v>
      </c>
      <c r="B333">
        <v>2017</v>
      </c>
      <c r="C333" t="s">
        <v>75</v>
      </c>
      <c r="D333">
        <v>80.66</v>
      </c>
    </row>
    <row r="334" spans="1:4" x14ac:dyDescent="0.45">
      <c r="A334" t="s">
        <v>57</v>
      </c>
      <c r="B334">
        <v>2017</v>
      </c>
      <c r="C334" t="s">
        <v>75</v>
      </c>
      <c r="D334">
        <v>14.03</v>
      </c>
    </row>
    <row r="335" spans="1:4" x14ac:dyDescent="0.45">
      <c r="A335" t="s">
        <v>38</v>
      </c>
      <c r="B335">
        <v>2017</v>
      </c>
      <c r="C335" t="s">
        <v>75</v>
      </c>
      <c r="D335">
        <v>2.2799999999999998</v>
      </c>
    </row>
    <row r="336" spans="1:4" x14ac:dyDescent="0.45">
      <c r="A336" t="s">
        <v>58</v>
      </c>
      <c r="B336">
        <v>2017</v>
      </c>
      <c r="C336" t="s">
        <v>75</v>
      </c>
      <c r="D336">
        <v>2.93</v>
      </c>
    </row>
    <row r="337" spans="1:4" x14ac:dyDescent="0.45">
      <c r="A337" t="s">
        <v>91</v>
      </c>
      <c r="B337">
        <v>2017</v>
      </c>
      <c r="C337" t="s">
        <v>75</v>
      </c>
      <c r="D337">
        <v>12.25</v>
      </c>
    </row>
    <row r="338" spans="1:4" x14ac:dyDescent="0.45">
      <c r="A338" t="s">
        <v>32</v>
      </c>
      <c r="B338">
        <v>2018</v>
      </c>
      <c r="C338" t="s">
        <v>75</v>
      </c>
      <c r="D338">
        <v>2.75</v>
      </c>
    </row>
    <row r="339" spans="1:4" x14ac:dyDescent="0.45">
      <c r="A339" t="s">
        <v>34</v>
      </c>
      <c r="B339">
        <v>2018</v>
      </c>
      <c r="C339" t="s">
        <v>75</v>
      </c>
      <c r="D339">
        <v>9.32</v>
      </c>
    </row>
    <row r="340" spans="1:4" x14ac:dyDescent="0.45">
      <c r="A340" t="s">
        <v>36</v>
      </c>
      <c r="B340">
        <v>2018</v>
      </c>
      <c r="C340" t="s">
        <v>75</v>
      </c>
      <c r="D340">
        <v>18.78</v>
      </c>
    </row>
    <row r="341" spans="1:4" x14ac:dyDescent="0.45">
      <c r="A341" t="s">
        <v>56</v>
      </c>
      <c r="B341">
        <v>2018</v>
      </c>
      <c r="C341" t="s">
        <v>75</v>
      </c>
      <c r="D341">
        <v>81.400000000000006</v>
      </c>
    </row>
    <row r="342" spans="1:4" x14ac:dyDescent="0.45">
      <c r="A342" t="s">
        <v>57</v>
      </c>
      <c r="B342">
        <v>2018</v>
      </c>
      <c r="C342" t="s">
        <v>75</v>
      </c>
      <c r="D342">
        <v>13.34</v>
      </c>
    </row>
    <row r="343" spans="1:4" x14ac:dyDescent="0.45">
      <c r="A343" t="s">
        <v>38</v>
      </c>
      <c r="B343">
        <v>2018</v>
      </c>
      <c r="C343" t="s">
        <v>75</v>
      </c>
      <c r="D343">
        <v>2.2799999999999998</v>
      </c>
    </row>
    <row r="344" spans="1:4" x14ac:dyDescent="0.45">
      <c r="A344" t="s">
        <v>58</v>
      </c>
      <c r="B344">
        <v>2018</v>
      </c>
      <c r="C344" t="s">
        <v>75</v>
      </c>
      <c r="D344">
        <v>3.1</v>
      </c>
    </row>
    <row r="345" spans="1:4" x14ac:dyDescent="0.45">
      <c r="A345" t="s">
        <v>91</v>
      </c>
      <c r="B345">
        <v>2018</v>
      </c>
      <c r="C345" t="s">
        <v>75</v>
      </c>
      <c r="D345">
        <v>12.82</v>
      </c>
    </row>
    <row r="346" spans="1:4" x14ac:dyDescent="0.45">
      <c r="A346" t="s">
        <v>32</v>
      </c>
      <c r="B346">
        <v>2019</v>
      </c>
      <c r="C346" t="s">
        <v>75</v>
      </c>
      <c r="D346">
        <v>2.63</v>
      </c>
    </row>
    <row r="347" spans="1:4" x14ac:dyDescent="0.45">
      <c r="A347" t="s">
        <v>34</v>
      </c>
      <c r="B347">
        <v>2019</v>
      </c>
      <c r="C347" t="s">
        <v>75</v>
      </c>
      <c r="D347">
        <v>9.17</v>
      </c>
    </row>
    <row r="348" spans="1:4" x14ac:dyDescent="0.45">
      <c r="A348" t="s">
        <v>36</v>
      </c>
      <c r="B348">
        <v>2019</v>
      </c>
      <c r="C348" t="s">
        <v>75</v>
      </c>
      <c r="D348">
        <v>19.13</v>
      </c>
    </row>
    <row r="349" spans="1:4" x14ac:dyDescent="0.45">
      <c r="A349" t="s">
        <v>56</v>
      </c>
      <c r="B349">
        <v>2019</v>
      </c>
      <c r="C349" t="s">
        <v>75</v>
      </c>
      <c r="D349">
        <v>81.400000000000006</v>
      </c>
    </row>
    <row r="350" spans="1:4" x14ac:dyDescent="0.45">
      <c r="A350" t="s">
        <v>57</v>
      </c>
      <c r="B350">
        <v>2019</v>
      </c>
      <c r="C350" t="s">
        <v>75</v>
      </c>
      <c r="D350">
        <v>13.34</v>
      </c>
    </row>
    <row r="351" spans="1:4" x14ac:dyDescent="0.45">
      <c r="A351" t="s">
        <v>38</v>
      </c>
      <c r="B351">
        <v>2019</v>
      </c>
      <c r="C351" t="s">
        <v>75</v>
      </c>
      <c r="D351">
        <v>2.2799999999999998</v>
      </c>
    </row>
    <row r="352" spans="1:4" x14ac:dyDescent="0.45">
      <c r="A352" t="s">
        <v>58</v>
      </c>
      <c r="B352">
        <v>2019</v>
      </c>
      <c r="C352" t="s">
        <v>75</v>
      </c>
      <c r="D352">
        <v>3.33</v>
      </c>
    </row>
    <row r="353" spans="1:4" x14ac:dyDescent="0.45">
      <c r="A353" t="s">
        <v>91</v>
      </c>
      <c r="B353">
        <v>2019</v>
      </c>
      <c r="C353" t="s">
        <v>75</v>
      </c>
      <c r="D353">
        <v>13.22</v>
      </c>
    </row>
    <row r="354" spans="1:4" x14ac:dyDescent="0.45">
      <c r="A354" t="s">
        <v>32</v>
      </c>
      <c r="B354">
        <v>2020</v>
      </c>
      <c r="C354" t="s">
        <v>75</v>
      </c>
      <c r="D354">
        <v>2.64</v>
      </c>
    </row>
    <row r="355" spans="1:4" x14ac:dyDescent="0.45">
      <c r="A355" t="s">
        <v>34</v>
      </c>
      <c r="B355">
        <v>2020</v>
      </c>
      <c r="C355" t="s">
        <v>75</v>
      </c>
      <c r="D355">
        <v>8.7899999999999991</v>
      </c>
    </row>
    <row r="356" spans="1:4" x14ac:dyDescent="0.45">
      <c r="A356" t="s">
        <v>36</v>
      </c>
      <c r="B356">
        <v>2020</v>
      </c>
      <c r="C356" t="s">
        <v>75</v>
      </c>
      <c r="D356">
        <v>20.239999999999998</v>
      </c>
    </row>
    <row r="357" spans="1:4" x14ac:dyDescent="0.45">
      <c r="A357" t="s">
        <v>56</v>
      </c>
      <c r="B357">
        <v>2020</v>
      </c>
      <c r="C357" t="s">
        <v>75</v>
      </c>
      <c r="D357">
        <v>81.400000000000006</v>
      </c>
    </row>
    <row r="358" spans="1:4" x14ac:dyDescent="0.45">
      <c r="A358" t="s">
        <v>57</v>
      </c>
      <c r="B358">
        <v>2020</v>
      </c>
      <c r="C358" t="s">
        <v>75</v>
      </c>
      <c r="D358">
        <v>13.34</v>
      </c>
    </row>
    <row r="359" spans="1:4" x14ac:dyDescent="0.45">
      <c r="A359" t="s">
        <v>38</v>
      </c>
      <c r="B359">
        <v>2020</v>
      </c>
      <c r="C359" t="s">
        <v>75</v>
      </c>
      <c r="D359">
        <v>2.2799999999999998</v>
      </c>
    </row>
    <row r="360" spans="1:4" x14ac:dyDescent="0.45">
      <c r="A360" t="s">
        <v>58</v>
      </c>
      <c r="B360">
        <v>2020</v>
      </c>
      <c r="C360" t="s">
        <v>75</v>
      </c>
      <c r="D360">
        <v>3.61</v>
      </c>
    </row>
    <row r="361" spans="1:4" x14ac:dyDescent="0.45">
      <c r="A361" t="s">
        <v>91</v>
      </c>
      <c r="B361">
        <v>2020</v>
      </c>
      <c r="C361" t="s">
        <v>75</v>
      </c>
      <c r="D361">
        <v>13.74</v>
      </c>
    </row>
    <row r="362" spans="1:4" x14ac:dyDescent="0.45">
      <c r="A362" t="s">
        <v>32</v>
      </c>
      <c r="B362">
        <v>2021</v>
      </c>
      <c r="C362" t="s">
        <v>75</v>
      </c>
      <c r="D362">
        <v>2.64</v>
      </c>
    </row>
    <row r="363" spans="1:4" x14ac:dyDescent="0.45">
      <c r="A363" t="s">
        <v>34</v>
      </c>
      <c r="B363">
        <v>2021</v>
      </c>
      <c r="C363" t="s">
        <v>75</v>
      </c>
      <c r="D363">
        <v>5.31</v>
      </c>
    </row>
    <row r="364" spans="1:4" x14ac:dyDescent="0.45">
      <c r="A364" t="s">
        <v>36</v>
      </c>
      <c r="B364">
        <v>2021</v>
      </c>
      <c r="C364" t="s">
        <v>75</v>
      </c>
      <c r="D364">
        <v>22.94</v>
      </c>
    </row>
    <row r="365" spans="1:4" x14ac:dyDescent="0.45">
      <c r="A365" t="s">
        <v>56</v>
      </c>
      <c r="B365">
        <v>2021</v>
      </c>
      <c r="C365" t="s">
        <v>75</v>
      </c>
      <c r="D365">
        <v>82.93</v>
      </c>
    </row>
    <row r="366" spans="1:4" x14ac:dyDescent="0.45">
      <c r="A366" t="s">
        <v>57</v>
      </c>
      <c r="B366">
        <v>2021</v>
      </c>
      <c r="C366" t="s">
        <v>75</v>
      </c>
      <c r="D366">
        <v>13.34</v>
      </c>
    </row>
    <row r="367" spans="1:4" x14ac:dyDescent="0.45">
      <c r="A367" t="s">
        <v>38</v>
      </c>
      <c r="B367">
        <v>2021</v>
      </c>
      <c r="C367" t="s">
        <v>75</v>
      </c>
      <c r="D367">
        <v>2.2799999999999998</v>
      </c>
    </row>
    <row r="368" spans="1:4" x14ac:dyDescent="0.45">
      <c r="A368" t="s">
        <v>58</v>
      </c>
      <c r="B368">
        <v>2021</v>
      </c>
      <c r="C368" t="s">
        <v>75</v>
      </c>
      <c r="D368">
        <v>4.55</v>
      </c>
    </row>
    <row r="369" spans="1:4" x14ac:dyDescent="0.45">
      <c r="A369" t="s">
        <v>91</v>
      </c>
      <c r="B369">
        <v>2021</v>
      </c>
      <c r="C369" t="s">
        <v>75</v>
      </c>
      <c r="D369">
        <v>14.26</v>
      </c>
    </row>
    <row r="370" spans="1:4" x14ac:dyDescent="0.45">
      <c r="A370" t="s">
        <v>32</v>
      </c>
      <c r="B370">
        <v>2022</v>
      </c>
      <c r="C370" t="s">
        <v>75</v>
      </c>
      <c r="D370">
        <v>2.64</v>
      </c>
    </row>
    <row r="371" spans="1:4" x14ac:dyDescent="0.45">
      <c r="A371" t="s">
        <v>34</v>
      </c>
      <c r="B371">
        <v>2022</v>
      </c>
      <c r="C371" t="s">
        <v>75</v>
      </c>
      <c r="D371">
        <v>4.88</v>
      </c>
    </row>
    <row r="372" spans="1:4" x14ac:dyDescent="0.45">
      <c r="A372" t="s">
        <v>36</v>
      </c>
      <c r="B372">
        <v>2022</v>
      </c>
      <c r="C372" t="s">
        <v>75</v>
      </c>
      <c r="D372">
        <v>23.05</v>
      </c>
    </row>
    <row r="373" spans="1:4" x14ac:dyDescent="0.45">
      <c r="A373" t="s">
        <v>56</v>
      </c>
      <c r="B373">
        <v>2022</v>
      </c>
      <c r="C373" t="s">
        <v>75</v>
      </c>
      <c r="D373">
        <v>83.31</v>
      </c>
    </row>
    <row r="374" spans="1:4" x14ac:dyDescent="0.45">
      <c r="A374" t="s">
        <v>57</v>
      </c>
      <c r="B374">
        <v>2022</v>
      </c>
      <c r="C374" t="s">
        <v>75</v>
      </c>
      <c r="D374">
        <v>13.34</v>
      </c>
    </row>
    <row r="375" spans="1:4" x14ac:dyDescent="0.45">
      <c r="A375" t="s">
        <v>38</v>
      </c>
      <c r="B375">
        <v>2022</v>
      </c>
      <c r="C375" t="s">
        <v>75</v>
      </c>
      <c r="D375">
        <v>2.2799999999999998</v>
      </c>
    </row>
    <row r="376" spans="1:4" x14ac:dyDescent="0.45">
      <c r="A376" t="s">
        <v>58</v>
      </c>
      <c r="B376">
        <v>2022</v>
      </c>
      <c r="C376" t="s">
        <v>75</v>
      </c>
      <c r="D376">
        <v>5.31</v>
      </c>
    </row>
    <row r="377" spans="1:4" x14ac:dyDescent="0.45">
      <c r="A377" t="s">
        <v>91</v>
      </c>
      <c r="B377">
        <v>2022</v>
      </c>
      <c r="C377" t="s">
        <v>75</v>
      </c>
      <c r="D377">
        <v>15.26</v>
      </c>
    </row>
    <row r="378" spans="1:4" x14ac:dyDescent="0.45">
      <c r="A378" t="s">
        <v>32</v>
      </c>
      <c r="B378">
        <v>2023</v>
      </c>
      <c r="C378" t="s">
        <v>75</v>
      </c>
      <c r="D378">
        <v>2.64</v>
      </c>
    </row>
    <row r="379" spans="1:4" x14ac:dyDescent="0.45">
      <c r="A379" t="s">
        <v>34</v>
      </c>
      <c r="B379">
        <v>2023</v>
      </c>
      <c r="C379" t="s">
        <v>75</v>
      </c>
      <c r="D379">
        <v>4.7300000000000004</v>
      </c>
    </row>
    <row r="380" spans="1:4" x14ac:dyDescent="0.45">
      <c r="A380" t="s">
        <v>36</v>
      </c>
      <c r="B380">
        <v>2023</v>
      </c>
      <c r="C380" t="s">
        <v>75</v>
      </c>
      <c r="D380">
        <v>23.66</v>
      </c>
    </row>
    <row r="381" spans="1:4" x14ac:dyDescent="0.45">
      <c r="A381" t="s">
        <v>56</v>
      </c>
      <c r="B381">
        <v>2023</v>
      </c>
      <c r="C381" t="s">
        <v>75</v>
      </c>
      <c r="D381">
        <v>83.31</v>
      </c>
    </row>
    <row r="382" spans="1:4" x14ac:dyDescent="0.45">
      <c r="A382" t="s">
        <v>57</v>
      </c>
      <c r="B382">
        <v>2023</v>
      </c>
      <c r="C382" t="s">
        <v>75</v>
      </c>
      <c r="D382">
        <v>13.34</v>
      </c>
    </row>
    <row r="383" spans="1:4" x14ac:dyDescent="0.45">
      <c r="A383" t="s">
        <v>38</v>
      </c>
      <c r="B383">
        <v>2023</v>
      </c>
      <c r="C383" t="s">
        <v>75</v>
      </c>
      <c r="D383">
        <v>2.2799999999999998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5.76</v>
      </c>
    </row>
    <row r="385" spans="1:4" x14ac:dyDescent="0.45">
      <c r="A385" t="s">
        <v>91</v>
      </c>
      <c r="B385">
        <v>2023</v>
      </c>
      <c r="C385" t="s">
        <v>75</v>
      </c>
      <c r="D385">
        <v>16.989999999999998</v>
      </c>
    </row>
    <row r="386" spans="1:4" x14ac:dyDescent="0.45">
      <c r="A386" t="s">
        <v>32</v>
      </c>
      <c r="B386">
        <v>2000</v>
      </c>
      <c r="C386" t="s">
        <v>76</v>
      </c>
      <c r="D386">
        <v>1.93</v>
      </c>
    </row>
    <row r="387" spans="1:4" x14ac:dyDescent="0.45">
      <c r="A387" t="s">
        <v>34</v>
      </c>
      <c r="B387">
        <v>2000</v>
      </c>
      <c r="C387" t="s">
        <v>76</v>
      </c>
      <c r="D387">
        <v>102.85</v>
      </c>
    </row>
    <row r="388" spans="1:4" x14ac:dyDescent="0.45">
      <c r="A388" t="s">
        <v>36</v>
      </c>
      <c r="B388">
        <v>2000</v>
      </c>
      <c r="C388" t="s">
        <v>76</v>
      </c>
      <c r="D388">
        <v>25.86</v>
      </c>
    </row>
    <row r="389" spans="1:4" x14ac:dyDescent="0.45">
      <c r="A389" t="s">
        <v>56</v>
      </c>
      <c r="B389">
        <v>2000</v>
      </c>
      <c r="C389" t="s">
        <v>76</v>
      </c>
      <c r="D389">
        <v>8.48</v>
      </c>
    </row>
    <row r="390" spans="1:4" x14ac:dyDescent="0.45">
      <c r="A390" t="s">
        <v>57</v>
      </c>
      <c r="B390">
        <v>2000</v>
      </c>
      <c r="C390" t="s">
        <v>76</v>
      </c>
      <c r="D390">
        <v>0.34</v>
      </c>
    </row>
    <row r="391" spans="1:4" x14ac:dyDescent="0.45">
      <c r="A391" t="s">
        <v>38</v>
      </c>
      <c r="B391">
        <v>2000</v>
      </c>
      <c r="C391" t="s">
        <v>76</v>
      </c>
      <c r="D391">
        <v>8.89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2.09</v>
      </c>
    </row>
    <row r="395" spans="1:4" x14ac:dyDescent="0.45">
      <c r="A395" t="s">
        <v>34</v>
      </c>
      <c r="B395">
        <v>2001</v>
      </c>
      <c r="C395" t="s">
        <v>76</v>
      </c>
      <c r="D395">
        <v>98.83</v>
      </c>
    </row>
    <row r="396" spans="1:4" x14ac:dyDescent="0.45">
      <c r="A396" t="s">
        <v>36</v>
      </c>
      <c r="B396">
        <v>2001</v>
      </c>
      <c r="C396" t="s">
        <v>76</v>
      </c>
      <c r="D396">
        <v>30.52</v>
      </c>
    </row>
    <row r="397" spans="1:4" x14ac:dyDescent="0.45">
      <c r="A397" t="s">
        <v>56</v>
      </c>
      <c r="B397">
        <v>2001</v>
      </c>
      <c r="C397" t="s">
        <v>76</v>
      </c>
      <c r="D397">
        <v>7.88</v>
      </c>
    </row>
    <row r="398" spans="1:4" x14ac:dyDescent="0.45">
      <c r="A398" t="s">
        <v>57</v>
      </c>
      <c r="B398">
        <v>2001</v>
      </c>
      <c r="C398" t="s">
        <v>76</v>
      </c>
      <c r="D398">
        <v>0.36</v>
      </c>
    </row>
    <row r="399" spans="1:4" x14ac:dyDescent="0.45">
      <c r="A399" t="s">
        <v>38</v>
      </c>
      <c r="B399">
        <v>2001</v>
      </c>
      <c r="C399" t="s">
        <v>76</v>
      </c>
      <c r="D399">
        <v>10.58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2.17</v>
      </c>
    </row>
    <row r="403" spans="1:4" x14ac:dyDescent="0.45">
      <c r="A403" t="s">
        <v>34</v>
      </c>
      <c r="B403">
        <v>2002</v>
      </c>
      <c r="C403" t="s">
        <v>76</v>
      </c>
      <c r="D403">
        <v>97.96</v>
      </c>
    </row>
    <row r="404" spans="1:4" x14ac:dyDescent="0.45">
      <c r="A404" t="s">
        <v>36</v>
      </c>
      <c r="B404">
        <v>2002</v>
      </c>
      <c r="C404" t="s">
        <v>76</v>
      </c>
      <c r="D404">
        <v>28.03</v>
      </c>
    </row>
    <row r="405" spans="1:4" x14ac:dyDescent="0.45">
      <c r="A405" t="s">
        <v>56</v>
      </c>
      <c r="B405">
        <v>2002</v>
      </c>
      <c r="C405" t="s">
        <v>76</v>
      </c>
      <c r="D405">
        <v>8.3000000000000007</v>
      </c>
    </row>
    <row r="406" spans="1:4" x14ac:dyDescent="0.45">
      <c r="A406" t="s">
        <v>57</v>
      </c>
      <c r="B406">
        <v>2002</v>
      </c>
      <c r="C406" t="s">
        <v>76</v>
      </c>
      <c r="D406">
        <v>0.35</v>
      </c>
    </row>
    <row r="407" spans="1:4" x14ac:dyDescent="0.45">
      <c r="A407" t="s">
        <v>38</v>
      </c>
      <c r="B407">
        <v>2002</v>
      </c>
      <c r="C407" t="s">
        <v>76</v>
      </c>
      <c r="D407">
        <v>10.210000000000001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2.04</v>
      </c>
    </row>
    <row r="411" spans="1:4" x14ac:dyDescent="0.45">
      <c r="A411" t="s">
        <v>34</v>
      </c>
      <c r="B411">
        <v>2003</v>
      </c>
      <c r="C411" t="s">
        <v>76</v>
      </c>
      <c r="D411">
        <v>96.95</v>
      </c>
    </row>
    <row r="412" spans="1:4" x14ac:dyDescent="0.45">
      <c r="A412" t="s">
        <v>36</v>
      </c>
      <c r="B412">
        <v>2003</v>
      </c>
      <c r="C412" t="s">
        <v>76</v>
      </c>
      <c r="D412">
        <v>27.96</v>
      </c>
    </row>
    <row r="413" spans="1:4" x14ac:dyDescent="0.45">
      <c r="A413" t="s">
        <v>56</v>
      </c>
      <c r="B413">
        <v>2003</v>
      </c>
      <c r="C413" t="s">
        <v>76</v>
      </c>
      <c r="D413">
        <v>7.99</v>
      </c>
    </row>
    <row r="414" spans="1:4" x14ac:dyDescent="0.45">
      <c r="A414" t="s">
        <v>57</v>
      </c>
      <c r="B414">
        <v>2003</v>
      </c>
      <c r="C414" t="s">
        <v>76</v>
      </c>
      <c r="D414">
        <v>0.35</v>
      </c>
    </row>
    <row r="415" spans="1:4" x14ac:dyDescent="0.45">
      <c r="A415" t="s">
        <v>38</v>
      </c>
      <c r="B415">
        <v>2003</v>
      </c>
      <c r="C415" t="s">
        <v>76</v>
      </c>
      <c r="D415">
        <v>12.73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2.12</v>
      </c>
    </row>
    <row r="419" spans="1:4" x14ac:dyDescent="0.45">
      <c r="A419" t="s">
        <v>34</v>
      </c>
      <c r="B419">
        <v>2004</v>
      </c>
      <c r="C419" t="s">
        <v>76</v>
      </c>
      <c r="D419">
        <v>88.4</v>
      </c>
    </row>
    <row r="420" spans="1:4" x14ac:dyDescent="0.45">
      <c r="A420" t="s">
        <v>36</v>
      </c>
      <c r="B420">
        <v>2004</v>
      </c>
      <c r="C420" t="s">
        <v>76</v>
      </c>
      <c r="D420">
        <v>29.19</v>
      </c>
    </row>
    <row r="421" spans="1:4" x14ac:dyDescent="0.45">
      <c r="A421" t="s">
        <v>56</v>
      </c>
      <c r="B421">
        <v>2004</v>
      </c>
      <c r="C421" t="s">
        <v>76</v>
      </c>
      <c r="D421">
        <v>8.0399999999999991</v>
      </c>
    </row>
    <row r="422" spans="1:4" x14ac:dyDescent="0.45">
      <c r="A422" t="s">
        <v>57</v>
      </c>
      <c r="B422">
        <v>2004</v>
      </c>
      <c r="C422" t="s">
        <v>76</v>
      </c>
      <c r="D422">
        <v>0.42</v>
      </c>
    </row>
    <row r="423" spans="1:4" x14ac:dyDescent="0.45">
      <c r="A423" t="s">
        <v>38</v>
      </c>
      <c r="B423">
        <v>2004</v>
      </c>
      <c r="C423" t="s">
        <v>76</v>
      </c>
      <c r="D423">
        <v>12.67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0.01</v>
      </c>
    </row>
    <row r="426" spans="1:4" x14ac:dyDescent="0.45">
      <c r="A426" t="s">
        <v>32</v>
      </c>
      <c r="B426">
        <v>2005</v>
      </c>
      <c r="C426" t="s">
        <v>76</v>
      </c>
      <c r="D426">
        <v>1.98</v>
      </c>
    </row>
    <row r="427" spans="1:4" x14ac:dyDescent="0.45">
      <c r="A427" t="s">
        <v>34</v>
      </c>
      <c r="B427">
        <v>2005</v>
      </c>
      <c r="C427" t="s">
        <v>76</v>
      </c>
      <c r="D427">
        <v>91.02</v>
      </c>
    </row>
    <row r="428" spans="1:4" x14ac:dyDescent="0.45">
      <c r="A428" t="s">
        <v>36</v>
      </c>
      <c r="B428">
        <v>2005</v>
      </c>
      <c r="C428" t="s">
        <v>76</v>
      </c>
      <c r="D428">
        <v>26.62</v>
      </c>
    </row>
    <row r="429" spans="1:4" x14ac:dyDescent="0.45">
      <c r="A429" t="s">
        <v>56</v>
      </c>
      <c r="B429">
        <v>2005</v>
      </c>
      <c r="C429" t="s">
        <v>76</v>
      </c>
      <c r="D429">
        <v>8.6</v>
      </c>
    </row>
    <row r="430" spans="1:4" x14ac:dyDescent="0.45">
      <c r="A430" t="s">
        <v>57</v>
      </c>
      <c r="B430">
        <v>2005</v>
      </c>
      <c r="C430" t="s">
        <v>76</v>
      </c>
      <c r="D430">
        <v>0.43</v>
      </c>
    </row>
    <row r="431" spans="1:4" x14ac:dyDescent="0.45">
      <c r="A431" t="s">
        <v>38</v>
      </c>
      <c r="B431">
        <v>2005</v>
      </c>
      <c r="C431" t="s">
        <v>76</v>
      </c>
      <c r="D431">
        <v>10.96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0.01</v>
      </c>
    </row>
    <row r="434" spans="1:4" x14ac:dyDescent="0.45">
      <c r="A434" t="s">
        <v>32</v>
      </c>
      <c r="B434">
        <v>2006</v>
      </c>
      <c r="C434" t="s">
        <v>76</v>
      </c>
      <c r="D434">
        <v>1.93</v>
      </c>
    </row>
    <row r="435" spans="1:4" x14ac:dyDescent="0.45">
      <c r="A435" t="s">
        <v>34</v>
      </c>
      <c r="B435">
        <v>2006</v>
      </c>
      <c r="C435" t="s">
        <v>76</v>
      </c>
      <c r="D435">
        <v>84.87</v>
      </c>
    </row>
    <row r="436" spans="1:4" x14ac:dyDescent="0.45">
      <c r="A436" t="s">
        <v>36</v>
      </c>
      <c r="B436">
        <v>2006</v>
      </c>
      <c r="C436" t="s">
        <v>76</v>
      </c>
      <c r="D436">
        <v>29.17</v>
      </c>
    </row>
    <row r="437" spans="1:4" x14ac:dyDescent="0.45">
      <c r="A437" t="s">
        <v>56</v>
      </c>
      <c r="B437">
        <v>2006</v>
      </c>
      <c r="C437" t="s">
        <v>76</v>
      </c>
      <c r="D437">
        <v>8.3800000000000008</v>
      </c>
    </row>
    <row r="438" spans="1:4" x14ac:dyDescent="0.45">
      <c r="A438" t="s">
        <v>57</v>
      </c>
      <c r="B438">
        <v>2006</v>
      </c>
      <c r="C438" t="s">
        <v>76</v>
      </c>
      <c r="D438">
        <v>0.46</v>
      </c>
    </row>
    <row r="439" spans="1:4" x14ac:dyDescent="0.45">
      <c r="A439" t="s">
        <v>38</v>
      </c>
      <c r="B439">
        <v>2006</v>
      </c>
      <c r="C439" t="s">
        <v>76</v>
      </c>
      <c r="D439">
        <v>6.9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1.94</v>
      </c>
    </row>
    <row r="443" spans="1:4" x14ac:dyDescent="0.45">
      <c r="A443" t="s">
        <v>34</v>
      </c>
      <c r="B443">
        <v>2007</v>
      </c>
      <c r="C443" t="s">
        <v>76</v>
      </c>
      <c r="D443">
        <v>94.21</v>
      </c>
    </row>
    <row r="444" spans="1:4" x14ac:dyDescent="0.45">
      <c r="A444" t="s">
        <v>36</v>
      </c>
      <c r="B444">
        <v>2007</v>
      </c>
      <c r="C444" t="s">
        <v>76</v>
      </c>
      <c r="D444">
        <v>31.04</v>
      </c>
    </row>
    <row r="445" spans="1:4" x14ac:dyDescent="0.45">
      <c r="A445" t="s">
        <v>56</v>
      </c>
      <c r="B445">
        <v>2007</v>
      </c>
      <c r="C445" t="s">
        <v>76</v>
      </c>
      <c r="D445">
        <v>8.73</v>
      </c>
    </row>
    <row r="446" spans="1:4" x14ac:dyDescent="0.45">
      <c r="A446" t="s">
        <v>57</v>
      </c>
      <c r="B446">
        <v>2007</v>
      </c>
      <c r="C446" t="s">
        <v>76</v>
      </c>
      <c r="D446">
        <v>0.44</v>
      </c>
    </row>
    <row r="447" spans="1:4" x14ac:dyDescent="0.45">
      <c r="A447" t="s">
        <v>38</v>
      </c>
      <c r="B447">
        <v>2007</v>
      </c>
      <c r="C447" t="s">
        <v>76</v>
      </c>
      <c r="D447">
        <v>8.0500000000000007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1.73</v>
      </c>
    </row>
    <row r="451" spans="1:4" x14ac:dyDescent="0.45">
      <c r="A451" t="s">
        <v>34</v>
      </c>
      <c r="B451">
        <v>2008</v>
      </c>
      <c r="C451" t="s">
        <v>76</v>
      </c>
      <c r="D451">
        <v>89.19</v>
      </c>
    </row>
    <row r="452" spans="1:4" x14ac:dyDescent="0.45">
      <c r="A452" t="s">
        <v>36</v>
      </c>
      <c r="B452">
        <v>2008</v>
      </c>
      <c r="C452" t="s">
        <v>76</v>
      </c>
      <c r="D452">
        <v>28.6</v>
      </c>
    </row>
    <row r="453" spans="1:4" x14ac:dyDescent="0.45">
      <c r="A453" t="s">
        <v>56</v>
      </c>
      <c r="B453">
        <v>2008</v>
      </c>
      <c r="C453" t="s">
        <v>76</v>
      </c>
      <c r="D453">
        <v>8.9700000000000006</v>
      </c>
    </row>
    <row r="454" spans="1:4" x14ac:dyDescent="0.45">
      <c r="A454" t="s">
        <v>57</v>
      </c>
      <c r="B454">
        <v>2008</v>
      </c>
      <c r="C454" t="s">
        <v>76</v>
      </c>
      <c r="D454">
        <v>0.45</v>
      </c>
    </row>
    <row r="455" spans="1:4" x14ac:dyDescent="0.45">
      <c r="A455" t="s">
        <v>38</v>
      </c>
      <c r="B455">
        <v>2008</v>
      </c>
      <c r="C455" t="s">
        <v>76</v>
      </c>
      <c r="D455">
        <v>6.6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0.04</v>
      </c>
    </row>
    <row r="458" spans="1:4" x14ac:dyDescent="0.45">
      <c r="A458" t="s">
        <v>32</v>
      </c>
      <c r="B458">
        <v>2009</v>
      </c>
      <c r="C458" t="s">
        <v>76</v>
      </c>
      <c r="D458">
        <v>1.93</v>
      </c>
    </row>
    <row r="459" spans="1:4" x14ac:dyDescent="0.45">
      <c r="A459" t="s">
        <v>34</v>
      </c>
      <c r="B459">
        <v>2009</v>
      </c>
      <c r="C459" t="s">
        <v>76</v>
      </c>
      <c r="D459">
        <v>74.959999999999994</v>
      </c>
    </row>
    <row r="460" spans="1:4" x14ac:dyDescent="0.45">
      <c r="A460" t="s">
        <v>36</v>
      </c>
      <c r="B460">
        <v>2009</v>
      </c>
      <c r="C460" t="s">
        <v>76</v>
      </c>
      <c r="D460">
        <v>32.68</v>
      </c>
    </row>
    <row r="461" spans="1:4" x14ac:dyDescent="0.45">
      <c r="A461" t="s">
        <v>56</v>
      </c>
      <c r="B461">
        <v>2009</v>
      </c>
      <c r="C461" t="s">
        <v>76</v>
      </c>
      <c r="D461">
        <v>8.76</v>
      </c>
    </row>
    <row r="462" spans="1:4" x14ac:dyDescent="0.45">
      <c r="A462" t="s">
        <v>57</v>
      </c>
      <c r="B462">
        <v>2009</v>
      </c>
      <c r="C462" t="s">
        <v>76</v>
      </c>
      <c r="D462">
        <v>0.42</v>
      </c>
    </row>
    <row r="463" spans="1:4" x14ac:dyDescent="0.45">
      <c r="A463" t="s">
        <v>38</v>
      </c>
      <c r="B463">
        <v>2009</v>
      </c>
      <c r="C463" t="s">
        <v>76</v>
      </c>
      <c r="D463">
        <v>6.61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0.06</v>
      </c>
    </row>
    <row r="466" spans="1:4" x14ac:dyDescent="0.45">
      <c r="A466" t="s">
        <v>32</v>
      </c>
      <c r="B466">
        <v>2010</v>
      </c>
      <c r="C466" t="s">
        <v>76</v>
      </c>
      <c r="D466">
        <v>2.23</v>
      </c>
    </row>
    <row r="467" spans="1:4" x14ac:dyDescent="0.45">
      <c r="A467" t="s">
        <v>34</v>
      </c>
      <c r="B467">
        <v>2010</v>
      </c>
      <c r="C467" t="s">
        <v>76</v>
      </c>
      <c r="D467">
        <v>76.52</v>
      </c>
    </row>
    <row r="468" spans="1:4" x14ac:dyDescent="0.45">
      <c r="A468" t="s">
        <v>36</v>
      </c>
      <c r="B468">
        <v>2010</v>
      </c>
      <c r="C468" t="s">
        <v>76</v>
      </c>
      <c r="D468">
        <v>38.1</v>
      </c>
    </row>
    <row r="469" spans="1:4" x14ac:dyDescent="0.45">
      <c r="A469" t="s">
        <v>56</v>
      </c>
      <c r="B469">
        <v>2010</v>
      </c>
      <c r="C469" t="s">
        <v>76</v>
      </c>
      <c r="D469">
        <v>8.35</v>
      </c>
    </row>
    <row r="470" spans="1:4" x14ac:dyDescent="0.45">
      <c r="A470" t="s">
        <v>57</v>
      </c>
      <c r="B470">
        <v>2010</v>
      </c>
      <c r="C470" t="s">
        <v>76</v>
      </c>
      <c r="D470">
        <v>0.42</v>
      </c>
    </row>
    <row r="471" spans="1:4" x14ac:dyDescent="0.45">
      <c r="A471" t="s">
        <v>38</v>
      </c>
      <c r="B471">
        <v>2010</v>
      </c>
      <c r="C471" t="s">
        <v>76</v>
      </c>
      <c r="D471">
        <v>4.67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0.08</v>
      </c>
    </row>
    <row r="474" spans="1:4" x14ac:dyDescent="0.45">
      <c r="A474" t="s">
        <v>32</v>
      </c>
      <c r="B474">
        <v>2011</v>
      </c>
      <c r="C474" t="s">
        <v>76</v>
      </c>
      <c r="D474">
        <v>2.21</v>
      </c>
    </row>
    <row r="475" spans="1:4" x14ac:dyDescent="0.45">
      <c r="A475" t="s">
        <v>34</v>
      </c>
      <c r="B475">
        <v>2011</v>
      </c>
      <c r="C475" t="s">
        <v>76</v>
      </c>
      <c r="D475">
        <v>70.67</v>
      </c>
    </row>
    <row r="476" spans="1:4" x14ac:dyDescent="0.45">
      <c r="A476" t="s">
        <v>36</v>
      </c>
      <c r="B476">
        <v>2011</v>
      </c>
      <c r="C476" t="s">
        <v>76</v>
      </c>
      <c r="D476">
        <v>45.13</v>
      </c>
    </row>
    <row r="477" spans="1:4" x14ac:dyDescent="0.45">
      <c r="A477" t="s">
        <v>56</v>
      </c>
      <c r="B477">
        <v>2011</v>
      </c>
      <c r="C477" t="s">
        <v>76</v>
      </c>
      <c r="D477">
        <v>8.93</v>
      </c>
    </row>
    <row r="478" spans="1:4" x14ac:dyDescent="0.45">
      <c r="A478" t="s">
        <v>57</v>
      </c>
      <c r="B478">
        <v>2011</v>
      </c>
      <c r="C478" t="s">
        <v>76</v>
      </c>
      <c r="D478">
        <v>0.44</v>
      </c>
    </row>
    <row r="479" spans="1:4" x14ac:dyDescent="0.45">
      <c r="A479" t="s">
        <v>38</v>
      </c>
      <c r="B479">
        <v>2011</v>
      </c>
      <c r="C479" t="s">
        <v>76</v>
      </c>
      <c r="D479">
        <v>4.09</v>
      </c>
    </row>
    <row r="480" spans="1:4" x14ac:dyDescent="0.45">
      <c r="A480" t="s">
        <v>58</v>
      </c>
      <c r="B480">
        <v>2011</v>
      </c>
      <c r="C480" t="s">
        <v>76</v>
      </c>
      <c r="D480">
        <v>0.03</v>
      </c>
    </row>
    <row r="481" spans="1:4" x14ac:dyDescent="0.45">
      <c r="A481" t="s">
        <v>91</v>
      </c>
      <c r="B481">
        <v>2011</v>
      </c>
      <c r="C481" t="s">
        <v>76</v>
      </c>
      <c r="D481">
        <v>0.1</v>
      </c>
    </row>
    <row r="482" spans="1:4" x14ac:dyDescent="0.45">
      <c r="A482" t="s">
        <v>32</v>
      </c>
      <c r="B482">
        <v>2012</v>
      </c>
      <c r="C482" t="s">
        <v>76</v>
      </c>
      <c r="D482">
        <v>2.36</v>
      </c>
    </row>
    <row r="483" spans="1:4" x14ac:dyDescent="0.45">
      <c r="A483" t="s">
        <v>34</v>
      </c>
      <c r="B483">
        <v>2012</v>
      </c>
      <c r="C483" t="s">
        <v>76</v>
      </c>
      <c r="D483">
        <v>61.26</v>
      </c>
    </row>
    <row r="484" spans="1:4" x14ac:dyDescent="0.45">
      <c r="A484" t="s">
        <v>36</v>
      </c>
      <c r="B484">
        <v>2012</v>
      </c>
      <c r="C484" t="s">
        <v>76</v>
      </c>
      <c r="D484">
        <v>45.65</v>
      </c>
    </row>
    <row r="485" spans="1:4" x14ac:dyDescent="0.45">
      <c r="A485" t="s">
        <v>56</v>
      </c>
      <c r="B485">
        <v>2012</v>
      </c>
      <c r="C485" t="s">
        <v>76</v>
      </c>
      <c r="D485">
        <v>9.0399999999999991</v>
      </c>
    </row>
    <row r="486" spans="1:4" x14ac:dyDescent="0.45">
      <c r="A486" t="s">
        <v>57</v>
      </c>
      <c r="B486">
        <v>2012</v>
      </c>
      <c r="C486" t="s">
        <v>76</v>
      </c>
      <c r="D486">
        <v>0.44</v>
      </c>
    </row>
    <row r="487" spans="1:4" x14ac:dyDescent="0.45">
      <c r="A487" t="s">
        <v>38</v>
      </c>
      <c r="B487">
        <v>2012</v>
      </c>
      <c r="C487" t="s">
        <v>76</v>
      </c>
      <c r="D487">
        <v>4.2</v>
      </c>
    </row>
    <row r="488" spans="1:4" x14ac:dyDescent="0.45">
      <c r="A488" t="s">
        <v>58</v>
      </c>
      <c r="B488">
        <v>2012</v>
      </c>
      <c r="C488" t="s">
        <v>76</v>
      </c>
      <c r="D488">
        <v>0.04</v>
      </c>
    </row>
    <row r="489" spans="1:4" x14ac:dyDescent="0.45">
      <c r="A489" t="s">
        <v>91</v>
      </c>
      <c r="B489">
        <v>2012</v>
      </c>
      <c r="C489" t="s">
        <v>76</v>
      </c>
      <c r="D489">
        <v>0.11</v>
      </c>
    </row>
    <row r="490" spans="1:4" x14ac:dyDescent="0.45">
      <c r="A490" t="s">
        <v>32</v>
      </c>
      <c r="B490">
        <v>2013</v>
      </c>
      <c r="C490" t="s">
        <v>76</v>
      </c>
      <c r="D490">
        <v>2.39</v>
      </c>
    </row>
    <row r="491" spans="1:4" x14ac:dyDescent="0.45">
      <c r="A491" t="s">
        <v>34</v>
      </c>
      <c r="B491">
        <v>2013</v>
      </c>
      <c r="C491" t="s">
        <v>76</v>
      </c>
      <c r="D491">
        <v>62.33</v>
      </c>
    </row>
    <row r="492" spans="1:4" x14ac:dyDescent="0.45">
      <c r="A492" t="s">
        <v>36</v>
      </c>
      <c r="B492">
        <v>2013</v>
      </c>
      <c r="C492" t="s">
        <v>76</v>
      </c>
      <c r="D492">
        <v>43.52</v>
      </c>
    </row>
    <row r="493" spans="1:4" x14ac:dyDescent="0.45">
      <c r="A493" t="s">
        <v>56</v>
      </c>
      <c r="B493">
        <v>2013</v>
      </c>
      <c r="C493" t="s">
        <v>76</v>
      </c>
      <c r="D493">
        <v>9.31</v>
      </c>
    </row>
    <row r="494" spans="1:4" x14ac:dyDescent="0.45">
      <c r="A494" t="s">
        <v>57</v>
      </c>
      <c r="B494">
        <v>2013</v>
      </c>
      <c r="C494" t="s">
        <v>76</v>
      </c>
      <c r="D494">
        <v>0.48</v>
      </c>
    </row>
    <row r="495" spans="1:4" x14ac:dyDescent="0.45">
      <c r="A495" t="s">
        <v>38</v>
      </c>
      <c r="B495">
        <v>2013</v>
      </c>
      <c r="C495" t="s">
        <v>76</v>
      </c>
      <c r="D495">
        <v>4.38</v>
      </c>
    </row>
    <row r="496" spans="1:4" x14ac:dyDescent="0.45">
      <c r="A496" t="s">
        <v>58</v>
      </c>
      <c r="B496">
        <v>2013</v>
      </c>
      <c r="C496" t="s">
        <v>76</v>
      </c>
      <c r="D496">
        <v>7.0000000000000007E-2</v>
      </c>
    </row>
    <row r="497" spans="1:4" x14ac:dyDescent="0.45">
      <c r="A497" t="s">
        <v>91</v>
      </c>
      <c r="B497">
        <v>2013</v>
      </c>
      <c r="C497" t="s">
        <v>76</v>
      </c>
      <c r="D497">
        <v>0.11</v>
      </c>
    </row>
    <row r="498" spans="1:4" x14ac:dyDescent="0.45">
      <c r="A498" t="s">
        <v>32</v>
      </c>
      <c r="B498">
        <v>2014</v>
      </c>
      <c r="C498" t="s">
        <v>76</v>
      </c>
      <c r="D498">
        <v>2.12</v>
      </c>
    </row>
    <row r="499" spans="1:4" x14ac:dyDescent="0.45">
      <c r="A499" t="s">
        <v>34</v>
      </c>
      <c r="B499">
        <v>2014</v>
      </c>
      <c r="C499" t="s">
        <v>76</v>
      </c>
      <c r="D499">
        <v>61.31</v>
      </c>
    </row>
    <row r="500" spans="1:4" x14ac:dyDescent="0.45">
      <c r="A500" t="s">
        <v>36</v>
      </c>
      <c r="B500">
        <v>2014</v>
      </c>
      <c r="C500" t="s">
        <v>76</v>
      </c>
      <c r="D500">
        <v>46.95</v>
      </c>
    </row>
    <row r="501" spans="1:4" x14ac:dyDescent="0.45">
      <c r="A501" t="s">
        <v>56</v>
      </c>
      <c r="B501">
        <v>2014</v>
      </c>
      <c r="C501" t="s">
        <v>76</v>
      </c>
      <c r="D501">
        <v>9.09</v>
      </c>
    </row>
    <row r="502" spans="1:4" x14ac:dyDescent="0.45">
      <c r="A502" t="s">
        <v>57</v>
      </c>
      <c r="B502">
        <v>2014</v>
      </c>
      <c r="C502" t="s">
        <v>76</v>
      </c>
      <c r="D502">
        <v>0.5</v>
      </c>
    </row>
    <row r="503" spans="1:4" x14ac:dyDescent="0.45">
      <c r="A503" t="s">
        <v>38</v>
      </c>
      <c r="B503">
        <v>2014</v>
      </c>
      <c r="C503" t="s">
        <v>76</v>
      </c>
      <c r="D503">
        <v>3.13</v>
      </c>
    </row>
    <row r="504" spans="1:4" x14ac:dyDescent="0.45">
      <c r="A504" t="s">
        <v>58</v>
      </c>
      <c r="B504">
        <v>2014</v>
      </c>
      <c r="C504" t="s">
        <v>76</v>
      </c>
      <c r="D504">
        <v>0.1</v>
      </c>
    </row>
    <row r="505" spans="1:4" x14ac:dyDescent="0.45">
      <c r="A505" t="s">
        <v>91</v>
      </c>
      <c r="B505">
        <v>2014</v>
      </c>
      <c r="C505" t="s">
        <v>76</v>
      </c>
      <c r="D505">
        <v>0.12</v>
      </c>
    </row>
    <row r="506" spans="1:4" x14ac:dyDescent="0.45">
      <c r="A506" t="s">
        <v>32</v>
      </c>
      <c r="B506">
        <v>2015</v>
      </c>
      <c r="C506" t="s">
        <v>76</v>
      </c>
      <c r="D506">
        <v>2.16</v>
      </c>
    </row>
    <row r="507" spans="1:4" x14ac:dyDescent="0.45">
      <c r="A507" t="s">
        <v>34</v>
      </c>
      <c r="B507">
        <v>2015</v>
      </c>
      <c r="C507" t="s">
        <v>76</v>
      </c>
      <c r="D507">
        <v>57.41</v>
      </c>
    </row>
    <row r="508" spans="1:4" x14ac:dyDescent="0.45">
      <c r="A508" t="s">
        <v>36</v>
      </c>
      <c r="B508">
        <v>2015</v>
      </c>
      <c r="C508" t="s">
        <v>76</v>
      </c>
      <c r="D508">
        <v>49.07</v>
      </c>
    </row>
    <row r="509" spans="1:4" x14ac:dyDescent="0.45">
      <c r="A509" t="s">
        <v>56</v>
      </c>
      <c r="B509">
        <v>2015</v>
      </c>
      <c r="C509" t="s">
        <v>76</v>
      </c>
      <c r="D509">
        <v>9.08</v>
      </c>
    </row>
    <row r="510" spans="1:4" x14ac:dyDescent="0.45">
      <c r="A510" t="s">
        <v>57</v>
      </c>
      <c r="B510">
        <v>2015</v>
      </c>
      <c r="C510" t="s">
        <v>76</v>
      </c>
      <c r="D510">
        <v>0.47</v>
      </c>
    </row>
    <row r="511" spans="1:4" x14ac:dyDescent="0.45">
      <c r="A511" t="s">
        <v>38</v>
      </c>
      <c r="B511">
        <v>2015</v>
      </c>
      <c r="C511" t="s">
        <v>76</v>
      </c>
      <c r="D511">
        <v>3.29</v>
      </c>
    </row>
    <row r="512" spans="1:4" x14ac:dyDescent="0.45">
      <c r="A512" t="s">
        <v>58</v>
      </c>
      <c r="B512">
        <v>2015</v>
      </c>
      <c r="C512" t="s">
        <v>76</v>
      </c>
      <c r="D512">
        <v>0.14000000000000001</v>
      </c>
    </row>
    <row r="513" spans="1:4" x14ac:dyDescent="0.45">
      <c r="A513" t="s">
        <v>91</v>
      </c>
      <c r="B513">
        <v>2015</v>
      </c>
      <c r="C513" t="s">
        <v>76</v>
      </c>
      <c r="D513">
        <v>0.26</v>
      </c>
    </row>
    <row r="514" spans="1:4" x14ac:dyDescent="0.45">
      <c r="A514" t="s">
        <v>32</v>
      </c>
      <c r="B514">
        <v>2016</v>
      </c>
      <c r="C514" t="s">
        <v>76</v>
      </c>
      <c r="D514">
        <v>2.46</v>
      </c>
    </row>
    <row r="515" spans="1:4" x14ac:dyDescent="0.45">
      <c r="A515" t="s">
        <v>34</v>
      </c>
      <c r="B515">
        <v>2016</v>
      </c>
      <c r="C515" t="s">
        <v>76</v>
      </c>
      <c r="D515">
        <v>57.46</v>
      </c>
    </row>
    <row r="516" spans="1:4" x14ac:dyDescent="0.45">
      <c r="A516" t="s">
        <v>36</v>
      </c>
      <c r="B516">
        <v>2016</v>
      </c>
      <c r="C516" t="s">
        <v>76</v>
      </c>
      <c r="D516">
        <v>47.51</v>
      </c>
    </row>
    <row r="517" spans="1:4" x14ac:dyDescent="0.45">
      <c r="A517" t="s">
        <v>56</v>
      </c>
      <c r="B517">
        <v>2016</v>
      </c>
      <c r="C517" t="s">
        <v>76</v>
      </c>
      <c r="D517">
        <v>9.16</v>
      </c>
    </row>
    <row r="518" spans="1:4" x14ac:dyDescent="0.45">
      <c r="A518" t="s">
        <v>57</v>
      </c>
      <c r="B518">
        <v>2016</v>
      </c>
      <c r="C518" t="s">
        <v>76</v>
      </c>
      <c r="D518">
        <v>0.47</v>
      </c>
    </row>
    <row r="519" spans="1:4" x14ac:dyDescent="0.45">
      <c r="A519" t="s">
        <v>38</v>
      </c>
      <c r="B519">
        <v>2016</v>
      </c>
      <c r="C519" t="s">
        <v>76</v>
      </c>
      <c r="D519">
        <v>3.18</v>
      </c>
    </row>
    <row r="520" spans="1:4" x14ac:dyDescent="0.45">
      <c r="A520" t="s">
        <v>58</v>
      </c>
      <c r="B520">
        <v>2016</v>
      </c>
      <c r="C520" t="s">
        <v>76</v>
      </c>
      <c r="D520">
        <v>0.19</v>
      </c>
    </row>
    <row r="521" spans="1:4" x14ac:dyDescent="0.45">
      <c r="A521" t="s">
        <v>91</v>
      </c>
      <c r="B521">
        <v>2016</v>
      </c>
      <c r="C521" t="s">
        <v>76</v>
      </c>
      <c r="D521">
        <v>0.28999999999999998</v>
      </c>
    </row>
    <row r="522" spans="1:4" x14ac:dyDescent="0.45">
      <c r="A522" t="s">
        <v>32</v>
      </c>
      <c r="B522">
        <v>2017</v>
      </c>
      <c r="C522" t="s">
        <v>76</v>
      </c>
      <c r="D522">
        <v>2.41</v>
      </c>
    </row>
    <row r="523" spans="1:4" x14ac:dyDescent="0.45">
      <c r="A523" t="s">
        <v>34</v>
      </c>
      <c r="B523">
        <v>2017</v>
      </c>
      <c r="C523" t="s">
        <v>76</v>
      </c>
      <c r="D523">
        <v>55.51</v>
      </c>
    </row>
    <row r="524" spans="1:4" x14ac:dyDescent="0.45">
      <c r="A524" t="s">
        <v>36</v>
      </c>
      <c r="B524">
        <v>2017</v>
      </c>
      <c r="C524" t="s">
        <v>76</v>
      </c>
      <c r="D524">
        <v>44.36</v>
      </c>
    </row>
    <row r="525" spans="1:4" x14ac:dyDescent="0.45">
      <c r="A525" t="s">
        <v>56</v>
      </c>
      <c r="B525">
        <v>2017</v>
      </c>
      <c r="C525" t="s">
        <v>76</v>
      </c>
      <c r="D525">
        <v>9.3800000000000008</v>
      </c>
    </row>
    <row r="526" spans="1:4" x14ac:dyDescent="0.45">
      <c r="A526" t="s">
        <v>57</v>
      </c>
      <c r="B526">
        <v>2017</v>
      </c>
      <c r="C526" t="s">
        <v>76</v>
      </c>
      <c r="D526">
        <v>0.47</v>
      </c>
    </row>
    <row r="527" spans="1:4" x14ac:dyDescent="0.45">
      <c r="A527" t="s">
        <v>38</v>
      </c>
      <c r="B527">
        <v>2017</v>
      </c>
      <c r="C527" t="s">
        <v>76</v>
      </c>
      <c r="D527">
        <v>2.58</v>
      </c>
    </row>
    <row r="528" spans="1:4" x14ac:dyDescent="0.45">
      <c r="A528" t="s">
        <v>58</v>
      </c>
      <c r="B528">
        <v>2017</v>
      </c>
      <c r="C528" t="s">
        <v>76</v>
      </c>
      <c r="D528">
        <v>0.17</v>
      </c>
    </row>
    <row r="529" spans="1:4" x14ac:dyDescent="0.45">
      <c r="A529" t="s">
        <v>91</v>
      </c>
      <c r="B529">
        <v>2017</v>
      </c>
      <c r="C529" t="s">
        <v>76</v>
      </c>
      <c r="D529">
        <v>0.3</v>
      </c>
    </row>
    <row r="530" spans="1:4" x14ac:dyDescent="0.45">
      <c r="A530" t="s">
        <v>32</v>
      </c>
      <c r="B530">
        <v>2018</v>
      </c>
      <c r="C530" t="s">
        <v>76</v>
      </c>
      <c r="D530">
        <v>2.2799999999999998</v>
      </c>
    </row>
    <row r="531" spans="1:4" x14ac:dyDescent="0.45">
      <c r="A531" t="s">
        <v>34</v>
      </c>
      <c r="B531">
        <v>2018</v>
      </c>
      <c r="C531" t="s">
        <v>76</v>
      </c>
      <c r="D531">
        <v>46.85</v>
      </c>
    </row>
    <row r="532" spans="1:4" x14ac:dyDescent="0.45">
      <c r="A532" t="s">
        <v>36</v>
      </c>
      <c r="B532">
        <v>2018</v>
      </c>
      <c r="C532" t="s">
        <v>76</v>
      </c>
      <c r="D532">
        <v>51.06</v>
      </c>
    </row>
    <row r="533" spans="1:4" x14ac:dyDescent="0.45">
      <c r="A533" t="s">
        <v>56</v>
      </c>
      <c r="B533">
        <v>2018</v>
      </c>
      <c r="C533" t="s">
        <v>76</v>
      </c>
      <c r="D533">
        <v>9.17</v>
      </c>
    </row>
    <row r="534" spans="1:4" x14ac:dyDescent="0.45">
      <c r="A534" t="s">
        <v>57</v>
      </c>
      <c r="B534">
        <v>2018</v>
      </c>
      <c r="C534" t="s">
        <v>76</v>
      </c>
      <c r="D534">
        <v>0.47</v>
      </c>
    </row>
    <row r="535" spans="1:4" x14ac:dyDescent="0.45">
      <c r="A535" t="s">
        <v>38</v>
      </c>
      <c r="B535">
        <v>2018</v>
      </c>
      <c r="C535" t="s">
        <v>76</v>
      </c>
      <c r="D535">
        <v>2.65</v>
      </c>
    </row>
    <row r="536" spans="1:4" x14ac:dyDescent="0.45">
      <c r="A536" t="s">
        <v>58</v>
      </c>
      <c r="B536">
        <v>2018</v>
      </c>
      <c r="C536" t="s">
        <v>76</v>
      </c>
      <c r="D536">
        <v>0.18</v>
      </c>
    </row>
    <row r="537" spans="1:4" x14ac:dyDescent="0.45">
      <c r="A537" t="s">
        <v>91</v>
      </c>
      <c r="B537">
        <v>2018</v>
      </c>
      <c r="C537" t="s">
        <v>76</v>
      </c>
      <c r="D537">
        <v>0.32</v>
      </c>
    </row>
    <row r="538" spans="1:4" x14ac:dyDescent="0.45">
      <c r="A538" t="s">
        <v>32</v>
      </c>
      <c r="B538">
        <v>2019</v>
      </c>
      <c r="C538" t="s">
        <v>76</v>
      </c>
      <c r="D538">
        <v>2.23</v>
      </c>
    </row>
    <row r="539" spans="1:4" x14ac:dyDescent="0.45">
      <c r="A539" t="s">
        <v>34</v>
      </c>
      <c r="B539">
        <v>2019</v>
      </c>
      <c r="C539" t="s">
        <v>76</v>
      </c>
      <c r="D539">
        <v>44.3</v>
      </c>
    </row>
    <row r="540" spans="1:4" x14ac:dyDescent="0.45">
      <c r="A540" t="s">
        <v>36</v>
      </c>
      <c r="B540">
        <v>2019</v>
      </c>
      <c r="C540" t="s">
        <v>76</v>
      </c>
      <c r="D540">
        <v>52.65</v>
      </c>
    </row>
    <row r="541" spans="1:4" x14ac:dyDescent="0.45">
      <c r="A541" t="s">
        <v>56</v>
      </c>
      <c r="B541">
        <v>2019</v>
      </c>
      <c r="C541" t="s">
        <v>76</v>
      </c>
      <c r="D541">
        <v>9.07</v>
      </c>
    </row>
    <row r="542" spans="1:4" x14ac:dyDescent="0.45">
      <c r="A542" t="s">
        <v>57</v>
      </c>
      <c r="B542">
        <v>2019</v>
      </c>
      <c r="C542" t="s">
        <v>76</v>
      </c>
      <c r="D542">
        <v>0.47</v>
      </c>
    </row>
    <row r="543" spans="1:4" x14ac:dyDescent="0.45">
      <c r="A543" t="s">
        <v>38</v>
      </c>
      <c r="B543">
        <v>2019</v>
      </c>
      <c r="C543" t="s">
        <v>76</v>
      </c>
      <c r="D543">
        <v>2.25</v>
      </c>
    </row>
    <row r="544" spans="1:4" x14ac:dyDescent="0.45">
      <c r="A544" t="s">
        <v>58</v>
      </c>
      <c r="B544">
        <v>2019</v>
      </c>
      <c r="C544" t="s">
        <v>76</v>
      </c>
      <c r="D544">
        <v>0.19</v>
      </c>
    </row>
    <row r="545" spans="1:4" x14ac:dyDescent="0.45">
      <c r="A545" t="s">
        <v>91</v>
      </c>
      <c r="B545">
        <v>2019</v>
      </c>
      <c r="C545" t="s">
        <v>76</v>
      </c>
      <c r="D545">
        <v>0.31</v>
      </c>
    </row>
    <row r="546" spans="1:4" x14ac:dyDescent="0.45">
      <c r="A546" t="s">
        <v>32</v>
      </c>
      <c r="B546">
        <v>2020</v>
      </c>
      <c r="C546" t="s">
        <v>76</v>
      </c>
      <c r="D546">
        <v>2.16</v>
      </c>
    </row>
    <row r="547" spans="1:4" x14ac:dyDescent="0.45">
      <c r="A547" t="s">
        <v>34</v>
      </c>
      <c r="B547">
        <v>2020</v>
      </c>
      <c r="C547" t="s">
        <v>76</v>
      </c>
      <c r="D547">
        <v>35.19</v>
      </c>
    </row>
    <row r="548" spans="1:4" x14ac:dyDescent="0.45">
      <c r="A548" t="s">
        <v>36</v>
      </c>
      <c r="B548">
        <v>2020</v>
      </c>
      <c r="C548" t="s">
        <v>76</v>
      </c>
      <c r="D548">
        <v>54.41</v>
      </c>
    </row>
    <row r="549" spans="1:4" x14ac:dyDescent="0.45">
      <c r="A549" t="s">
        <v>56</v>
      </c>
      <c r="B549">
        <v>2020</v>
      </c>
      <c r="C549" t="s">
        <v>76</v>
      </c>
      <c r="D549">
        <v>9.18</v>
      </c>
    </row>
    <row r="550" spans="1:4" x14ac:dyDescent="0.45">
      <c r="A550" t="s">
        <v>57</v>
      </c>
      <c r="B550">
        <v>2020</v>
      </c>
      <c r="C550" t="s">
        <v>76</v>
      </c>
      <c r="D550">
        <v>0.46</v>
      </c>
    </row>
    <row r="551" spans="1:4" x14ac:dyDescent="0.45">
      <c r="A551" t="s">
        <v>38</v>
      </c>
      <c r="B551">
        <v>2020</v>
      </c>
      <c r="C551" t="s">
        <v>76</v>
      </c>
      <c r="D551">
        <v>3.01</v>
      </c>
    </row>
    <row r="552" spans="1:4" x14ac:dyDescent="0.45">
      <c r="A552" t="s">
        <v>58</v>
      </c>
      <c r="B552">
        <v>2020</v>
      </c>
      <c r="C552" t="s">
        <v>76</v>
      </c>
      <c r="D552">
        <v>0.2</v>
      </c>
    </row>
    <row r="553" spans="1:4" x14ac:dyDescent="0.45">
      <c r="A553" t="s">
        <v>91</v>
      </c>
      <c r="B553">
        <v>2020</v>
      </c>
      <c r="C553" t="s">
        <v>76</v>
      </c>
      <c r="D553">
        <v>0.34</v>
      </c>
    </row>
    <row r="554" spans="1:4" x14ac:dyDescent="0.45">
      <c r="A554" t="s">
        <v>32</v>
      </c>
      <c r="B554">
        <v>2021</v>
      </c>
      <c r="C554" t="s">
        <v>76</v>
      </c>
      <c r="D554">
        <v>2.2000000000000002</v>
      </c>
    </row>
    <row r="555" spans="1:4" x14ac:dyDescent="0.45">
      <c r="A555" t="s">
        <v>34</v>
      </c>
      <c r="B555">
        <v>2021</v>
      </c>
      <c r="C555" t="s">
        <v>76</v>
      </c>
      <c r="D555">
        <v>31.41</v>
      </c>
    </row>
    <row r="556" spans="1:4" x14ac:dyDescent="0.45">
      <c r="A556" t="s">
        <v>36</v>
      </c>
      <c r="B556">
        <v>2021</v>
      </c>
      <c r="C556" t="s">
        <v>76</v>
      </c>
      <c r="D556">
        <v>59.43</v>
      </c>
    </row>
    <row r="557" spans="1:4" x14ac:dyDescent="0.45">
      <c r="A557" t="s">
        <v>56</v>
      </c>
      <c r="B557">
        <v>2021</v>
      </c>
      <c r="C557" t="s">
        <v>76</v>
      </c>
      <c r="D557">
        <v>9.09</v>
      </c>
    </row>
    <row r="558" spans="1:4" x14ac:dyDescent="0.45">
      <c r="A558" t="s">
        <v>57</v>
      </c>
      <c r="B558">
        <v>2021</v>
      </c>
      <c r="C558" t="s">
        <v>76</v>
      </c>
      <c r="D558">
        <v>0.43</v>
      </c>
    </row>
    <row r="559" spans="1:4" x14ac:dyDescent="0.45">
      <c r="A559" t="s">
        <v>38</v>
      </c>
      <c r="B559">
        <v>2021</v>
      </c>
      <c r="C559" t="s">
        <v>76</v>
      </c>
      <c r="D559">
        <v>2.74</v>
      </c>
    </row>
    <row r="560" spans="1:4" x14ac:dyDescent="0.45">
      <c r="A560" t="s">
        <v>58</v>
      </c>
      <c r="B560">
        <v>2021</v>
      </c>
      <c r="C560" t="s">
        <v>76</v>
      </c>
      <c r="D560">
        <v>0.28999999999999998</v>
      </c>
    </row>
    <row r="561" spans="1:4" x14ac:dyDescent="0.45">
      <c r="A561" t="s">
        <v>91</v>
      </c>
      <c r="B561">
        <v>2021</v>
      </c>
      <c r="C561" t="s">
        <v>76</v>
      </c>
      <c r="D561">
        <v>0.35</v>
      </c>
    </row>
    <row r="562" spans="1:4" x14ac:dyDescent="0.45">
      <c r="A562" t="s">
        <v>32</v>
      </c>
      <c r="B562">
        <v>2022</v>
      </c>
      <c r="C562" t="s">
        <v>76</v>
      </c>
      <c r="D562">
        <v>1.97</v>
      </c>
    </row>
    <row r="563" spans="1:4" x14ac:dyDescent="0.45">
      <c r="A563" t="s">
        <v>34</v>
      </c>
      <c r="B563">
        <v>2022</v>
      </c>
      <c r="C563" t="s">
        <v>76</v>
      </c>
      <c r="D563">
        <v>24.05</v>
      </c>
    </row>
    <row r="564" spans="1:4" x14ac:dyDescent="0.45">
      <c r="A564" t="s">
        <v>36</v>
      </c>
      <c r="B564">
        <v>2022</v>
      </c>
      <c r="C564" t="s">
        <v>76</v>
      </c>
      <c r="D564">
        <v>63.16</v>
      </c>
    </row>
    <row r="565" spans="1:4" x14ac:dyDescent="0.45">
      <c r="A565" t="s">
        <v>56</v>
      </c>
      <c r="B565">
        <v>2022</v>
      </c>
      <c r="C565" t="s">
        <v>76</v>
      </c>
      <c r="D565">
        <v>9.4499999999999993</v>
      </c>
    </row>
    <row r="566" spans="1:4" x14ac:dyDescent="0.45">
      <c r="A566" t="s">
        <v>57</v>
      </c>
      <c r="B566">
        <v>2022</v>
      </c>
      <c r="C566" t="s">
        <v>76</v>
      </c>
      <c r="D566">
        <v>0.41</v>
      </c>
    </row>
    <row r="567" spans="1:4" x14ac:dyDescent="0.45">
      <c r="A567" t="s">
        <v>38</v>
      </c>
      <c r="B567">
        <v>2022</v>
      </c>
      <c r="C567" t="s">
        <v>76</v>
      </c>
      <c r="D567">
        <v>3.57</v>
      </c>
    </row>
    <row r="568" spans="1:4" x14ac:dyDescent="0.45">
      <c r="A568" t="s">
        <v>58</v>
      </c>
      <c r="B568">
        <v>2022</v>
      </c>
      <c r="C568" t="s">
        <v>76</v>
      </c>
      <c r="D568">
        <v>0.34</v>
      </c>
    </row>
    <row r="569" spans="1:4" x14ac:dyDescent="0.45">
      <c r="A569" t="s">
        <v>91</v>
      </c>
      <c r="B569">
        <v>2022</v>
      </c>
      <c r="C569" t="s">
        <v>76</v>
      </c>
      <c r="D569">
        <v>0.37</v>
      </c>
    </row>
    <row r="570" spans="1:4" x14ac:dyDescent="0.45">
      <c r="A570" t="s">
        <v>32</v>
      </c>
      <c r="B570">
        <v>2023</v>
      </c>
      <c r="C570" t="s">
        <v>76</v>
      </c>
      <c r="D570">
        <v>2.2400000000000002</v>
      </c>
    </row>
    <row r="571" spans="1:4" x14ac:dyDescent="0.45">
      <c r="A571" t="s">
        <v>34</v>
      </c>
      <c r="B571">
        <v>2023</v>
      </c>
      <c r="C571" t="s">
        <v>76</v>
      </c>
      <c r="D571">
        <v>21.76</v>
      </c>
    </row>
    <row r="572" spans="1:4" x14ac:dyDescent="0.45">
      <c r="A572" t="s">
        <v>36</v>
      </c>
      <c r="B572">
        <v>2023</v>
      </c>
      <c r="C572" t="s">
        <v>76</v>
      </c>
      <c r="D572">
        <v>67.459999999999994</v>
      </c>
    </row>
    <row r="573" spans="1:4" x14ac:dyDescent="0.45">
      <c r="A573" t="s">
        <v>56</v>
      </c>
      <c r="B573">
        <v>2023</v>
      </c>
      <c r="C573" t="s">
        <v>76</v>
      </c>
      <c r="D573">
        <v>8.65</v>
      </c>
    </row>
    <row r="574" spans="1:4" x14ac:dyDescent="0.45">
      <c r="A574" t="s">
        <v>57</v>
      </c>
      <c r="B574">
        <v>2023</v>
      </c>
      <c r="C574" t="s">
        <v>76</v>
      </c>
      <c r="D574">
        <v>0.42</v>
      </c>
    </row>
    <row r="575" spans="1:4" x14ac:dyDescent="0.45">
      <c r="A575" t="s">
        <v>38</v>
      </c>
      <c r="B575">
        <v>2023</v>
      </c>
      <c r="C575" t="s">
        <v>76</v>
      </c>
      <c r="D575">
        <v>3.31</v>
      </c>
    </row>
    <row r="576" spans="1:4" x14ac:dyDescent="0.45">
      <c r="A576" t="s">
        <v>58</v>
      </c>
      <c r="B576">
        <v>2023</v>
      </c>
      <c r="C576" t="s">
        <v>76</v>
      </c>
      <c r="D576">
        <v>0.36</v>
      </c>
    </row>
    <row r="577" spans="1:4" x14ac:dyDescent="0.45">
      <c r="A577" t="s">
        <v>91</v>
      </c>
      <c r="B577">
        <v>2023</v>
      </c>
      <c r="C577" t="s">
        <v>76</v>
      </c>
      <c r="D577">
        <v>0.37</v>
      </c>
    </row>
    <row r="578" spans="1:4" x14ac:dyDescent="0.45">
      <c r="A578" t="s">
        <v>59</v>
      </c>
      <c r="B578">
        <v>2000</v>
      </c>
      <c r="C578" t="s">
        <v>74</v>
      </c>
      <c r="D578">
        <v>51</v>
      </c>
    </row>
    <row r="579" spans="1:4" x14ac:dyDescent="0.45">
      <c r="A579" t="s">
        <v>60</v>
      </c>
      <c r="B579">
        <v>2000</v>
      </c>
      <c r="C579" t="s">
        <v>74</v>
      </c>
      <c r="D579">
        <v>15.3</v>
      </c>
    </row>
    <row r="580" spans="1:4" x14ac:dyDescent="0.45">
      <c r="A580" t="s">
        <v>59</v>
      </c>
      <c r="B580">
        <v>2001</v>
      </c>
      <c r="C580" t="s">
        <v>74</v>
      </c>
      <c r="D580">
        <v>39.200000000000003</v>
      </c>
    </row>
    <row r="581" spans="1:4" x14ac:dyDescent="0.45">
      <c r="A581" t="s">
        <v>60</v>
      </c>
      <c r="B581">
        <v>2001</v>
      </c>
      <c r="C581" t="s">
        <v>74</v>
      </c>
      <c r="D581">
        <v>16.100000000000001</v>
      </c>
    </row>
    <row r="582" spans="1:4" x14ac:dyDescent="0.45">
      <c r="A582" t="s">
        <v>59</v>
      </c>
      <c r="B582">
        <v>2002</v>
      </c>
      <c r="C582" t="s">
        <v>74</v>
      </c>
      <c r="D582">
        <v>36.1</v>
      </c>
    </row>
    <row r="583" spans="1:4" x14ac:dyDescent="0.45">
      <c r="A583" t="s">
        <v>60</v>
      </c>
      <c r="B583">
        <v>2002</v>
      </c>
      <c r="C583" t="s">
        <v>74</v>
      </c>
      <c r="D583">
        <v>16.100000000000001</v>
      </c>
    </row>
    <row r="584" spans="1:4" x14ac:dyDescent="0.45">
      <c r="A584" t="s">
        <v>59</v>
      </c>
      <c r="B584">
        <v>2003</v>
      </c>
      <c r="C584" t="s">
        <v>74</v>
      </c>
      <c r="D584">
        <v>31.3</v>
      </c>
    </row>
    <row r="585" spans="1:4" x14ac:dyDescent="0.45">
      <c r="A585" t="s">
        <v>60</v>
      </c>
      <c r="B585">
        <v>2003</v>
      </c>
      <c r="C585" t="s">
        <v>74</v>
      </c>
      <c r="D585">
        <v>24.5</v>
      </c>
    </row>
    <row r="586" spans="1:4" x14ac:dyDescent="0.45">
      <c r="A586" t="s">
        <v>59</v>
      </c>
      <c r="B586">
        <v>2004</v>
      </c>
      <c r="C586" t="s">
        <v>74</v>
      </c>
      <c r="D586">
        <v>33.700000000000003</v>
      </c>
    </row>
    <row r="587" spans="1:4" x14ac:dyDescent="0.45">
      <c r="A587" t="s">
        <v>60</v>
      </c>
      <c r="B587">
        <v>2004</v>
      </c>
      <c r="C587" t="s">
        <v>74</v>
      </c>
      <c r="D587">
        <v>22.9</v>
      </c>
    </row>
    <row r="588" spans="1:4" x14ac:dyDescent="0.45">
      <c r="A588" t="s">
        <v>59</v>
      </c>
      <c r="B588">
        <v>2005</v>
      </c>
      <c r="C588" t="s">
        <v>74</v>
      </c>
      <c r="D588">
        <v>43.1</v>
      </c>
    </row>
    <row r="589" spans="1:4" x14ac:dyDescent="0.45">
      <c r="A589" t="s">
        <v>60</v>
      </c>
      <c r="B589">
        <v>2005</v>
      </c>
      <c r="C589" t="s">
        <v>74</v>
      </c>
      <c r="D589">
        <v>19.600000000000001</v>
      </c>
    </row>
    <row r="590" spans="1:4" x14ac:dyDescent="0.45">
      <c r="A590" t="s">
        <v>59</v>
      </c>
      <c r="B590">
        <v>2006</v>
      </c>
      <c r="C590" t="s">
        <v>74</v>
      </c>
      <c r="D590">
        <v>40.700000000000003</v>
      </c>
    </row>
    <row r="591" spans="1:4" x14ac:dyDescent="0.45">
      <c r="A591" t="s">
        <v>60</v>
      </c>
      <c r="B591">
        <v>2006</v>
      </c>
      <c r="C591" t="s">
        <v>74</v>
      </c>
      <c r="D591">
        <v>22.4</v>
      </c>
    </row>
    <row r="592" spans="1:4" x14ac:dyDescent="0.45">
      <c r="A592" t="s">
        <v>59</v>
      </c>
      <c r="B592">
        <v>2007</v>
      </c>
      <c r="C592" t="s">
        <v>74</v>
      </c>
      <c r="D592">
        <v>49.9</v>
      </c>
    </row>
    <row r="593" spans="1:4" x14ac:dyDescent="0.45">
      <c r="A593" t="s">
        <v>60</v>
      </c>
      <c r="B593">
        <v>2007</v>
      </c>
      <c r="C593" t="s">
        <v>74</v>
      </c>
      <c r="D593">
        <v>19.100000000000001</v>
      </c>
    </row>
    <row r="594" spans="1:4" x14ac:dyDescent="0.45">
      <c r="A594" t="s">
        <v>59</v>
      </c>
      <c r="B594">
        <v>2008</v>
      </c>
      <c r="C594" t="s">
        <v>74</v>
      </c>
      <c r="D594">
        <v>56</v>
      </c>
    </row>
    <row r="595" spans="1:4" x14ac:dyDescent="0.45">
      <c r="A595" t="s">
        <v>60</v>
      </c>
      <c r="B595">
        <v>2008</v>
      </c>
      <c r="C595" t="s">
        <v>74</v>
      </c>
      <c r="D595">
        <v>23.9</v>
      </c>
    </row>
    <row r="596" spans="1:4" x14ac:dyDescent="0.45">
      <c r="A596" t="s">
        <v>59</v>
      </c>
      <c r="B596">
        <v>2009</v>
      </c>
      <c r="C596" t="s">
        <v>74</v>
      </c>
      <c r="D596">
        <v>52</v>
      </c>
    </row>
    <row r="597" spans="1:4" x14ac:dyDescent="0.45">
      <c r="A597" t="s">
        <v>60</v>
      </c>
      <c r="B597">
        <v>2009</v>
      </c>
      <c r="C597" t="s">
        <v>74</v>
      </c>
      <c r="D597">
        <v>18.2</v>
      </c>
    </row>
    <row r="598" spans="1:4" x14ac:dyDescent="0.45">
      <c r="A598" t="s">
        <v>59</v>
      </c>
      <c r="B598">
        <v>2010</v>
      </c>
      <c r="C598" t="s">
        <v>74</v>
      </c>
      <c r="D598">
        <v>44.3</v>
      </c>
    </row>
    <row r="599" spans="1:4" x14ac:dyDescent="0.45">
      <c r="A599" t="s">
        <v>60</v>
      </c>
      <c r="B599">
        <v>2010</v>
      </c>
      <c r="C599" t="s">
        <v>74</v>
      </c>
      <c r="D599">
        <v>18.8</v>
      </c>
    </row>
    <row r="600" spans="1:4" x14ac:dyDescent="0.45">
      <c r="A600" t="s">
        <v>59</v>
      </c>
      <c r="B600">
        <v>2011</v>
      </c>
      <c r="C600" t="s">
        <v>74</v>
      </c>
      <c r="D600">
        <v>51.4</v>
      </c>
    </row>
    <row r="601" spans="1:4" x14ac:dyDescent="0.45">
      <c r="A601" t="s">
        <v>60</v>
      </c>
      <c r="B601">
        <v>2011</v>
      </c>
      <c r="C601" t="s">
        <v>74</v>
      </c>
      <c r="D601">
        <v>14.6</v>
      </c>
    </row>
    <row r="602" spans="1:4" x14ac:dyDescent="0.45">
      <c r="A602" t="s">
        <v>59</v>
      </c>
      <c r="B602">
        <v>2012</v>
      </c>
      <c r="C602" t="s">
        <v>74</v>
      </c>
      <c r="D602">
        <v>57.9</v>
      </c>
    </row>
    <row r="603" spans="1:4" x14ac:dyDescent="0.45">
      <c r="A603" t="s">
        <v>60</v>
      </c>
      <c r="B603">
        <v>2012</v>
      </c>
      <c r="C603" t="s">
        <v>74</v>
      </c>
      <c r="D603">
        <v>10.9</v>
      </c>
    </row>
    <row r="604" spans="1:4" x14ac:dyDescent="0.45">
      <c r="A604" t="s">
        <v>59</v>
      </c>
      <c r="B604">
        <v>2013</v>
      </c>
      <c r="C604" t="s">
        <v>74</v>
      </c>
      <c r="D604">
        <v>62.7</v>
      </c>
    </row>
    <row r="605" spans="1:4" x14ac:dyDescent="0.45">
      <c r="A605" t="s">
        <v>60</v>
      </c>
      <c r="B605">
        <v>2013</v>
      </c>
      <c r="C605" t="s">
        <v>74</v>
      </c>
      <c r="D605">
        <v>10.7</v>
      </c>
    </row>
    <row r="606" spans="1:4" x14ac:dyDescent="0.45">
      <c r="A606" t="s">
        <v>59</v>
      </c>
      <c r="B606">
        <v>2014</v>
      </c>
      <c r="C606" t="s">
        <v>74</v>
      </c>
      <c r="D606">
        <v>58.4</v>
      </c>
    </row>
    <row r="607" spans="1:4" x14ac:dyDescent="0.45">
      <c r="A607" t="s">
        <v>60</v>
      </c>
      <c r="B607">
        <v>2014</v>
      </c>
      <c r="C607" t="s">
        <v>74</v>
      </c>
      <c r="D607">
        <v>12.8</v>
      </c>
    </row>
    <row r="608" spans="1:4" x14ac:dyDescent="0.45">
      <c r="A608" t="s">
        <v>59</v>
      </c>
      <c r="B608">
        <v>2015</v>
      </c>
      <c r="C608" t="s">
        <v>74</v>
      </c>
      <c r="D608">
        <v>68.3</v>
      </c>
    </row>
    <row r="609" spans="1:4" x14ac:dyDescent="0.45">
      <c r="A609" t="s">
        <v>60</v>
      </c>
      <c r="B609">
        <v>2015</v>
      </c>
      <c r="C609" t="s">
        <v>74</v>
      </c>
      <c r="D609">
        <v>8.6999999999999993</v>
      </c>
    </row>
    <row r="610" spans="1:4" x14ac:dyDescent="0.45">
      <c r="A610" t="s">
        <v>59</v>
      </c>
      <c r="B610">
        <v>2016</v>
      </c>
      <c r="C610" t="s">
        <v>74</v>
      </c>
      <c r="D610">
        <v>73.099999999999994</v>
      </c>
    </row>
    <row r="611" spans="1:4" x14ac:dyDescent="0.45">
      <c r="A611" t="s">
        <v>60</v>
      </c>
      <c r="B611">
        <v>2016</v>
      </c>
      <c r="C611" t="s">
        <v>74</v>
      </c>
      <c r="D611">
        <v>9.3000000000000007</v>
      </c>
    </row>
    <row r="612" spans="1:4" x14ac:dyDescent="0.45">
      <c r="A612" t="s">
        <v>59</v>
      </c>
      <c r="B612">
        <v>2017</v>
      </c>
      <c r="C612" t="s">
        <v>74</v>
      </c>
      <c r="D612">
        <v>72</v>
      </c>
    </row>
    <row r="613" spans="1:4" x14ac:dyDescent="0.45">
      <c r="A613" t="s">
        <v>60</v>
      </c>
      <c r="B613">
        <v>2017</v>
      </c>
      <c r="C613" t="s">
        <v>74</v>
      </c>
      <c r="D613">
        <v>9.9</v>
      </c>
    </row>
    <row r="614" spans="1:4" x14ac:dyDescent="0.45">
      <c r="A614" t="s">
        <v>59</v>
      </c>
      <c r="B614">
        <v>2018</v>
      </c>
      <c r="C614" t="s">
        <v>74</v>
      </c>
      <c r="D614">
        <v>61.4</v>
      </c>
    </row>
    <row r="615" spans="1:4" x14ac:dyDescent="0.45">
      <c r="A615" t="s">
        <v>60</v>
      </c>
      <c r="B615">
        <v>2018</v>
      </c>
      <c r="C615" t="s">
        <v>74</v>
      </c>
      <c r="D615">
        <v>13.2</v>
      </c>
    </row>
    <row r="616" spans="1:4" x14ac:dyDescent="0.45">
      <c r="A616" t="s">
        <v>59</v>
      </c>
      <c r="B616">
        <v>2019</v>
      </c>
      <c r="C616" t="s">
        <v>74</v>
      </c>
      <c r="D616">
        <v>60.4</v>
      </c>
    </row>
    <row r="617" spans="1:4" x14ac:dyDescent="0.45">
      <c r="A617" t="s">
        <v>60</v>
      </c>
      <c r="B617">
        <v>2019</v>
      </c>
      <c r="C617" t="s">
        <v>74</v>
      </c>
      <c r="D617">
        <v>13.3</v>
      </c>
    </row>
    <row r="618" spans="1:4" x14ac:dyDescent="0.45">
      <c r="A618" t="s">
        <v>59</v>
      </c>
      <c r="B618">
        <v>2020</v>
      </c>
      <c r="C618" t="s">
        <v>74</v>
      </c>
      <c r="D618">
        <v>67.400000000000006</v>
      </c>
    </row>
    <row r="619" spans="1:4" x14ac:dyDescent="0.45">
      <c r="A619" t="s">
        <v>60</v>
      </c>
      <c r="B619">
        <v>2020</v>
      </c>
      <c r="C619" t="s">
        <v>74</v>
      </c>
      <c r="D619">
        <v>9.8000000000000007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60.4</v>
      </c>
    </row>
    <row r="621" spans="1:4" x14ac:dyDescent="0.45">
      <c r="A621" t="s">
        <v>60</v>
      </c>
      <c r="B621">
        <v>2021</v>
      </c>
      <c r="C621" t="s">
        <v>74</v>
      </c>
      <c r="D621">
        <v>13</v>
      </c>
    </row>
    <row r="622" spans="1:4" x14ac:dyDescent="0.45">
      <c r="A622" t="s">
        <v>59</v>
      </c>
      <c r="B622">
        <v>2022</v>
      </c>
      <c r="C622" t="s">
        <v>74</v>
      </c>
      <c r="D622">
        <v>65.400000000000006</v>
      </c>
    </row>
    <row r="623" spans="1:4" x14ac:dyDescent="0.45">
      <c r="A623" t="s">
        <v>60</v>
      </c>
      <c r="B623">
        <v>2022</v>
      </c>
      <c r="C623" t="s">
        <v>74</v>
      </c>
      <c r="D623">
        <v>14.1</v>
      </c>
    </row>
    <row r="624" spans="1:4" x14ac:dyDescent="0.45">
      <c r="A624" t="s">
        <v>59</v>
      </c>
      <c r="B624">
        <v>2023</v>
      </c>
      <c r="C624" t="s">
        <v>74</v>
      </c>
      <c r="D624">
        <v>49.4</v>
      </c>
    </row>
    <row r="625" spans="1:4" x14ac:dyDescent="0.45">
      <c r="A625" t="s">
        <v>60</v>
      </c>
      <c r="B625">
        <v>2023</v>
      </c>
      <c r="C625" t="s">
        <v>74</v>
      </c>
      <c r="D625">
        <v>21.7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12.492599999999999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5.0666000000000002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1.4006000000000001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0.74260000000000004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0.32900000000000001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7.5200000000000003E-2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9.4000000000000004E-3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8.442499999999999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9.4819999999999993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9.4215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11.308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12.787500000000001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12.969000000000001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10.147499999999999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3.794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2.4710000000000001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1.1200000000000001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3.5000000000000003E-2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12.990799999999998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13.7804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13.7898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10.716000000000001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6.2885999999999997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7.9430000000000005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9.0052000000000003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8.722999999999999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10.263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14.828000000000001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15.201999999999998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15.653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19.948500000000003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25.162500000000001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3.8639999999999999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3.6399999999999997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2.7510000000000003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1.2109999999999999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12.878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13.564200000000001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13.4984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0.44180000000000003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5.6399999999999992E-2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8.6790000000000003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10.164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14.619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5.5220000000000002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5.6429999999999998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4.6145000000000005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3.2449999999999997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3.871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3.6399999999999997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2.7510000000000003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0.378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12.633599999999999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13.150599999999999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12.953200000000001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2.3782000000000001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0.76139999999999997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2.8199999999999996E-2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9.4000000000000004E-3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8.5414999999999992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9.9164999999999992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14.151499999999999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5.83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7.0729999999999995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7.0235000000000003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5.4945000000000004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3.8289999999999997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3.5840000000000001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2.702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0.40599999999999997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12.633599999999999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5.2358000000000002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1.3253999999999999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0.2162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7.5200000000000003E-2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3.7600000000000001E-2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5.6399999999999992E-2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8.5084999999999997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9.6634999999999991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7.0510000000000002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1.76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0.72599999999999998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1.6445000000000001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3.2669999999999999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3.794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2.4710000000000001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0.58799999999999997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12.868599999999999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5.4050000000000002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3.3182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0.96820000000000006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0.92120000000000002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0.31019999999999998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1.8800000000000001E-2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8.6515000000000004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9.9714999999999989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10.378500000000001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12.996500000000001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15.455000000000002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19.789000000000001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26.0975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3.843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2.5409999999999999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1.3580000000000001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0.19600000000000001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12.596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5.1794000000000002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0.47000000000000003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0.13159999999999999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2.8199999999999996E-2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8.4864999999999995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9.6029999999999998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3.4430000000000001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0.20350000000000001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9.8999999999999991E-2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0.11549999999999999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4.4000000000000004E-2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3.7870000000000004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2.4710000000000001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0.17500000000000002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113.17104999999999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-100.45179999999999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-258.68290000000002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-399.92544999999996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-520.28739999999993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-541.50829999999996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-525.56565000000001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-457.76324999999997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-387.65314999999998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-361.52190000000002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-335.38459999999998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-301.73445000000004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-268.31225000000001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-265.97789999999998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-264.13945000000001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-172.12369999999999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-80.104500000000002</v>
      </c>
      <c r="K165" t="s">
        <v>48</v>
      </c>
    </row>
    <row r="166" spans="1:11" x14ac:dyDescent="0.45">
      <c r="A166" t="s">
        <v>90</v>
      </c>
      <c r="B166" t="s">
        <v>3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469.62665000000004</v>
      </c>
      <c r="K166" t="s">
        <v>51</v>
      </c>
    </row>
    <row r="167" spans="1:11" x14ac:dyDescent="0.45">
      <c r="A167" t="s">
        <v>90</v>
      </c>
      <c r="B167" t="s">
        <v>3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2025</v>
      </c>
      <c r="J167">
        <v>383.22199999999998</v>
      </c>
      <c r="K167" t="s">
        <v>51</v>
      </c>
    </row>
    <row r="168" spans="1:11" x14ac:dyDescent="0.45">
      <c r="A168" t="s">
        <v>90</v>
      </c>
      <c r="B168" t="s">
        <v>3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2030</v>
      </c>
      <c r="J168">
        <v>293.82709999999997</v>
      </c>
      <c r="K168" t="s">
        <v>51</v>
      </c>
    </row>
    <row r="169" spans="1:11" x14ac:dyDescent="0.45">
      <c r="A169" t="s">
        <v>90</v>
      </c>
      <c r="B169" t="s">
        <v>3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2035</v>
      </c>
      <c r="J169">
        <v>165.84404999999998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2040</v>
      </c>
      <c r="J170">
        <v>51.384900000000002</v>
      </c>
      <c r="K170" t="s">
        <v>51</v>
      </c>
    </row>
    <row r="171" spans="1:11" x14ac:dyDescent="0.45">
      <c r="A171" t="s">
        <v>90</v>
      </c>
      <c r="B171" t="s">
        <v>3</v>
      </c>
      <c r="C171" t="s">
        <v>84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2045</v>
      </c>
      <c r="J171">
        <v>-11.555400000000001</v>
      </c>
      <c r="K171" t="s">
        <v>51</v>
      </c>
    </row>
    <row r="172" spans="1:11" x14ac:dyDescent="0.45">
      <c r="A172" t="s">
        <v>90</v>
      </c>
      <c r="B172" t="s">
        <v>3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2050</v>
      </c>
      <c r="J172">
        <v>-37.554850000000002</v>
      </c>
      <c r="K172" t="s">
        <v>51</v>
      </c>
    </row>
    <row r="173" spans="1:11" x14ac:dyDescent="0.45">
      <c r="A173" t="s">
        <v>90</v>
      </c>
      <c r="B173" t="s">
        <v>3</v>
      </c>
      <c r="C173" t="s">
        <v>84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2055</v>
      </c>
      <c r="J173">
        <v>-37.001800000000003</v>
      </c>
      <c r="K173" t="s">
        <v>51</v>
      </c>
    </row>
    <row r="174" spans="1:11" x14ac:dyDescent="0.45">
      <c r="A174" t="s">
        <v>90</v>
      </c>
      <c r="B174" t="s">
        <v>3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2060</v>
      </c>
      <c r="J174">
        <v>-35.937449999999998</v>
      </c>
      <c r="K174" t="s">
        <v>51</v>
      </c>
    </row>
    <row r="175" spans="1:11" x14ac:dyDescent="0.45">
      <c r="A175" t="s">
        <v>90</v>
      </c>
      <c r="B175" t="s">
        <v>3</v>
      </c>
      <c r="C175" t="s">
        <v>84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2065</v>
      </c>
      <c r="J175">
        <v>-32.96575</v>
      </c>
      <c r="K175" t="s">
        <v>51</v>
      </c>
    </row>
    <row r="176" spans="1:11" x14ac:dyDescent="0.45">
      <c r="A176" t="s">
        <v>90</v>
      </c>
      <c r="B176" t="s">
        <v>3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2070</v>
      </c>
      <c r="J176">
        <v>-29.9907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51</v>
      </c>
      <c r="E177" t="s">
        <v>46</v>
      </c>
      <c r="F177" t="s">
        <v>51</v>
      </c>
      <c r="G177" t="s">
        <v>49</v>
      </c>
      <c r="H177" t="s">
        <v>50</v>
      </c>
      <c r="I177">
        <v>2075</v>
      </c>
      <c r="J177">
        <v>-20.032899999999998</v>
      </c>
      <c r="K177" t="s">
        <v>51</v>
      </c>
    </row>
    <row r="178" spans="1:11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2080</v>
      </c>
      <c r="J178">
        <v>-10.303100000000001</v>
      </c>
      <c r="K178" t="s">
        <v>51</v>
      </c>
    </row>
    <row r="179" spans="1:11" x14ac:dyDescent="0.45">
      <c r="A179" t="s">
        <v>90</v>
      </c>
      <c r="B179" t="s">
        <v>3</v>
      </c>
      <c r="C179" t="s">
        <v>84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2085</v>
      </c>
      <c r="J179">
        <v>-8.6553000000000004</v>
      </c>
      <c r="K179" t="s">
        <v>51</v>
      </c>
    </row>
    <row r="180" spans="1:11" x14ac:dyDescent="0.45">
      <c r="A180" t="s">
        <v>90</v>
      </c>
      <c r="B180" t="s">
        <v>3</v>
      </c>
      <c r="C180" t="s">
        <v>84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2090</v>
      </c>
      <c r="J180">
        <v>-7.5119000000000007</v>
      </c>
      <c r="K180" t="s">
        <v>51</v>
      </c>
    </row>
    <row r="181" spans="1:11" x14ac:dyDescent="0.45">
      <c r="A181" t="s">
        <v>90</v>
      </c>
      <c r="B181" t="s">
        <v>3</v>
      </c>
      <c r="C181" t="s">
        <v>84</v>
      </c>
      <c r="D181" t="s">
        <v>51</v>
      </c>
      <c r="E181" t="s">
        <v>46</v>
      </c>
      <c r="F181" t="s">
        <v>51</v>
      </c>
      <c r="G181" t="s">
        <v>49</v>
      </c>
      <c r="H181" t="s">
        <v>50</v>
      </c>
      <c r="I181">
        <v>2095</v>
      </c>
      <c r="J181">
        <v>-7.4846500000000002</v>
      </c>
      <c r="K181" t="s">
        <v>51</v>
      </c>
    </row>
    <row r="182" spans="1:11" x14ac:dyDescent="0.45">
      <c r="A182" t="s">
        <v>90</v>
      </c>
      <c r="B182" t="s">
        <v>3</v>
      </c>
      <c r="C182" t="s">
        <v>84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-7.4491499999999995</v>
      </c>
      <c r="K182" t="s">
        <v>51</v>
      </c>
    </row>
    <row r="183" spans="1:11" x14ac:dyDescent="0.45">
      <c r="A183" t="s">
        <v>90</v>
      </c>
      <c r="B183" t="s">
        <v>3</v>
      </c>
      <c r="C183" t="s">
        <v>84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1" x14ac:dyDescent="0.45">
      <c r="A184" t="s">
        <v>90</v>
      </c>
      <c r="B184" t="s">
        <v>3</v>
      </c>
      <c r="C184" t="s">
        <v>84</v>
      </c>
      <c r="D184" t="s">
        <v>29</v>
      </c>
      <c r="E184" t="s">
        <v>30</v>
      </c>
      <c r="F184" t="s">
        <v>29</v>
      </c>
      <c r="G184" t="s">
        <v>31</v>
      </c>
      <c r="H184" t="s">
        <v>32</v>
      </c>
      <c r="I184">
        <v>2025</v>
      </c>
      <c r="J184">
        <v>5.6314500000000001</v>
      </c>
      <c r="K184" t="s">
        <v>29</v>
      </c>
    </row>
    <row r="185" spans="1:11" x14ac:dyDescent="0.45">
      <c r="A185" t="s">
        <v>90</v>
      </c>
      <c r="B185" t="s">
        <v>3</v>
      </c>
      <c r="C185" t="s">
        <v>84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2030</v>
      </c>
      <c r="J185">
        <v>5.8411499999999998</v>
      </c>
      <c r="K185" t="s">
        <v>29</v>
      </c>
    </row>
    <row r="186" spans="1:11" x14ac:dyDescent="0.45">
      <c r="A186" t="s">
        <v>90</v>
      </c>
      <c r="B186" t="s">
        <v>3</v>
      </c>
      <c r="C186" t="s">
        <v>84</v>
      </c>
      <c r="D186" t="s">
        <v>29</v>
      </c>
      <c r="E186" t="s">
        <v>30</v>
      </c>
      <c r="F186" t="s">
        <v>29</v>
      </c>
      <c r="G186" t="s">
        <v>31</v>
      </c>
      <c r="H186" t="s">
        <v>32</v>
      </c>
      <c r="I186">
        <v>2035</v>
      </c>
      <c r="J186">
        <v>5.4642999999999997</v>
      </c>
      <c r="K186" t="s">
        <v>29</v>
      </c>
    </row>
    <row r="187" spans="1:11" x14ac:dyDescent="0.45">
      <c r="A187" t="s">
        <v>90</v>
      </c>
      <c r="B187" t="s">
        <v>3</v>
      </c>
      <c r="C187" t="s">
        <v>84</v>
      </c>
      <c r="D187" t="s">
        <v>29</v>
      </c>
      <c r="E187" t="s">
        <v>30</v>
      </c>
      <c r="F187" t="s">
        <v>29</v>
      </c>
      <c r="G187" t="s">
        <v>31</v>
      </c>
      <c r="H187" t="s">
        <v>32</v>
      </c>
      <c r="I187">
        <v>2040</v>
      </c>
      <c r="J187">
        <v>6.8430499999999999</v>
      </c>
      <c r="K187" t="s">
        <v>29</v>
      </c>
    </row>
    <row r="188" spans="1:11" x14ac:dyDescent="0.45">
      <c r="A188" t="s">
        <v>90</v>
      </c>
      <c r="B188" t="s">
        <v>3</v>
      </c>
      <c r="C188" t="s">
        <v>84</v>
      </c>
      <c r="D188" t="s">
        <v>29</v>
      </c>
      <c r="E188" t="s">
        <v>30</v>
      </c>
      <c r="F188" t="s">
        <v>29</v>
      </c>
      <c r="G188" t="s">
        <v>31</v>
      </c>
      <c r="H188" t="s">
        <v>32</v>
      </c>
      <c r="I188">
        <v>2045</v>
      </c>
      <c r="J188">
        <v>6.9108000000000001</v>
      </c>
      <c r="K188" t="s">
        <v>29</v>
      </c>
    </row>
    <row r="189" spans="1:11" x14ac:dyDescent="0.45">
      <c r="A189" t="s">
        <v>90</v>
      </c>
      <c r="B189" t="s">
        <v>3</v>
      </c>
      <c r="C189" t="s">
        <v>84</v>
      </c>
      <c r="D189" t="s">
        <v>29</v>
      </c>
      <c r="E189" t="s">
        <v>30</v>
      </c>
      <c r="F189" t="s">
        <v>29</v>
      </c>
      <c r="G189" t="s">
        <v>31</v>
      </c>
      <c r="H189" t="s">
        <v>32</v>
      </c>
      <c r="I189">
        <v>2050</v>
      </c>
      <c r="J189">
        <v>7.9924499999999998</v>
      </c>
      <c r="K189" t="s">
        <v>29</v>
      </c>
    </row>
    <row r="190" spans="1:11" x14ac:dyDescent="0.45">
      <c r="A190" t="s">
        <v>90</v>
      </c>
      <c r="B190" t="s">
        <v>3</v>
      </c>
      <c r="C190" t="s">
        <v>84</v>
      </c>
      <c r="D190" t="s">
        <v>29</v>
      </c>
      <c r="E190" t="s">
        <v>30</v>
      </c>
      <c r="F190" t="s">
        <v>29</v>
      </c>
      <c r="G190" t="s">
        <v>31</v>
      </c>
      <c r="H190" t="s">
        <v>32</v>
      </c>
      <c r="I190">
        <v>2055</v>
      </c>
      <c r="J190">
        <v>8.6547000000000001</v>
      </c>
      <c r="K190" t="s">
        <v>29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2060</v>
      </c>
      <c r="J191">
        <v>12.725249999999999</v>
      </c>
      <c r="K191" t="s">
        <v>29</v>
      </c>
    </row>
    <row r="192" spans="1:11" x14ac:dyDescent="0.45">
      <c r="A192" t="s">
        <v>90</v>
      </c>
      <c r="B192" t="s">
        <v>3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2065</v>
      </c>
      <c r="J192">
        <v>12.6111</v>
      </c>
      <c r="K192" t="s">
        <v>29</v>
      </c>
    </row>
    <row r="193" spans="1:11" x14ac:dyDescent="0.45">
      <c r="A193" t="s">
        <v>90</v>
      </c>
      <c r="B193" t="s">
        <v>3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2070</v>
      </c>
      <c r="J193">
        <v>12.497</v>
      </c>
      <c r="K193" t="s">
        <v>29</v>
      </c>
    </row>
    <row r="194" spans="1:11" x14ac:dyDescent="0.45">
      <c r="A194" t="s">
        <v>90</v>
      </c>
      <c r="B194" t="s">
        <v>3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2075</v>
      </c>
      <c r="J194">
        <v>13.562349999999999</v>
      </c>
      <c r="K194" t="s">
        <v>29</v>
      </c>
    </row>
    <row r="195" spans="1:11" x14ac:dyDescent="0.45">
      <c r="A195" t="s">
        <v>90</v>
      </c>
      <c r="B195" t="s">
        <v>3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2080</v>
      </c>
      <c r="J195">
        <v>14.627700000000001</v>
      </c>
      <c r="K195" t="s">
        <v>29</v>
      </c>
    </row>
    <row r="196" spans="1:11" x14ac:dyDescent="0.45">
      <c r="A196" t="s">
        <v>90</v>
      </c>
      <c r="B196" t="s">
        <v>3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2085</v>
      </c>
      <c r="J196">
        <v>15.284700000000001</v>
      </c>
      <c r="K196" t="s">
        <v>29</v>
      </c>
    </row>
    <row r="197" spans="1:11" x14ac:dyDescent="0.45">
      <c r="A197" t="s">
        <v>90</v>
      </c>
      <c r="B197" t="s">
        <v>3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2090</v>
      </c>
      <c r="J197">
        <v>15.941649999999999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29</v>
      </c>
      <c r="E198" t="s">
        <v>30</v>
      </c>
      <c r="F198" t="s">
        <v>29</v>
      </c>
      <c r="G198" t="s">
        <v>31</v>
      </c>
      <c r="H198" t="s">
        <v>32</v>
      </c>
      <c r="I198">
        <v>2095</v>
      </c>
      <c r="J198">
        <v>15.99475</v>
      </c>
      <c r="K198" t="s">
        <v>29</v>
      </c>
    </row>
    <row r="199" spans="1:11" x14ac:dyDescent="0.45">
      <c r="A199" t="s">
        <v>90</v>
      </c>
      <c r="B199" t="s">
        <v>3</v>
      </c>
      <c r="C199" t="s">
        <v>84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2100</v>
      </c>
      <c r="J199">
        <v>16.047899999999998</v>
      </c>
      <c r="K199" t="s">
        <v>29</v>
      </c>
    </row>
    <row r="200" spans="1:11" x14ac:dyDescent="0.45">
      <c r="A200" t="s">
        <v>90</v>
      </c>
      <c r="B200" t="s">
        <v>3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3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2025</v>
      </c>
      <c r="J201">
        <v>2.2276500000000001</v>
      </c>
      <c r="K201" t="s">
        <v>33</v>
      </c>
    </row>
    <row r="202" spans="1:11" x14ac:dyDescent="0.45">
      <c r="A202" t="s">
        <v>90</v>
      </c>
      <c r="B202" t="s">
        <v>3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2030</v>
      </c>
      <c r="J202">
        <v>1.7549000000000001</v>
      </c>
      <c r="K202" t="s">
        <v>33</v>
      </c>
    </row>
    <row r="203" spans="1:11" x14ac:dyDescent="0.45">
      <c r="A203" t="s">
        <v>90</v>
      </c>
      <c r="B203" t="s">
        <v>3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2035</v>
      </c>
      <c r="J203">
        <v>1.4066000000000001</v>
      </c>
      <c r="K203" t="s">
        <v>33</v>
      </c>
    </row>
    <row r="204" spans="1:11" x14ac:dyDescent="0.45">
      <c r="A204" t="s">
        <v>90</v>
      </c>
      <c r="B204" t="s">
        <v>3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2040</v>
      </c>
      <c r="J204">
        <v>1.3738000000000001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33</v>
      </c>
      <c r="E205" t="s">
        <v>30</v>
      </c>
      <c r="F205" t="s">
        <v>33</v>
      </c>
      <c r="G205" t="s">
        <v>31</v>
      </c>
      <c r="H205" t="s">
        <v>34</v>
      </c>
      <c r="I205">
        <v>2045</v>
      </c>
      <c r="J205">
        <v>1.4182999999999999</v>
      </c>
      <c r="K205" t="s">
        <v>33</v>
      </c>
    </row>
    <row r="206" spans="1:11" x14ac:dyDescent="0.45">
      <c r="A206" t="s">
        <v>90</v>
      </c>
      <c r="B206" t="s">
        <v>3</v>
      </c>
      <c r="C206" t="s">
        <v>84</v>
      </c>
      <c r="D206" t="s">
        <v>33</v>
      </c>
      <c r="E206" t="s">
        <v>30</v>
      </c>
      <c r="F206" t="s">
        <v>33</v>
      </c>
      <c r="G206" t="s">
        <v>31</v>
      </c>
      <c r="H206" t="s">
        <v>34</v>
      </c>
      <c r="I206">
        <v>2050</v>
      </c>
      <c r="J206">
        <v>1.5704500000000001</v>
      </c>
      <c r="K206" t="s">
        <v>33</v>
      </c>
    </row>
    <row r="207" spans="1:11" x14ac:dyDescent="0.45">
      <c r="A207" t="s">
        <v>90</v>
      </c>
      <c r="B207" t="s">
        <v>3</v>
      </c>
      <c r="C207" t="s">
        <v>84</v>
      </c>
      <c r="D207" t="s">
        <v>33</v>
      </c>
      <c r="E207" t="s">
        <v>30</v>
      </c>
      <c r="F207" t="s">
        <v>33</v>
      </c>
      <c r="G207" t="s">
        <v>31</v>
      </c>
      <c r="H207" t="s">
        <v>34</v>
      </c>
      <c r="I207">
        <v>2055</v>
      </c>
      <c r="J207">
        <v>1.3464499999999999</v>
      </c>
      <c r="K207" t="s">
        <v>33</v>
      </c>
    </row>
    <row r="208" spans="1:11" x14ac:dyDescent="0.45">
      <c r="A208" t="s">
        <v>90</v>
      </c>
      <c r="B208" t="s">
        <v>3</v>
      </c>
      <c r="C208" t="s">
        <v>84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2060</v>
      </c>
      <c r="J208">
        <v>1.9051</v>
      </c>
      <c r="K208" t="s">
        <v>33</v>
      </c>
    </row>
    <row r="209" spans="1:11" x14ac:dyDescent="0.45">
      <c r="A209" t="s">
        <v>90</v>
      </c>
      <c r="B209" t="s">
        <v>3</v>
      </c>
      <c r="C209" t="s">
        <v>84</v>
      </c>
      <c r="D209" t="s">
        <v>33</v>
      </c>
      <c r="E209" t="s">
        <v>30</v>
      </c>
      <c r="F209" t="s">
        <v>33</v>
      </c>
      <c r="G209" t="s">
        <v>31</v>
      </c>
      <c r="H209" t="s">
        <v>34</v>
      </c>
      <c r="I209">
        <v>2065</v>
      </c>
      <c r="J209">
        <v>1.8803999999999998</v>
      </c>
      <c r="K209" t="s">
        <v>33</v>
      </c>
    </row>
    <row r="210" spans="1:11" x14ac:dyDescent="0.45">
      <c r="A210" t="s">
        <v>90</v>
      </c>
      <c r="B210" t="s">
        <v>3</v>
      </c>
      <c r="C210" t="s">
        <v>84</v>
      </c>
      <c r="D210" t="s">
        <v>33</v>
      </c>
      <c r="E210" t="s">
        <v>30</v>
      </c>
      <c r="F210" t="s">
        <v>33</v>
      </c>
      <c r="G210" t="s">
        <v>31</v>
      </c>
      <c r="H210" t="s">
        <v>34</v>
      </c>
      <c r="I210">
        <v>2070</v>
      </c>
      <c r="J210">
        <v>1.8557000000000001</v>
      </c>
      <c r="K210" t="s">
        <v>33</v>
      </c>
    </row>
    <row r="211" spans="1:11" x14ac:dyDescent="0.45">
      <c r="A211" t="s">
        <v>90</v>
      </c>
      <c r="B211" t="s">
        <v>3</v>
      </c>
      <c r="C211" t="s">
        <v>84</v>
      </c>
      <c r="D211" t="s">
        <v>33</v>
      </c>
      <c r="E211" t="s">
        <v>30</v>
      </c>
      <c r="F211" t="s">
        <v>33</v>
      </c>
      <c r="G211" t="s">
        <v>31</v>
      </c>
      <c r="H211" t="s">
        <v>34</v>
      </c>
      <c r="I211">
        <v>2075</v>
      </c>
      <c r="J211">
        <v>1.85775</v>
      </c>
      <c r="K211" t="s">
        <v>33</v>
      </c>
    </row>
    <row r="212" spans="1:11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2080</v>
      </c>
      <c r="J212">
        <v>1.8597999999999999</v>
      </c>
      <c r="K212" t="s">
        <v>33</v>
      </c>
    </row>
    <row r="213" spans="1:11" x14ac:dyDescent="0.45">
      <c r="A213" t="s">
        <v>90</v>
      </c>
      <c r="B213" t="s">
        <v>3</v>
      </c>
      <c r="C213" t="s">
        <v>84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2085</v>
      </c>
      <c r="J213">
        <v>1.8835500000000001</v>
      </c>
      <c r="K213" t="s">
        <v>33</v>
      </c>
    </row>
    <row r="214" spans="1:11" x14ac:dyDescent="0.45">
      <c r="A214" t="s">
        <v>90</v>
      </c>
      <c r="B214" t="s">
        <v>3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2090</v>
      </c>
      <c r="J214">
        <v>1.9073500000000001</v>
      </c>
      <c r="K214" t="s">
        <v>33</v>
      </c>
    </row>
    <row r="215" spans="1:11" x14ac:dyDescent="0.45">
      <c r="A215" t="s">
        <v>90</v>
      </c>
      <c r="B215" t="s">
        <v>3</v>
      </c>
      <c r="C215" t="s">
        <v>84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2095</v>
      </c>
      <c r="J215">
        <v>1.81115</v>
      </c>
      <c r="K215" t="s">
        <v>33</v>
      </c>
    </row>
    <row r="216" spans="1:11" x14ac:dyDescent="0.45">
      <c r="A216" t="s">
        <v>90</v>
      </c>
      <c r="B216" t="s">
        <v>3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2100</v>
      </c>
      <c r="J216">
        <v>1.7150500000000002</v>
      </c>
      <c r="K216" t="s">
        <v>33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1.0047999999999999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0.97685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1.0651999999999999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1.2015500000000001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1.27495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1.31755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1.26705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1.127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1.0408999999999999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1.06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1.0786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1.11985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1.16235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1.21105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1.2604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1.28485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1.30955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0.67095000000000005</v>
      </c>
      <c r="K234" t="s">
        <v>24</v>
      </c>
    </row>
    <row r="235" spans="1:11" x14ac:dyDescent="0.45">
      <c r="A235" t="s">
        <v>90</v>
      </c>
      <c r="B235" t="s">
        <v>3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0.66125</v>
      </c>
      <c r="K235" t="s">
        <v>24</v>
      </c>
    </row>
    <row r="236" spans="1:11" x14ac:dyDescent="0.45">
      <c r="A236" t="s">
        <v>90</v>
      </c>
      <c r="B236" t="s">
        <v>3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0.75140000000000007</v>
      </c>
      <c r="K236" t="s">
        <v>24</v>
      </c>
    </row>
    <row r="237" spans="1:11" x14ac:dyDescent="0.45">
      <c r="A237" t="s">
        <v>90</v>
      </c>
      <c r="B237" t="s">
        <v>3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0.84565000000000001</v>
      </c>
      <c r="K237" t="s">
        <v>24</v>
      </c>
    </row>
    <row r="238" spans="1:11" x14ac:dyDescent="0.45">
      <c r="A238" t="s">
        <v>90</v>
      </c>
      <c r="B238" t="s">
        <v>3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0.87334999999999996</v>
      </c>
      <c r="K238" t="s">
        <v>24</v>
      </c>
    </row>
    <row r="239" spans="1:11" x14ac:dyDescent="0.45">
      <c r="A239" t="s">
        <v>90</v>
      </c>
      <c r="B239" t="s">
        <v>3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0.88014999999999999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0.88724999999999998</v>
      </c>
      <c r="K240" t="s">
        <v>24</v>
      </c>
    </row>
    <row r="241" spans="1:11" x14ac:dyDescent="0.45">
      <c r="A241" t="s">
        <v>90</v>
      </c>
      <c r="B241" t="s">
        <v>3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0.86314999999999997</v>
      </c>
      <c r="K241" t="s">
        <v>24</v>
      </c>
    </row>
    <row r="242" spans="1:11" x14ac:dyDescent="0.45">
      <c r="A242" t="s">
        <v>90</v>
      </c>
      <c r="B242" t="s">
        <v>3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0.77434999999999998</v>
      </c>
      <c r="K242" t="s">
        <v>24</v>
      </c>
    </row>
    <row r="243" spans="1:11" x14ac:dyDescent="0.45">
      <c r="A243" t="s">
        <v>90</v>
      </c>
      <c r="B243" t="s">
        <v>3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0.75059999999999993</v>
      </c>
      <c r="K243" t="s">
        <v>24</v>
      </c>
    </row>
    <row r="244" spans="1:11" x14ac:dyDescent="0.45">
      <c r="A244" t="s">
        <v>90</v>
      </c>
      <c r="B244" t="s">
        <v>3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0.72885</v>
      </c>
      <c r="K244" t="s">
        <v>24</v>
      </c>
    </row>
    <row r="245" spans="1:11" x14ac:dyDescent="0.45">
      <c r="A245" t="s">
        <v>90</v>
      </c>
      <c r="B245" t="s">
        <v>3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0.70494999999999997</v>
      </c>
      <c r="K245" t="s">
        <v>24</v>
      </c>
    </row>
    <row r="246" spans="1:11" x14ac:dyDescent="0.45">
      <c r="A246" t="s">
        <v>90</v>
      </c>
      <c r="B246" t="s">
        <v>3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0.68035000000000001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0.65644999999999998</v>
      </c>
      <c r="K247" t="s">
        <v>24</v>
      </c>
    </row>
    <row r="248" spans="1:11" x14ac:dyDescent="0.45">
      <c r="A248" t="s">
        <v>90</v>
      </c>
      <c r="B248" t="s">
        <v>3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0.63450000000000006</v>
      </c>
      <c r="K248" t="s">
        <v>24</v>
      </c>
    </row>
    <row r="249" spans="1:11" x14ac:dyDescent="0.45">
      <c r="A249" t="s">
        <v>90</v>
      </c>
      <c r="B249" t="s">
        <v>3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0.60505000000000009</v>
      </c>
      <c r="K249" t="s">
        <v>24</v>
      </c>
    </row>
    <row r="250" spans="1:11" x14ac:dyDescent="0.45">
      <c r="A250" t="s">
        <v>90</v>
      </c>
      <c r="B250" t="s">
        <v>3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0.57635000000000003</v>
      </c>
      <c r="K250" t="s">
        <v>24</v>
      </c>
    </row>
    <row r="251" spans="1:11" x14ac:dyDescent="0.45">
      <c r="A251" t="s">
        <v>90</v>
      </c>
      <c r="B251" t="s">
        <v>3</v>
      </c>
      <c r="C251" t="s">
        <v>84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2020</v>
      </c>
      <c r="J251">
        <v>1.6899999999999998E-2</v>
      </c>
      <c r="K251" t="s">
        <v>27</v>
      </c>
    </row>
    <row r="252" spans="1:11" x14ac:dyDescent="0.45">
      <c r="A252" t="s">
        <v>90</v>
      </c>
      <c r="B252" t="s">
        <v>3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5.3599999999999995E-2</v>
      </c>
      <c r="K252" t="s">
        <v>27</v>
      </c>
    </row>
    <row r="253" spans="1:11" x14ac:dyDescent="0.45">
      <c r="A253" t="s">
        <v>90</v>
      </c>
      <c r="B253" t="s">
        <v>3</v>
      </c>
      <c r="C253" t="s">
        <v>84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2030</v>
      </c>
      <c r="J253">
        <v>0.18704999999999999</v>
      </c>
      <c r="K253" t="s">
        <v>27</v>
      </c>
    </row>
    <row r="254" spans="1:11" x14ac:dyDescent="0.45">
      <c r="A254" t="s">
        <v>90</v>
      </c>
      <c r="B254" t="s">
        <v>3</v>
      </c>
      <c r="C254" t="s">
        <v>84</v>
      </c>
      <c r="D254" t="s">
        <v>27</v>
      </c>
      <c r="E254" t="s">
        <v>25</v>
      </c>
      <c r="F254" t="s">
        <v>27</v>
      </c>
      <c r="G254" t="s">
        <v>26</v>
      </c>
      <c r="H254" t="s">
        <v>10</v>
      </c>
      <c r="I254">
        <v>2035</v>
      </c>
      <c r="J254">
        <v>0.37544999999999995</v>
      </c>
      <c r="K254" t="s">
        <v>27</v>
      </c>
    </row>
    <row r="255" spans="1:11" x14ac:dyDescent="0.45">
      <c r="A255" t="s">
        <v>90</v>
      </c>
      <c r="B255" t="s">
        <v>3</v>
      </c>
      <c r="C255" t="s">
        <v>84</v>
      </c>
      <c r="D255" t="s">
        <v>27</v>
      </c>
      <c r="E255" t="s">
        <v>25</v>
      </c>
      <c r="F255" t="s">
        <v>27</v>
      </c>
      <c r="G255" t="s">
        <v>26</v>
      </c>
      <c r="H255" t="s">
        <v>10</v>
      </c>
      <c r="I255">
        <v>2040</v>
      </c>
      <c r="J255">
        <v>0.51855000000000007</v>
      </c>
      <c r="K255" t="s">
        <v>27</v>
      </c>
    </row>
    <row r="256" spans="1:11" x14ac:dyDescent="0.45">
      <c r="A256" t="s">
        <v>90</v>
      </c>
      <c r="B256" t="s">
        <v>3</v>
      </c>
      <c r="C256" t="s">
        <v>84</v>
      </c>
      <c r="D256" t="s">
        <v>27</v>
      </c>
      <c r="E256" t="s">
        <v>25</v>
      </c>
      <c r="F256" t="s">
        <v>27</v>
      </c>
      <c r="G256" t="s">
        <v>26</v>
      </c>
      <c r="H256" t="s">
        <v>10</v>
      </c>
      <c r="I256">
        <v>2045</v>
      </c>
      <c r="J256">
        <v>0.57194999999999996</v>
      </c>
      <c r="K256" t="s">
        <v>27</v>
      </c>
    </row>
    <row r="257" spans="1:11" x14ac:dyDescent="0.45">
      <c r="A257" t="s">
        <v>90</v>
      </c>
      <c r="B257" t="s">
        <v>3</v>
      </c>
      <c r="C257" t="s">
        <v>84</v>
      </c>
      <c r="D257" t="s">
        <v>27</v>
      </c>
      <c r="E257" t="s">
        <v>25</v>
      </c>
      <c r="F257" t="s">
        <v>27</v>
      </c>
      <c r="G257" t="s">
        <v>26</v>
      </c>
      <c r="H257" t="s">
        <v>10</v>
      </c>
      <c r="I257">
        <v>2050</v>
      </c>
      <c r="J257">
        <v>0.59640000000000004</v>
      </c>
      <c r="K257" t="s">
        <v>27</v>
      </c>
    </row>
    <row r="258" spans="1:11" x14ac:dyDescent="0.45">
      <c r="A258" t="s">
        <v>90</v>
      </c>
      <c r="B258" t="s">
        <v>3</v>
      </c>
      <c r="C258" t="s">
        <v>84</v>
      </c>
      <c r="D258" t="s">
        <v>27</v>
      </c>
      <c r="E258" t="s">
        <v>25</v>
      </c>
      <c r="F258" t="s">
        <v>27</v>
      </c>
      <c r="G258" t="s">
        <v>26</v>
      </c>
      <c r="H258" t="s">
        <v>10</v>
      </c>
      <c r="I258">
        <v>2055</v>
      </c>
      <c r="J258">
        <v>0.60299999999999998</v>
      </c>
      <c r="K258" t="s">
        <v>27</v>
      </c>
    </row>
    <row r="259" spans="1:11" x14ac:dyDescent="0.45">
      <c r="A259" t="s">
        <v>90</v>
      </c>
      <c r="B259" t="s">
        <v>3</v>
      </c>
      <c r="C259" t="s">
        <v>84</v>
      </c>
      <c r="D259" t="s">
        <v>27</v>
      </c>
      <c r="E259" t="s">
        <v>25</v>
      </c>
      <c r="F259" t="s">
        <v>27</v>
      </c>
      <c r="G259" t="s">
        <v>26</v>
      </c>
      <c r="H259" t="s">
        <v>10</v>
      </c>
      <c r="I259">
        <v>2060</v>
      </c>
      <c r="J259">
        <v>0.60840000000000005</v>
      </c>
      <c r="K259" t="s">
        <v>27</v>
      </c>
    </row>
    <row r="260" spans="1:11" x14ac:dyDescent="0.45">
      <c r="A260" t="s">
        <v>90</v>
      </c>
      <c r="B260" t="s">
        <v>3</v>
      </c>
      <c r="C260" t="s">
        <v>84</v>
      </c>
      <c r="D260" t="s">
        <v>27</v>
      </c>
      <c r="E260" t="s">
        <v>25</v>
      </c>
      <c r="F260" t="s">
        <v>27</v>
      </c>
      <c r="G260" t="s">
        <v>26</v>
      </c>
      <c r="H260" t="s">
        <v>10</v>
      </c>
      <c r="I260">
        <v>2065</v>
      </c>
      <c r="J260">
        <v>0.59834999999999994</v>
      </c>
      <c r="K260" t="s">
        <v>27</v>
      </c>
    </row>
    <row r="261" spans="1:11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2070</v>
      </c>
      <c r="J261">
        <v>0.58915000000000006</v>
      </c>
      <c r="K261" t="s">
        <v>27</v>
      </c>
    </row>
    <row r="262" spans="1:11" x14ac:dyDescent="0.45">
      <c r="A262" t="s">
        <v>90</v>
      </c>
      <c r="B262" t="s">
        <v>3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2075</v>
      </c>
      <c r="J262">
        <v>0.58295000000000008</v>
      </c>
      <c r="K262" t="s">
        <v>27</v>
      </c>
    </row>
    <row r="263" spans="1:11" x14ac:dyDescent="0.45">
      <c r="A263" t="s">
        <v>90</v>
      </c>
      <c r="B263" t="s">
        <v>3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2080</v>
      </c>
      <c r="J263">
        <v>0.57745000000000002</v>
      </c>
      <c r="K263" t="s">
        <v>27</v>
      </c>
    </row>
    <row r="264" spans="1:11" x14ac:dyDescent="0.45">
      <c r="A264" t="s">
        <v>90</v>
      </c>
      <c r="B264" t="s">
        <v>3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2085</v>
      </c>
      <c r="J264">
        <v>0.57345000000000002</v>
      </c>
      <c r="K264" t="s">
        <v>27</v>
      </c>
    </row>
    <row r="265" spans="1:11" x14ac:dyDescent="0.45">
      <c r="A265" t="s">
        <v>90</v>
      </c>
      <c r="B265" t="s">
        <v>3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2090</v>
      </c>
      <c r="J265">
        <v>0.57085000000000008</v>
      </c>
      <c r="K265" t="s">
        <v>27</v>
      </c>
    </row>
    <row r="266" spans="1:11" x14ac:dyDescent="0.45">
      <c r="A266" t="s">
        <v>90</v>
      </c>
      <c r="B266" t="s">
        <v>3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2095</v>
      </c>
      <c r="J266">
        <v>0.57735000000000003</v>
      </c>
      <c r="K266" t="s">
        <v>27</v>
      </c>
    </row>
    <row r="267" spans="1:11" x14ac:dyDescent="0.45">
      <c r="A267" t="s">
        <v>90</v>
      </c>
      <c r="B267" t="s">
        <v>3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2100</v>
      </c>
      <c r="J267">
        <v>0.58515000000000006</v>
      </c>
      <c r="K267" t="s">
        <v>27</v>
      </c>
    </row>
    <row r="268" spans="1:11" x14ac:dyDescent="0.45">
      <c r="A268" t="s">
        <v>90</v>
      </c>
      <c r="B268" t="s">
        <v>3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3.9710999999999999</v>
      </c>
      <c r="K268" t="s">
        <v>35</v>
      </c>
    </row>
    <row r="269" spans="1:11" x14ac:dyDescent="0.45">
      <c r="A269" t="s">
        <v>90</v>
      </c>
      <c r="B269" t="s">
        <v>3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4.6235499999999998</v>
      </c>
      <c r="K269" t="s">
        <v>35</v>
      </c>
    </row>
    <row r="270" spans="1:11" x14ac:dyDescent="0.45">
      <c r="A270" t="s">
        <v>90</v>
      </c>
      <c r="B270" t="s">
        <v>3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4.5770499999999998</v>
      </c>
      <c r="K270" t="s">
        <v>35</v>
      </c>
    </row>
    <row r="271" spans="1:11" x14ac:dyDescent="0.45">
      <c r="A271" t="s">
        <v>90</v>
      </c>
      <c r="B271" t="s">
        <v>3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5.2363</v>
      </c>
      <c r="K271" t="s">
        <v>35</v>
      </c>
    </row>
    <row r="272" spans="1:11" x14ac:dyDescent="0.45">
      <c r="A272" t="s">
        <v>90</v>
      </c>
      <c r="B272" t="s">
        <v>3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5.0498499999999993</v>
      </c>
      <c r="K272" t="s">
        <v>35</v>
      </c>
    </row>
    <row r="273" spans="1:11" x14ac:dyDescent="0.45">
      <c r="A273" t="s">
        <v>90</v>
      </c>
      <c r="B273" t="s">
        <v>3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4.8432000000000004</v>
      </c>
      <c r="K273" t="s">
        <v>35</v>
      </c>
    </row>
    <row r="274" spans="1:11" x14ac:dyDescent="0.45">
      <c r="A274" t="s">
        <v>90</v>
      </c>
      <c r="B274" t="s">
        <v>3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4.8777499999999998</v>
      </c>
      <c r="K274" t="s">
        <v>35</v>
      </c>
    </row>
    <row r="275" spans="1:11" x14ac:dyDescent="0.45">
      <c r="A275" t="s">
        <v>90</v>
      </c>
      <c r="B275" t="s">
        <v>3</v>
      </c>
      <c r="C275" t="s">
        <v>84</v>
      </c>
      <c r="D275" t="s">
        <v>35</v>
      </c>
      <c r="E275" t="s">
        <v>30</v>
      </c>
      <c r="F275" t="s">
        <v>35</v>
      </c>
      <c r="G275" t="s">
        <v>31</v>
      </c>
      <c r="H275" t="s">
        <v>36</v>
      </c>
      <c r="I275">
        <v>2055</v>
      </c>
      <c r="J275">
        <v>4.5329499999999996</v>
      </c>
      <c r="K275" t="s">
        <v>35</v>
      </c>
    </row>
    <row r="276" spans="1:11" x14ac:dyDescent="0.45">
      <c r="A276" t="s">
        <v>90</v>
      </c>
      <c r="B276" t="s">
        <v>3</v>
      </c>
      <c r="C276" t="s">
        <v>84</v>
      </c>
      <c r="D276" t="s">
        <v>35</v>
      </c>
      <c r="E276" t="s">
        <v>30</v>
      </c>
      <c r="F276" t="s">
        <v>35</v>
      </c>
      <c r="G276" t="s">
        <v>31</v>
      </c>
      <c r="H276" t="s">
        <v>36</v>
      </c>
      <c r="I276">
        <v>2060</v>
      </c>
      <c r="J276">
        <v>5.8452000000000002</v>
      </c>
      <c r="K276" t="s">
        <v>35</v>
      </c>
    </row>
    <row r="277" spans="1:11" x14ac:dyDescent="0.45">
      <c r="A277" t="s">
        <v>90</v>
      </c>
      <c r="B277" t="s">
        <v>3</v>
      </c>
      <c r="C277" t="s">
        <v>84</v>
      </c>
      <c r="D277" t="s">
        <v>35</v>
      </c>
      <c r="E277" t="s">
        <v>30</v>
      </c>
      <c r="F277" t="s">
        <v>35</v>
      </c>
      <c r="G277" t="s">
        <v>31</v>
      </c>
      <c r="H277" t="s">
        <v>36</v>
      </c>
      <c r="I277">
        <v>2065</v>
      </c>
      <c r="J277">
        <v>5.5266999999999999</v>
      </c>
      <c r="K277" t="s">
        <v>35</v>
      </c>
    </row>
    <row r="278" spans="1:11" x14ac:dyDescent="0.45">
      <c r="A278" t="s">
        <v>90</v>
      </c>
      <c r="B278" t="s">
        <v>3</v>
      </c>
      <c r="C278" t="s">
        <v>84</v>
      </c>
      <c r="D278" t="s">
        <v>35</v>
      </c>
      <c r="E278" t="s">
        <v>30</v>
      </c>
      <c r="F278" t="s">
        <v>35</v>
      </c>
      <c r="G278" t="s">
        <v>31</v>
      </c>
      <c r="H278" t="s">
        <v>36</v>
      </c>
      <c r="I278">
        <v>2070</v>
      </c>
      <c r="J278">
        <v>5.2081999999999997</v>
      </c>
      <c r="K278" t="s">
        <v>35</v>
      </c>
    </row>
    <row r="279" spans="1:11" x14ac:dyDescent="0.45">
      <c r="A279" t="s">
        <v>90</v>
      </c>
      <c r="B279" t="s">
        <v>3</v>
      </c>
      <c r="C279" t="s">
        <v>84</v>
      </c>
      <c r="D279" t="s">
        <v>35</v>
      </c>
      <c r="E279" t="s">
        <v>30</v>
      </c>
      <c r="F279" t="s">
        <v>35</v>
      </c>
      <c r="G279" t="s">
        <v>31</v>
      </c>
      <c r="H279" t="s">
        <v>36</v>
      </c>
      <c r="I279">
        <v>2075</v>
      </c>
      <c r="J279">
        <v>5.0817499999999995</v>
      </c>
      <c r="K279" t="s">
        <v>35</v>
      </c>
    </row>
    <row r="280" spans="1:11" x14ac:dyDescent="0.45">
      <c r="A280" t="s">
        <v>90</v>
      </c>
      <c r="B280" t="s">
        <v>3</v>
      </c>
      <c r="C280" t="s">
        <v>84</v>
      </c>
      <c r="D280" t="s">
        <v>35</v>
      </c>
      <c r="E280" t="s">
        <v>30</v>
      </c>
      <c r="F280" t="s">
        <v>35</v>
      </c>
      <c r="G280" t="s">
        <v>31</v>
      </c>
      <c r="H280" t="s">
        <v>36</v>
      </c>
      <c r="I280">
        <v>2080</v>
      </c>
      <c r="J280">
        <v>4.9551999999999996</v>
      </c>
      <c r="K280" t="s">
        <v>35</v>
      </c>
    </row>
    <row r="281" spans="1:11" x14ac:dyDescent="0.45">
      <c r="A281" t="s">
        <v>90</v>
      </c>
      <c r="B281" t="s">
        <v>3</v>
      </c>
      <c r="C281" t="s">
        <v>84</v>
      </c>
      <c r="D281" t="s">
        <v>35</v>
      </c>
      <c r="E281" t="s">
        <v>30</v>
      </c>
      <c r="F281" t="s">
        <v>35</v>
      </c>
      <c r="G281" t="s">
        <v>31</v>
      </c>
      <c r="H281" t="s">
        <v>36</v>
      </c>
      <c r="I281">
        <v>2085</v>
      </c>
      <c r="J281">
        <v>5.0263999999999998</v>
      </c>
      <c r="K281" t="s">
        <v>35</v>
      </c>
    </row>
    <row r="282" spans="1:11" x14ac:dyDescent="0.45">
      <c r="A282" t="s">
        <v>90</v>
      </c>
      <c r="B282" t="s">
        <v>3</v>
      </c>
      <c r="C282" t="s">
        <v>84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2090</v>
      </c>
      <c r="J282">
        <v>5.0976499999999998</v>
      </c>
      <c r="K282" t="s">
        <v>35</v>
      </c>
    </row>
    <row r="283" spans="1:11" x14ac:dyDescent="0.45">
      <c r="A283" t="s">
        <v>90</v>
      </c>
      <c r="B283" t="s">
        <v>3</v>
      </c>
      <c r="C283" t="s">
        <v>84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2095</v>
      </c>
      <c r="J283">
        <v>5.0595999999999997</v>
      </c>
      <c r="K283" t="s">
        <v>35</v>
      </c>
    </row>
    <row r="284" spans="1:11" x14ac:dyDescent="0.45">
      <c r="A284" t="s">
        <v>90</v>
      </c>
      <c r="B284" t="s">
        <v>3</v>
      </c>
      <c r="C284" t="s">
        <v>84</v>
      </c>
      <c r="D284" t="s">
        <v>35</v>
      </c>
      <c r="E284" t="s">
        <v>30</v>
      </c>
      <c r="F284" t="s">
        <v>35</v>
      </c>
      <c r="G284" t="s">
        <v>31</v>
      </c>
      <c r="H284" t="s">
        <v>36</v>
      </c>
      <c r="I284">
        <v>2100</v>
      </c>
      <c r="J284">
        <v>5.0215499999999995</v>
      </c>
      <c r="K284" t="s">
        <v>35</v>
      </c>
    </row>
    <row r="285" spans="1:11" x14ac:dyDescent="0.45">
      <c r="A285" t="s">
        <v>90</v>
      </c>
      <c r="B285" t="s">
        <v>3</v>
      </c>
      <c r="C285" t="s">
        <v>84</v>
      </c>
      <c r="D285" t="s">
        <v>85</v>
      </c>
      <c r="E285" t="s">
        <v>25</v>
      </c>
      <c r="F285" t="s">
        <v>85</v>
      </c>
      <c r="G285" t="s">
        <v>26</v>
      </c>
      <c r="H285" t="s">
        <v>82</v>
      </c>
      <c r="I285">
        <v>2020</v>
      </c>
      <c r="J285">
        <v>8.8000000000000005E-3</v>
      </c>
      <c r="K285" t="s">
        <v>85</v>
      </c>
    </row>
    <row r="286" spans="1:11" x14ac:dyDescent="0.45">
      <c r="A286" t="s">
        <v>90</v>
      </c>
      <c r="B286" t="s">
        <v>3</v>
      </c>
      <c r="C286" t="s">
        <v>84</v>
      </c>
      <c r="D286" t="s">
        <v>85</v>
      </c>
      <c r="E286" t="s">
        <v>25</v>
      </c>
      <c r="F286" t="s">
        <v>85</v>
      </c>
      <c r="G286" t="s">
        <v>26</v>
      </c>
      <c r="H286" t="s">
        <v>82</v>
      </c>
      <c r="I286">
        <v>2025</v>
      </c>
      <c r="J286">
        <v>3.6750000000000005E-2</v>
      </c>
      <c r="K286" t="s">
        <v>85</v>
      </c>
    </row>
    <row r="287" spans="1:11" x14ac:dyDescent="0.45">
      <c r="A287" t="s">
        <v>90</v>
      </c>
      <c r="B287" t="s">
        <v>3</v>
      </c>
      <c r="C287" t="s">
        <v>84</v>
      </c>
      <c r="D287" t="s">
        <v>85</v>
      </c>
      <c r="E287" t="s">
        <v>25</v>
      </c>
      <c r="F287" t="s">
        <v>85</v>
      </c>
      <c r="G287" t="s">
        <v>26</v>
      </c>
      <c r="H287" t="s">
        <v>82</v>
      </c>
      <c r="I287">
        <v>2030</v>
      </c>
      <c r="J287">
        <v>6.9349999999999995E-2</v>
      </c>
      <c r="K287" t="s">
        <v>85</v>
      </c>
    </row>
    <row r="288" spans="1:11" x14ac:dyDescent="0.45">
      <c r="A288" t="s">
        <v>90</v>
      </c>
      <c r="B288" t="s">
        <v>3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2035</v>
      </c>
      <c r="J288">
        <v>0.10245000000000001</v>
      </c>
      <c r="K288" t="s">
        <v>85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2040</v>
      </c>
      <c r="J289">
        <v>0.12859999999999999</v>
      </c>
      <c r="K289" t="s">
        <v>85</v>
      </c>
    </row>
    <row r="290" spans="1:11" x14ac:dyDescent="0.45">
      <c r="A290" t="s">
        <v>90</v>
      </c>
      <c r="B290" t="s">
        <v>3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2045</v>
      </c>
      <c r="J290">
        <v>0.1532</v>
      </c>
      <c r="K290" t="s">
        <v>85</v>
      </c>
    </row>
    <row r="291" spans="1:11" x14ac:dyDescent="0.45">
      <c r="A291" t="s">
        <v>90</v>
      </c>
      <c r="B291" t="s">
        <v>3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2050</v>
      </c>
      <c r="J291">
        <v>0.1903</v>
      </c>
      <c r="K291" t="s">
        <v>85</v>
      </c>
    </row>
    <row r="292" spans="1:11" x14ac:dyDescent="0.45">
      <c r="A292" t="s">
        <v>90</v>
      </c>
      <c r="B292" t="s">
        <v>3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2055</v>
      </c>
      <c r="J292">
        <v>0.25979999999999998</v>
      </c>
      <c r="K292" t="s">
        <v>85</v>
      </c>
    </row>
    <row r="293" spans="1:11" x14ac:dyDescent="0.45">
      <c r="A293" t="s">
        <v>90</v>
      </c>
      <c r="B293" t="s">
        <v>3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2060</v>
      </c>
      <c r="J293">
        <v>0.38035000000000002</v>
      </c>
      <c r="K293" t="s">
        <v>85</v>
      </c>
    </row>
    <row r="294" spans="1:11" x14ac:dyDescent="0.45">
      <c r="A294" t="s">
        <v>90</v>
      </c>
      <c r="B294" t="s">
        <v>3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2065</v>
      </c>
      <c r="J294">
        <v>0.38865</v>
      </c>
      <c r="K294" t="s">
        <v>85</v>
      </c>
    </row>
    <row r="295" spans="1:11" x14ac:dyDescent="0.45">
      <c r="A295" t="s">
        <v>90</v>
      </c>
      <c r="B295" t="s">
        <v>3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2070</v>
      </c>
      <c r="J295">
        <v>0.38795000000000002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85</v>
      </c>
      <c r="E296" t="s">
        <v>25</v>
      </c>
      <c r="F296" t="s">
        <v>85</v>
      </c>
      <c r="G296" t="s">
        <v>26</v>
      </c>
      <c r="H296" t="s">
        <v>82</v>
      </c>
      <c r="I296">
        <v>2075</v>
      </c>
      <c r="J296">
        <v>0.38785000000000003</v>
      </c>
      <c r="K296" t="s">
        <v>85</v>
      </c>
    </row>
    <row r="297" spans="1:11" x14ac:dyDescent="0.45">
      <c r="A297" t="s">
        <v>90</v>
      </c>
      <c r="B297" t="s">
        <v>3</v>
      </c>
      <c r="C297" t="s">
        <v>84</v>
      </c>
      <c r="D297" t="s">
        <v>85</v>
      </c>
      <c r="E297" t="s">
        <v>25</v>
      </c>
      <c r="F297" t="s">
        <v>85</v>
      </c>
      <c r="G297" t="s">
        <v>26</v>
      </c>
      <c r="H297" t="s">
        <v>82</v>
      </c>
      <c r="I297">
        <v>2080</v>
      </c>
      <c r="J297">
        <v>0.37009999999999998</v>
      </c>
      <c r="K297" t="s">
        <v>85</v>
      </c>
    </row>
    <row r="298" spans="1:11" x14ac:dyDescent="0.45">
      <c r="A298" t="s">
        <v>90</v>
      </c>
      <c r="B298" t="s">
        <v>3</v>
      </c>
      <c r="C298" t="s">
        <v>84</v>
      </c>
      <c r="D298" t="s">
        <v>85</v>
      </c>
      <c r="E298" t="s">
        <v>25</v>
      </c>
      <c r="F298" t="s">
        <v>85</v>
      </c>
      <c r="G298" t="s">
        <v>26</v>
      </c>
      <c r="H298" t="s">
        <v>82</v>
      </c>
      <c r="I298">
        <v>2085</v>
      </c>
      <c r="J298">
        <v>0.3538</v>
      </c>
      <c r="K298" t="s">
        <v>85</v>
      </c>
    </row>
    <row r="299" spans="1:11" x14ac:dyDescent="0.45">
      <c r="A299" t="s">
        <v>90</v>
      </c>
      <c r="B299" t="s">
        <v>3</v>
      </c>
      <c r="C299" t="s">
        <v>84</v>
      </c>
      <c r="D299" t="s">
        <v>85</v>
      </c>
      <c r="E299" t="s">
        <v>25</v>
      </c>
      <c r="F299" t="s">
        <v>85</v>
      </c>
      <c r="G299" t="s">
        <v>26</v>
      </c>
      <c r="H299" t="s">
        <v>82</v>
      </c>
      <c r="I299">
        <v>2090</v>
      </c>
      <c r="J299">
        <v>0.32645000000000002</v>
      </c>
      <c r="K299" t="s">
        <v>85</v>
      </c>
    </row>
    <row r="300" spans="1:11" x14ac:dyDescent="0.45">
      <c r="A300" t="s">
        <v>90</v>
      </c>
      <c r="B300" t="s">
        <v>3</v>
      </c>
      <c r="C300" t="s">
        <v>84</v>
      </c>
      <c r="D300" t="s">
        <v>85</v>
      </c>
      <c r="E300" t="s">
        <v>25</v>
      </c>
      <c r="F300" t="s">
        <v>85</v>
      </c>
      <c r="G300" t="s">
        <v>26</v>
      </c>
      <c r="H300" t="s">
        <v>82</v>
      </c>
      <c r="I300">
        <v>2095</v>
      </c>
      <c r="J300">
        <v>0.32784999999999997</v>
      </c>
      <c r="K300" t="s">
        <v>85</v>
      </c>
    </row>
    <row r="301" spans="1:11" x14ac:dyDescent="0.45">
      <c r="A301" t="s">
        <v>90</v>
      </c>
      <c r="B301" t="s">
        <v>3</v>
      </c>
      <c r="C301" t="s">
        <v>84</v>
      </c>
      <c r="D301" t="s">
        <v>85</v>
      </c>
      <c r="E301" t="s">
        <v>25</v>
      </c>
      <c r="F301" t="s">
        <v>85</v>
      </c>
      <c r="G301" t="s">
        <v>26</v>
      </c>
      <c r="H301" t="s">
        <v>82</v>
      </c>
      <c r="I301">
        <v>2100</v>
      </c>
      <c r="J301">
        <v>0.32829999999999998</v>
      </c>
      <c r="K301" t="s">
        <v>85</v>
      </c>
    </row>
    <row r="302" spans="1:11" x14ac:dyDescent="0.45">
      <c r="A302" t="s">
        <v>90</v>
      </c>
      <c r="B302" t="s">
        <v>3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H302" t="s">
        <v>89</v>
      </c>
      <c r="I302">
        <v>2020</v>
      </c>
      <c r="J302">
        <v>2.0999999999999996</v>
      </c>
      <c r="K302" t="s">
        <v>45</v>
      </c>
    </row>
    <row r="303" spans="1:11" x14ac:dyDescent="0.45">
      <c r="A303" t="s">
        <v>90</v>
      </c>
      <c r="B303" t="s">
        <v>3</v>
      </c>
      <c r="C303" t="s">
        <v>84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2025</v>
      </c>
      <c r="J303">
        <v>9.4650999999999996</v>
      </c>
      <c r="K303" t="s">
        <v>45</v>
      </c>
    </row>
    <row r="304" spans="1:11" x14ac:dyDescent="0.45">
      <c r="A304" t="s">
        <v>90</v>
      </c>
      <c r="B304" t="s">
        <v>3</v>
      </c>
      <c r="C304" t="s">
        <v>84</v>
      </c>
      <c r="D304" t="s">
        <v>45</v>
      </c>
      <c r="E304" t="s">
        <v>46</v>
      </c>
      <c r="F304" t="s">
        <v>45</v>
      </c>
      <c r="G304" t="s">
        <v>47</v>
      </c>
      <c r="H304" t="s">
        <v>89</v>
      </c>
      <c r="I304">
        <v>2030</v>
      </c>
      <c r="J304">
        <v>22.0837</v>
      </c>
      <c r="K304" t="s">
        <v>45</v>
      </c>
    </row>
    <row r="305" spans="1:12" x14ac:dyDescent="0.45">
      <c r="A305" t="s">
        <v>90</v>
      </c>
      <c r="B305" t="s">
        <v>3</v>
      </c>
      <c r="C305" t="s">
        <v>84</v>
      </c>
      <c r="D305" t="s">
        <v>45</v>
      </c>
      <c r="E305" t="s">
        <v>46</v>
      </c>
      <c r="F305" t="s">
        <v>45</v>
      </c>
      <c r="G305" t="s">
        <v>47</v>
      </c>
      <c r="H305" t="s">
        <v>89</v>
      </c>
      <c r="I305">
        <v>2035</v>
      </c>
      <c r="J305">
        <v>45.638950000000001</v>
      </c>
      <c r="K305" t="s">
        <v>45</v>
      </c>
    </row>
    <row r="306" spans="1:12" x14ac:dyDescent="0.45">
      <c r="A306" t="s">
        <v>90</v>
      </c>
      <c r="B306" t="s">
        <v>3</v>
      </c>
      <c r="C306" t="s">
        <v>84</v>
      </c>
      <c r="D306" t="s">
        <v>45</v>
      </c>
      <c r="E306" t="s">
        <v>46</v>
      </c>
      <c r="F306" t="s">
        <v>45</v>
      </c>
      <c r="G306" t="s">
        <v>47</v>
      </c>
      <c r="H306" t="s">
        <v>89</v>
      </c>
      <c r="I306">
        <v>2040</v>
      </c>
      <c r="J306">
        <v>70.763800000000003</v>
      </c>
      <c r="K306" t="s">
        <v>45</v>
      </c>
    </row>
    <row r="307" spans="1:12" x14ac:dyDescent="0.45">
      <c r="A307" t="s">
        <v>90</v>
      </c>
      <c r="B307" t="s">
        <v>3</v>
      </c>
      <c r="C307" t="s">
        <v>84</v>
      </c>
      <c r="D307" t="s">
        <v>45</v>
      </c>
      <c r="E307" t="s">
        <v>46</v>
      </c>
      <c r="F307" t="s">
        <v>45</v>
      </c>
      <c r="G307" t="s">
        <v>47</v>
      </c>
      <c r="H307" t="s">
        <v>89</v>
      </c>
      <c r="I307">
        <v>2045</v>
      </c>
      <c r="J307">
        <v>91.214699999999993</v>
      </c>
      <c r="K307" t="s">
        <v>45</v>
      </c>
    </row>
    <row r="308" spans="1:12" x14ac:dyDescent="0.45">
      <c r="A308" t="s">
        <v>90</v>
      </c>
      <c r="B308" t="s">
        <v>3</v>
      </c>
      <c r="C308" t="s">
        <v>84</v>
      </c>
      <c r="D308" t="s">
        <v>45</v>
      </c>
      <c r="E308" t="s">
        <v>46</v>
      </c>
      <c r="F308" t="s">
        <v>45</v>
      </c>
      <c r="G308" t="s">
        <v>47</v>
      </c>
      <c r="H308" t="s">
        <v>89</v>
      </c>
      <c r="I308">
        <v>2050</v>
      </c>
      <c r="J308">
        <v>98.894200000000012</v>
      </c>
      <c r="K308" t="s">
        <v>45</v>
      </c>
    </row>
    <row r="309" spans="1:12" x14ac:dyDescent="0.45">
      <c r="A309" t="s">
        <v>90</v>
      </c>
      <c r="B309" t="s">
        <v>3</v>
      </c>
      <c r="C309" t="s">
        <v>84</v>
      </c>
      <c r="D309" t="s">
        <v>45</v>
      </c>
      <c r="E309" t="s">
        <v>46</v>
      </c>
      <c r="F309" t="s">
        <v>45</v>
      </c>
      <c r="G309" t="s">
        <v>47</v>
      </c>
      <c r="H309" t="s">
        <v>89</v>
      </c>
      <c r="I309">
        <v>2055</v>
      </c>
      <c r="J309">
        <v>96.545349999999999</v>
      </c>
      <c r="K309" t="s">
        <v>45</v>
      </c>
    </row>
    <row r="310" spans="1:12" x14ac:dyDescent="0.45">
      <c r="A310" t="s">
        <v>90</v>
      </c>
      <c r="B310" t="s">
        <v>3</v>
      </c>
      <c r="C310" t="s">
        <v>84</v>
      </c>
      <c r="D310" t="s">
        <v>45</v>
      </c>
      <c r="E310" t="s">
        <v>46</v>
      </c>
      <c r="F310" t="s">
        <v>45</v>
      </c>
      <c r="G310" t="s">
        <v>47</v>
      </c>
      <c r="H310" t="s">
        <v>89</v>
      </c>
      <c r="I310">
        <v>2060</v>
      </c>
      <c r="J310">
        <v>92.4739</v>
      </c>
      <c r="K310" t="s">
        <v>45</v>
      </c>
    </row>
    <row r="311" spans="1:12" x14ac:dyDescent="0.45">
      <c r="A311" t="s">
        <v>90</v>
      </c>
      <c r="B311" t="s">
        <v>3</v>
      </c>
      <c r="C311" t="s">
        <v>84</v>
      </c>
      <c r="D311" t="s">
        <v>45</v>
      </c>
      <c r="E311" t="s">
        <v>46</v>
      </c>
      <c r="F311" t="s">
        <v>45</v>
      </c>
      <c r="G311" t="s">
        <v>47</v>
      </c>
      <c r="H311" t="s">
        <v>89</v>
      </c>
      <c r="I311">
        <v>2065</v>
      </c>
      <c r="J311">
        <v>82.615649999999988</v>
      </c>
      <c r="K311" t="s">
        <v>45</v>
      </c>
    </row>
    <row r="312" spans="1:12" x14ac:dyDescent="0.45">
      <c r="A312" t="s">
        <v>90</v>
      </c>
      <c r="B312" t="s">
        <v>3</v>
      </c>
      <c r="C312" t="s">
        <v>84</v>
      </c>
      <c r="D312" t="s">
        <v>45</v>
      </c>
      <c r="E312" t="s">
        <v>46</v>
      </c>
      <c r="F312" t="s">
        <v>45</v>
      </c>
      <c r="G312" t="s">
        <v>47</v>
      </c>
      <c r="H312" t="s">
        <v>89</v>
      </c>
      <c r="I312">
        <v>2070</v>
      </c>
      <c r="J312">
        <v>68.443350000000009</v>
      </c>
      <c r="K312" t="s">
        <v>45</v>
      </c>
    </row>
    <row r="313" spans="1:12" x14ac:dyDescent="0.45">
      <c r="A313" t="s">
        <v>90</v>
      </c>
      <c r="B313" t="s">
        <v>3</v>
      </c>
      <c r="C313" t="s">
        <v>84</v>
      </c>
      <c r="D313" t="s">
        <v>45</v>
      </c>
      <c r="E313" t="s">
        <v>46</v>
      </c>
      <c r="F313" t="s">
        <v>45</v>
      </c>
      <c r="G313" t="s">
        <v>47</v>
      </c>
      <c r="H313" t="s">
        <v>89</v>
      </c>
      <c r="I313">
        <v>2075</v>
      </c>
      <c r="J313">
        <v>51.106949999999998</v>
      </c>
      <c r="K313" t="s">
        <v>45</v>
      </c>
    </row>
    <row r="314" spans="1:12" x14ac:dyDescent="0.45">
      <c r="A314" t="s">
        <v>90</v>
      </c>
      <c r="B314" t="s">
        <v>3</v>
      </c>
      <c r="C314" t="s">
        <v>84</v>
      </c>
      <c r="D314" t="s">
        <v>45</v>
      </c>
      <c r="E314" t="s">
        <v>46</v>
      </c>
      <c r="F314" t="s">
        <v>45</v>
      </c>
      <c r="G314" t="s">
        <v>47</v>
      </c>
      <c r="H314" t="s">
        <v>89</v>
      </c>
      <c r="I314">
        <v>2080</v>
      </c>
      <c r="J314">
        <v>33.951599999999999</v>
      </c>
      <c r="K314" t="s">
        <v>45</v>
      </c>
    </row>
    <row r="315" spans="1:12" x14ac:dyDescent="0.45">
      <c r="A315" t="s">
        <v>90</v>
      </c>
      <c r="B315" t="s">
        <v>3</v>
      </c>
      <c r="C315" t="s">
        <v>84</v>
      </c>
      <c r="D315" t="s">
        <v>45</v>
      </c>
      <c r="E315" t="s">
        <v>46</v>
      </c>
      <c r="F315" t="s">
        <v>45</v>
      </c>
      <c r="G315" t="s">
        <v>47</v>
      </c>
      <c r="H315" t="s">
        <v>89</v>
      </c>
      <c r="I315">
        <v>2085</v>
      </c>
      <c r="J315">
        <v>25.014050000000001</v>
      </c>
      <c r="K315" t="s">
        <v>45</v>
      </c>
    </row>
    <row r="316" spans="1:12" x14ac:dyDescent="0.45">
      <c r="A316" t="s">
        <v>90</v>
      </c>
      <c r="B316" t="s">
        <v>3</v>
      </c>
      <c r="C316" t="s">
        <v>84</v>
      </c>
      <c r="D316" t="s">
        <v>45</v>
      </c>
      <c r="E316" t="s">
        <v>46</v>
      </c>
      <c r="F316" t="s">
        <v>45</v>
      </c>
      <c r="G316" t="s">
        <v>47</v>
      </c>
      <c r="H316" t="s">
        <v>89</v>
      </c>
      <c r="I316">
        <v>2090</v>
      </c>
      <c r="J316">
        <v>16.271699999999999</v>
      </c>
      <c r="K316" t="s">
        <v>45</v>
      </c>
    </row>
    <row r="317" spans="1:12" x14ac:dyDescent="0.45">
      <c r="A317" t="s">
        <v>90</v>
      </c>
      <c r="B317" t="s">
        <v>3</v>
      </c>
      <c r="C317" t="s">
        <v>84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2095</v>
      </c>
      <c r="J317">
        <v>14.749549999999999</v>
      </c>
      <c r="K317" t="s">
        <v>45</v>
      </c>
    </row>
    <row r="318" spans="1:12" x14ac:dyDescent="0.45">
      <c r="A318" t="s">
        <v>90</v>
      </c>
      <c r="B318" t="s">
        <v>3</v>
      </c>
      <c r="C318" t="s">
        <v>84</v>
      </c>
      <c r="D318" t="s">
        <v>45</v>
      </c>
      <c r="E318" t="s">
        <v>46</v>
      </c>
      <c r="F318" t="s">
        <v>45</v>
      </c>
      <c r="G318" t="s">
        <v>47</v>
      </c>
      <c r="H318" t="s">
        <v>89</v>
      </c>
      <c r="I318">
        <v>2100</v>
      </c>
      <c r="J318">
        <v>13.1981</v>
      </c>
      <c r="K318" t="s">
        <v>45</v>
      </c>
    </row>
    <row r="319" spans="1:12" x14ac:dyDescent="0.45">
      <c r="A319" t="s">
        <v>90</v>
      </c>
      <c r="B319" t="s">
        <v>3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2020</v>
      </c>
      <c r="J319">
        <v>8.2900000000000001E-2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2.69E-2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2030</v>
      </c>
      <c r="J321">
        <v>2.0000000000000001E-4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2035</v>
      </c>
      <c r="J322">
        <v>0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2040</v>
      </c>
      <c r="J323">
        <v>0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52</v>
      </c>
      <c r="E324" t="s">
        <v>25</v>
      </c>
      <c r="F324" t="s">
        <v>52</v>
      </c>
      <c r="G324" t="s">
        <v>71</v>
      </c>
      <c r="H324" t="s">
        <v>89</v>
      </c>
      <c r="I324">
        <v>2045</v>
      </c>
      <c r="J324">
        <v>0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2060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2065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84</v>
      </c>
      <c r="D331" t="s">
        <v>52</v>
      </c>
      <c r="E331" t="s">
        <v>25</v>
      </c>
      <c r="F331" t="s">
        <v>52</v>
      </c>
      <c r="G331" t="s">
        <v>71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84</v>
      </c>
      <c r="D332" t="s">
        <v>52</v>
      </c>
      <c r="E332" t="s">
        <v>25</v>
      </c>
      <c r="F332" t="s">
        <v>52</v>
      </c>
      <c r="G332" t="s">
        <v>71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84</v>
      </c>
      <c r="D333" t="s">
        <v>52</v>
      </c>
      <c r="E333" t="s">
        <v>25</v>
      </c>
      <c r="F333" t="s">
        <v>52</v>
      </c>
      <c r="G333" t="s">
        <v>71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2020</v>
      </c>
      <c r="J336">
        <v>0.2029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2025</v>
      </c>
      <c r="J337">
        <v>0.14149999999999999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84</v>
      </c>
      <c r="D338" t="s">
        <v>53</v>
      </c>
      <c r="E338" t="s">
        <v>25</v>
      </c>
      <c r="F338" t="s">
        <v>53</v>
      </c>
      <c r="G338" t="s">
        <v>71</v>
      </c>
      <c r="H338" t="s">
        <v>89</v>
      </c>
      <c r="I338">
        <v>2030</v>
      </c>
      <c r="J338">
        <v>5.8299999999999998E-2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2035</v>
      </c>
      <c r="J339">
        <v>1.8700000000000001E-2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2040</v>
      </c>
      <c r="J340">
        <v>3.3999999999999998E-3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84</v>
      </c>
      <c r="D341" t="s">
        <v>53</v>
      </c>
      <c r="E341" t="s">
        <v>25</v>
      </c>
      <c r="F341" t="s">
        <v>53</v>
      </c>
      <c r="G341" t="s">
        <v>71</v>
      </c>
      <c r="H341" t="s">
        <v>89</v>
      </c>
      <c r="I341">
        <v>2045</v>
      </c>
      <c r="J341">
        <v>1.8E-3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2050</v>
      </c>
      <c r="J342">
        <v>8.9999999999999998E-4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2055</v>
      </c>
      <c r="J343">
        <v>2.0000000000000001E-4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84</v>
      </c>
      <c r="D344" t="s">
        <v>53</v>
      </c>
      <c r="E344" t="s">
        <v>25</v>
      </c>
      <c r="F344" t="s">
        <v>53</v>
      </c>
      <c r="G344" t="s">
        <v>71</v>
      </c>
      <c r="H344" t="s">
        <v>89</v>
      </c>
      <c r="I344">
        <v>2060</v>
      </c>
      <c r="J344">
        <v>0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84</v>
      </c>
      <c r="D345" t="s">
        <v>53</v>
      </c>
      <c r="E345" t="s">
        <v>25</v>
      </c>
      <c r="F345" t="s">
        <v>53</v>
      </c>
      <c r="G345" t="s">
        <v>71</v>
      </c>
      <c r="H345" t="s">
        <v>89</v>
      </c>
      <c r="I345">
        <v>2065</v>
      </c>
      <c r="J345">
        <v>0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84</v>
      </c>
      <c r="D346" t="s">
        <v>53</v>
      </c>
      <c r="E346" t="s">
        <v>25</v>
      </c>
      <c r="F346" t="s">
        <v>53</v>
      </c>
      <c r="G346" t="s">
        <v>71</v>
      </c>
      <c r="H346" t="s">
        <v>89</v>
      </c>
      <c r="I346">
        <v>2070</v>
      </c>
      <c r="J346">
        <v>0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84</v>
      </c>
      <c r="D347" t="s">
        <v>53</v>
      </c>
      <c r="E347" t="s">
        <v>25</v>
      </c>
      <c r="F347" t="s">
        <v>53</v>
      </c>
      <c r="G347" t="s">
        <v>71</v>
      </c>
      <c r="H347" t="s">
        <v>89</v>
      </c>
      <c r="I347">
        <v>2075</v>
      </c>
      <c r="J347">
        <v>0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2080</v>
      </c>
      <c r="J348">
        <v>0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2085</v>
      </c>
      <c r="J349">
        <v>0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53</v>
      </c>
      <c r="E350" t="s">
        <v>25</v>
      </c>
      <c r="F350" t="s">
        <v>53</v>
      </c>
      <c r="G350" t="s">
        <v>71</v>
      </c>
      <c r="H350" t="s">
        <v>89</v>
      </c>
      <c r="I350">
        <v>2090</v>
      </c>
      <c r="J350">
        <v>0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2095</v>
      </c>
      <c r="J351">
        <v>0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2100</v>
      </c>
      <c r="J352">
        <v>0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2020</v>
      </c>
      <c r="J353">
        <v>1.1299999999999999E-2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84</v>
      </c>
      <c r="D354" t="s">
        <v>54</v>
      </c>
      <c r="E354" t="s">
        <v>25</v>
      </c>
      <c r="F354" t="s">
        <v>54</v>
      </c>
      <c r="G354" t="s">
        <v>71</v>
      </c>
      <c r="H354" t="s">
        <v>89</v>
      </c>
      <c r="I354">
        <v>2025</v>
      </c>
      <c r="J354">
        <v>4.5999999999999999E-3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84</v>
      </c>
      <c r="D355" t="s">
        <v>54</v>
      </c>
      <c r="E355" t="s">
        <v>25</v>
      </c>
      <c r="F355" t="s">
        <v>54</v>
      </c>
      <c r="G355" t="s">
        <v>71</v>
      </c>
      <c r="H355" t="s">
        <v>89</v>
      </c>
      <c r="I355">
        <v>2030</v>
      </c>
      <c r="J355">
        <v>5.0000000000000001E-4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54</v>
      </c>
      <c r="E358" t="s">
        <v>25</v>
      </c>
      <c r="F358" t="s">
        <v>54</v>
      </c>
      <c r="G358" t="s">
        <v>71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84</v>
      </c>
      <c r="D359" t="s">
        <v>54</v>
      </c>
      <c r="E359" t="s">
        <v>25</v>
      </c>
      <c r="F359" t="s">
        <v>54</v>
      </c>
      <c r="G359" t="s">
        <v>71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84</v>
      </c>
      <c r="D360" t="s">
        <v>54</v>
      </c>
      <c r="E360" t="s">
        <v>25</v>
      </c>
      <c r="F360" t="s">
        <v>54</v>
      </c>
      <c r="G360" t="s">
        <v>71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84</v>
      </c>
      <c r="D361" t="s">
        <v>54</v>
      </c>
      <c r="E361" t="s">
        <v>25</v>
      </c>
      <c r="F361" t="s">
        <v>54</v>
      </c>
      <c r="G361" t="s">
        <v>71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84</v>
      </c>
      <c r="D362" t="s">
        <v>54</v>
      </c>
      <c r="E362" t="s">
        <v>25</v>
      </c>
      <c r="F362" t="s">
        <v>54</v>
      </c>
      <c r="G362" t="s">
        <v>71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84</v>
      </c>
      <c r="D363" t="s">
        <v>54</v>
      </c>
      <c r="E363" t="s">
        <v>25</v>
      </c>
      <c r="F363" t="s">
        <v>54</v>
      </c>
      <c r="G363" t="s">
        <v>71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84</v>
      </c>
      <c r="D367" t="s">
        <v>54</v>
      </c>
      <c r="E367" t="s">
        <v>25</v>
      </c>
      <c r="F367" t="s">
        <v>54</v>
      </c>
      <c r="G367" t="s">
        <v>71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84</v>
      </c>
      <c r="D369" t="s">
        <v>54</v>
      </c>
      <c r="E369" t="s">
        <v>25</v>
      </c>
      <c r="F369" t="s">
        <v>54</v>
      </c>
      <c r="G369" t="s">
        <v>71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84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74.293300000000002</v>
      </c>
      <c r="K370" t="s">
        <v>37</v>
      </c>
    </row>
    <row r="371" spans="1:12" x14ac:dyDescent="0.45">
      <c r="A371" t="s">
        <v>90</v>
      </c>
      <c r="B371" t="s">
        <v>3</v>
      </c>
      <c r="C371" t="s">
        <v>84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100.63615</v>
      </c>
      <c r="K371" t="s">
        <v>37</v>
      </c>
    </row>
    <row r="372" spans="1:12" x14ac:dyDescent="0.45">
      <c r="A372" t="s">
        <v>90</v>
      </c>
      <c r="B372" t="s">
        <v>3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81.908249999999995</v>
      </c>
      <c r="K372" t="s">
        <v>37</v>
      </c>
    </row>
    <row r="373" spans="1:12" x14ac:dyDescent="0.45">
      <c r="A373" t="s">
        <v>90</v>
      </c>
      <c r="B373" t="s">
        <v>3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82.091899999999995</v>
      </c>
      <c r="K373" t="s">
        <v>37</v>
      </c>
    </row>
    <row r="374" spans="1:12" x14ac:dyDescent="0.45">
      <c r="A374" t="s">
        <v>90</v>
      </c>
      <c r="B374" t="s">
        <v>3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90.412750000000003</v>
      </c>
      <c r="K374" t="s">
        <v>37</v>
      </c>
    </row>
    <row r="375" spans="1:12" x14ac:dyDescent="0.45">
      <c r="A375" t="s">
        <v>90</v>
      </c>
      <c r="B375" t="s">
        <v>3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92.622399999999999</v>
      </c>
      <c r="K375" t="s">
        <v>37</v>
      </c>
    </row>
    <row r="376" spans="1:12" x14ac:dyDescent="0.45">
      <c r="A376" t="s">
        <v>90</v>
      </c>
      <c r="B376" t="s">
        <v>3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118.21475000000001</v>
      </c>
      <c r="K376" t="s">
        <v>37</v>
      </c>
    </row>
    <row r="377" spans="1:12" x14ac:dyDescent="0.45">
      <c r="A377" t="s">
        <v>90</v>
      </c>
      <c r="B377" t="s">
        <v>3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134.30709999999999</v>
      </c>
      <c r="K377" t="s">
        <v>37</v>
      </c>
    </row>
    <row r="378" spans="1:12" x14ac:dyDescent="0.45">
      <c r="A378" t="s">
        <v>90</v>
      </c>
      <c r="B378" t="s">
        <v>3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201.67599999999999</v>
      </c>
      <c r="K378" t="s">
        <v>37</v>
      </c>
    </row>
    <row r="379" spans="1:12" x14ac:dyDescent="0.45">
      <c r="A379" t="s">
        <v>90</v>
      </c>
      <c r="B379" t="s">
        <v>3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245.5926</v>
      </c>
      <c r="K379" t="s">
        <v>37</v>
      </c>
    </row>
    <row r="380" spans="1:12" x14ac:dyDescent="0.45">
      <c r="A380" t="s">
        <v>90</v>
      </c>
      <c r="B380" t="s">
        <v>3</v>
      </c>
      <c r="C380" t="s">
        <v>84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289.50925000000001</v>
      </c>
      <c r="K380" t="s">
        <v>37</v>
      </c>
    </row>
    <row r="381" spans="1:12" x14ac:dyDescent="0.45">
      <c r="A381" t="s">
        <v>90</v>
      </c>
      <c r="B381" t="s">
        <v>3</v>
      </c>
      <c r="C381" t="s">
        <v>84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302.67869999999999</v>
      </c>
      <c r="K381" t="s">
        <v>37</v>
      </c>
    </row>
    <row r="382" spans="1:12" x14ac:dyDescent="0.45">
      <c r="A382" t="s">
        <v>90</v>
      </c>
      <c r="B382" t="s">
        <v>3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315.84815000000003</v>
      </c>
      <c r="K382" t="s">
        <v>37</v>
      </c>
    </row>
    <row r="383" spans="1:12" x14ac:dyDescent="0.45">
      <c r="A383" t="s">
        <v>90</v>
      </c>
      <c r="B383" t="s">
        <v>3</v>
      </c>
      <c r="C383" t="s">
        <v>84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335.00319999999999</v>
      </c>
      <c r="K383" t="s">
        <v>37</v>
      </c>
    </row>
    <row r="384" spans="1:12" x14ac:dyDescent="0.45">
      <c r="A384" t="s">
        <v>90</v>
      </c>
      <c r="B384" t="s">
        <v>3</v>
      </c>
      <c r="C384" t="s">
        <v>84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354.15820000000002</v>
      </c>
      <c r="K384" t="s">
        <v>37</v>
      </c>
    </row>
    <row r="385" spans="1:11" x14ac:dyDescent="0.45">
      <c r="A385" t="s">
        <v>90</v>
      </c>
      <c r="B385" t="s">
        <v>3</v>
      </c>
      <c r="C385" t="s">
        <v>84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369.08179999999999</v>
      </c>
      <c r="K385" t="s">
        <v>37</v>
      </c>
    </row>
    <row r="386" spans="1:11" x14ac:dyDescent="0.45">
      <c r="A386" t="s">
        <v>90</v>
      </c>
      <c r="B386" t="s">
        <v>3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384.00545</v>
      </c>
      <c r="K386" t="s">
        <v>37</v>
      </c>
    </row>
    <row r="387" spans="1:11" x14ac:dyDescent="0.45">
      <c r="A387" t="s">
        <v>90</v>
      </c>
      <c r="B387" t="s">
        <v>4</v>
      </c>
      <c r="C387" t="s">
        <v>84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2020</v>
      </c>
      <c r="J387">
        <v>113.3391</v>
      </c>
      <c r="K387" t="s">
        <v>48</v>
      </c>
    </row>
    <row r="388" spans="1:11" x14ac:dyDescent="0.45">
      <c r="A388" t="s">
        <v>90</v>
      </c>
      <c r="B388" t="s">
        <v>4</v>
      </c>
      <c r="C388" t="s">
        <v>84</v>
      </c>
      <c r="D388" t="s">
        <v>48</v>
      </c>
      <c r="E388" t="s">
        <v>46</v>
      </c>
      <c r="F388" t="s">
        <v>48</v>
      </c>
      <c r="G388" t="s">
        <v>49</v>
      </c>
      <c r="H388" t="s">
        <v>50</v>
      </c>
      <c r="I388">
        <v>2025</v>
      </c>
      <c r="J388">
        <v>-138.50184999999999</v>
      </c>
      <c r="K388" t="s">
        <v>48</v>
      </c>
    </row>
    <row r="389" spans="1:11" x14ac:dyDescent="0.45">
      <c r="A389" t="s">
        <v>90</v>
      </c>
      <c r="B389" t="s">
        <v>4</v>
      </c>
      <c r="C389" t="s">
        <v>84</v>
      </c>
      <c r="D389" t="s">
        <v>48</v>
      </c>
      <c r="E389" t="s">
        <v>46</v>
      </c>
      <c r="F389" t="s">
        <v>48</v>
      </c>
      <c r="G389" t="s">
        <v>49</v>
      </c>
      <c r="H389" t="s">
        <v>50</v>
      </c>
      <c r="I389">
        <v>2030</v>
      </c>
      <c r="J389">
        <v>-308.1386</v>
      </c>
      <c r="K389" t="s">
        <v>48</v>
      </c>
    </row>
    <row r="390" spans="1:11" x14ac:dyDescent="0.45">
      <c r="A390" t="s">
        <v>90</v>
      </c>
      <c r="B390" t="s">
        <v>4</v>
      </c>
      <c r="C390" t="s">
        <v>84</v>
      </c>
      <c r="D390" t="s">
        <v>48</v>
      </c>
      <c r="E390" t="s">
        <v>46</v>
      </c>
      <c r="F390" t="s">
        <v>48</v>
      </c>
      <c r="G390" t="s">
        <v>49</v>
      </c>
      <c r="H390" t="s">
        <v>50</v>
      </c>
      <c r="I390">
        <v>2035</v>
      </c>
      <c r="J390">
        <v>-385.33579999999995</v>
      </c>
      <c r="K390" t="s">
        <v>48</v>
      </c>
    </row>
    <row r="391" spans="1:11" x14ac:dyDescent="0.45">
      <c r="A391" t="s">
        <v>90</v>
      </c>
      <c r="B391" t="s">
        <v>4</v>
      </c>
      <c r="C391" t="s">
        <v>84</v>
      </c>
      <c r="D391" t="s">
        <v>48</v>
      </c>
      <c r="E391" t="s">
        <v>46</v>
      </c>
      <c r="F391" t="s">
        <v>48</v>
      </c>
      <c r="G391" t="s">
        <v>49</v>
      </c>
      <c r="H391" t="s">
        <v>50</v>
      </c>
      <c r="I391">
        <v>2040</v>
      </c>
      <c r="J391">
        <v>-444.75594999999998</v>
      </c>
      <c r="K391" t="s">
        <v>48</v>
      </c>
    </row>
    <row r="392" spans="1:11" x14ac:dyDescent="0.45">
      <c r="A392" t="s">
        <v>90</v>
      </c>
      <c r="B392" t="s">
        <v>4</v>
      </c>
      <c r="C392" t="s">
        <v>84</v>
      </c>
      <c r="D392" t="s">
        <v>48</v>
      </c>
      <c r="E392" t="s">
        <v>46</v>
      </c>
      <c r="F392" t="s">
        <v>48</v>
      </c>
      <c r="G392" t="s">
        <v>49</v>
      </c>
      <c r="H392" t="s">
        <v>50</v>
      </c>
      <c r="I392">
        <v>2045</v>
      </c>
      <c r="J392">
        <v>-495.0797</v>
      </c>
      <c r="K392" t="s">
        <v>48</v>
      </c>
    </row>
    <row r="393" spans="1:11" x14ac:dyDescent="0.45">
      <c r="A393" t="s">
        <v>90</v>
      </c>
      <c r="B393" t="s">
        <v>4</v>
      </c>
      <c r="C393" t="s">
        <v>84</v>
      </c>
      <c r="D393" t="s">
        <v>48</v>
      </c>
      <c r="E393" t="s">
        <v>46</v>
      </c>
      <c r="F393" t="s">
        <v>48</v>
      </c>
      <c r="G393" t="s">
        <v>49</v>
      </c>
      <c r="H393" t="s">
        <v>50</v>
      </c>
      <c r="I393">
        <v>2050</v>
      </c>
      <c r="J393">
        <v>-529.87065000000007</v>
      </c>
      <c r="K393" t="s">
        <v>48</v>
      </c>
    </row>
    <row r="394" spans="1:11" x14ac:dyDescent="0.45">
      <c r="A394" t="s">
        <v>90</v>
      </c>
      <c r="B394" t="s">
        <v>4</v>
      </c>
      <c r="C394" t="s">
        <v>84</v>
      </c>
      <c r="D394" t="s">
        <v>48</v>
      </c>
      <c r="E394" t="s">
        <v>46</v>
      </c>
      <c r="F394" t="s">
        <v>48</v>
      </c>
      <c r="G394" t="s">
        <v>49</v>
      </c>
      <c r="H394" t="s">
        <v>50</v>
      </c>
      <c r="I394">
        <v>2055</v>
      </c>
      <c r="J394">
        <v>-513.25220000000002</v>
      </c>
      <c r="K394" t="s">
        <v>48</v>
      </c>
    </row>
    <row r="395" spans="1:11" x14ac:dyDescent="0.45">
      <c r="A395" t="s">
        <v>90</v>
      </c>
      <c r="B395" t="s">
        <v>4</v>
      </c>
      <c r="C395" t="s">
        <v>84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2060</v>
      </c>
      <c r="J395">
        <v>-494.81270000000001</v>
      </c>
      <c r="K395" t="s">
        <v>48</v>
      </c>
    </row>
    <row r="396" spans="1:11" x14ac:dyDescent="0.45">
      <c r="A396" t="s">
        <v>90</v>
      </c>
      <c r="B396" t="s">
        <v>4</v>
      </c>
      <c r="C396" t="s">
        <v>84</v>
      </c>
      <c r="D396" t="s">
        <v>48</v>
      </c>
      <c r="E396" t="s">
        <v>46</v>
      </c>
      <c r="F396" t="s">
        <v>48</v>
      </c>
      <c r="G396" t="s">
        <v>49</v>
      </c>
      <c r="H396" t="s">
        <v>50</v>
      </c>
      <c r="I396">
        <v>2065</v>
      </c>
      <c r="J396">
        <v>-474.0763</v>
      </c>
      <c r="K396" t="s">
        <v>48</v>
      </c>
    </row>
    <row r="397" spans="1:11" x14ac:dyDescent="0.45">
      <c r="A397" t="s">
        <v>90</v>
      </c>
      <c r="B397" t="s">
        <v>4</v>
      </c>
      <c r="C397" t="s">
        <v>84</v>
      </c>
      <c r="D397" t="s">
        <v>48</v>
      </c>
      <c r="E397" t="s">
        <v>46</v>
      </c>
      <c r="F397" t="s">
        <v>48</v>
      </c>
      <c r="G397" t="s">
        <v>49</v>
      </c>
      <c r="H397" t="s">
        <v>50</v>
      </c>
      <c r="I397">
        <v>2070</v>
      </c>
      <c r="J397">
        <v>-453.62705</v>
      </c>
      <c r="K397" t="s">
        <v>48</v>
      </c>
    </row>
    <row r="398" spans="1:11" x14ac:dyDescent="0.45">
      <c r="A398" t="s">
        <v>90</v>
      </c>
      <c r="B398" t="s">
        <v>4</v>
      </c>
      <c r="C398" t="s">
        <v>84</v>
      </c>
      <c r="D398" t="s">
        <v>48</v>
      </c>
      <c r="E398" t="s">
        <v>46</v>
      </c>
      <c r="F398" t="s">
        <v>48</v>
      </c>
      <c r="G398" t="s">
        <v>49</v>
      </c>
      <c r="H398" t="s">
        <v>50</v>
      </c>
      <c r="I398">
        <v>2075</v>
      </c>
      <c r="J398">
        <v>-485.24940000000004</v>
      </c>
      <c r="K398" t="s">
        <v>48</v>
      </c>
    </row>
    <row r="399" spans="1:11" x14ac:dyDescent="0.45">
      <c r="A399" t="s">
        <v>90</v>
      </c>
      <c r="B399" t="s">
        <v>4</v>
      </c>
      <c r="C399" t="s">
        <v>84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2080</v>
      </c>
      <c r="J399">
        <v>-516.90010000000007</v>
      </c>
      <c r="K399" t="s">
        <v>48</v>
      </c>
    </row>
    <row r="400" spans="1:11" x14ac:dyDescent="0.45">
      <c r="A400" t="s">
        <v>90</v>
      </c>
      <c r="B400" t="s">
        <v>4</v>
      </c>
      <c r="C400" t="s">
        <v>84</v>
      </c>
      <c r="D400" t="s">
        <v>48</v>
      </c>
      <c r="E400" t="s">
        <v>46</v>
      </c>
      <c r="F400" t="s">
        <v>48</v>
      </c>
      <c r="G400" t="s">
        <v>49</v>
      </c>
      <c r="H400" t="s">
        <v>50</v>
      </c>
      <c r="I400">
        <v>2085</v>
      </c>
      <c r="J400">
        <v>-484.42984999999999</v>
      </c>
      <c r="K400" t="s">
        <v>48</v>
      </c>
    </row>
    <row r="401" spans="1:11" x14ac:dyDescent="0.45">
      <c r="A401" t="s">
        <v>90</v>
      </c>
      <c r="B401" t="s">
        <v>4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2090</v>
      </c>
      <c r="J401">
        <v>-451.69465000000002</v>
      </c>
      <c r="K401" t="s">
        <v>48</v>
      </c>
    </row>
    <row r="402" spans="1:11" x14ac:dyDescent="0.45">
      <c r="A402" t="s">
        <v>90</v>
      </c>
      <c r="B402" t="s">
        <v>4</v>
      </c>
      <c r="C402" t="s">
        <v>84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2095</v>
      </c>
      <c r="J402">
        <v>-330.26060000000001</v>
      </c>
      <c r="K402" t="s">
        <v>48</v>
      </c>
    </row>
    <row r="403" spans="1:11" x14ac:dyDescent="0.45">
      <c r="A403" t="s">
        <v>90</v>
      </c>
      <c r="B403" t="s">
        <v>4</v>
      </c>
      <c r="C403" t="s">
        <v>84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2100</v>
      </c>
      <c r="J403">
        <v>-208.446</v>
      </c>
      <c r="K403" t="s">
        <v>48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469.83244999999999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389.5394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335.14689999999996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292.64004999999997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261.10434999999995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236.90230000000003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228.26875000000001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222.16585000000001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217.69765000000001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215.53449999999998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213.07799999999997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204.44485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195.78075000000001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182.33805000000001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169.15375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152.99809999999999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137.2243</v>
      </c>
      <c r="K420" t="s">
        <v>51</v>
      </c>
    </row>
    <row r="421" spans="1:11" x14ac:dyDescent="0.45">
      <c r="A421" t="s">
        <v>90</v>
      </c>
      <c r="B421" t="s">
        <v>4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4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5.5946499999999997</v>
      </c>
      <c r="K423" t="s">
        <v>29</v>
      </c>
    </row>
    <row r="424" spans="1:11" x14ac:dyDescent="0.45">
      <c r="A424" t="s">
        <v>90</v>
      </c>
      <c r="B424" t="s">
        <v>4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4.5601500000000001</v>
      </c>
      <c r="K424" t="s">
        <v>29</v>
      </c>
    </row>
    <row r="425" spans="1:11" x14ac:dyDescent="0.45">
      <c r="A425" t="s">
        <v>90</v>
      </c>
      <c r="B425" t="s">
        <v>4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2.1816000000000004</v>
      </c>
      <c r="K425" t="s">
        <v>29</v>
      </c>
    </row>
    <row r="426" spans="1:11" x14ac:dyDescent="0.45">
      <c r="A426" t="s">
        <v>90</v>
      </c>
      <c r="B426" t="s">
        <v>4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2.3449</v>
      </c>
      <c r="K426" t="s">
        <v>29</v>
      </c>
    </row>
    <row r="427" spans="1:11" x14ac:dyDescent="0.45">
      <c r="A427" t="s">
        <v>90</v>
      </c>
      <c r="B427" t="s">
        <v>4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3.8373499999999998</v>
      </c>
      <c r="K427" t="s">
        <v>29</v>
      </c>
    </row>
    <row r="428" spans="1:11" x14ac:dyDescent="0.45">
      <c r="A428" t="s">
        <v>90</v>
      </c>
      <c r="B428" t="s">
        <v>4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4.1312499999999996</v>
      </c>
      <c r="K428" t="s">
        <v>29</v>
      </c>
    </row>
    <row r="429" spans="1:11" x14ac:dyDescent="0.45">
      <c r="A429" t="s">
        <v>90</v>
      </c>
      <c r="B429" t="s">
        <v>4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5.2963500000000003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6.2115499999999999</v>
      </c>
      <c r="K430" t="s">
        <v>29</v>
      </c>
    </row>
    <row r="431" spans="1:11" x14ac:dyDescent="0.45">
      <c r="A431" t="s">
        <v>90</v>
      </c>
      <c r="B431" t="s">
        <v>4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7.1266999999999996</v>
      </c>
      <c r="K431" t="s">
        <v>29</v>
      </c>
    </row>
    <row r="432" spans="1:11" x14ac:dyDescent="0.45">
      <c r="A432" t="s">
        <v>90</v>
      </c>
      <c r="B432" t="s">
        <v>4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7.1797500000000003</v>
      </c>
      <c r="K432" t="s">
        <v>29</v>
      </c>
    </row>
    <row r="433" spans="1:11" x14ac:dyDescent="0.45">
      <c r="A433" t="s">
        <v>90</v>
      </c>
      <c r="B433" t="s">
        <v>4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7.2326999999999995</v>
      </c>
      <c r="K433" t="s">
        <v>29</v>
      </c>
    </row>
    <row r="434" spans="1:11" x14ac:dyDescent="0.45">
      <c r="A434" t="s">
        <v>90</v>
      </c>
      <c r="B434" t="s">
        <v>4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7.1741000000000001</v>
      </c>
      <c r="K434" t="s">
        <v>29</v>
      </c>
    </row>
    <row r="435" spans="1:11" x14ac:dyDescent="0.45">
      <c r="A435" t="s">
        <v>90</v>
      </c>
      <c r="B435" t="s">
        <v>4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7.1154500000000001</v>
      </c>
      <c r="K435" t="s">
        <v>29</v>
      </c>
    </row>
    <row r="436" spans="1:11" x14ac:dyDescent="0.45">
      <c r="A436" t="s">
        <v>90</v>
      </c>
      <c r="B436" t="s">
        <v>4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7.3076499999999998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7.4998000000000005</v>
      </c>
      <c r="K437" t="s">
        <v>29</v>
      </c>
    </row>
    <row r="438" spans="1:11" x14ac:dyDescent="0.45">
      <c r="A438" t="s">
        <v>90</v>
      </c>
      <c r="B438" t="s">
        <v>4</v>
      </c>
      <c r="C438" t="s">
        <v>84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2020</v>
      </c>
      <c r="J438">
        <v>2.0344000000000002</v>
      </c>
      <c r="K438" t="s">
        <v>33</v>
      </c>
    </row>
    <row r="439" spans="1:11" x14ac:dyDescent="0.45">
      <c r="A439" t="s">
        <v>90</v>
      </c>
      <c r="B439" t="s">
        <v>4</v>
      </c>
      <c r="C439" t="s">
        <v>84</v>
      </c>
      <c r="D439" t="s">
        <v>33</v>
      </c>
      <c r="E439" t="s">
        <v>30</v>
      </c>
      <c r="F439" t="s">
        <v>33</v>
      </c>
      <c r="G439" t="s">
        <v>31</v>
      </c>
      <c r="H439" t="s">
        <v>34</v>
      </c>
      <c r="I439">
        <v>2025</v>
      </c>
      <c r="J439">
        <v>2.2243500000000003</v>
      </c>
      <c r="K439" t="s">
        <v>33</v>
      </c>
    </row>
    <row r="440" spans="1:11" x14ac:dyDescent="0.45">
      <c r="A440" t="s">
        <v>90</v>
      </c>
      <c r="B440" t="s">
        <v>4</v>
      </c>
      <c r="C440" t="s">
        <v>84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2.2640500000000001</v>
      </c>
      <c r="K440" t="s">
        <v>33</v>
      </c>
    </row>
    <row r="441" spans="1:11" x14ac:dyDescent="0.45">
      <c r="A441" t="s">
        <v>90</v>
      </c>
      <c r="B441" t="s">
        <v>4</v>
      </c>
      <c r="C441" t="s">
        <v>84</v>
      </c>
      <c r="D441" t="s">
        <v>33</v>
      </c>
      <c r="E441" t="s">
        <v>30</v>
      </c>
      <c r="F441" t="s">
        <v>33</v>
      </c>
      <c r="G441" t="s">
        <v>31</v>
      </c>
      <c r="H441" t="s">
        <v>34</v>
      </c>
      <c r="I441">
        <v>2035</v>
      </c>
      <c r="J441">
        <v>2.3101000000000003</v>
      </c>
      <c r="K441" t="s">
        <v>33</v>
      </c>
    </row>
    <row r="442" spans="1:11" x14ac:dyDescent="0.45">
      <c r="A442" t="s">
        <v>90</v>
      </c>
      <c r="B442" t="s">
        <v>4</v>
      </c>
      <c r="C442" t="s">
        <v>84</v>
      </c>
      <c r="D442" t="s">
        <v>33</v>
      </c>
      <c r="E442" t="s">
        <v>30</v>
      </c>
      <c r="F442" t="s">
        <v>33</v>
      </c>
      <c r="G442" t="s">
        <v>31</v>
      </c>
      <c r="H442" t="s">
        <v>34</v>
      </c>
      <c r="I442">
        <v>2040</v>
      </c>
      <c r="J442">
        <v>2.37805</v>
      </c>
      <c r="K442" t="s">
        <v>33</v>
      </c>
    </row>
    <row r="443" spans="1:11" x14ac:dyDescent="0.45">
      <c r="A443" t="s">
        <v>90</v>
      </c>
      <c r="B443" t="s">
        <v>4</v>
      </c>
      <c r="C443" t="s">
        <v>84</v>
      </c>
      <c r="D443" t="s">
        <v>33</v>
      </c>
      <c r="E443" t="s">
        <v>30</v>
      </c>
      <c r="F443" t="s">
        <v>33</v>
      </c>
      <c r="G443" t="s">
        <v>31</v>
      </c>
      <c r="H443" t="s">
        <v>34</v>
      </c>
      <c r="I443">
        <v>2045</v>
      </c>
      <c r="J443">
        <v>2.49315</v>
      </c>
      <c r="K443" t="s">
        <v>33</v>
      </c>
    </row>
    <row r="444" spans="1:11" x14ac:dyDescent="0.45">
      <c r="A444" t="s">
        <v>90</v>
      </c>
      <c r="B444" t="s">
        <v>4</v>
      </c>
      <c r="C444" t="s">
        <v>84</v>
      </c>
      <c r="D444" t="s">
        <v>33</v>
      </c>
      <c r="E444" t="s">
        <v>30</v>
      </c>
      <c r="F444" t="s">
        <v>33</v>
      </c>
      <c r="G444" t="s">
        <v>31</v>
      </c>
      <c r="H444" t="s">
        <v>34</v>
      </c>
      <c r="I444">
        <v>2050</v>
      </c>
      <c r="J444">
        <v>2.7322500000000001</v>
      </c>
      <c r="K444" t="s">
        <v>33</v>
      </c>
    </row>
    <row r="445" spans="1:11" x14ac:dyDescent="0.45">
      <c r="A445" t="s">
        <v>90</v>
      </c>
      <c r="B445" t="s">
        <v>4</v>
      </c>
      <c r="C445" t="s">
        <v>84</v>
      </c>
      <c r="D445" t="s">
        <v>33</v>
      </c>
      <c r="E445" t="s">
        <v>30</v>
      </c>
      <c r="F445" t="s">
        <v>33</v>
      </c>
      <c r="G445" t="s">
        <v>31</v>
      </c>
      <c r="H445" t="s">
        <v>34</v>
      </c>
      <c r="I445">
        <v>2055</v>
      </c>
      <c r="J445">
        <v>2.6589499999999999</v>
      </c>
      <c r="K445" t="s">
        <v>33</v>
      </c>
    </row>
    <row r="446" spans="1:11" x14ac:dyDescent="0.45">
      <c r="A446" t="s">
        <v>90</v>
      </c>
      <c r="B446" t="s">
        <v>4</v>
      </c>
      <c r="C446" t="s">
        <v>84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2060</v>
      </c>
      <c r="J446">
        <v>3.4098000000000002</v>
      </c>
      <c r="K446" t="s">
        <v>33</v>
      </c>
    </row>
    <row r="447" spans="1:11" x14ac:dyDescent="0.45">
      <c r="A447" t="s">
        <v>90</v>
      </c>
      <c r="B447" t="s">
        <v>4</v>
      </c>
      <c r="C447" t="s">
        <v>84</v>
      </c>
      <c r="D447" t="s">
        <v>33</v>
      </c>
      <c r="E447" t="s">
        <v>30</v>
      </c>
      <c r="F447" t="s">
        <v>33</v>
      </c>
      <c r="G447" t="s">
        <v>31</v>
      </c>
      <c r="H447" t="s">
        <v>34</v>
      </c>
      <c r="I447">
        <v>2065</v>
      </c>
      <c r="J447">
        <v>3.5568999999999997</v>
      </c>
      <c r="K447" t="s">
        <v>33</v>
      </c>
    </row>
    <row r="448" spans="1:11" x14ac:dyDescent="0.45">
      <c r="A448" t="s">
        <v>90</v>
      </c>
      <c r="B448" t="s">
        <v>4</v>
      </c>
      <c r="C448" t="s">
        <v>84</v>
      </c>
      <c r="D448" t="s">
        <v>33</v>
      </c>
      <c r="E448" t="s">
        <v>30</v>
      </c>
      <c r="F448" t="s">
        <v>33</v>
      </c>
      <c r="G448" t="s">
        <v>31</v>
      </c>
      <c r="H448" t="s">
        <v>34</v>
      </c>
      <c r="I448">
        <v>2070</v>
      </c>
      <c r="J448">
        <v>3.7039</v>
      </c>
      <c r="K448" t="s">
        <v>33</v>
      </c>
    </row>
    <row r="449" spans="1:11" x14ac:dyDescent="0.45">
      <c r="A449" t="s">
        <v>90</v>
      </c>
      <c r="B449" t="s">
        <v>4</v>
      </c>
      <c r="C449" t="s">
        <v>84</v>
      </c>
      <c r="D449" t="s">
        <v>33</v>
      </c>
      <c r="E449" t="s">
        <v>30</v>
      </c>
      <c r="F449" t="s">
        <v>33</v>
      </c>
      <c r="G449" t="s">
        <v>31</v>
      </c>
      <c r="H449" t="s">
        <v>34</v>
      </c>
      <c r="I449">
        <v>2075</v>
      </c>
      <c r="J449">
        <v>3.8219000000000003</v>
      </c>
      <c r="K449" t="s">
        <v>33</v>
      </c>
    </row>
    <row r="450" spans="1:11" x14ac:dyDescent="0.45">
      <c r="A450" t="s">
        <v>90</v>
      </c>
      <c r="B450" t="s">
        <v>4</v>
      </c>
      <c r="C450" t="s">
        <v>84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2080</v>
      </c>
      <c r="J450">
        <v>3.9399000000000002</v>
      </c>
      <c r="K450" t="s">
        <v>33</v>
      </c>
    </row>
    <row r="451" spans="1:11" x14ac:dyDescent="0.45">
      <c r="A451" t="s">
        <v>90</v>
      </c>
      <c r="B451" t="s">
        <v>4</v>
      </c>
      <c r="C451" t="s">
        <v>84</v>
      </c>
      <c r="D451" t="s">
        <v>33</v>
      </c>
      <c r="E451" t="s">
        <v>30</v>
      </c>
      <c r="F451" t="s">
        <v>33</v>
      </c>
      <c r="G451" t="s">
        <v>31</v>
      </c>
      <c r="H451" t="s">
        <v>34</v>
      </c>
      <c r="I451">
        <v>2085</v>
      </c>
      <c r="J451">
        <v>4.0999499999999998</v>
      </c>
      <c r="K451" t="s">
        <v>33</v>
      </c>
    </row>
    <row r="452" spans="1:11" x14ac:dyDescent="0.45">
      <c r="A452" t="s">
        <v>90</v>
      </c>
      <c r="B452" t="s">
        <v>4</v>
      </c>
      <c r="C452" t="s">
        <v>84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2090</v>
      </c>
      <c r="J452">
        <v>4.2600999999999996</v>
      </c>
      <c r="K452" t="s">
        <v>33</v>
      </c>
    </row>
    <row r="453" spans="1:11" x14ac:dyDescent="0.45">
      <c r="A453" t="s">
        <v>90</v>
      </c>
      <c r="B453" t="s">
        <v>4</v>
      </c>
      <c r="C453" t="s">
        <v>84</v>
      </c>
      <c r="D453" t="s">
        <v>33</v>
      </c>
      <c r="E453" t="s">
        <v>30</v>
      </c>
      <c r="F453" t="s">
        <v>33</v>
      </c>
      <c r="G453" t="s">
        <v>31</v>
      </c>
      <c r="H453" t="s">
        <v>34</v>
      </c>
      <c r="I453">
        <v>2095</v>
      </c>
      <c r="J453">
        <v>4.2486499999999996</v>
      </c>
      <c r="K453" t="s">
        <v>33</v>
      </c>
    </row>
    <row r="454" spans="1:11" x14ac:dyDescent="0.45">
      <c r="A454" t="s">
        <v>90</v>
      </c>
      <c r="B454" t="s">
        <v>4</v>
      </c>
      <c r="C454" t="s">
        <v>84</v>
      </c>
      <c r="D454" t="s">
        <v>33</v>
      </c>
      <c r="E454" t="s">
        <v>30</v>
      </c>
      <c r="F454" t="s">
        <v>33</v>
      </c>
      <c r="G454" t="s">
        <v>31</v>
      </c>
      <c r="H454" t="s">
        <v>34</v>
      </c>
      <c r="I454">
        <v>2100</v>
      </c>
      <c r="J454">
        <v>4.2371499999999997</v>
      </c>
      <c r="K454" t="s">
        <v>33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1.0012000000000001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0.95009999999999994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1.0381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1.0342500000000001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1.0258500000000002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1.00665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0.9434499999999999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0.88044999999999995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0.88470000000000004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0.87709999999999999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0.87095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0.90965000000000007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0.94860000000000011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0.99685000000000001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1.04755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1.0929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1.1375500000000001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0.66595000000000004</v>
      </c>
      <c r="K472" t="s">
        <v>24</v>
      </c>
    </row>
    <row r="473" spans="1:11" x14ac:dyDescent="0.45">
      <c r="A473" t="s">
        <v>90</v>
      </c>
      <c r="B473" t="s">
        <v>4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0.63705000000000001</v>
      </c>
      <c r="K473" t="s">
        <v>24</v>
      </c>
    </row>
    <row r="474" spans="1:11" x14ac:dyDescent="0.45">
      <c r="A474" t="s">
        <v>90</v>
      </c>
      <c r="B474" t="s">
        <v>4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0.71750000000000003</v>
      </c>
      <c r="K474" t="s">
        <v>24</v>
      </c>
    </row>
    <row r="475" spans="1:11" x14ac:dyDescent="0.45">
      <c r="A475" t="s">
        <v>90</v>
      </c>
      <c r="B475" t="s">
        <v>4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0.74760000000000004</v>
      </c>
      <c r="K475" t="s">
        <v>24</v>
      </c>
    </row>
    <row r="476" spans="1:11" x14ac:dyDescent="0.45">
      <c r="A476" t="s">
        <v>90</v>
      </c>
      <c r="B476" t="s">
        <v>4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0.77349999999999997</v>
      </c>
      <c r="K476" t="s">
        <v>24</v>
      </c>
    </row>
    <row r="477" spans="1:11" x14ac:dyDescent="0.45">
      <c r="A477" t="s">
        <v>90</v>
      </c>
      <c r="B477" t="s">
        <v>4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0.80115000000000003</v>
      </c>
      <c r="K477" t="s">
        <v>24</v>
      </c>
    </row>
    <row r="478" spans="1:11" x14ac:dyDescent="0.45">
      <c r="A478" t="s">
        <v>90</v>
      </c>
      <c r="B478" t="s">
        <v>4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0.78749999999999998</v>
      </c>
      <c r="K478" t="s">
        <v>24</v>
      </c>
    </row>
    <row r="479" spans="1:11" x14ac:dyDescent="0.45">
      <c r="A479" t="s">
        <v>90</v>
      </c>
      <c r="B479" t="s">
        <v>4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0.75734999999999997</v>
      </c>
      <c r="K479" t="s">
        <v>24</v>
      </c>
    </row>
    <row r="480" spans="1:11" x14ac:dyDescent="0.45">
      <c r="A480" t="s">
        <v>90</v>
      </c>
      <c r="B480" t="s">
        <v>4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0.71930000000000005</v>
      </c>
      <c r="K480" t="s">
        <v>24</v>
      </c>
    </row>
    <row r="481" spans="1:11" x14ac:dyDescent="0.45">
      <c r="A481" t="s">
        <v>90</v>
      </c>
      <c r="B481" t="s">
        <v>4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0.68030000000000002</v>
      </c>
      <c r="K481" t="s">
        <v>24</v>
      </c>
    </row>
    <row r="482" spans="1:11" x14ac:dyDescent="0.45">
      <c r="A482" t="s">
        <v>90</v>
      </c>
      <c r="B482" t="s">
        <v>4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0.64480000000000004</v>
      </c>
      <c r="K482" t="s">
        <v>24</v>
      </c>
    </row>
    <row r="483" spans="1:11" x14ac:dyDescent="0.45">
      <c r="A483" t="s">
        <v>90</v>
      </c>
      <c r="B483" t="s">
        <v>4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0.6157999999999999</v>
      </c>
      <c r="K483" t="s">
        <v>24</v>
      </c>
    </row>
    <row r="484" spans="1:11" x14ac:dyDescent="0.45">
      <c r="A484" t="s">
        <v>90</v>
      </c>
      <c r="B484" t="s">
        <v>4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0.58860000000000001</v>
      </c>
      <c r="K484" t="s">
        <v>24</v>
      </c>
    </row>
    <row r="485" spans="1:11" x14ac:dyDescent="0.45">
      <c r="A485" t="s">
        <v>90</v>
      </c>
      <c r="B485" t="s">
        <v>4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0.56630000000000003</v>
      </c>
      <c r="K485" t="s">
        <v>24</v>
      </c>
    </row>
    <row r="486" spans="1:11" x14ac:dyDescent="0.45">
      <c r="A486" t="s">
        <v>90</v>
      </c>
      <c r="B486" t="s">
        <v>4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0.54764999999999997</v>
      </c>
      <c r="K486" t="s">
        <v>24</v>
      </c>
    </row>
    <row r="487" spans="1:11" x14ac:dyDescent="0.45">
      <c r="A487" t="s">
        <v>90</v>
      </c>
      <c r="B487" t="s">
        <v>4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0.53034999999999999</v>
      </c>
      <c r="K487" t="s">
        <v>24</v>
      </c>
    </row>
    <row r="488" spans="1:11" x14ac:dyDescent="0.45">
      <c r="A488" t="s">
        <v>90</v>
      </c>
      <c r="B488" t="s">
        <v>4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0.51344999999999996</v>
      </c>
      <c r="K488" t="s">
        <v>24</v>
      </c>
    </row>
    <row r="489" spans="1:11" x14ac:dyDescent="0.45">
      <c r="A489" t="s">
        <v>90</v>
      </c>
      <c r="B489" t="s">
        <v>4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1.67E-2</v>
      </c>
      <c r="K489" t="s">
        <v>27</v>
      </c>
    </row>
    <row r="490" spans="1:11" x14ac:dyDescent="0.45">
      <c r="A490" t="s">
        <v>90</v>
      </c>
      <c r="B490" t="s">
        <v>4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5.815E-2</v>
      </c>
      <c r="K490" t="s">
        <v>27</v>
      </c>
    </row>
    <row r="491" spans="1:11" x14ac:dyDescent="0.45">
      <c r="A491" t="s">
        <v>90</v>
      </c>
      <c r="B491" t="s">
        <v>4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0.1661</v>
      </c>
      <c r="K491" t="s">
        <v>27</v>
      </c>
    </row>
    <row r="492" spans="1:11" x14ac:dyDescent="0.45">
      <c r="A492" t="s">
        <v>90</v>
      </c>
      <c r="B492" t="s">
        <v>4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0.30405000000000004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0.41459999999999997</v>
      </c>
      <c r="K493" t="s">
        <v>27</v>
      </c>
    </row>
    <row r="494" spans="1:11" x14ac:dyDescent="0.45">
      <c r="A494" t="s">
        <v>90</v>
      </c>
      <c r="B494" t="s">
        <v>4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0.45684999999999998</v>
      </c>
      <c r="K494" t="s">
        <v>27</v>
      </c>
    </row>
    <row r="495" spans="1:11" x14ac:dyDescent="0.45">
      <c r="A495" t="s">
        <v>90</v>
      </c>
      <c r="B495" t="s">
        <v>4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0.47720000000000001</v>
      </c>
      <c r="K495" t="s">
        <v>27</v>
      </c>
    </row>
    <row r="496" spans="1:11" x14ac:dyDescent="0.45">
      <c r="A496" t="s">
        <v>90</v>
      </c>
      <c r="B496" t="s">
        <v>4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0.49204999999999999</v>
      </c>
      <c r="K496" t="s">
        <v>27</v>
      </c>
    </row>
    <row r="497" spans="1:11" x14ac:dyDescent="0.45">
      <c r="A497" t="s">
        <v>90</v>
      </c>
      <c r="B497" t="s">
        <v>4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0.50160000000000005</v>
      </c>
      <c r="K497" t="s">
        <v>27</v>
      </c>
    </row>
    <row r="498" spans="1:11" x14ac:dyDescent="0.45">
      <c r="A498" t="s">
        <v>90</v>
      </c>
      <c r="B498" t="s">
        <v>4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0.49529999999999996</v>
      </c>
      <c r="K498" t="s">
        <v>27</v>
      </c>
    </row>
    <row r="499" spans="1:11" x14ac:dyDescent="0.45">
      <c r="A499" t="s">
        <v>90</v>
      </c>
      <c r="B499" t="s">
        <v>4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0.49014999999999997</v>
      </c>
      <c r="K499" t="s">
        <v>27</v>
      </c>
    </row>
    <row r="500" spans="1:11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0.48270000000000002</v>
      </c>
      <c r="K500" t="s">
        <v>27</v>
      </c>
    </row>
    <row r="501" spans="1:11" x14ac:dyDescent="0.45">
      <c r="A501" t="s">
        <v>90</v>
      </c>
      <c r="B501" t="s">
        <v>4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0.47540000000000004</v>
      </c>
      <c r="K501" t="s">
        <v>27</v>
      </c>
    </row>
    <row r="502" spans="1:11" x14ac:dyDescent="0.45">
      <c r="A502" t="s">
        <v>90</v>
      </c>
      <c r="B502" t="s">
        <v>4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0.46904999999999997</v>
      </c>
      <c r="K502" t="s">
        <v>27</v>
      </c>
    </row>
    <row r="503" spans="1:11" x14ac:dyDescent="0.45">
      <c r="A503" t="s">
        <v>90</v>
      </c>
      <c r="B503" t="s">
        <v>4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0.46530000000000005</v>
      </c>
      <c r="K503" t="s">
        <v>27</v>
      </c>
    </row>
    <row r="504" spans="1:11" x14ac:dyDescent="0.45">
      <c r="A504" t="s">
        <v>90</v>
      </c>
      <c r="B504" t="s">
        <v>4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0.46765000000000001</v>
      </c>
      <c r="K504" t="s">
        <v>27</v>
      </c>
    </row>
    <row r="505" spans="1:11" x14ac:dyDescent="0.45">
      <c r="A505" t="s">
        <v>90</v>
      </c>
      <c r="B505" t="s">
        <v>4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0.47084999999999999</v>
      </c>
      <c r="K505" t="s">
        <v>27</v>
      </c>
    </row>
    <row r="506" spans="1:11" x14ac:dyDescent="0.45">
      <c r="A506" t="s">
        <v>90</v>
      </c>
      <c r="B506" t="s">
        <v>4</v>
      </c>
      <c r="C506" t="s">
        <v>84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2020</v>
      </c>
      <c r="J506">
        <v>3.9710999999999999</v>
      </c>
      <c r="K506" t="s">
        <v>35</v>
      </c>
    </row>
    <row r="507" spans="1:11" x14ac:dyDescent="0.45">
      <c r="A507" t="s">
        <v>90</v>
      </c>
      <c r="B507" t="s">
        <v>4</v>
      </c>
      <c r="C507" t="s">
        <v>84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2025</v>
      </c>
      <c r="J507">
        <v>4.6684000000000001</v>
      </c>
      <c r="K507" t="s">
        <v>35</v>
      </c>
    </row>
    <row r="508" spans="1:11" x14ac:dyDescent="0.45">
      <c r="A508" t="s">
        <v>90</v>
      </c>
      <c r="B508" t="s">
        <v>4</v>
      </c>
      <c r="C508" t="s">
        <v>84</v>
      </c>
      <c r="D508" t="s">
        <v>35</v>
      </c>
      <c r="E508" t="s">
        <v>30</v>
      </c>
      <c r="F508" t="s">
        <v>35</v>
      </c>
      <c r="G508" t="s">
        <v>31</v>
      </c>
      <c r="H508" t="s">
        <v>36</v>
      </c>
      <c r="I508">
        <v>2030</v>
      </c>
      <c r="J508">
        <v>4.6098499999999998</v>
      </c>
      <c r="K508" t="s">
        <v>35</v>
      </c>
    </row>
    <row r="509" spans="1:11" x14ac:dyDescent="0.45">
      <c r="A509" t="s">
        <v>90</v>
      </c>
      <c r="B509" t="s">
        <v>4</v>
      </c>
      <c r="C509" t="s">
        <v>84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2035</v>
      </c>
      <c r="J509">
        <v>4.9910999999999994</v>
      </c>
      <c r="K509" t="s">
        <v>35</v>
      </c>
    </row>
    <row r="510" spans="1:11" x14ac:dyDescent="0.45">
      <c r="A510" t="s">
        <v>90</v>
      </c>
      <c r="B510" t="s">
        <v>4</v>
      </c>
      <c r="C510" t="s">
        <v>84</v>
      </c>
      <c r="D510" t="s">
        <v>35</v>
      </c>
      <c r="E510" t="s">
        <v>30</v>
      </c>
      <c r="F510" t="s">
        <v>35</v>
      </c>
      <c r="G510" t="s">
        <v>31</v>
      </c>
      <c r="H510" t="s">
        <v>36</v>
      </c>
      <c r="I510">
        <v>2040</v>
      </c>
      <c r="J510">
        <v>5.2395999999999994</v>
      </c>
      <c r="K510" t="s">
        <v>35</v>
      </c>
    </row>
    <row r="511" spans="1:11" x14ac:dyDescent="0.45">
      <c r="A511" t="s">
        <v>90</v>
      </c>
      <c r="B511" t="s">
        <v>4</v>
      </c>
      <c r="C511" t="s">
        <v>84</v>
      </c>
      <c r="D511" t="s">
        <v>35</v>
      </c>
      <c r="E511" t="s">
        <v>30</v>
      </c>
      <c r="F511" t="s">
        <v>35</v>
      </c>
      <c r="G511" t="s">
        <v>31</v>
      </c>
      <c r="H511" t="s">
        <v>36</v>
      </c>
      <c r="I511">
        <v>2045</v>
      </c>
      <c r="J511">
        <v>5.4906499999999996</v>
      </c>
      <c r="K511" t="s">
        <v>35</v>
      </c>
    </row>
    <row r="512" spans="1:11" x14ac:dyDescent="0.45">
      <c r="A512" t="s">
        <v>90</v>
      </c>
      <c r="B512" t="s">
        <v>4</v>
      </c>
      <c r="C512" t="s">
        <v>84</v>
      </c>
      <c r="D512" t="s">
        <v>35</v>
      </c>
      <c r="E512" t="s">
        <v>30</v>
      </c>
      <c r="F512" t="s">
        <v>35</v>
      </c>
      <c r="G512" t="s">
        <v>31</v>
      </c>
      <c r="H512" t="s">
        <v>36</v>
      </c>
      <c r="I512">
        <v>2050</v>
      </c>
      <c r="J512">
        <v>5.6541999999999994</v>
      </c>
      <c r="K512" t="s">
        <v>35</v>
      </c>
    </row>
    <row r="513" spans="1:11" x14ac:dyDescent="0.45">
      <c r="A513" t="s">
        <v>90</v>
      </c>
      <c r="B513" t="s">
        <v>4</v>
      </c>
      <c r="C513" t="s">
        <v>84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2055</v>
      </c>
      <c r="J513">
        <v>5.6654</v>
      </c>
      <c r="K513" t="s">
        <v>35</v>
      </c>
    </row>
    <row r="514" spans="1:11" x14ac:dyDescent="0.45">
      <c r="A514" t="s">
        <v>90</v>
      </c>
      <c r="B514" t="s">
        <v>4</v>
      </c>
      <c r="C514" t="s">
        <v>84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2060</v>
      </c>
      <c r="J514">
        <v>6.6663999999999994</v>
      </c>
      <c r="K514" t="s">
        <v>35</v>
      </c>
    </row>
    <row r="515" spans="1:11" x14ac:dyDescent="0.45">
      <c r="A515" t="s">
        <v>90</v>
      </c>
      <c r="B515" t="s">
        <v>4</v>
      </c>
      <c r="C515" t="s">
        <v>84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2065</v>
      </c>
      <c r="J515">
        <v>6.5385</v>
      </c>
      <c r="K515" t="s">
        <v>35</v>
      </c>
    </row>
    <row r="516" spans="1:11" x14ac:dyDescent="0.45">
      <c r="A516" t="s">
        <v>90</v>
      </c>
      <c r="B516" t="s">
        <v>4</v>
      </c>
      <c r="C516" t="s">
        <v>84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2070</v>
      </c>
      <c r="J516">
        <v>6.4105500000000006</v>
      </c>
      <c r="K516" t="s">
        <v>35</v>
      </c>
    </row>
    <row r="517" spans="1:11" x14ac:dyDescent="0.45">
      <c r="A517" t="s">
        <v>90</v>
      </c>
      <c r="B517" t="s">
        <v>4</v>
      </c>
      <c r="C517" t="s">
        <v>84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2075</v>
      </c>
      <c r="J517">
        <v>6.6208</v>
      </c>
      <c r="K517" t="s">
        <v>35</v>
      </c>
    </row>
    <row r="518" spans="1:11" x14ac:dyDescent="0.45">
      <c r="A518" t="s">
        <v>90</v>
      </c>
      <c r="B518" t="s">
        <v>4</v>
      </c>
      <c r="C518" t="s">
        <v>84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2080</v>
      </c>
      <c r="J518">
        <v>6.8310500000000003</v>
      </c>
      <c r="K518" t="s">
        <v>35</v>
      </c>
    </row>
    <row r="519" spans="1:11" x14ac:dyDescent="0.45">
      <c r="A519" t="s">
        <v>90</v>
      </c>
      <c r="B519" t="s">
        <v>4</v>
      </c>
      <c r="C519" t="s">
        <v>84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2085</v>
      </c>
      <c r="J519">
        <v>7.0742500000000001</v>
      </c>
      <c r="K519" t="s">
        <v>35</v>
      </c>
    </row>
    <row r="520" spans="1:11" x14ac:dyDescent="0.45">
      <c r="A520" t="s">
        <v>90</v>
      </c>
      <c r="B520" t="s">
        <v>4</v>
      </c>
      <c r="C520" t="s">
        <v>84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2090</v>
      </c>
      <c r="J520">
        <v>7.31745</v>
      </c>
      <c r="K520" t="s">
        <v>35</v>
      </c>
    </row>
    <row r="521" spans="1:11" x14ac:dyDescent="0.45">
      <c r="A521" t="s">
        <v>90</v>
      </c>
      <c r="B521" t="s">
        <v>4</v>
      </c>
      <c r="C521" t="s">
        <v>84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2095</v>
      </c>
      <c r="J521">
        <v>7.4690499999999993</v>
      </c>
      <c r="K521" t="s">
        <v>35</v>
      </c>
    </row>
    <row r="522" spans="1:11" x14ac:dyDescent="0.45">
      <c r="A522" t="s">
        <v>90</v>
      </c>
      <c r="B522" t="s">
        <v>4</v>
      </c>
      <c r="C522" t="s">
        <v>84</v>
      </c>
      <c r="D522" t="s">
        <v>35</v>
      </c>
      <c r="E522" t="s">
        <v>30</v>
      </c>
      <c r="F522" t="s">
        <v>35</v>
      </c>
      <c r="G522" t="s">
        <v>31</v>
      </c>
      <c r="H522" t="s">
        <v>36</v>
      </c>
      <c r="I522">
        <v>2100</v>
      </c>
      <c r="J522">
        <v>7.6207000000000003</v>
      </c>
      <c r="K522" t="s">
        <v>35</v>
      </c>
    </row>
    <row r="523" spans="1:11" x14ac:dyDescent="0.45">
      <c r="A523" t="s">
        <v>90</v>
      </c>
      <c r="B523" t="s">
        <v>4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8.8000000000000005E-3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4.0849999999999997E-2</v>
      </c>
      <c r="K524" t="s">
        <v>85</v>
      </c>
    </row>
    <row r="525" spans="1:11" x14ac:dyDescent="0.45">
      <c r="A525" t="s">
        <v>90</v>
      </c>
      <c r="B525" t="s">
        <v>4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6.4549999999999996E-2</v>
      </c>
      <c r="K525" t="s">
        <v>85</v>
      </c>
    </row>
    <row r="526" spans="1:11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8.3000000000000004E-2</v>
      </c>
      <c r="K526" t="s">
        <v>85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9.5049999999999996E-2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0.10580000000000001</v>
      </c>
      <c r="K528" t="s">
        <v>85</v>
      </c>
    </row>
    <row r="529" spans="1:11" x14ac:dyDescent="0.45">
      <c r="A529" t="s">
        <v>90</v>
      </c>
      <c r="B529" t="s">
        <v>4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0.1138</v>
      </c>
      <c r="K529" t="s">
        <v>85</v>
      </c>
    </row>
    <row r="530" spans="1:11" x14ac:dyDescent="0.45">
      <c r="A530" t="s">
        <v>90</v>
      </c>
      <c r="B530" t="s">
        <v>4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0.1095</v>
      </c>
      <c r="K530" t="s">
        <v>85</v>
      </c>
    </row>
    <row r="531" spans="1:11" x14ac:dyDescent="0.45">
      <c r="A531" t="s">
        <v>90</v>
      </c>
      <c r="B531" t="s">
        <v>4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0.1211</v>
      </c>
      <c r="K531" t="s">
        <v>85</v>
      </c>
    </row>
    <row r="532" spans="1:11" x14ac:dyDescent="0.45">
      <c r="A532" t="s">
        <v>90</v>
      </c>
      <c r="B532" t="s">
        <v>4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0.14294999999999999</v>
      </c>
      <c r="K532" t="s">
        <v>85</v>
      </c>
    </row>
    <row r="533" spans="1:11" x14ac:dyDescent="0.45">
      <c r="A533" t="s">
        <v>90</v>
      </c>
      <c r="B533" t="s">
        <v>4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0.16375000000000001</v>
      </c>
      <c r="K533" t="s">
        <v>85</v>
      </c>
    </row>
    <row r="534" spans="1:11" x14ac:dyDescent="0.45">
      <c r="A534" t="s">
        <v>90</v>
      </c>
      <c r="B534" t="s">
        <v>4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0.22625000000000001</v>
      </c>
      <c r="K534" t="s">
        <v>85</v>
      </c>
    </row>
    <row r="535" spans="1:11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0.28264999999999996</v>
      </c>
      <c r="K535" t="s">
        <v>85</v>
      </c>
    </row>
    <row r="536" spans="1:11" x14ac:dyDescent="0.45">
      <c r="A536" t="s">
        <v>90</v>
      </c>
      <c r="B536" t="s">
        <v>4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0.35270000000000001</v>
      </c>
      <c r="K536" t="s">
        <v>85</v>
      </c>
    </row>
    <row r="537" spans="1:11" x14ac:dyDescent="0.45">
      <c r="A537" t="s">
        <v>90</v>
      </c>
      <c r="B537" t="s">
        <v>4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0.41225000000000001</v>
      </c>
      <c r="K537" t="s">
        <v>85</v>
      </c>
    </row>
    <row r="538" spans="1:11" x14ac:dyDescent="0.45">
      <c r="A538" t="s">
        <v>90</v>
      </c>
      <c r="B538" t="s">
        <v>4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0.47275</v>
      </c>
      <c r="K538" t="s">
        <v>85</v>
      </c>
    </row>
    <row r="539" spans="1:11" x14ac:dyDescent="0.45">
      <c r="A539" t="s">
        <v>90</v>
      </c>
      <c r="B539" t="s">
        <v>4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0.51880000000000004</v>
      </c>
      <c r="K539" t="s">
        <v>85</v>
      </c>
    </row>
    <row r="540" spans="1:11" x14ac:dyDescent="0.45">
      <c r="A540" t="s">
        <v>90</v>
      </c>
      <c r="B540" t="s">
        <v>4</v>
      </c>
      <c r="C540" t="s">
        <v>84</v>
      </c>
      <c r="D540" t="s">
        <v>45</v>
      </c>
      <c r="E540" t="s">
        <v>46</v>
      </c>
      <c r="F540" t="s">
        <v>45</v>
      </c>
      <c r="G540" t="s">
        <v>47</v>
      </c>
      <c r="H540" t="s">
        <v>89</v>
      </c>
      <c r="I540">
        <v>2020</v>
      </c>
      <c r="J540">
        <v>2.1075499999999998</v>
      </c>
      <c r="K540" t="s">
        <v>45</v>
      </c>
    </row>
    <row r="541" spans="1:11" x14ac:dyDescent="0.45">
      <c r="A541" t="s">
        <v>90</v>
      </c>
      <c r="B541" t="s">
        <v>4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2025</v>
      </c>
      <c r="J541">
        <v>9.080449999999999</v>
      </c>
      <c r="K541" t="s">
        <v>45</v>
      </c>
    </row>
    <row r="542" spans="1:11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2030</v>
      </c>
      <c r="J542">
        <v>13.90165</v>
      </c>
      <c r="K542" t="s">
        <v>45</v>
      </c>
    </row>
    <row r="543" spans="1:11" x14ac:dyDescent="0.45">
      <c r="A543" t="s">
        <v>90</v>
      </c>
      <c r="B543" t="s">
        <v>4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2035</v>
      </c>
      <c r="J543">
        <v>15.600300000000001</v>
      </c>
      <c r="K543" t="s">
        <v>45</v>
      </c>
    </row>
    <row r="544" spans="1:11" x14ac:dyDescent="0.45">
      <c r="A544" t="s">
        <v>90</v>
      </c>
      <c r="B544" t="s">
        <v>4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15.697900000000001</v>
      </c>
      <c r="K544" t="s">
        <v>45</v>
      </c>
    </row>
    <row r="545" spans="1:12" x14ac:dyDescent="0.45">
      <c r="A545" t="s">
        <v>90</v>
      </c>
      <c r="B545" t="s">
        <v>4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2045</v>
      </c>
      <c r="J545">
        <v>15.31035</v>
      </c>
      <c r="K545" t="s">
        <v>45</v>
      </c>
    </row>
    <row r="546" spans="1:12" x14ac:dyDescent="0.45">
      <c r="A546" t="s">
        <v>90</v>
      </c>
      <c r="B546" t="s">
        <v>4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2050</v>
      </c>
      <c r="J546">
        <v>14.70965</v>
      </c>
      <c r="K546" t="s">
        <v>45</v>
      </c>
    </row>
    <row r="547" spans="1:12" x14ac:dyDescent="0.45">
      <c r="A547" t="s">
        <v>90</v>
      </c>
      <c r="B547" t="s">
        <v>4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2055</v>
      </c>
      <c r="J547">
        <v>13.508299999999998</v>
      </c>
      <c r="K547" t="s">
        <v>45</v>
      </c>
    </row>
    <row r="548" spans="1:12" x14ac:dyDescent="0.45">
      <c r="A548" t="s">
        <v>90</v>
      </c>
      <c r="B548" t="s">
        <v>4</v>
      </c>
      <c r="C548" t="s">
        <v>84</v>
      </c>
      <c r="D548" t="s">
        <v>45</v>
      </c>
      <c r="E548" t="s">
        <v>46</v>
      </c>
      <c r="F548" t="s">
        <v>45</v>
      </c>
      <c r="G548" t="s">
        <v>47</v>
      </c>
      <c r="H548" t="s">
        <v>89</v>
      </c>
      <c r="I548">
        <v>2060</v>
      </c>
      <c r="J548">
        <v>11.749750000000001</v>
      </c>
      <c r="K548" t="s">
        <v>45</v>
      </c>
    </row>
    <row r="549" spans="1:12" x14ac:dyDescent="0.45">
      <c r="A549" t="s">
        <v>90</v>
      </c>
      <c r="B549" t="s">
        <v>4</v>
      </c>
      <c r="C549" t="s">
        <v>84</v>
      </c>
      <c r="D549" t="s">
        <v>45</v>
      </c>
      <c r="E549" t="s">
        <v>46</v>
      </c>
      <c r="F549" t="s">
        <v>45</v>
      </c>
      <c r="G549" t="s">
        <v>47</v>
      </c>
      <c r="H549" t="s">
        <v>89</v>
      </c>
      <c r="I549">
        <v>2065</v>
      </c>
      <c r="J549">
        <v>8.5279500000000006</v>
      </c>
      <c r="K549" t="s">
        <v>45</v>
      </c>
    </row>
    <row r="550" spans="1:12" x14ac:dyDescent="0.45">
      <c r="A550" t="s">
        <v>90</v>
      </c>
      <c r="B550" t="s">
        <v>4</v>
      </c>
      <c r="C550" t="s">
        <v>84</v>
      </c>
      <c r="D550" t="s">
        <v>45</v>
      </c>
      <c r="E550" t="s">
        <v>46</v>
      </c>
      <c r="F550" t="s">
        <v>45</v>
      </c>
      <c r="G550" t="s">
        <v>47</v>
      </c>
      <c r="H550" t="s">
        <v>89</v>
      </c>
      <c r="I550">
        <v>2070</v>
      </c>
      <c r="J550">
        <v>5.2607499999999998</v>
      </c>
      <c r="K550" t="s">
        <v>45</v>
      </c>
    </row>
    <row r="551" spans="1:12" x14ac:dyDescent="0.45">
      <c r="A551" t="s">
        <v>90</v>
      </c>
      <c r="B551" t="s">
        <v>4</v>
      </c>
      <c r="C551" t="s">
        <v>84</v>
      </c>
      <c r="D551" t="s">
        <v>45</v>
      </c>
      <c r="E551" t="s">
        <v>46</v>
      </c>
      <c r="F551" t="s">
        <v>45</v>
      </c>
      <c r="G551" t="s">
        <v>47</v>
      </c>
      <c r="H551" t="s">
        <v>89</v>
      </c>
      <c r="I551">
        <v>2075</v>
      </c>
      <c r="J551">
        <v>2.8185500000000001</v>
      </c>
      <c r="K551" t="s">
        <v>45</v>
      </c>
    </row>
    <row r="552" spans="1:12" x14ac:dyDescent="0.45">
      <c r="A552" t="s">
        <v>90</v>
      </c>
      <c r="B552" t="s">
        <v>4</v>
      </c>
      <c r="C552" t="s">
        <v>84</v>
      </c>
      <c r="D552" t="s">
        <v>45</v>
      </c>
      <c r="E552" t="s">
        <v>46</v>
      </c>
      <c r="F552" t="s">
        <v>45</v>
      </c>
      <c r="G552" t="s">
        <v>47</v>
      </c>
      <c r="H552" t="s">
        <v>89</v>
      </c>
      <c r="I552">
        <v>2080</v>
      </c>
      <c r="J552">
        <v>0.36475000000000002</v>
      </c>
      <c r="K552" t="s">
        <v>45</v>
      </c>
    </row>
    <row r="553" spans="1:12" x14ac:dyDescent="0.45">
      <c r="A553" t="s">
        <v>90</v>
      </c>
      <c r="B553" t="s">
        <v>4</v>
      </c>
      <c r="C553" t="s">
        <v>84</v>
      </c>
      <c r="D553" t="s">
        <v>45</v>
      </c>
      <c r="E553" t="s">
        <v>46</v>
      </c>
      <c r="F553" t="s">
        <v>45</v>
      </c>
      <c r="G553" t="s">
        <v>47</v>
      </c>
      <c r="H553" t="s">
        <v>89</v>
      </c>
      <c r="I553">
        <v>2085</v>
      </c>
      <c r="J553">
        <v>0.18045</v>
      </c>
      <c r="K553" t="s">
        <v>45</v>
      </c>
    </row>
    <row r="554" spans="1:12" x14ac:dyDescent="0.45">
      <c r="A554" t="s">
        <v>90</v>
      </c>
      <c r="B554" t="s">
        <v>4</v>
      </c>
      <c r="C554" t="s">
        <v>84</v>
      </c>
      <c r="D554" t="s">
        <v>45</v>
      </c>
      <c r="E554" t="s">
        <v>46</v>
      </c>
      <c r="F554" t="s">
        <v>45</v>
      </c>
      <c r="G554" t="s">
        <v>47</v>
      </c>
      <c r="H554" t="s">
        <v>89</v>
      </c>
      <c r="I554">
        <v>2090</v>
      </c>
      <c r="J554">
        <v>0</v>
      </c>
      <c r="K554" t="s">
        <v>45</v>
      </c>
    </row>
    <row r="555" spans="1:12" x14ac:dyDescent="0.45">
      <c r="A555" t="s">
        <v>90</v>
      </c>
      <c r="B555" t="s">
        <v>4</v>
      </c>
      <c r="C555" t="s">
        <v>84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2095</v>
      </c>
      <c r="J555">
        <v>0</v>
      </c>
      <c r="K555" t="s">
        <v>45</v>
      </c>
    </row>
    <row r="556" spans="1:12" x14ac:dyDescent="0.45">
      <c r="A556" t="s">
        <v>90</v>
      </c>
      <c r="B556" t="s">
        <v>4</v>
      </c>
      <c r="C556" t="s">
        <v>84</v>
      </c>
      <c r="D556" t="s">
        <v>45</v>
      </c>
      <c r="E556" t="s">
        <v>46</v>
      </c>
      <c r="F556" t="s">
        <v>45</v>
      </c>
      <c r="G556" t="s">
        <v>47</v>
      </c>
      <c r="H556" t="s">
        <v>89</v>
      </c>
      <c r="I556">
        <v>2100</v>
      </c>
      <c r="J556">
        <v>0</v>
      </c>
      <c r="K556" t="s">
        <v>45</v>
      </c>
    </row>
    <row r="557" spans="1:12" x14ac:dyDescent="0.45">
      <c r="A557" t="s">
        <v>90</v>
      </c>
      <c r="B557" t="s">
        <v>4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8.1900000000000001E-2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2.7300000000000001E-2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1.5699999999999999E-2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8.9999999999999998E-4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2.0000000000000001E-4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2.0000000000000001E-4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2.0000000000000001E-4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2.0000000000000001E-4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2.5000000000000001E-4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1.5000000000000001E-4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1E-4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8.9999999999999998E-4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2.0999999999999999E-3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8.8999999999999999E-3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1.6500000000000001E-2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2.7300000000000001E-2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3.8649999999999997E-2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2020</v>
      </c>
      <c r="J574">
        <v>0.20069999999999999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2025</v>
      </c>
      <c r="J575">
        <v>0.13739999999999999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2030</v>
      </c>
      <c r="J576">
        <v>9.7699999999999995E-2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2035</v>
      </c>
      <c r="J577">
        <v>8.9499999999999996E-2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2040</v>
      </c>
      <c r="J578">
        <v>7.2800000000000004E-2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2045</v>
      </c>
      <c r="J579">
        <v>5.3600000000000002E-2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2050</v>
      </c>
      <c r="J580">
        <v>1.8599999999999998E-2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2055</v>
      </c>
      <c r="J581">
        <v>7.4999999999999997E-3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1.3500000000000001E-3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2065</v>
      </c>
      <c r="J583">
        <v>1.5999999999999999E-3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2070</v>
      </c>
      <c r="J584">
        <v>2.3499999999999997E-3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2075</v>
      </c>
      <c r="J585">
        <v>4.1000000000000003E-3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2080</v>
      </c>
      <c r="J586">
        <v>5.9500000000000004E-3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2085</v>
      </c>
      <c r="J587">
        <v>8.0000000000000002E-3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2090</v>
      </c>
      <c r="J588">
        <v>1.0200000000000001E-2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2095</v>
      </c>
      <c r="J589">
        <v>1.345E-2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2100</v>
      </c>
      <c r="J590">
        <v>1.6750000000000001E-2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2020</v>
      </c>
      <c r="J591">
        <v>1.12E-2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2025</v>
      </c>
      <c r="J592">
        <v>4.1999999999999997E-3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2030</v>
      </c>
      <c r="J593">
        <v>4.0000000000000002E-4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84</v>
      </c>
      <c r="D597" t="s">
        <v>54</v>
      </c>
      <c r="E597" t="s">
        <v>25</v>
      </c>
      <c r="F597" t="s">
        <v>54</v>
      </c>
      <c r="G597" t="s">
        <v>71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84</v>
      </c>
      <c r="D598" t="s">
        <v>54</v>
      </c>
      <c r="E598" t="s">
        <v>25</v>
      </c>
      <c r="F598" t="s">
        <v>54</v>
      </c>
      <c r="G598" t="s">
        <v>71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84</v>
      </c>
      <c r="D599" t="s">
        <v>54</v>
      </c>
      <c r="E599" t="s">
        <v>25</v>
      </c>
      <c r="F599" t="s">
        <v>54</v>
      </c>
      <c r="G599" t="s">
        <v>71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84</v>
      </c>
      <c r="D600" t="s">
        <v>54</v>
      </c>
      <c r="E600" t="s">
        <v>25</v>
      </c>
      <c r="F600" t="s">
        <v>54</v>
      </c>
      <c r="G600" t="s">
        <v>71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84</v>
      </c>
      <c r="D601" t="s">
        <v>54</v>
      </c>
      <c r="E601" t="s">
        <v>25</v>
      </c>
      <c r="F601" t="s">
        <v>54</v>
      </c>
      <c r="G601" t="s">
        <v>71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84</v>
      </c>
      <c r="D605" t="s">
        <v>54</v>
      </c>
      <c r="E605" t="s">
        <v>25</v>
      </c>
      <c r="F605" t="s">
        <v>54</v>
      </c>
      <c r="G605" t="s">
        <v>71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84</v>
      </c>
      <c r="D607" t="s">
        <v>54</v>
      </c>
      <c r="E607" t="s">
        <v>25</v>
      </c>
      <c r="F607" t="s">
        <v>54</v>
      </c>
      <c r="G607" t="s">
        <v>71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74.293300000000002</v>
      </c>
      <c r="K608" t="s">
        <v>37</v>
      </c>
    </row>
    <row r="609" spans="1:11" x14ac:dyDescent="0.45">
      <c r="A609" t="s">
        <v>90</v>
      </c>
      <c r="B609" t="s">
        <v>4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100.30600000000001</v>
      </c>
      <c r="K609" t="s">
        <v>37</v>
      </c>
    </row>
    <row r="610" spans="1:11" x14ac:dyDescent="0.45">
      <c r="A610" t="s">
        <v>90</v>
      </c>
      <c r="B610" t="s">
        <v>4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87.748149999999995</v>
      </c>
      <c r="K610" t="s">
        <v>37</v>
      </c>
    </row>
    <row r="611" spans="1:11" x14ac:dyDescent="0.45">
      <c r="A611" t="s">
        <v>90</v>
      </c>
      <c r="B611" t="s">
        <v>4</v>
      </c>
      <c r="C611" t="s">
        <v>84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75.25415000000001</v>
      </c>
      <c r="K611" t="s">
        <v>37</v>
      </c>
    </row>
    <row r="612" spans="1:11" x14ac:dyDescent="0.45">
      <c r="A612" t="s">
        <v>90</v>
      </c>
      <c r="B612" t="s">
        <v>4</v>
      </c>
      <c r="C612" t="s">
        <v>84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88.014600000000002</v>
      </c>
      <c r="K612" t="s">
        <v>37</v>
      </c>
    </row>
    <row r="613" spans="1:11" x14ac:dyDescent="0.45">
      <c r="A613" t="s">
        <v>90</v>
      </c>
      <c r="B613" t="s">
        <v>4</v>
      </c>
      <c r="C613" t="s">
        <v>84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99.351500000000001</v>
      </c>
      <c r="K613" t="s">
        <v>37</v>
      </c>
    </row>
    <row r="614" spans="1:11" x14ac:dyDescent="0.45">
      <c r="A614" t="s">
        <v>90</v>
      </c>
      <c r="B614" t="s">
        <v>4</v>
      </c>
      <c r="C614" t="s">
        <v>84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113.07419999999999</v>
      </c>
      <c r="K614" t="s">
        <v>37</v>
      </c>
    </row>
    <row r="615" spans="1:11" x14ac:dyDescent="0.45">
      <c r="A615" t="s">
        <v>90</v>
      </c>
      <c r="B615" t="s">
        <v>4</v>
      </c>
      <c r="C615" t="s">
        <v>84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122.97499999999999</v>
      </c>
      <c r="K615" t="s">
        <v>37</v>
      </c>
    </row>
    <row r="616" spans="1:11" x14ac:dyDescent="0.45">
      <c r="A616" t="s">
        <v>90</v>
      </c>
      <c r="B616" t="s">
        <v>4</v>
      </c>
      <c r="C616" t="s">
        <v>84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190.70265000000001</v>
      </c>
      <c r="K616" t="s">
        <v>37</v>
      </c>
    </row>
    <row r="617" spans="1:11" x14ac:dyDescent="0.45">
      <c r="A617" t="s">
        <v>90</v>
      </c>
      <c r="B617" t="s">
        <v>4</v>
      </c>
      <c r="C617" t="s">
        <v>84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229.70760000000001</v>
      </c>
      <c r="K617" t="s">
        <v>37</v>
      </c>
    </row>
    <row r="618" spans="1:11" x14ac:dyDescent="0.45">
      <c r="A618" t="s">
        <v>90</v>
      </c>
      <c r="B618" t="s">
        <v>4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268.71249999999998</v>
      </c>
      <c r="K618" t="s">
        <v>37</v>
      </c>
    </row>
    <row r="619" spans="1:11" x14ac:dyDescent="0.45">
      <c r="A619" t="s">
        <v>90</v>
      </c>
      <c r="B619" t="s">
        <v>4</v>
      </c>
      <c r="C619" t="s">
        <v>84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265.19815</v>
      </c>
      <c r="K619" t="s">
        <v>37</v>
      </c>
    </row>
    <row r="620" spans="1:11" x14ac:dyDescent="0.45">
      <c r="A620" t="s">
        <v>90</v>
      </c>
      <c r="B620" t="s">
        <v>4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261.68380000000002</v>
      </c>
      <c r="K620" t="s">
        <v>37</v>
      </c>
    </row>
    <row r="621" spans="1:11" x14ac:dyDescent="0.45">
      <c r="A621" t="s">
        <v>90</v>
      </c>
      <c r="B621" t="s">
        <v>4</v>
      </c>
      <c r="C621" t="s">
        <v>84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265.56029999999998</v>
      </c>
      <c r="K621" t="s">
        <v>37</v>
      </c>
    </row>
    <row r="622" spans="1:11" x14ac:dyDescent="0.45">
      <c r="A622" t="s">
        <v>90</v>
      </c>
      <c r="B622" t="s">
        <v>4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269.43680000000001</v>
      </c>
      <c r="K622" t="s">
        <v>37</v>
      </c>
    </row>
    <row r="623" spans="1:11" x14ac:dyDescent="0.45">
      <c r="A623" t="s">
        <v>90</v>
      </c>
      <c r="B623" t="s">
        <v>4</v>
      </c>
      <c r="C623" t="s">
        <v>84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284.58394999999996</v>
      </c>
      <c r="K623" t="s">
        <v>37</v>
      </c>
    </row>
    <row r="624" spans="1:11" x14ac:dyDescent="0.45">
      <c r="A624" t="s">
        <v>90</v>
      </c>
      <c r="B624" t="s">
        <v>4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299.73109999999997</v>
      </c>
      <c r="K624" t="s">
        <v>37</v>
      </c>
    </row>
    <row r="625" spans="1:11" x14ac:dyDescent="0.45">
      <c r="A625" t="s">
        <v>90</v>
      </c>
      <c r="B625" t="s">
        <v>0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113.0615</v>
      </c>
      <c r="K625" t="s">
        <v>48</v>
      </c>
    </row>
    <row r="626" spans="1:11" x14ac:dyDescent="0.45">
      <c r="A626" t="s">
        <v>90</v>
      </c>
      <c r="B626" t="s">
        <v>0</v>
      </c>
      <c r="C626" t="s">
        <v>84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2025</v>
      </c>
      <c r="J626">
        <v>-93.679949999999991</v>
      </c>
      <c r="K626" t="s">
        <v>48</v>
      </c>
    </row>
    <row r="627" spans="1:11" x14ac:dyDescent="0.45">
      <c r="A627" t="s">
        <v>90</v>
      </c>
      <c r="B627" t="s">
        <v>0</v>
      </c>
      <c r="C627" t="s">
        <v>84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2030</v>
      </c>
      <c r="J627">
        <v>-217.19399999999999</v>
      </c>
      <c r="K627" t="s">
        <v>48</v>
      </c>
    </row>
    <row r="628" spans="1:11" x14ac:dyDescent="0.45">
      <c r="A628" t="s">
        <v>90</v>
      </c>
      <c r="B628" t="s">
        <v>0</v>
      </c>
      <c r="C628" t="s">
        <v>84</v>
      </c>
      <c r="D628" t="s">
        <v>48</v>
      </c>
      <c r="E628" t="s">
        <v>46</v>
      </c>
      <c r="F628" t="s">
        <v>48</v>
      </c>
      <c r="G628" t="s">
        <v>49</v>
      </c>
      <c r="H628" t="s">
        <v>50</v>
      </c>
      <c r="I628">
        <v>2035</v>
      </c>
      <c r="J628">
        <v>-322.33440000000002</v>
      </c>
      <c r="K628" t="s">
        <v>48</v>
      </c>
    </row>
    <row r="629" spans="1:11" x14ac:dyDescent="0.45">
      <c r="A629" t="s">
        <v>90</v>
      </c>
      <c r="B629" t="s">
        <v>0</v>
      </c>
      <c r="C629" t="s">
        <v>84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2040</v>
      </c>
      <c r="J629">
        <v>-521.98940000000005</v>
      </c>
      <c r="K629" t="s">
        <v>48</v>
      </c>
    </row>
    <row r="630" spans="1:11" x14ac:dyDescent="0.45">
      <c r="A630" t="s">
        <v>90</v>
      </c>
      <c r="B630" t="s">
        <v>0</v>
      </c>
      <c r="C630" t="s">
        <v>84</v>
      </c>
      <c r="D630" t="s">
        <v>48</v>
      </c>
      <c r="E630" t="s">
        <v>46</v>
      </c>
      <c r="F630" t="s">
        <v>48</v>
      </c>
      <c r="G630" t="s">
        <v>49</v>
      </c>
      <c r="H630" t="s">
        <v>50</v>
      </c>
      <c r="I630">
        <v>2045</v>
      </c>
      <c r="J630">
        <v>-558.39910000000009</v>
      </c>
      <c r="K630" t="s">
        <v>48</v>
      </c>
    </row>
    <row r="631" spans="1:11" x14ac:dyDescent="0.45">
      <c r="A631" t="s">
        <v>90</v>
      </c>
      <c r="B631" t="s">
        <v>0</v>
      </c>
      <c r="C631" t="s">
        <v>84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2050</v>
      </c>
      <c r="J631">
        <v>-576.88030000000003</v>
      </c>
      <c r="K631" t="s">
        <v>48</v>
      </c>
    </row>
    <row r="632" spans="1:11" x14ac:dyDescent="0.45">
      <c r="A632" t="s">
        <v>90</v>
      </c>
      <c r="B632" t="s">
        <v>0</v>
      </c>
      <c r="C632" t="s">
        <v>84</v>
      </c>
      <c r="D632" t="s">
        <v>48</v>
      </c>
      <c r="E632" t="s">
        <v>46</v>
      </c>
      <c r="F632" t="s">
        <v>48</v>
      </c>
      <c r="G632" t="s">
        <v>49</v>
      </c>
      <c r="H632" t="s">
        <v>50</v>
      </c>
      <c r="I632">
        <v>2055</v>
      </c>
      <c r="J632">
        <v>-545.17259999999999</v>
      </c>
      <c r="K632" t="s">
        <v>48</v>
      </c>
    </row>
    <row r="633" spans="1:11" x14ac:dyDescent="0.45">
      <c r="A633" t="s">
        <v>90</v>
      </c>
      <c r="B633" t="s">
        <v>0</v>
      </c>
      <c r="C633" t="s">
        <v>84</v>
      </c>
      <c r="D633" t="s">
        <v>48</v>
      </c>
      <c r="E633" t="s">
        <v>46</v>
      </c>
      <c r="F633" t="s">
        <v>48</v>
      </c>
      <c r="G633" t="s">
        <v>49</v>
      </c>
      <c r="H633" t="s">
        <v>50</v>
      </c>
      <c r="I633">
        <v>2060</v>
      </c>
      <c r="J633">
        <v>-511.27595000000002</v>
      </c>
      <c r="K633" t="s">
        <v>48</v>
      </c>
    </row>
    <row r="634" spans="1:11" x14ac:dyDescent="0.45">
      <c r="A634" t="s">
        <v>90</v>
      </c>
      <c r="B634" t="s">
        <v>0</v>
      </c>
      <c r="C634" t="s">
        <v>84</v>
      </c>
      <c r="D634" t="s">
        <v>48</v>
      </c>
      <c r="E634" t="s">
        <v>46</v>
      </c>
      <c r="F634" t="s">
        <v>48</v>
      </c>
      <c r="G634" t="s">
        <v>49</v>
      </c>
      <c r="H634" t="s">
        <v>50</v>
      </c>
      <c r="I634">
        <v>2065</v>
      </c>
      <c r="J634">
        <v>-504.5274</v>
      </c>
      <c r="K634" t="s">
        <v>48</v>
      </c>
    </row>
    <row r="635" spans="1:11" x14ac:dyDescent="0.45">
      <c r="A635" t="s">
        <v>90</v>
      </c>
      <c r="B635" t="s">
        <v>0</v>
      </c>
      <c r="C635" t="s">
        <v>84</v>
      </c>
      <c r="D635" t="s">
        <v>48</v>
      </c>
      <c r="E635" t="s">
        <v>46</v>
      </c>
      <c r="F635" t="s">
        <v>48</v>
      </c>
      <c r="G635" t="s">
        <v>49</v>
      </c>
      <c r="H635" t="s">
        <v>50</v>
      </c>
      <c r="I635">
        <v>2070</v>
      </c>
      <c r="J635">
        <v>-493.68444999999997</v>
      </c>
      <c r="K635" t="s">
        <v>48</v>
      </c>
    </row>
    <row r="636" spans="1:11" x14ac:dyDescent="0.45">
      <c r="A636" t="s">
        <v>90</v>
      </c>
      <c r="B636" t="s">
        <v>0</v>
      </c>
      <c r="C636" t="s">
        <v>84</v>
      </c>
      <c r="D636" t="s">
        <v>48</v>
      </c>
      <c r="E636" t="s">
        <v>46</v>
      </c>
      <c r="F636" t="s">
        <v>48</v>
      </c>
      <c r="G636" t="s">
        <v>49</v>
      </c>
      <c r="H636" t="s">
        <v>50</v>
      </c>
      <c r="I636">
        <v>2075</v>
      </c>
      <c r="J636">
        <v>-459.90480000000002</v>
      </c>
      <c r="K636" t="s">
        <v>48</v>
      </c>
    </row>
    <row r="637" spans="1:11" x14ac:dyDescent="0.45">
      <c r="A637" t="s">
        <v>90</v>
      </c>
      <c r="B637" t="s">
        <v>0</v>
      </c>
      <c r="C637" t="s">
        <v>84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2080</v>
      </c>
      <c r="J637">
        <v>-423.28039999999999</v>
      </c>
      <c r="K637" t="s">
        <v>48</v>
      </c>
    </row>
    <row r="638" spans="1:11" x14ac:dyDescent="0.45">
      <c r="A638" t="s">
        <v>90</v>
      </c>
      <c r="B638" t="s">
        <v>0</v>
      </c>
      <c r="C638" t="s">
        <v>84</v>
      </c>
      <c r="D638" t="s">
        <v>48</v>
      </c>
      <c r="E638" t="s">
        <v>46</v>
      </c>
      <c r="F638" t="s">
        <v>48</v>
      </c>
      <c r="G638" t="s">
        <v>49</v>
      </c>
      <c r="H638" t="s">
        <v>50</v>
      </c>
      <c r="I638">
        <v>2085</v>
      </c>
      <c r="J638">
        <v>-393.75475</v>
      </c>
      <c r="K638" t="s">
        <v>48</v>
      </c>
    </row>
    <row r="639" spans="1:11" x14ac:dyDescent="0.45">
      <c r="A639" t="s">
        <v>90</v>
      </c>
      <c r="B639" t="s">
        <v>0</v>
      </c>
      <c r="C639" t="s">
        <v>84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2090</v>
      </c>
      <c r="J639">
        <v>-363.48125000000005</v>
      </c>
      <c r="K639" t="s">
        <v>48</v>
      </c>
    </row>
    <row r="640" spans="1:11" x14ac:dyDescent="0.45">
      <c r="A640" t="s">
        <v>90</v>
      </c>
      <c r="B640" t="s">
        <v>0</v>
      </c>
      <c r="C640" t="s">
        <v>84</v>
      </c>
      <c r="D640" t="s">
        <v>48</v>
      </c>
      <c r="E640" t="s">
        <v>46</v>
      </c>
      <c r="F640" t="s">
        <v>48</v>
      </c>
      <c r="G640" t="s">
        <v>49</v>
      </c>
      <c r="H640" t="s">
        <v>50</v>
      </c>
      <c r="I640">
        <v>2095</v>
      </c>
      <c r="J640">
        <v>-247.14335</v>
      </c>
      <c r="K640" t="s">
        <v>48</v>
      </c>
    </row>
    <row r="641" spans="1:11" x14ac:dyDescent="0.45">
      <c r="A641" t="s">
        <v>90</v>
      </c>
      <c r="B641" t="s">
        <v>0</v>
      </c>
      <c r="C641" t="s">
        <v>84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2100</v>
      </c>
      <c r="J641">
        <v>-130.73869999999999</v>
      </c>
      <c r="K641" t="s">
        <v>48</v>
      </c>
    </row>
    <row r="642" spans="1:11" x14ac:dyDescent="0.45">
      <c r="A642" t="s">
        <v>90</v>
      </c>
      <c r="B642" t="s">
        <v>0</v>
      </c>
      <c r="C642" t="s">
        <v>84</v>
      </c>
      <c r="D642" t="s">
        <v>51</v>
      </c>
      <c r="E642" t="s">
        <v>46</v>
      </c>
      <c r="F642" t="s">
        <v>51</v>
      </c>
      <c r="G642" t="s">
        <v>49</v>
      </c>
      <c r="H642" t="s">
        <v>50</v>
      </c>
      <c r="I642">
        <v>2020</v>
      </c>
      <c r="J642">
        <v>469.55020000000002</v>
      </c>
      <c r="K642" t="s">
        <v>51</v>
      </c>
    </row>
    <row r="643" spans="1:11" x14ac:dyDescent="0.45">
      <c r="A643" t="s">
        <v>90</v>
      </c>
      <c r="B643" t="s">
        <v>0</v>
      </c>
      <c r="C643" t="s">
        <v>84</v>
      </c>
      <c r="D643" t="s">
        <v>51</v>
      </c>
      <c r="E643" t="s">
        <v>46</v>
      </c>
      <c r="F643" t="s">
        <v>51</v>
      </c>
      <c r="G643" t="s">
        <v>49</v>
      </c>
      <c r="H643" t="s">
        <v>50</v>
      </c>
      <c r="I643">
        <v>2025</v>
      </c>
      <c r="J643">
        <v>388.55754999999999</v>
      </c>
      <c r="K643" t="s">
        <v>51</v>
      </c>
    </row>
    <row r="644" spans="1:11" x14ac:dyDescent="0.45">
      <c r="A644" t="s">
        <v>90</v>
      </c>
      <c r="B644" t="s">
        <v>0</v>
      </c>
      <c r="C644" t="s">
        <v>84</v>
      </c>
      <c r="D644" t="s">
        <v>51</v>
      </c>
      <c r="E644" t="s">
        <v>46</v>
      </c>
      <c r="F644" t="s">
        <v>51</v>
      </c>
      <c r="G644" t="s">
        <v>49</v>
      </c>
      <c r="H644" t="s">
        <v>50</v>
      </c>
      <c r="I644">
        <v>2030</v>
      </c>
      <c r="J644">
        <v>334.32690000000002</v>
      </c>
      <c r="K644" t="s">
        <v>51</v>
      </c>
    </row>
    <row r="645" spans="1:11" x14ac:dyDescent="0.45">
      <c r="A645" t="s">
        <v>90</v>
      </c>
      <c r="B645" t="s">
        <v>0</v>
      </c>
      <c r="C645" t="s">
        <v>84</v>
      </c>
      <c r="D645" t="s">
        <v>51</v>
      </c>
      <c r="E645" t="s">
        <v>46</v>
      </c>
      <c r="F645" t="s">
        <v>51</v>
      </c>
      <c r="G645" t="s">
        <v>49</v>
      </c>
      <c r="H645" t="s">
        <v>50</v>
      </c>
      <c r="I645">
        <v>2035</v>
      </c>
      <c r="J645">
        <v>244.74885</v>
      </c>
      <c r="K645" t="s">
        <v>51</v>
      </c>
    </row>
    <row r="646" spans="1:11" x14ac:dyDescent="0.45">
      <c r="A646" t="s">
        <v>90</v>
      </c>
      <c r="B646" t="s">
        <v>0</v>
      </c>
      <c r="C646" t="s">
        <v>84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2040</v>
      </c>
      <c r="J646">
        <v>56.0792</v>
      </c>
      <c r="K646" t="s">
        <v>51</v>
      </c>
    </row>
    <row r="647" spans="1:11" x14ac:dyDescent="0.45">
      <c r="A647" t="s">
        <v>90</v>
      </c>
      <c r="B647" t="s">
        <v>0</v>
      </c>
      <c r="C647" t="s">
        <v>84</v>
      </c>
      <c r="D647" t="s">
        <v>51</v>
      </c>
      <c r="E647" t="s">
        <v>46</v>
      </c>
      <c r="F647" t="s">
        <v>51</v>
      </c>
      <c r="G647" t="s">
        <v>49</v>
      </c>
      <c r="H647" t="s">
        <v>50</v>
      </c>
      <c r="I647">
        <v>2045</v>
      </c>
      <c r="J647">
        <v>-17.520399999999999</v>
      </c>
      <c r="K647" t="s">
        <v>51</v>
      </c>
    </row>
    <row r="648" spans="1:11" x14ac:dyDescent="0.45">
      <c r="A648" t="s">
        <v>90</v>
      </c>
      <c r="B648" t="s">
        <v>0</v>
      </c>
      <c r="C648" t="s">
        <v>84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2050</v>
      </c>
      <c r="J648">
        <v>-74.950950000000006</v>
      </c>
      <c r="K648" t="s">
        <v>51</v>
      </c>
    </row>
    <row r="649" spans="1:11" x14ac:dyDescent="0.45">
      <c r="A649" t="s">
        <v>90</v>
      </c>
      <c r="B649" t="s">
        <v>0</v>
      </c>
      <c r="C649" t="s">
        <v>84</v>
      </c>
      <c r="D649" t="s">
        <v>51</v>
      </c>
      <c r="E649" t="s">
        <v>46</v>
      </c>
      <c r="F649" t="s">
        <v>51</v>
      </c>
      <c r="G649" t="s">
        <v>49</v>
      </c>
      <c r="H649" t="s">
        <v>50</v>
      </c>
      <c r="I649">
        <v>2055</v>
      </c>
      <c r="J649">
        <v>-110.65520000000001</v>
      </c>
      <c r="K649" t="s">
        <v>51</v>
      </c>
    </row>
    <row r="650" spans="1:11" x14ac:dyDescent="0.45">
      <c r="A650" t="s">
        <v>90</v>
      </c>
      <c r="B650" t="s">
        <v>0</v>
      </c>
      <c r="C650" t="s">
        <v>84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2060</v>
      </c>
      <c r="J650">
        <v>-147.73519999999999</v>
      </c>
      <c r="K650" t="s">
        <v>51</v>
      </c>
    </row>
    <row r="651" spans="1:11" x14ac:dyDescent="0.45">
      <c r="A651" t="s">
        <v>90</v>
      </c>
      <c r="B651" t="s">
        <v>0</v>
      </c>
      <c r="C651" t="s">
        <v>84</v>
      </c>
      <c r="D651" t="s">
        <v>51</v>
      </c>
      <c r="E651" t="s">
        <v>46</v>
      </c>
      <c r="F651" t="s">
        <v>51</v>
      </c>
      <c r="G651" t="s">
        <v>49</v>
      </c>
      <c r="H651" t="s">
        <v>50</v>
      </c>
      <c r="I651">
        <v>2065</v>
      </c>
      <c r="J651">
        <v>-165.78225</v>
      </c>
      <c r="K651" t="s">
        <v>51</v>
      </c>
    </row>
    <row r="652" spans="1:11" x14ac:dyDescent="0.45">
      <c r="A652" t="s">
        <v>90</v>
      </c>
      <c r="B652" t="s">
        <v>0</v>
      </c>
      <c r="C652" t="s">
        <v>84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2070</v>
      </c>
      <c r="J652">
        <v>-179.73919999999998</v>
      </c>
      <c r="K652" t="s">
        <v>51</v>
      </c>
    </row>
    <row r="653" spans="1:11" x14ac:dyDescent="0.45">
      <c r="A653" t="s">
        <v>90</v>
      </c>
      <c r="B653" t="s">
        <v>0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2075</v>
      </c>
      <c r="J653">
        <v>-170.11789999999999</v>
      </c>
      <c r="K653" t="s">
        <v>51</v>
      </c>
    </row>
    <row r="654" spans="1:11" x14ac:dyDescent="0.45">
      <c r="A654" t="s">
        <v>90</v>
      </c>
      <c r="B654" t="s">
        <v>0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2080</v>
      </c>
      <c r="J654">
        <v>-157.65379999999999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2085</v>
      </c>
      <c r="J655">
        <v>-128.66034999999999</v>
      </c>
      <c r="K655" t="s">
        <v>51</v>
      </c>
    </row>
    <row r="656" spans="1:11" x14ac:dyDescent="0.45">
      <c r="A656" t="s">
        <v>90</v>
      </c>
      <c r="B656" t="s">
        <v>0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2090</v>
      </c>
      <c r="J656">
        <v>-98.923550000000006</v>
      </c>
      <c r="K656" t="s">
        <v>51</v>
      </c>
    </row>
    <row r="657" spans="1:11" x14ac:dyDescent="0.45">
      <c r="A657" t="s">
        <v>90</v>
      </c>
      <c r="B657" t="s">
        <v>0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2095</v>
      </c>
      <c r="J657">
        <v>-74.452500000000001</v>
      </c>
      <c r="K657" t="s">
        <v>51</v>
      </c>
    </row>
    <row r="658" spans="1:11" x14ac:dyDescent="0.45">
      <c r="A658" t="s">
        <v>90</v>
      </c>
      <c r="B658" t="s">
        <v>0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2100</v>
      </c>
      <c r="J658">
        <v>-49.913399999999996</v>
      </c>
      <c r="K658" t="s">
        <v>51</v>
      </c>
    </row>
    <row r="659" spans="1:11" x14ac:dyDescent="0.45">
      <c r="A659" t="s">
        <v>90</v>
      </c>
      <c r="B659" t="s">
        <v>0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2020</v>
      </c>
      <c r="J659">
        <v>5.3799000000000001</v>
      </c>
      <c r="K659" t="s">
        <v>29</v>
      </c>
    </row>
    <row r="660" spans="1:11" x14ac:dyDescent="0.45">
      <c r="A660" t="s">
        <v>90</v>
      </c>
      <c r="B660" t="s">
        <v>0</v>
      </c>
      <c r="C660" t="s">
        <v>84</v>
      </c>
      <c r="D660" t="s">
        <v>29</v>
      </c>
      <c r="E660" t="s">
        <v>30</v>
      </c>
      <c r="F660" t="s">
        <v>29</v>
      </c>
      <c r="G660" t="s">
        <v>31</v>
      </c>
      <c r="H660" t="s">
        <v>32</v>
      </c>
      <c r="I660">
        <v>2025</v>
      </c>
      <c r="J660">
        <v>5.7637999999999998</v>
      </c>
      <c r="K660" t="s">
        <v>29</v>
      </c>
    </row>
    <row r="661" spans="1:11" x14ac:dyDescent="0.45">
      <c r="A661" t="s">
        <v>90</v>
      </c>
      <c r="B661" t="s">
        <v>0</v>
      </c>
      <c r="C661" t="s">
        <v>84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2030</v>
      </c>
      <c r="J661">
        <v>5.5946499999999997</v>
      </c>
      <c r="K661" t="s">
        <v>29</v>
      </c>
    </row>
    <row r="662" spans="1:11" x14ac:dyDescent="0.45">
      <c r="A662" t="s">
        <v>90</v>
      </c>
      <c r="B662" t="s">
        <v>0</v>
      </c>
      <c r="C662" t="s">
        <v>84</v>
      </c>
      <c r="D662" t="s">
        <v>29</v>
      </c>
      <c r="E662" t="s">
        <v>30</v>
      </c>
      <c r="F662" t="s">
        <v>29</v>
      </c>
      <c r="G662" t="s">
        <v>31</v>
      </c>
      <c r="H662" t="s">
        <v>32</v>
      </c>
      <c r="I662">
        <v>2035</v>
      </c>
      <c r="J662">
        <v>2.1764999999999999</v>
      </c>
      <c r="K662" t="s">
        <v>29</v>
      </c>
    </row>
    <row r="663" spans="1:11" x14ac:dyDescent="0.45">
      <c r="A663" t="s">
        <v>90</v>
      </c>
      <c r="B663" t="s">
        <v>0</v>
      </c>
      <c r="C663" t="s">
        <v>84</v>
      </c>
      <c r="D663" t="s">
        <v>29</v>
      </c>
      <c r="E663" t="s">
        <v>30</v>
      </c>
      <c r="F663" t="s">
        <v>29</v>
      </c>
      <c r="G663" t="s">
        <v>31</v>
      </c>
      <c r="H663" t="s">
        <v>32</v>
      </c>
      <c r="I663">
        <v>2040</v>
      </c>
      <c r="J663">
        <v>5.5442</v>
      </c>
      <c r="K663" t="s">
        <v>29</v>
      </c>
    </row>
    <row r="664" spans="1:11" x14ac:dyDescent="0.45">
      <c r="A664" t="s">
        <v>90</v>
      </c>
      <c r="B664" t="s">
        <v>0</v>
      </c>
      <c r="C664" t="s">
        <v>84</v>
      </c>
      <c r="D664" t="s">
        <v>29</v>
      </c>
      <c r="E664" t="s">
        <v>30</v>
      </c>
      <c r="F664" t="s">
        <v>29</v>
      </c>
      <c r="G664" t="s">
        <v>31</v>
      </c>
      <c r="H664" t="s">
        <v>32</v>
      </c>
      <c r="I664">
        <v>2045</v>
      </c>
      <c r="J664">
        <v>9.3986999999999998</v>
      </c>
      <c r="K664" t="s">
        <v>29</v>
      </c>
    </row>
    <row r="665" spans="1:11" x14ac:dyDescent="0.45">
      <c r="A665" t="s">
        <v>90</v>
      </c>
      <c r="B665" t="s">
        <v>0</v>
      </c>
      <c r="C665" t="s">
        <v>84</v>
      </c>
      <c r="D665" t="s">
        <v>29</v>
      </c>
      <c r="E665" t="s">
        <v>30</v>
      </c>
      <c r="F665" t="s">
        <v>29</v>
      </c>
      <c r="G665" t="s">
        <v>31</v>
      </c>
      <c r="H665" t="s">
        <v>32</v>
      </c>
      <c r="I665">
        <v>2050</v>
      </c>
      <c r="J665">
        <v>17.657350000000001</v>
      </c>
      <c r="K665" t="s">
        <v>29</v>
      </c>
    </row>
    <row r="666" spans="1:11" x14ac:dyDescent="0.45">
      <c r="A666" t="s">
        <v>90</v>
      </c>
      <c r="B666" t="s">
        <v>0</v>
      </c>
      <c r="C666" t="s">
        <v>84</v>
      </c>
      <c r="D666" t="s">
        <v>29</v>
      </c>
      <c r="E666" t="s">
        <v>30</v>
      </c>
      <c r="F666" t="s">
        <v>29</v>
      </c>
      <c r="G666" t="s">
        <v>31</v>
      </c>
      <c r="H666" t="s">
        <v>32</v>
      </c>
      <c r="I666">
        <v>2055</v>
      </c>
      <c r="J666">
        <v>20.9406</v>
      </c>
      <c r="K666" t="s">
        <v>29</v>
      </c>
    </row>
    <row r="667" spans="1:11" x14ac:dyDescent="0.45">
      <c r="A667" t="s">
        <v>90</v>
      </c>
      <c r="B667" t="s">
        <v>0</v>
      </c>
      <c r="C667" t="s">
        <v>84</v>
      </c>
      <c r="D667" t="s">
        <v>29</v>
      </c>
      <c r="E667" t="s">
        <v>30</v>
      </c>
      <c r="F667" t="s">
        <v>29</v>
      </c>
      <c r="G667" t="s">
        <v>31</v>
      </c>
      <c r="H667" t="s">
        <v>32</v>
      </c>
      <c r="I667">
        <v>2060</v>
      </c>
      <c r="J667">
        <v>28.955849999999998</v>
      </c>
      <c r="K667" t="s">
        <v>29</v>
      </c>
    </row>
    <row r="668" spans="1:11" x14ac:dyDescent="0.45">
      <c r="A668" t="s">
        <v>90</v>
      </c>
      <c r="B668" t="s">
        <v>0</v>
      </c>
      <c r="C668" t="s">
        <v>84</v>
      </c>
      <c r="D668" t="s">
        <v>29</v>
      </c>
      <c r="E668" t="s">
        <v>30</v>
      </c>
      <c r="F668" t="s">
        <v>29</v>
      </c>
      <c r="G668" t="s">
        <v>31</v>
      </c>
      <c r="H668" t="s">
        <v>32</v>
      </c>
      <c r="I668">
        <v>2065</v>
      </c>
      <c r="J668">
        <v>25.764299999999999</v>
      </c>
      <c r="K668" t="s">
        <v>29</v>
      </c>
    </row>
    <row r="669" spans="1:11" x14ac:dyDescent="0.45">
      <c r="A669" t="s">
        <v>90</v>
      </c>
      <c r="B669" t="s">
        <v>0</v>
      </c>
      <c r="C669" t="s">
        <v>84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2070</v>
      </c>
      <c r="J669">
        <v>22.572700000000001</v>
      </c>
      <c r="K669" t="s">
        <v>29</v>
      </c>
    </row>
    <row r="670" spans="1:11" x14ac:dyDescent="0.45">
      <c r="A670" t="s">
        <v>90</v>
      </c>
      <c r="B670" t="s">
        <v>0</v>
      </c>
      <c r="C670" t="s">
        <v>84</v>
      </c>
      <c r="D670" t="s">
        <v>29</v>
      </c>
      <c r="E670" t="s">
        <v>30</v>
      </c>
      <c r="F670" t="s">
        <v>29</v>
      </c>
      <c r="G670" t="s">
        <v>31</v>
      </c>
      <c r="H670" t="s">
        <v>32</v>
      </c>
      <c r="I670">
        <v>2075</v>
      </c>
      <c r="J670">
        <v>23.83595</v>
      </c>
      <c r="K670" t="s">
        <v>29</v>
      </c>
    </row>
    <row r="671" spans="1:11" x14ac:dyDescent="0.45">
      <c r="A671" t="s">
        <v>90</v>
      </c>
      <c r="B671" t="s">
        <v>0</v>
      </c>
      <c r="C671" t="s">
        <v>84</v>
      </c>
      <c r="D671" t="s">
        <v>29</v>
      </c>
      <c r="E671" t="s">
        <v>30</v>
      </c>
      <c r="F671" t="s">
        <v>29</v>
      </c>
      <c r="G671" t="s">
        <v>31</v>
      </c>
      <c r="H671" t="s">
        <v>32</v>
      </c>
      <c r="I671">
        <v>2080</v>
      </c>
      <c r="J671">
        <v>25.099249999999998</v>
      </c>
      <c r="K671" t="s">
        <v>29</v>
      </c>
    </row>
    <row r="672" spans="1:11" x14ac:dyDescent="0.45">
      <c r="A672" t="s">
        <v>90</v>
      </c>
      <c r="B672" t="s">
        <v>0</v>
      </c>
      <c r="C672" t="s">
        <v>84</v>
      </c>
      <c r="D672" t="s">
        <v>29</v>
      </c>
      <c r="E672" t="s">
        <v>30</v>
      </c>
      <c r="F672" t="s">
        <v>29</v>
      </c>
      <c r="G672" t="s">
        <v>31</v>
      </c>
      <c r="H672" t="s">
        <v>32</v>
      </c>
      <c r="I672">
        <v>2085</v>
      </c>
      <c r="J672">
        <v>23.323250000000002</v>
      </c>
      <c r="K672" t="s">
        <v>29</v>
      </c>
    </row>
    <row r="673" spans="1:11" x14ac:dyDescent="0.45">
      <c r="A673" t="s">
        <v>90</v>
      </c>
      <c r="B673" t="s">
        <v>0</v>
      </c>
      <c r="C673" t="s">
        <v>84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2090</v>
      </c>
      <c r="J673">
        <v>21.547249999999998</v>
      </c>
      <c r="K673" t="s">
        <v>29</v>
      </c>
    </row>
    <row r="674" spans="1:11" x14ac:dyDescent="0.45">
      <c r="A674" t="s">
        <v>90</v>
      </c>
      <c r="B674" t="s">
        <v>0</v>
      </c>
      <c r="C674" t="s">
        <v>84</v>
      </c>
      <c r="D674" t="s">
        <v>29</v>
      </c>
      <c r="E674" t="s">
        <v>30</v>
      </c>
      <c r="F674" t="s">
        <v>29</v>
      </c>
      <c r="G674" t="s">
        <v>31</v>
      </c>
      <c r="H674" t="s">
        <v>32</v>
      </c>
      <c r="I674">
        <v>2095</v>
      </c>
      <c r="J674">
        <v>22.268699999999999</v>
      </c>
      <c r="K674" t="s">
        <v>29</v>
      </c>
    </row>
    <row r="675" spans="1:11" x14ac:dyDescent="0.45">
      <c r="A675" t="s">
        <v>90</v>
      </c>
      <c r="B675" t="s">
        <v>0</v>
      </c>
      <c r="C675" t="s">
        <v>84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2100</v>
      </c>
      <c r="J675">
        <v>22.99005</v>
      </c>
      <c r="K675" t="s">
        <v>29</v>
      </c>
    </row>
    <row r="676" spans="1:11" x14ac:dyDescent="0.45">
      <c r="A676" t="s">
        <v>90</v>
      </c>
      <c r="B676" t="s">
        <v>0</v>
      </c>
      <c r="C676" t="s">
        <v>84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2020</v>
      </c>
      <c r="J676">
        <v>2.0344000000000002</v>
      </c>
      <c r="K676" t="s">
        <v>33</v>
      </c>
    </row>
    <row r="677" spans="1:11" x14ac:dyDescent="0.45">
      <c r="A677" t="s">
        <v>90</v>
      </c>
      <c r="B677" t="s">
        <v>0</v>
      </c>
      <c r="C677" t="s">
        <v>84</v>
      </c>
      <c r="D677" t="s">
        <v>33</v>
      </c>
      <c r="E677" t="s">
        <v>30</v>
      </c>
      <c r="F677" t="s">
        <v>33</v>
      </c>
      <c r="G677" t="s">
        <v>31</v>
      </c>
      <c r="H677" t="s">
        <v>34</v>
      </c>
      <c r="I677">
        <v>2025</v>
      </c>
      <c r="J677">
        <v>2.2243500000000003</v>
      </c>
      <c r="K677" t="s">
        <v>33</v>
      </c>
    </row>
    <row r="678" spans="1:11" x14ac:dyDescent="0.45">
      <c r="A678" t="s">
        <v>90</v>
      </c>
      <c r="B678" t="s">
        <v>0</v>
      </c>
      <c r="C678" t="s">
        <v>84</v>
      </c>
      <c r="D678" t="s">
        <v>33</v>
      </c>
      <c r="E678" t="s">
        <v>30</v>
      </c>
      <c r="F678" t="s">
        <v>33</v>
      </c>
      <c r="G678" t="s">
        <v>31</v>
      </c>
      <c r="H678" t="s">
        <v>34</v>
      </c>
      <c r="I678">
        <v>2030</v>
      </c>
      <c r="J678">
        <v>2.2640500000000001</v>
      </c>
      <c r="K678" t="s">
        <v>33</v>
      </c>
    </row>
    <row r="679" spans="1:11" x14ac:dyDescent="0.45">
      <c r="A679" t="s">
        <v>90</v>
      </c>
      <c r="B679" t="s">
        <v>0</v>
      </c>
      <c r="C679" t="s">
        <v>84</v>
      </c>
      <c r="D679" t="s">
        <v>33</v>
      </c>
      <c r="E679" t="s">
        <v>30</v>
      </c>
      <c r="F679" t="s">
        <v>33</v>
      </c>
      <c r="G679" t="s">
        <v>31</v>
      </c>
      <c r="H679" t="s">
        <v>34</v>
      </c>
      <c r="I679">
        <v>2035</v>
      </c>
      <c r="J679">
        <v>2.2969999999999997</v>
      </c>
      <c r="K679" t="s">
        <v>33</v>
      </c>
    </row>
    <row r="680" spans="1:11" x14ac:dyDescent="0.45">
      <c r="A680" t="s">
        <v>90</v>
      </c>
      <c r="B680" t="s">
        <v>0</v>
      </c>
      <c r="C680" t="s">
        <v>84</v>
      </c>
      <c r="D680" t="s">
        <v>33</v>
      </c>
      <c r="E680" t="s">
        <v>30</v>
      </c>
      <c r="F680" t="s">
        <v>33</v>
      </c>
      <c r="G680" t="s">
        <v>31</v>
      </c>
      <c r="H680" t="s">
        <v>34</v>
      </c>
      <c r="I680">
        <v>2040</v>
      </c>
      <c r="J680">
        <v>1.8371</v>
      </c>
      <c r="K680" t="s">
        <v>33</v>
      </c>
    </row>
    <row r="681" spans="1:11" x14ac:dyDescent="0.45">
      <c r="A681" t="s">
        <v>90</v>
      </c>
      <c r="B681" t="s">
        <v>0</v>
      </c>
      <c r="C681" t="s">
        <v>84</v>
      </c>
      <c r="D681" t="s">
        <v>33</v>
      </c>
      <c r="E681" t="s">
        <v>30</v>
      </c>
      <c r="F681" t="s">
        <v>33</v>
      </c>
      <c r="G681" t="s">
        <v>31</v>
      </c>
      <c r="H681" t="s">
        <v>34</v>
      </c>
      <c r="I681">
        <v>2045</v>
      </c>
      <c r="J681">
        <v>1.4066000000000001</v>
      </c>
      <c r="K681" t="s">
        <v>33</v>
      </c>
    </row>
    <row r="682" spans="1:11" x14ac:dyDescent="0.45">
      <c r="A682" t="s">
        <v>90</v>
      </c>
      <c r="B682" t="s">
        <v>0</v>
      </c>
      <c r="C682" t="s">
        <v>84</v>
      </c>
      <c r="D682" t="s">
        <v>33</v>
      </c>
      <c r="E682" t="s">
        <v>30</v>
      </c>
      <c r="F682" t="s">
        <v>33</v>
      </c>
      <c r="G682" t="s">
        <v>31</v>
      </c>
      <c r="H682" t="s">
        <v>34</v>
      </c>
      <c r="I682">
        <v>2050</v>
      </c>
      <c r="J682">
        <v>1.53165</v>
      </c>
      <c r="K682" t="s">
        <v>33</v>
      </c>
    </row>
    <row r="683" spans="1:11" x14ac:dyDescent="0.45">
      <c r="A683" t="s">
        <v>90</v>
      </c>
      <c r="B683" t="s">
        <v>0</v>
      </c>
      <c r="C683" t="s">
        <v>84</v>
      </c>
      <c r="D683" t="s">
        <v>33</v>
      </c>
      <c r="E683" t="s">
        <v>30</v>
      </c>
      <c r="F683" t="s">
        <v>33</v>
      </c>
      <c r="G683" t="s">
        <v>31</v>
      </c>
      <c r="H683" t="s">
        <v>34</v>
      </c>
      <c r="I683">
        <v>2055</v>
      </c>
      <c r="J683">
        <v>1.57935</v>
      </c>
      <c r="K683" t="s">
        <v>33</v>
      </c>
    </row>
    <row r="684" spans="1:11" x14ac:dyDescent="0.45">
      <c r="A684" t="s">
        <v>90</v>
      </c>
      <c r="B684" t="s">
        <v>0</v>
      </c>
      <c r="C684" t="s">
        <v>84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2060</v>
      </c>
      <c r="J684">
        <v>2.1811500000000001</v>
      </c>
      <c r="K684" t="s">
        <v>33</v>
      </c>
    </row>
    <row r="685" spans="1:11" x14ac:dyDescent="0.45">
      <c r="A685" t="s">
        <v>90</v>
      </c>
      <c r="B685" t="s">
        <v>0</v>
      </c>
      <c r="C685" t="s">
        <v>84</v>
      </c>
      <c r="D685" t="s">
        <v>33</v>
      </c>
      <c r="E685" t="s">
        <v>30</v>
      </c>
      <c r="F685" t="s">
        <v>33</v>
      </c>
      <c r="G685" t="s">
        <v>31</v>
      </c>
      <c r="H685" t="s">
        <v>34</v>
      </c>
      <c r="I685">
        <v>2065</v>
      </c>
      <c r="J685">
        <v>2.1503000000000001</v>
      </c>
      <c r="K685" t="s">
        <v>33</v>
      </c>
    </row>
    <row r="686" spans="1:11" x14ac:dyDescent="0.45">
      <c r="A686" t="s">
        <v>90</v>
      </c>
      <c r="B686" t="s">
        <v>0</v>
      </c>
      <c r="C686" t="s">
        <v>84</v>
      </c>
      <c r="D686" t="s">
        <v>33</v>
      </c>
      <c r="E686" t="s">
        <v>30</v>
      </c>
      <c r="F686" t="s">
        <v>33</v>
      </c>
      <c r="G686" t="s">
        <v>31</v>
      </c>
      <c r="H686" t="s">
        <v>34</v>
      </c>
      <c r="I686">
        <v>2070</v>
      </c>
      <c r="J686">
        <v>2.1193999999999997</v>
      </c>
      <c r="K686" t="s">
        <v>33</v>
      </c>
    </row>
    <row r="687" spans="1:11" x14ac:dyDescent="0.45">
      <c r="A687" t="s">
        <v>90</v>
      </c>
      <c r="B687" t="s">
        <v>0</v>
      </c>
      <c r="C687" t="s">
        <v>84</v>
      </c>
      <c r="D687" t="s">
        <v>33</v>
      </c>
      <c r="E687" t="s">
        <v>30</v>
      </c>
      <c r="F687" t="s">
        <v>33</v>
      </c>
      <c r="G687" t="s">
        <v>31</v>
      </c>
      <c r="H687" t="s">
        <v>34</v>
      </c>
      <c r="I687">
        <v>2075</v>
      </c>
      <c r="J687">
        <v>2.0685000000000002</v>
      </c>
      <c r="K687" t="s">
        <v>33</v>
      </c>
    </row>
    <row r="688" spans="1:11" x14ac:dyDescent="0.45">
      <c r="A688" t="s">
        <v>90</v>
      </c>
      <c r="B688" t="s">
        <v>0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2080</v>
      </c>
      <c r="J688">
        <v>2.0176500000000002</v>
      </c>
      <c r="K688" t="s">
        <v>33</v>
      </c>
    </row>
    <row r="689" spans="1:11" x14ac:dyDescent="0.45">
      <c r="A689" t="s">
        <v>90</v>
      </c>
      <c r="B689" t="s">
        <v>0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2085</v>
      </c>
      <c r="J689">
        <v>2.0796000000000001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2090</v>
      </c>
      <c r="J690">
        <v>2.1415499999999996</v>
      </c>
      <c r="K690" t="s">
        <v>33</v>
      </c>
    </row>
    <row r="691" spans="1:11" x14ac:dyDescent="0.45">
      <c r="A691" t="s">
        <v>90</v>
      </c>
      <c r="B691" t="s">
        <v>0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2095</v>
      </c>
      <c r="J691">
        <v>1.9457</v>
      </c>
      <c r="K691" t="s">
        <v>33</v>
      </c>
    </row>
    <row r="692" spans="1:11" x14ac:dyDescent="0.45">
      <c r="A692" t="s">
        <v>90</v>
      </c>
      <c r="B692" t="s">
        <v>0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2100</v>
      </c>
      <c r="J692">
        <v>1.7498</v>
      </c>
      <c r="K692" t="s">
        <v>33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1.0066999999999999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0.95874999999999999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1.0443500000000001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1.0935000000000001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1.1999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1.2925499999999999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1.2873000000000001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1.1703999999999999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1.1273499999999999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1.1073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1.0855000000000001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1.1360999999999999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1.1870500000000002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1.2093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1.2328999999999999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1.2737500000000002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1.3140999999999998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2020</v>
      </c>
      <c r="J710">
        <v>0.67305000000000004</v>
      </c>
      <c r="K710" t="s">
        <v>24</v>
      </c>
    </row>
    <row r="711" spans="1:11" x14ac:dyDescent="0.45">
      <c r="A711" t="s">
        <v>90</v>
      </c>
      <c r="B711" t="s">
        <v>0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2025</v>
      </c>
      <c r="J711">
        <v>0.64419999999999999</v>
      </c>
      <c r="K711" t="s">
        <v>24</v>
      </c>
    </row>
    <row r="712" spans="1:11" x14ac:dyDescent="0.45">
      <c r="A712" t="s">
        <v>90</v>
      </c>
      <c r="B712" t="s">
        <v>0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2030</v>
      </c>
      <c r="J712">
        <v>0.72694999999999999</v>
      </c>
      <c r="K712" t="s">
        <v>24</v>
      </c>
    </row>
    <row r="713" spans="1:11" x14ac:dyDescent="0.45">
      <c r="A713" t="s">
        <v>90</v>
      </c>
      <c r="B713" t="s">
        <v>0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2035</v>
      </c>
      <c r="J713">
        <v>0.80685000000000007</v>
      </c>
      <c r="K713" t="s">
        <v>24</v>
      </c>
    </row>
    <row r="714" spans="1:11" x14ac:dyDescent="0.45">
      <c r="A714" t="s">
        <v>90</v>
      </c>
      <c r="B714" t="s">
        <v>0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2040</v>
      </c>
      <c r="J714">
        <v>0.93559999999999999</v>
      </c>
      <c r="K714" t="s">
        <v>24</v>
      </c>
    </row>
    <row r="715" spans="1:11" x14ac:dyDescent="0.45">
      <c r="A715" t="s">
        <v>90</v>
      </c>
      <c r="B715" t="s">
        <v>0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2045</v>
      </c>
      <c r="J715">
        <v>0.90954999999999997</v>
      </c>
      <c r="K715" t="s">
        <v>24</v>
      </c>
    </row>
    <row r="716" spans="1:11" x14ac:dyDescent="0.45">
      <c r="A716" t="s">
        <v>90</v>
      </c>
      <c r="B716" t="s">
        <v>0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2050</v>
      </c>
      <c r="J716">
        <v>0.89139999999999997</v>
      </c>
      <c r="K716" t="s">
        <v>24</v>
      </c>
    </row>
    <row r="717" spans="1:11" x14ac:dyDescent="0.45">
      <c r="A717" t="s">
        <v>90</v>
      </c>
      <c r="B717" t="s">
        <v>0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2055</v>
      </c>
      <c r="J717">
        <v>0.88375000000000004</v>
      </c>
      <c r="K717" t="s">
        <v>24</v>
      </c>
    </row>
    <row r="718" spans="1:11" x14ac:dyDescent="0.45">
      <c r="A718" t="s">
        <v>90</v>
      </c>
      <c r="B718" t="s">
        <v>0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2060</v>
      </c>
      <c r="J718">
        <v>0.79980000000000007</v>
      </c>
      <c r="K718" t="s">
        <v>24</v>
      </c>
    </row>
    <row r="719" spans="1:11" x14ac:dyDescent="0.45">
      <c r="A719" t="s">
        <v>90</v>
      </c>
      <c r="B719" t="s">
        <v>0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2065</v>
      </c>
      <c r="J719">
        <v>0.77024999999999999</v>
      </c>
      <c r="K719" t="s">
        <v>24</v>
      </c>
    </row>
    <row r="720" spans="1:11" x14ac:dyDescent="0.45">
      <c r="A720" t="s">
        <v>90</v>
      </c>
      <c r="B720" t="s">
        <v>0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2070</v>
      </c>
      <c r="J720">
        <v>0.74060000000000004</v>
      </c>
      <c r="K720" t="s">
        <v>24</v>
      </c>
    </row>
    <row r="721" spans="1:11" x14ac:dyDescent="0.45">
      <c r="A721" t="s">
        <v>90</v>
      </c>
      <c r="B721" t="s">
        <v>0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2075</v>
      </c>
      <c r="J721">
        <v>0.71884999999999999</v>
      </c>
      <c r="K721" t="s">
        <v>24</v>
      </c>
    </row>
    <row r="722" spans="1:11" x14ac:dyDescent="0.45">
      <c r="A722" t="s">
        <v>90</v>
      </c>
      <c r="B722" t="s">
        <v>0</v>
      </c>
      <c r="C722" t="s">
        <v>84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2080</v>
      </c>
      <c r="J722">
        <v>0.69925000000000004</v>
      </c>
      <c r="K722" t="s">
        <v>24</v>
      </c>
    </row>
    <row r="723" spans="1:11" x14ac:dyDescent="0.45">
      <c r="A723" t="s">
        <v>90</v>
      </c>
      <c r="B723" t="s">
        <v>0</v>
      </c>
      <c r="C723" t="s">
        <v>84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2085</v>
      </c>
      <c r="J723">
        <v>0.66520000000000001</v>
      </c>
      <c r="K723" t="s">
        <v>24</v>
      </c>
    </row>
    <row r="724" spans="1:11" x14ac:dyDescent="0.45">
      <c r="A724" t="s">
        <v>90</v>
      </c>
      <c r="B724" t="s">
        <v>0</v>
      </c>
      <c r="C724" t="s">
        <v>84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2090</v>
      </c>
      <c r="J724">
        <v>0.63314999999999999</v>
      </c>
      <c r="K724" t="s">
        <v>24</v>
      </c>
    </row>
    <row r="725" spans="1:11" x14ac:dyDescent="0.45">
      <c r="A725" t="s">
        <v>90</v>
      </c>
      <c r="B725" t="s">
        <v>0</v>
      </c>
      <c r="C725" t="s">
        <v>84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2095</v>
      </c>
      <c r="J725">
        <v>0.6047499999999999</v>
      </c>
      <c r="K725" t="s">
        <v>24</v>
      </c>
    </row>
    <row r="726" spans="1:11" x14ac:dyDescent="0.45">
      <c r="A726" t="s">
        <v>90</v>
      </c>
      <c r="B726" t="s">
        <v>0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0.57745000000000002</v>
      </c>
      <c r="K726" t="s">
        <v>24</v>
      </c>
    </row>
    <row r="727" spans="1:11" x14ac:dyDescent="0.45">
      <c r="A727" t="s">
        <v>90</v>
      </c>
      <c r="B727" t="s">
        <v>0</v>
      </c>
      <c r="C727" t="s">
        <v>84</v>
      </c>
      <c r="D727" t="s">
        <v>27</v>
      </c>
      <c r="E727" t="s">
        <v>25</v>
      </c>
      <c r="F727" t="s">
        <v>27</v>
      </c>
      <c r="G727" t="s">
        <v>26</v>
      </c>
      <c r="H727" t="s">
        <v>10</v>
      </c>
      <c r="I727">
        <v>2020</v>
      </c>
      <c r="J727">
        <v>1.6899999999999998E-2</v>
      </c>
      <c r="K727" t="s">
        <v>27</v>
      </c>
    </row>
    <row r="728" spans="1:11" x14ac:dyDescent="0.45">
      <c r="A728" t="s">
        <v>90</v>
      </c>
      <c r="B728" t="s">
        <v>0</v>
      </c>
      <c r="C728" t="s">
        <v>84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2025</v>
      </c>
      <c r="J728">
        <v>5.8450000000000002E-2</v>
      </c>
      <c r="K728" t="s">
        <v>27</v>
      </c>
    </row>
    <row r="729" spans="1:11" x14ac:dyDescent="0.45">
      <c r="A729" t="s">
        <v>90</v>
      </c>
      <c r="B729" t="s">
        <v>0</v>
      </c>
      <c r="C729" t="s">
        <v>84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2030</v>
      </c>
      <c r="J729">
        <v>0.16750000000000001</v>
      </c>
      <c r="K729" t="s">
        <v>27</v>
      </c>
    </row>
    <row r="730" spans="1:11" x14ac:dyDescent="0.45">
      <c r="A730" t="s">
        <v>90</v>
      </c>
      <c r="B730" t="s">
        <v>0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2035</v>
      </c>
      <c r="J730">
        <v>0.32390000000000002</v>
      </c>
      <c r="K730" t="s">
        <v>27</v>
      </c>
    </row>
    <row r="731" spans="1:11" x14ac:dyDescent="0.45">
      <c r="A731" t="s">
        <v>90</v>
      </c>
      <c r="B731" t="s">
        <v>0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2040</v>
      </c>
      <c r="J731">
        <v>0.42715000000000003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2045</v>
      </c>
      <c r="J732">
        <v>0.47270000000000001</v>
      </c>
      <c r="K732" t="s">
        <v>27</v>
      </c>
    </row>
    <row r="733" spans="1:11" x14ac:dyDescent="0.45">
      <c r="A733" t="s">
        <v>90</v>
      </c>
      <c r="B733" t="s">
        <v>0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2050</v>
      </c>
      <c r="J733">
        <v>0.49895</v>
      </c>
      <c r="K733" t="s">
        <v>27</v>
      </c>
    </row>
    <row r="734" spans="1:11" x14ac:dyDescent="0.45">
      <c r="A734" t="s">
        <v>90</v>
      </c>
      <c r="B734" t="s">
        <v>0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2055</v>
      </c>
      <c r="J734">
        <v>0.51344999999999996</v>
      </c>
      <c r="K734" t="s">
        <v>27</v>
      </c>
    </row>
    <row r="735" spans="1:11" x14ac:dyDescent="0.45">
      <c r="A735" t="s">
        <v>90</v>
      </c>
      <c r="B735" t="s">
        <v>0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2060</v>
      </c>
      <c r="J735">
        <v>0.51634999999999998</v>
      </c>
      <c r="K735" t="s">
        <v>27</v>
      </c>
    </row>
    <row r="736" spans="1:11" x14ac:dyDescent="0.45">
      <c r="A736" t="s">
        <v>90</v>
      </c>
      <c r="B736" t="s">
        <v>0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2065</v>
      </c>
      <c r="J736">
        <v>0.51114999999999999</v>
      </c>
      <c r="K736" t="s">
        <v>27</v>
      </c>
    </row>
    <row r="737" spans="1:11" x14ac:dyDescent="0.45">
      <c r="A737" t="s">
        <v>90</v>
      </c>
      <c r="B737" t="s">
        <v>0</v>
      </c>
      <c r="C737" t="s">
        <v>84</v>
      </c>
      <c r="D737" t="s">
        <v>27</v>
      </c>
      <c r="E737" t="s">
        <v>25</v>
      </c>
      <c r="F737" t="s">
        <v>27</v>
      </c>
      <c r="G737" t="s">
        <v>26</v>
      </c>
      <c r="H737" t="s">
        <v>10</v>
      </c>
      <c r="I737">
        <v>2070</v>
      </c>
      <c r="J737">
        <v>0.50524999999999998</v>
      </c>
      <c r="K737" t="s">
        <v>27</v>
      </c>
    </row>
    <row r="738" spans="1:11" x14ac:dyDescent="0.45">
      <c r="A738" t="s">
        <v>90</v>
      </c>
      <c r="B738" t="s">
        <v>0</v>
      </c>
      <c r="C738" t="s">
        <v>84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2075</v>
      </c>
      <c r="J738">
        <v>0.49960000000000004</v>
      </c>
      <c r="K738" t="s">
        <v>27</v>
      </c>
    </row>
    <row r="739" spans="1:11" x14ac:dyDescent="0.45">
      <c r="A739" t="s">
        <v>90</v>
      </c>
      <c r="B739" t="s">
        <v>0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2080</v>
      </c>
      <c r="J739">
        <v>0.495</v>
      </c>
      <c r="K739" t="s">
        <v>27</v>
      </c>
    </row>
    <row r="740" spans="1:11" x14ac:dyDescent="0.45">
      <c r="A740" t="s">
        <v>90</v>
      </c>
      <c r="B740" t="s">
        <v>0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2085</v>
      </c>
      <c r="J740">
        <v>0.49319999999999997</v>
      </c>
      <c r="K740" t="s">
        <v>27</v>
      </c>
    </row>
    <row r="741" spans="1:11" x14ac:dyDescent="0.45">
      <c r="A741" t="s">
        <v>90</v>
      </c>
      <c r="B741" t="s">
        <v>0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2090</v>
      </c>
      <c r="J741">
        <v>0.49270000000000003</v>
      </c>
      <c r="K741" t="s">
        <v>27</v>
      </c>
    </row>
    <row r="742" spans="1:11" x14ac:dyDescent="0.45">
      <c r="A742" t="s">
        <v>90</v>
      </c>
      <c r="B742" t="s">
        <v>0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2095</v>
      </c>
      <c r="J742">
        <v>0.49714999999999998</v>
      </c>
      <c r="K742" t="s">
        <v>27</v>
      </c>
    </row>
    <row r="743" spans="1:11" x14ac:dyDescent="0.45">
      <c r="A743" t="s">
        <v>90</v>
      </c>
      <c r="B743" t="s">
        <v>0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2100</v>
      </c>
      <c r="J743">
        <v>0.50280000000000002</v>
      </c>
      <c r="K743" t="s">
        <v>27</v>
      </c>
    </row>
    <row r="744" spans="1:11" x14ac:dyDescent="0.45">
      <c r="A744" t="s">
        <v>90</v>
      </c>
      <c r="B744" t="s">
        <v>0</v>
      </c>
      <c r="C744" t="s">
        <v>84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2020</v>
      </c>
      <c r="J744">
        <v>3.9710999999999999</v>
      </c>
      <c r="K744" t="s">
        <v>35</v>
      </c>
    </row>
    <row r="745" spans="1:11" x14ac:dyDescent="0.45">
      <c r="A745" t="s">
        <v>90</v>
      </c>
      <c r="B745" t="s">
        <v>0</v>
      </c>
      <c r="C745" t="s">
        <v>84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2025</v>
      </c>
      <c r="J745">
        <v>4.6684000000000001</v>
      </c>
      <c r="K745" t="s">
        <v>35</v>
      </c>
    </row>
    <row r="746" spans="1:11" x14ac:dyDescent="0.45">
      <c r="A746" t="s">
        <v>90</v>
      </c>
      <c r="B746" t="s">
        <v>0</v>
      </c>
      <c r="C746" t="s">
        <v>84</v>
      </c>
      <c r="D746" t="s">
        <v>35</v>
      </c>
      <c r="E746" t="s">
        <v>30</v>
      </c>
      <c r="F746" t="s">
        <v>35</v>
      </c>
      <c r="G746" t="s">
        <v>31</v>
      </c>
      <c r="H746" t="s">
        <v>36</v>
      </c>
      <c r="I746">
        <v>2030</v>
      </c>
      <c r="J746">
        <v>4.6098499999999998</v>
      </c>
      <c r="K746" t="s">
        <v>35</v>
      </c>
    </row>
    <row r="747" spans="1:11" x14ac:dyDescent="0.45">
      <c r="A747" t="s">
        <v>90</v>
      </c>
      <c r="B747" t="s">
        <v>0</v>
      </c>
      <c r="C747" t="s">
        <v>84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2035</v>
      </c>
      <c r="J747">
        <v>5.7273500000000004</v>
      </c>
      <c r="K747" t="s">
        <v>35</v>
      </c>
    </row>
    <row r="748" spans="1:11" x14ac:dyDescent="0.45">
      <c r="A748" t="s">
        <v>90</v>
      </c>
      <c r="B748" t="s">
        <v>0</v>
      </c>
      <c r="C748" t="s">
        <v>84</v>
      </c>
      <c r="D748" t="s">
        <v>35</v>
      </c>
      <c r="E748" t="s">
        <v>30</v>
      </c>
      <c r="F748" t="s">
        <v>35</v>
      </c>
      <c r="G748" t="s">
        <v>31</v>
      </c>
      <c r="H748" t="s">
        <v>36</v>
      </c>
      <c r="I748">
        <v>2040</v>
      </c>
      <c r="J748">
        <v>5.2990500000000003</v>
      </c>
      <c r="K748" t="s">
        <v>35</v>
      </c>
    </row>
    <row r="749" spans="1:11" x14ac:dyDescent="0.45">
      <c r="A749" t="s">
        <v>90</v>
      </c>
      <c r="B749" t="s">
        <v>0</v>
      </c>
      <c r="C749" t="s">
        <v>84</v>
      </c>
      <c r="D749" t="s">
        <v>35</v>
      </c>
      <c r="E749" t="s">
        <v>30</v>
      </c>
      <c r="F749" t="s">
        <v>35</v>
      </c>
      <c r="G749" t="s">
        <v>31</v>
      </c>
      <c r="H749" t="s">
        <v>36</v>
      </c>
      <c r="I749">
        <v>2045</v>
      </c>
      <c r="J749">
        <v>4.7379999999999995</v>
      </c>
      <c r="K749" t="s">
        <v>35</v>
      </c>
    </row>
    <row r="750" spans="1:11" x14ac:dyDescent="0.45">
      <c r="A750" t="s">
        <v>90</v>
      </c>
      <c r="B750" t="s">
        <v>0</v>
      </c>
      <c r="C750" t="s">
        <v>84</v>
      </c>
      <c r="D750" t="s">
        <v>35</v>
      </c>
      <c r="E750" t="s">
        <v>30</v>
      </c>
      <c r="F750" t="s">
        <v>35</v>
      </c>
      <c r="G750" t="s">
        <v>31</v>
      </c>
      <c r="H750" t="s">
        <v>36</v>
      </c>
      <c r="I750">
        <v>2050</v>
      </c>
      <c r="J750">
        <v>4.1950500000000002</v>
      </c>
      <c r="K750" t="s">
        <v>35</v>
      </c>
    </row>
    <row r="751" spans="1:11" x14ac:dyDescent="0.45">
      <c r="A751" t="s">
        <v>90</v>
      </c>
      <c r="B751" t="s">
        <v>0</v>
      </c>
      <c r="C751" t="s">
        <v>84</v>
      </c>
      <c r="D751" t="s">
        <v>35</v>
      </c>
      <c r="E751" t="s">
        <v>30</v>
      </c>
      <c r="F751" t="s">
        <v>35</v>
      </c>
      <c r="G751" t="s">
        <v>31</v>
      </c>
      <c r="H751" t="s">
        <v>36</v>
      </c>
      <c r="I751">
        <v>2055</v>
      </c>
      <c r="J751">
        <v>4.3904499999999995</v>
      </c>
      <c r="K751" t="s">
        <v>35</v>
      </c>
    </row>
    <row r="752" spans="1:11" x14ac:dyDescent="0.45">
      <c r="A752" t="s">
        <v>90</v>
      </c>
      <c r="B752" t="s">
        <v>0</v>
      </c>
      <c r="C752" t="s">
        <v>84</v>
      </c>
      <c r="D752" t="s">
        <v>35</v>
      </c>
      <c r="E752" t="s">
        <v>30</v>
      </c>
      <c r="F752" t="s">
        <v>35</v>
      </c>
      <c r="G752" t="s">
        <v>31</v>
      </c>
      <c r="H752" t="s">
        <v>36</v>
      </c>
      <c r="I752">
        <v>2060</v>
      </c>
      <c r="J752">
        <v>5.1861999999999995</v>
      </c>
      <c r="K752" t="s">
        <v>35</v>
      </c>
    </row>
    <row r="753" spans="1:11" x14ac:dyDescent="0.45">
      <c r="A753" t="s">
        <v>90</v>
      </c>
      <c r="B753" t="s">
        <v>0</v>
      </c>
      <c r="C753" t="s">
        <v>84</v>
      </c>
      <c r="D753" t="s">
        <v>35</v>
      </c>
      <c r="E753" t="s">
        <v>30</v>
      </c>
      <c r="F753" t="s">
        <v>35</v>
      </c>
      <c r="G753" t="s">
        <v>31</v>
      </c>
      <c r="H753" t="s">
        <v>36</v>
      </c>
      <c r="I753">
        <v>2065</v>
      </c>
      <c r="J753">
        <v>5.0748999999999995</v>
      </c>
      <c r="K753" t="s">
        <v>35</v>
      </c>
    </row>
    <row r="754" spans="1:11" x14ac:dyDescent="0.45">
      <c r="A754" t="s">
        <v>90</v>
      </c>
      <c r="B754" t="s">
        <v>0</v>
      </c>
      <c r="C754" t="s">
        <v>84</v>
      </c>
      <c r="D754" t="s">
        <v>35</v>
      </c>
      <c r="E754" t="s">
        <v>30</v>
      </c>
      <c r="F754" t="s">
        <v>35</v>
      </c>
      <c r="G754" t="s">
        <v>31</v>
      </c>
      <c r="H754" t="s">
        <v>36</v>
      </c>
      <c r="I754">
        <v>2070</v>
      </c>
      <c r="J754">
        <v>4.9635999999999996</v>
      </c>
      <c r="K754" t="s">
        <v>35</v>
      </c>
    </row>
    <row r="755" spans="1:11" x14ac:dyDescent="0.45">
      <c r="A755" t="s">
        <v>90</v>
      </c>
      <c r="B755" t="s">
        <v>0</v>
      </c>
      <c r="C755" t="s">
        <v>84</v>
      </c>
      <c r="D755" t="s">
        <v>35</v>
      </c>
      <c r="E755" t="s">
        <v>30</v>
      </c>
      <c r="F755" t="s">
        <v>35</v>
      </c>
      <c r="G755" t="s">
        <v>31</v>
      </c>
      <c r="H755" t="s">
        <v>36</v>
      </c>
      <c r="I755">
        <v>2075</v>
      </c>
      <c r="J755">
        <v>5.0854999999999997</v>
      </c>
      <c r="K755" t="s">
        <v>35</v>
      </c>
    </row>
    <row r="756" spans="1:11" x14ac:dyDescent="0.45">
      <c r="A756" t="s">
        <v>90</v>
      </c>
      <c r="B756" t="s">
        <v>0</v>
      </c>
      <c r="C756" t="s">
        <v>84</v>
      </c>
      <c r="D756" t="s">
        <v>35</v>
      </c>
      <c r="E756" t="s">
        <v>30</v>
      </c>
      <c r="F756" t="s">
        <v>35</v>
      </c>
      <c r="G756" t="s">
        <v>31</v>
      </c>
      <c r="H756" t="s">
        <v>36</v>
      </c>
      <c r="I756">
        <v>2080</v>
      </c>
      <c r="J756">
        <v>5.2074499999999997</v>
      </c>
      <c r="K756" t="s">
        <v>35</v>
      </c>
    </row>
    <row r="757" spans="1:11" x14ac:dyDescent="0.45">
      <c r="A757" t="s">
        <v>90</v>
      </c>
      <c r="B757" t="s">
        <v>0</v>
      </c>
      <c r="C757" t="s">
        <v>84</v>
      </c>
      <c r="D757" t="s">
        <v>35</v>
      </c>
      <c r="E757" t="s">
        <v>30</v>
      </c>
      <c r="F757" t="s">
        <v>35</v>
      </c>
      <c r="G757" t="s">
        <v>31</v>
      </c>
      <c r="H757" t="s">
        <v>36</v>
      </c>
      <c r="I757">
        <v>2085</v>
      </c>
      <c r="J757">
        <v>5.1766000000000005</v>
      </c>
      <c r="K757" t="s">
        <v>35</v>
      </c>
    </row>
    <row r="758" spans="1:11" x14ac:dyDescent="0.45">
      <c r="A758" t="s">
        <v>90</v>
      </c>
      <c r="B758" t="s">
        <v>0</v>
      </c>
      <c r="C758" t="s">
        <v>84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2090</v>
      </c>
      <c r="J758">
        <v>5.1458000000000004</v>
      </c>
      <c r="K758" t="s">
        <v>35</v>
      </c>
    </row>
    <row r="759" spans="1:11" x14ac:dyDescent="0.45">
      <c r="A759" t="s">
        <v>90</v>
      </c>
      <c r="B759" t="s">
        <v>0</v>
      </c>
      <c r="C759" t="s">
        <v>84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2095</v>
      </c>
      <c r="J759">
        <v>5.0733999999999995</v>
      </c>
      <c r="K759" t="s">
        <v>35</v>
      </c>
    </row>
    <row r="760" spans="1:11" x14ac:dyDescent="0.45">
      <c r="A760" t="s">
        <v>90</v>
      </c>
      <c r="B760" t="s">
        <v>0</v>
      </c>
      <c r="C760" t="s">
        <v>84</v>
      </c>
      <c r="D760" t="s">
        <v>35</v>
      </c>
      <c r="E760" t="s">
        <v>30</v>
      </c>
      <c r="F760" t="s">
        <v>35</v>
      </c>
      <c r="G760" t="s">
        <v>31</v>
      </c>
      <c r="H760" t="s">
        <v>36</v>
      </c>
      <c r="I760">
        <v>2100</v>
      </c>
      <c r="J760">
        <v>5.0011000000000001</v>
      </c>
      <c r="K760" t="s">
        <v>35</v>
      </c>
    </row>
    <row r="761" spans="1:11" x14ac:dyDescent="0.45">
      <c r="A761" t="s">
        <v>90</v>
      </c>
      <c r="B761" t="s">
        <v>0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2020</v>
      </c>
      <c r="J761">
        <v>8.8000000000000005E-3</v>
      </c>
      <c r="K761" t="s">
        <v>85</v>
      </c>
    </row>
    <row r="762" spans="1:11" x14ac:dyDescent="0.45">
      <c r="A762" t="s">
        <v>90</v>
      </c>
      <c r="B762" t="s">
        <v>0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2025</v>
      </c>
      <c r="J762">
        <v>4.0750000000000001E-2</v>
      </c>
      <c r="K762" t="s">
        <v>85</v>
      </c>
    </row>
    <row r="763" spans="1:11" x14ac:dyDescent="0.45">
      <c r="A763" t="s">
        <v>90</v>
      </c>
      <c r="B763" t="s">
        <v>0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2030</v>
      </c>
      <c r="J763">
        <v>6.4350000000000004E-2</v>
      </c>
      <c r="K763" t="s">
        <v>85</v>
      </c>
    </row>
    <row r="764" spans="1:11" x14ac:dyDescent="0.45">
      <c r="A764" t="s">
        <v>90</v>
      </c>
      <c r="B764" t="s">
        <v>0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2035</v>
      </c>
      <c r="J764">
        <v>8.2400000000000001E-2</v>
      </c>
      <c r="K764" t="s">
        <v>85</v>
      </c>
    </row>
    <row r="765" spans="1:11" x14ac:dyDescent="0.45">
      <c r="A765" t="s">
        <v>90</v>
      </c>
      <c r="B765" t="s">
        <v>0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2040</v>
      </c>
      <c r="J765">
        <v>0.1023</v>
      </c>
      <c r="K765" t="s">
        <v>85</v>
      </c>
    </row>
    <row r="766" spans="1:11" x14ac:dyDescent="0.45">
      <c r="A766" t="s">
        <v>90</v>
      </c>
      <c r="B766" t="s">
        <v>0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2045</v>
      </c>
      <c r="J766">
        <v>0.17604999999999998</v>
      </c>
      <c r="K766" t="s">
        <v>85</v>
      </c>
    </row>
    <row r="767" spans="1:11" x14ac:dyDescent="0.45">
      <c r="A767" t="s">
        <v>90</v>
      </c>
      <c r="B767" t="s">
        <v>0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2050</v>
      </c>
      <c r="J767">
        <v>0.30285000000000001</v>
      </c>
      <c r="K767" t="s">
        <v>85</v>
      </c>
    </row>
    <row r="768" spans="1:11" x14ac:dyDescent="0.45">
      <c r="A768" t="s">
        <v>90</v>
      </c>
      <c r="B768" t="s">
        <v>0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2055</v>
      </c>
      <c r="J768">
        <v>0.43835000000000002</v>
      </c>
      <c r="K768" t="s">
        <v>85</v>
      </c>
    </row>
    <row r="769" spans="1:11" x14ac:dyDescent="0.45">
      <c r="A769" t="s">
        <v>90</v>
      </c>
      <c r="B769" t="s">
        <v>0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2060</v>
      </c>
      <c r="J769">
        <v>0.65080000000000005</v>
      </c>
      <c r="K769" t="s">
        <v>85</v>
      </c>
    </row>
    <row r="770" spans="1:11" x14ac:dyDescent="0.45">
      <c r="A770" t="s">
        <v>90</v>
      </c>
      <c r="B770" t="s">
        <v>0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2065</v>
      </c>
      <c r="J770">
        <v>0.75980000000000003</v>
      </c>
      <c r="K770" t="s">
        <v>85</v>
      </c>
    </row>
    <row r="771" spans="1:11" x14ac:dyDescent="0.45">
      <c r="A771" t="s">
        <v>90</v>
      </c>
      <c r="B771" t="s">
        <v>0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2070</v>
      </c>
      <c r="J771">
        <v>0.8498</v>
      </c>
      <c r="K771" t="s">
        <v>85</v>
      </c>
    </row>
    <row r="772" spans="1:11" x14ac:dyDescent="0.45">
      <c r="A772" t="s">
        <v>90</v>
      </c>
      <c r="B772" t="s">
        <v>0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2075</v>
      </c>
      <c r="J772">
        <v>0.85864999999999991</v>
      </c>
      <c r="K772" t="s">
        <v>85</v>
      </c>
    </row>
    <row r="773" spans="1:11" x14ac:dyDescent="0.45">
      <c r="A773" t="s">
        <v>90</v>
      </c>
      <c r="B773" t="s">
        <v>0</v>
      </c>
      <c r="C773" t="s">
        <v>84</v>
      </c>
      <c r="D773" t="s">
        <v>85</v>
      </c>
      <c r="E773" t="s">
        <v>25</v>
      </c>
      <c r="F773" t="s">
        <v>85</v>
      </c>
      <c r="G773" t="s">
        <v>26</v>
      </c>
      <c r="H773" t="s">
        <v>82</v>
      </c>
      <c r="I773">
        <v>2080</v>
      </c>
      <c r="J773">
        <v>0.84289999999999998</v>
      </c>
      <c r="K773" t="s">
        <v>85</v>
      </c>
    </row>
    <row r="774" spans="1:11" x14ac:dyDescent="0.45">
      <c r="A774" t="s">
        <v>90</v>
      </c>
      <c r="B774" t="s">
        <v>0</v>
      </c>
      <c r="C774" t="s">
        <v>84</v>
      </c>
      <c r="D774" t="s">
        <v>85</v>
      </c>
      <c r="E774" t="s">
        <v>25</v>
      </c>
      <c r="F774" t="s">
        <v>85</v>
      </c>
      <c r="G774" t="s">
        <v>26</v>
      </c>
      <c r="H774" t="s">
        <v>82</v>
      </c>
      <c r="I774">
        <v>2085</v>
      </c>
      <c r="J774">
        <v>0.80200000000000005</v>
      </c>
      <c r="K774" t="s">
        <v>85</v>
      </c>
    </row>
    <row r="775" spans="1:11" x14ac:dyDescent="0.45">
      <c r="A775" t="s">
        <v>90</v>
      </c>
      <c r="B775" t="s">
        <v>0</v>
      </c>
      <c r="C775" t="s">
        <v>84</v>
      </c>
      <c r="D775" t="s">
        <v>85</v>
      </c>
      <c r="E775" t="s">
        <v>25</v>
      </c>
      <c r="F775" t="s">
        <v>85</v>
      </c>
      <c r="G775" t="s">
        <v>26</v>
      </c>
      <c r="H775" t="s">
        <v>82</v>
      </c>
      <c r="I775">
        <v>2090</v>
      </c>
      <c r="J775">
        <v>0.7339500000000001</v>
      </c>
      <c r="K775" t="s">
        <v>85</v>
      </c>
    </row>
    <row r="776" spans="1:11" x14ac:dyDescent="0.45">
      <c r="A776" t="s">
        <v>90</v>
      </c>
      <c r="B776" t="s">
        <v>0</v>
      </c>
      <c r="C776" t="s">
        <v>84</v>
      </c>
      <c r="D776" t="s">
        <v>85</v>
      </c>
      <c r="E776" t="s">
        <v>25</v>
      </c>
      <c r="F776" t="s">
        <v>85</v>
      </c>
      <c r="G776" t="s">
        <v>26</v>
      </c>
      <c r="H776" t="s">
        <v>82</v>
      </c>
      <c r="I776">
        <v>2095</v>
      </c>
      <c r="J776">
        <v>0.63979999999999992</v>
      </c>
      <c r="K776" t="s">
        <v>85</v>
      </c>
    </row>
    <row r="777" spans="1:11" x14ac:dyDescent="0.45">
      <c r="A777" t="s">
        <v>90</v>
      </c>
      <c r="B777" t="s">
        <v>0</v>
      </c>
      <c r="C777" t="s">
        <v>84</v>
      </c>
      <c r="D777" t="s">
        <v>85</v>
      </c>
      <c r="E777" t="s">
        <v>25</v>
      </c>
      <c r="F777" t="s">
        <v>85</v>
      </c>
      <c r="G777" t="s">
        <v>26</v>
      </c>
      <c r="H777" t="s">
        <v>82</v>
      </c>
      <c r="I777">
        <v>2100</v>
      </c>
      <c r="J777">
        <v>0.53295000000000003</v>
      </c>
      <c r="K777" t="s">
        <v>85</v>
      </c>
    </row>
    <row r="778" spans="1:11" x14ac:dyDescent="0.45">
      <c r="A778" t="s">
        <v>90</v>
      </c>
      <c r="B778" t="s">
        <v>0</v>
      </c>
      <c r="C778" t="s">
        <v>84</v>
      </c>
      <c r="D778" t="s">
        <v>45</v>
      </c>
      <c r="E778" t="s">
        <v>46</v>
      </c>
      <c r="F778" t="s">
        <v>45</v>
      </c>
      <c r="G778" t="s">
        <v>47</v>
      </c>
      <c r="H778" t="s">
        <v>89</v>
      </c>
      <c r="I778">
        <v>2020</v>
      </c>
      <c r="J778">
        <v>2.0945999999999998</v>
      </c>
      <c r="K778" t="s">
        <v>45</v>
      </c>
    </row>
    <row r="779" spans="1:11" x14ac:dyDescent="0.45">
      <c r="A779" t="s">
        <v>90</v>
      </c>
      <c r="B779" t="s">
        <v>0</v>
      </c>
      <c r="C779" t="s">
        <v>84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2025</v>
      </c>
      <c r="J779">
        <v>9.0688999999999993</v>
      </c>
      <c r="K779" t="s">
        <v>45</v>
      </c>
    </row>
    <row r="780" spans="1:11" x14ac:dyDescent="0.45">
      <c r="A780" t="s">
        <v>90</v>
      </c>
      <c r="B780" t="s">
        <v>0</v>
      </c>
      <c r="C780" t="s">
        <v>84</v>
      </c>
      <c r="D780" t="s">
        <v>45</v>
      </c>
      <c r="E780" t="s">
        <v>46</v>
      </c>
      <c r="F780" t="s">
        <v>45</v>
      </c>
      <c r="G780" t="s">
        <v>47</v>
      </c>
      <c r="H780" t="s">
        <v>89</v>
      </c>
      <c r="I780">
        <v>2030</v>
      </c>
      <c r="J780">
        <v>13.85825</v>
      </c>
      <c r="K780" t="s">
        <v>45</v>
      </c>
    </row>
    <row r="781" spans="1:11" x14ac:dyDescent="0.45">
      <c r="A781" t="s">
        <v>90</v>
      </c>
      <c r="B781" t="s">
        <v>0</v>
      </c>
      <c r="C781" t="s">
        <v>84</v>
      </c>
      <c r="D781" t="s">
        <v>45</v>
      </c>
      <c r="E781" t="s">
        <v>46</v>
      </c>
      <c r="F781" t="s">
        <v>45</v>
      </c>
      <c r="G781" t="s">
        <v>47</v>
      </c>
      <c r="H781" t="s">
        <v>89</v>
      </c>
      <c r="I781">
        <v>2035</v>
      </c>
      <c r="J781">
        <v>18.638100000000001</v>
      </c>
      <c r="K781" t="s">
        <v>45</v>
      </c>
    </row>
    <row r="782" spans="1:11" x14ac:dyDescent="0.45">
      <c r="A782" t="s">
        <v>90</v>
      </c>
      <c r="B782" t="s">
        <v>0</v>
      </c>
      <c r="C782" t="s">
        <v>84</v>
      </c>
      <c r="D782" t="s">
        <v>45</v>
      </c>
      <c r="E782" t="s">
        <v>46</v>
      </c>
      <c r="F782" t="s">
        <v>45</v>
      </c>
      <c r="G782" t="s">
        <v>47</v>
      </c>
      <c r="H782" t="s">
        <v>89</v>
      </c>
      <c r="I782">
        <v>2040</v>
      </c>
      <c r="J782">
        <v>47.101700000000001</v>
      </c>
      <c r="K782" t="s">
        <v>45</v>
      </c>
    </row>
    <row r="783" spans="1:11" x14ac:dyDescent="0.45">
      <c r="A783" t="s">
        <v>90</v>
      </c>
      <c r="B783" t="s">
        <v>0</v>
      </c>
      <c r="C783" t="s">
        <v>84</v>
      </c>
      <c r="D783" t="s">
        <v>45</v>
      </c>
      <c r="E783" t="s">
        <v>46</v>
      </c>
      <c r="F783" t="s">
        <v>45</v>
      </c>
      <c r="G783" t="s">
        <v>47</v>
      </c>
      <c r="H783" t="s">
        <v>89</v>
      </c>
      <c r="I783">
        <v>2045</v>
      </c>
      <c r="J783">
        <v>86.429149999999993</v>
      </c>
      <c r="K783" t="s">
        <v>45</v>
      </c>
    </row>
    <row r="784" spans="1:11" x14ac:dyDescent="0.45">
      <c r="A784" t="s">
        <v>90</v>
      </c>
      <c r="B784" t="s">
        <v>0</v>
      </c>
      <c r="C784" t="s">
        <v>84</v>
      </c>
      <c r="D784" t="s">
        <v>45</v>
      </c>
      <c r="E784" t="s">
        <v>46</v>
      </c>
      <c r="F784" t="s">
        <v>45</v>
      </c>
      <c r="G784" t="s">
        <v>47</v>
      </c>
      <c r="H784" t="s">
        <v>89</v>
      </c>
      <c r="I784">
        <v>2050</v>
      </c>
      <c r="J784">
        <v>120.12145</v>
      </c>
      <c r="K784" t="s">
        <v>45</v>
      </c>
    </row>
    <row r="785" spans="1:12" x14ac:dyDescent="0.45">
      <c r="A785" t="s">
        <v>90</v>
      </c>
      <c r="B785" t="s">
        <v>0</v>
      </c>
      <c r="C785" t="s">
        <v>84</v>
      </c>
      <c r="D785" t="s">
        <v>45</v>
      </c>
      <c r="E785" t="s">
        <v>46</v>
      </c>
      <c r="F785" t="s">
        <v>45</v>
      </c>
      <c r="G785" t="s">
        <v>47</v>
      </c>
      <c r="H785" t="s">
        <v>89</v>
      </c>
      <c r="I785">
        <v>2055</v>
      </c>
      <c r="J785">
        <v>142.93835000000001</v>
      </c>
      <c r="K785" t="s">
        <v>45</v>
      </c>
    </row>
    <row r="786" spans="1:12" x14ac:dyDescent="0.45">
      <c r="A786" t="s">
        <v>90</v>
      </c>
      <c r="B786" t="s">
        <v>0</v>
      </c>
      <c r="C786" t="s">
        <v>84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2060</v>
      </c>
      <c r="J786">
        <v>169.91974999999999</v>
      </c>
      <c r="K786" t="s">
        <v>45</v>
      </c>
    </row>
    <row r="787" spans="1:12" x14ac:dyDescent="0.45">
      <c r="A787" t="s">
        <v>90</v>
      </c>
      <c r="B787" t="s">
        <v>0</v>
      </c>
      <c r="C787" t="s">
        <v>84</v>
      </c>
      <c r="D787" t="s">
        <v>45</v>
      </c>
      <c r="E787" t="s">
        <v>46</v>
      </c>
      <c r="F787" t="s">
        <v>45</v>
      </c>
      <c r="G787" t="s">
        <v>47</v>
      </c>
      <c r="H787" t="s">
        <v>89</v>
      </c>
      <c r="I787">
        <v>2065</v>
      </c>
      <c r="J787">
        <v>181.89614999999998</v>
      </c>
      <c r="K787" t="s">
        <v>45</v>
      </c>
    </row>
    <row r="788" spans="1:12" x14ac:dyDescent="0.45">
      <c r="A788" t="s">
        <v>90</v>
      </c>
      <c r="B788" t="s">
        <v>0</v>
      </c>
      <c r="C788" t="s">
        <v>84</v>
      </c>
      <c r="D788" t="s">
        <v>45</v>
      </c>
      <c r="E788" t="s">
        <v>46</v>
      </c>
      <c r="F788" t="s">
        <v>45</v>
      </c>
      <c r="G788" t="s">
        <v>47</v>
      </c>
      <c r="H788" t="s">
        <v>89</v>
      </c>
      <c r="I788">
        <v>2070</v>
      </c>
      <c r="J788">
        <v>189.68535</v>
      </c>
      <c r="K788" t="s">
        <v>45</v>
      </c>
    </row>
    <row r="789" spans="1:12" x14ac:dyDescent="0.45">
      <c r="A789" t="s">
        <v>90</v>
      </c>
      <c r="B789" t="s">
        <v>0</v>
      </c>
      <c r="C789" t="s">
        <v>84</v>
      </c>
      <c r="D789" t="s">
        <v>45</v>
      </c>
      <c r="E789" t="s">
        <v>46</v>
      </c>
      <c r="F789" t="s">
        <v>45</v>
      </c>
      <c r="G789" t="s">
        <v>47</v>
      </c>
      <c r="H789" t="s">
        <v>89</v>
      </c>
      <c r="I789">
        <v>2075</v>
      </c>
      <c r="J789">
        <v>178.44565</v>
      </c>
      <c r="K789" t="s">
        <v>45</v>
      </c>
    </row>
    <row r="790" spans="1:12" x14ac:dyDescent="0.45">
      <c r="A790" t="s">
        <v>90</v>
      </c>
      <c r="B790" t="s">
        <v>0</v>
      </c>
      <c r="C790" t="s">
        <v>84</v>
      </c>
      <c r="D790" t="s">
        <v>45</v>
      </c>
      <c r="E790" t="s">
        <v>46</v>
      </c>
      <c r="F790" t="s">
        <v>45</v>
      </c>
      <c r="G790" t="s">
        <v>47</v>
      </c>
      <c r="H790" t="s">
        <v>89</v>
      </c>
      <c r="I790">
        <v>2080</v>
      </c>
      <c r="J790">
        <v>164.14890000000003</v>
      </c>
      <c r="K790" t="s">
        <v>45</v>
      </c>
    </row>
    <row r="791" spans="1:12" x14ac:dyDescent="0.45">
      <c r="A791" t="s">
        <v>90</v>
      </c>
      <c r="B791" t="s">
        <v>0</v>
      </c>
      <c r="C791" t="s">
        <v>84</v>
      </c>
      <c r="D791" t="s">
        <v>45</v>
      </c>
      <c r="E791" t="s">
        <v>46</v>
      </c>
      <c r="F791" t="s">
        <v>45</v>
      </c>
      <c r="G791" t="s">
        <v>47</v>
      </c>
      <c r="H791" t="s">
        <v>89</v>
      </c>
      <c r="I791">
        <v>2085</v>
      </c>
      <c r="J791">
        <v>134.04284999999999</v>
      </c>
      <c r="K791" t="s">
        <v>45</v>
      </c>
    </row>
    <row r="792" spans="1:12" x14ac:dyDescent="0.45">
      <c r="A792" t="s">
        <v>90</v>
      </c>
      <c r="B792" t="s">
        <v>0</v>
      </c>
      <c r="C792" t="s">
        <v>84</v>
      </c>
      <c r="D792" t="s">
        <v>45</v>
      </c>
      <c r="E792" t="s">
        <v>46</v>
      </c>
      <c r="F792" t="s">
        <v>45</v>
      </c>
      <c r="G792" t="s">
        <v>47</v>
      </c>
      <c r="H792" t="s">
        <v>89</v>
      </c>
      <c r="I792">
        <v>2090</v>
      </c>
      <c r="J792">
        <v>103.18545</v>
      </c>
      <c r="K792" t="s">
        <v>45</v>
      </c>
    </row>
    <row r="793" spans="1:12" x14ac:dyDescent="0.45">
      <c r="A793" t="s">
        <v>90</v>
      </c>
      <c r="B793" t="s">
        <v>0</v>
      </c>
      <c r="C793" t="s">
        <v>84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2095</v>
      </c>
      <c r="J793">
        <v>78.879800000000003</v>
      </c>
      <c r="K793" t="s">
        <v>45</v>
      </c>
    </row>
    <row r="794" spans="1:12" x14ac:dyDescent="0.45">
      <c r="A794" t="s">
        <v>90</v>
      </c>
      <c r="B794" t="s">
        <v>0</v>
      </c>
      <c r="C794" t="s">
        <v>84</v>
      </c>
      <c r="D794" t="s">
        <v>45</v>
      </c>
      <c r="E794" t="s">
        <v>46</v>
      </c>
      <c r="F794" t="s">
        <v>45</v>
      </c>
      <c r="G794" t="s">
        <v>47</v>
      </c>
      <c r="H794" t="s">
        <v>89</v>
      </c>
      <c r="I794">
        <v>2100</v>
      </c>
      <c r="J794">
        <v>54.5107</v>
      </c>
      <c r="K794" t="s">
        <v>45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8.3199999999999996E-2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2.7900000000000001E-2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1.6199999999999999E-2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5.0000000000000001E-4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1E-4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2.0000000000000001E-4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1E-4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1E-4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1E-4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1E-4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5.0000000000000002E-5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0.2034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0.1404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9.9900000000000003E-2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5.4199999999999998E-2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3.8600000000000002E-2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2.7000000000000001E-3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1.5E-3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6.4999999999999997E-4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3.9999999999999996E-4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2.0000000000000001E-4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0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1.14E-2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4.4000000000000003E-3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4.0000000000000002E-4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84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74.293300000000002</v>
      </c>
      <c r="K846" t="s">
        <v>37</v>
      </c>
    </row>
    <row r="847" spans="1:12" x14ac:dyDescent="0.45">
      <c r="A847" t="s">
        <v>90</v>
      </c>
      <c r="B847" t="s">
        <v>0</v>
      </c>
      <c r="C847" t="s">
        <v>84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100.30600000000001</v>
      </c>
      <c r="K847" t="s">
        <v>37</v>
      </c>
    </row>
    <row r="848" spans="1:12" x14ac:dyDescent="0.45">
      <c r="A848" t="s">
        <v>90</v>
      </c>
      <c r="B848" t="s">
        <v>0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87.748149999999995</v>
      </c>
      <c r="K848" t="s">
        <v>37</v>
      </c>
    </row>
    <row r="849" spans="1:11" x14ac:dyDescent="0.45">
      <c r="A849" t="s">
        <v>90</v>
      </c>
      <c r="B849" t="s">
        <v>0</v>
      </c>
      <c r="C849" t="s">
        <v>84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53.174350000000004</v>
      </c>
      <c r="K849" t="s">
        <v>37</v>
      </c>
    </row>
    <row r="850" spans="1:11" x14ac:dyDescent="0.45">
      <c r="A850" t="s">
        <v>90</v>
      </c>
      <c r="B850" t="s">
        <v>0</v>
      </c>
      <c r="C850" t="s">
        <v>84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98.822400000000002</v>
      </c>
      <c r="K850" t="s">
        <v>37</v>
      </c>
    </row>
    <row r="851" spans="1:11" x14ac:dyDescent="0.45">
      <c r="A851" t="s">
        <v>90</v>
      </c>
      <c r="B851" t="s">
        <v>0</v>
      </c>
      <c r="C851" t="s">
        <v>84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124.02510000000001</v>
      </c>
      <c r="K851" t="s">
        <v>37</v>
      </c>
    </row>
    <row r="852" spans="1:11" x14ac:dyDescent="0.45">
      <c r="A852" t="s">
        <v>90</v>
      </c>
      <c r="B852" t="s">
        <v>0</v>
      </c>
      <c r="C852" t="s">
        <v>84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126.8229</v>
      </c>
      <c r="K852" t="s">
        <v>37</v>
      </c>
    </row>
    <row r="853" spans="1:11" x14ac:dyDescent="0.45">
      <c r="A853" t="s">
        <v>90</v>
      </c>
      <c r="B853" t="s">
        <v>0</v>
      </c>
      <c r="C853" t="s">
        <v>84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165.49815000000001</v>
      </c>
      <c r="K853" t="s">
        <v>37</v>
      </c>
    </row>
    <row r="854" spans="1:11" x14ac:dyDescent="0.45">
      <c r="A854" t="s">
        <v>90</v>
      </c>
      <c r="B854" t="s">
        <v>0</v>
      </c>
      <c r="C854" t="s">
        <v>84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255.15105</v>
      </c>
      <c r="K854" t="s">
        <v>37</v>
      </c>
    </row>
    <row r="855" spans="1:11" x14ac:dyDescent="0.45">
      <c r="A855" t="s">
        <v>90</v>
      </c>
      <c r="B855" t="s">
        <v>0</v>
      </c>
      <c r="C855" t="s">
        <v>84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328.15460000000002</v>
      </c>
      <c r="K855" t="s">
        <v>37</v>
      </c>
    </row>
    <row r="856" spans="1:11" x14ac:dyDescent="0.45">
      <c r="A856" t="s">
        <v>90</v>
      </c>
      <c r="B856" t="s">
        <v>0</v>
      </c>
      <c r="C856" t="s">
        <v>84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401.15819999999997</v>
      </c>
      <c r="K856" t="s">
        <v>37</v>
      </c>
    </row>
    <row r="857" spans="1:11" x14ac:dyDescent="0.45">
      <c r="A857" t="s">
        <v>90</v>
      </c>
      <c r="B857" t="s">
        <v>0</v>
      </c>
      <c r="C857" t="s">
        <v>84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417.14115000000004</v>
      </c>
      <c r="K857" t="s">
        <v>37</v>
      </c>
    </row>
    <row r="858" spans="1:11" x14ac:dyDescent="0.45">
      <c r="A858" t="s">
        <v>90</v>
      </c>
      <c r="B858" t="s">
        <v>0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433.12400000000002</v>
      </c>
      <c r="K858" t="s">
        <v>37</v>
      </c>
    </row>
    <row r="859" spans="1:11" x14ac:dyDescent="0.45">
      <c r="A859" t="s">
        <v>90</v>
      </c>
      <c r="B859" t="s">
        <v>0</v>
      </c>
      <c r="C859" t="s">
        <v>84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425.41969999999998</v>
      </c>
      <c r="K859" t="s">
        <v>37</v>
      </c>
    </row>
    <row r="860" spans="1:11" x14ac:dyDescent="0.45">
      <c r="A860" t="s">
        <v>90</v>
      </c>
      <c r="B860" t="s">
        <v>0</v>
      </c>
      <c r="C860" t="s">
        <v>84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417.71535</v>
      </c>
      <c r="K860" t="s">
        <v>37</v>
      </c>
    </row>
    <row r="861" spans="1:11" x14ac:dyDescent="0.45">
      <c r="A861" t="s">
        <v>90</v>
      </c>
      <c r="B861" t="s">
        <v>0</v>
      </c>
      <c r="C861" t="s">
        <v>84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447.65665000000001</v>
      </c>
      <c r="K861" t="s">
        <v>37</v>
      </c>
    </row>
    <row r="862" spans="1:11" x14ac:dyDescent="0.45">
      <c r="A862" t="s">
        <v>90</v>
      </c>
      <c r="B862" t="s">
        <v>0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477.59789999999998</v>
      </c>
      <c r="K862" t="s">
        <v>37</v>
      </c>
    </row>
    <row r="863" spans="1:11" x14ac:dyDescent="0.45">
      <c r="A863" t="s">
        <v>90</v>
      </c>
      <c r="B863" t="s">
        <v>6</v>
      </c>
      <c r="C863" t="s">
        <v>84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2020</v>
      </c>
      <c r="J863">
        <v>112.83879999999999</v>
      </c>
      <c r="K863" t="s">
        <v>48</v>
      </c>
    </row>
    <row r="864" spans="1:11" x14ac:dyDescent="0.45">
      <c r="A864" t="s">
        <v>90</v>
      </c>
      <c r="B864" t="s">
        <v>6</v>
      </c>
      <c r="C864" t="s">
        <v>84</v>
      </c>
      <c r="D864" t="s">
        <v>48</v>
      </c>
      <c r="E864" t="s">
        <v>46</v>
      </c>
      <c r="F864" t="s">
        <v>48</v>
      </c>
      <c r="G864" t="s">
        <v>49</v>
      </c>
      <c r="H864" t="s">
        <v>50</v>
      </c>
      <c r="I864">
        <v>2025</v>
      </c>
      <c r="J864">
        <v>-116.39105000000001</v>
      </c>
      <c r="K864" t="s">
        <v>48</v>
      </c>
    </row>
    <row r="865" spans="1:11" x14ac:dyDescent="0.45">
      <c r="A865" t="s">
        <v>90</v>
      </c>
      <c r="B865" t="s">
        <v>6</v>
      </c>
      <c r="C865" t="s">
        <v>84</v>
      </c>
      <c r="D865" t="s">
        <v>48</v>
      </c>
      <c r="E865" t="s">
        <v>46</v>
      </c>
      <c r="F865" t="s">
        <v>48</v>
      </c>
      <c r="G865" t="s">
        <v>49</v>
      </c>
      <c r="H865" t="s">
        <v>50</v>
      </c>
      <c r="I865">
        <v>2030</v>
      </c>
      <c r="J865">
        <v>-264.26675</v>
      </c>
      <c r="K865" t="s">
        <v>48</v>
      </c>
    </row>
    <row r="866" spans="1:11" x14ac:dyDescent="0.45">
      <c r="A866" t="s">
        <v>90</v>
      </c>
      <c r="B866" t="s">
        <v>6</v>
      </c>
      <c r="C866" t="s">
        <v>84</v>
      </c>
      <c r="D866" t="s">
        <v>48</v>
      </c>
      <c r="E866" t="s">
        <v>46</v>
      </c>
      <c r="F866" t="s">
        <v>48</v>
      </c>
      <c r="G866" t="s">
        <v>49</v>
      </c>
      <c r="H866" t="s">
        <v>50</v>
      </c>
      <c r="I866">
        <v>2035</v>
      </c>
      <c r="J866">
        <v>-381.67435</v>
      </c>
      <c r="K866" t="s">
        <v>48</v>
      </c>
    </row>
    <row r="867" spans="1:11" x14ac:dyDescent="0.45">
      <c r="A867" t="s">
        <v>90</v>
      </c>
      <c r="B867" t="s">
        <v>6</v>
      </c>
      <c r="C867" t="s">
        <v>84</v>
      </c>
      <c r="D867" t="s">
        <v>48</v>
      </c>
      <c r="E867" t="s">
        <v>46</v>
      </c>
      <c r="F867" t="s">
        <v>48</v>
      </c>
      <c r="G867" t="s">
        <v>49</v>
      </c>
      <c r="H867" t="s">
        <v>50</v>
      </c>
      <c r="I867">
        <v>2040</v>
      </c>
      <c r="J867">
        <v>-542.54459999999995</v>
      </c>
      <c r="K867" t="s">
        <v>48</v>
      </c>
    </row>
    <row r="868" spans="1:11" x14ac:dyDescent="0.45">
      <c r="A868" t="s">
        <v>90</v>
      </c>
      <c r="B868" t="s">
        <v>6</v>
      </c>
      <c r="C868" t="s">
        <v>84</v>
      </c>
      <c r="D868" t="s">
        <v>48</v>
      </c>
      <c r="E868" t="s">
        <v>46</v>
      </c>
      <c r="F868" t="s">
        <v>48</v>
      </c>
      <c r="G868" t="s">
        <v>49</v>
      </c>
      <c r="H868" t="s">
        <v>50</v>
      </c>
      <c r="I868">
        <v>2045</v>
      </c>
      <c r="J868">
        <v>-611.33089999999993</v>
      </c>
      <c r="K868" t="s">
        <v>48</v>
      </c>
    </row>
    <row r="869" spans="1:11" x14ac:dyDescent="0.45">
      <c r="A869" t="s">
        <v>90</v>
      </c>
      <c r="B869" t="s">
        <v>6</v>
      </c>
      <c r="C869" t="s">
        <v>84</v>
      </c>
      <c r="D869" t="s">
        <v>48</v>
      </c>
      <c r="E869" t="s">
        <v>46</v>
      </c>
      <c r="F869" t="s">
        <v>48</v>
      </c>
      <c r="G869" t="s">
        <v>49</v>
      </c>
      <c r="H869" t="s">
        <v>50</v>
      </c>
      <c r="I869">
        <v>2050</v>
      </c>
      <c r="J869">
        <v>-638.84275000000002</v>
      </c>
      <c r="K869" t="s">
        <v>48</v>
      </c>
    </row>
    <row r="870" spans="1:11" x14ac:dyDescent="0.45">
      <c r="A870" t="s">
        <v>90</v>
      </c>
      <c r="B870" t="s">
        <v>6</v>
      </c>
      <c r="C870" t="s">
        <v>84</v>
      </c>
      <c r="D870" t="s">
        <v>48</v>
      </c>
      <c r="E870" t="s">
        <v>46</v>
      </c>
      <c r="F870" t="s">
        <v>48</v>
      </c>
      <c r="G870" t="s">
        <v>49</v>
      </c>
      <c r="H870" t="s">
        <v>50</v>
      </c>
      <c r="I870">
        <v>2055</v>
      </c>
      <c r="J870">
        <v>-600.63125000000002</v>
      </c>
      <c r="K870" t="s">
        <v>48</v>
      </c>
    </row>
    <row r="871" spans="1:11" x14ac:dyDescent="0.45">
      <c r="A871" t="s">
        <v>90</v>
      </c>
      <c r="B871" t="s">
        <v>6</v>
      </c>
      <c r="C871" t="s">
        <v>84</v>
      </c>
      <c r="D871" t="s">
        <v>48</v>
      </c>
      <c r="E871" t="s">
        <v>46</v>
      </c>
      <c r="F871" t="s">
        <v>48</v>
      </c>
      <c r="G871" t="s">
        <v>49</v>
      </c>
      <c r="H871" t="s">
        <v>50</v>
      </c>
      <c r="I871">
        <v>2060</v>
      </c>
      <c r="J871">
        <v>-530.04255000000001</v>
      </c>
      <c r="K871" t="s">
        <v>48</v>
      </c>
    </row>
    <row r="872" spans="1:11" x14ac:dyDescent="0.45">
      <c r="A872" t="s">
        <v>90</v>
      </c>
      <c r="B872" t="s">
        <v>6</v>
      </c>
      <c r="C872" t="s">
        <v>84</v>
      </c>
      <c r="D872" t="s">
        <v>48</v>
      </c>
      <c r="E872" t="s">
        <v>46</v>
      </c>
      <c r="F872" t="s">
        <v>48</v>
      </c>
      <c r="G872" t="s">
        <v>49</v>
      </c>
      <c r="H872" t="s">
        <v>50</v>
      </c>
      <c r="I872">
        <v>2065</v>
      </c>
      <c r="J872">
        <v>-482.524</v>
      </c>
      <c r="K872" t="s">
        <v>48</v>
      </c>
    </row>
    <row r="873" spans="1:11" x14ac:dyDescent="0.45">
      <c r="A873" t="s">
        <v>90</v>
      </c>
      <c r="B873" t="s">
        <v>6</v>
      </c>
      <c r="C873" t="s">
        <v>84</v>
      </c>
      <c r="D873" t="s">
        <v>48</v>
      </c>
      <c r="E873" t="s">
        <v>46</v>
      </c>
      <c r="F873" t="s">
        <v>48</v>
      </c>
      <c r="G873" t="s">
        <v>49</v>
      </c>
      <c r="H873" t="s">
        <v>50</v>
      </c>
      <c r="I873">
        <v>2070</v>
      </c>
      <c r="J873">
        <v>-435.19135</v>
      </c>
      <c r="K873" t="s">
        <v>48</v>
      </c>
    </row>
    <row r="874" spans="1:11" x14ac:dyDescent="0.45">
      <c r="A874" t="s">
        <v>90</v>
      </c>
      <c r="B874" t="s">
        <v>6</v>
      </c>
      <c r="C874" t="s">
        <v>84</v>
      </c>
      <c r="D874" t="s">
        <v>48</v>
      </c>
      <c r="E874" t="s">
        <v>46</v>
      </c>
      <c r="F874" t="s">
        <v>48</v>
      </c>
      <c r="G874" t="s">
        <v>49</v>
      </c>
      <c r="H874" t="s">
        <v>50</v>
      </c>
      <c r="I874">
        <v>2075</v>
      </c>
      <c r="J874">
        <v>-454.31960000000004</v>
      </c>
      <c r="K874" t="s">
        <v>48</v>
      </c>
    </row>
    <row r="875" spans="1:11" x14ac:dyDescent="0.45">
      <c r="A875" t="s">
        <v>90</v>
      </c>
      <c r="B875" t="s">
        <v>6</v>
      </c>
      <c r="C875" t="s">
        <v>84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2080</v>
      </c>
      <c r="J875">
        <v>-473.47929999999997</v>
      </c>
      <c r="K875" t="s">
        <v>48</v>
      </c>
    </row>
    <row r="876" spans="1:11" x14ac:dyDescent="0.45">
      <c r="A876" t="s">
        <v>90</v>
      </c>
      <c r="B876" t="s">
        <v>6</v>
      </c>
      <c r="C876" t="s">
        <v>84</v>
      </c>
      <c r="D876" t="s">
        <v>48</v>
      </c>
      <c r="E876" t="s">
        <v>46</v>
      </c>
      <c r="F876" t="s">
        <v>48</v>
      </c>
      <c r="G876" t="s">
        <v>49</v>
      </c>
      <c r="H876" t="s">
        <v>50</v>
      </c>
      <c r="I876">
        <v>2085</v>
      </c>
      <c r="J876">
        <v>-449.06245000000001</v>
      </c>
      <c r="K876" t="s">
        <v>48</v>
      </c>
    </row>
    <row r="877" spans="1:11" x14ac:dyDescent="0.45">
      <c r="A877" t="s">
        <v>90</v>
      </c>
      <c r="B877" t="s">
        <v>6</v>
      </c>
      <c r="C877" t="s">
        <v>84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2090</v>
      </c>
      <c r="J877">
        <v>-425.46794999999997</v>
      </c>
      <c r="K877" t="s">
        <v>48</v>
      </c>
    </row>
    <row r="878" spans="1:11" x14ac:dyDescent="0.45">
      <c r="A878" t="s">
        <v>90</v>
      </c>
      <c r="B878" t="s">
        <v>6</v>
      </c>
      <c r="C878" t="s">
        <v>84</v>
      </c>
      <c r="D878" t="s">
        <v>48</v>
      </c>
      <c r="E878" t="s">
        <v>46</v>
      </c>
      <c r="F878" t="s">
        <v>48</v>
      </c>
      <c r="G878" t="s">
        <v>49</v>
      </c>
      <c r="H878" t="s">
        <v>50</v>
      </c>
      <c r="I878">
        <v>2095</v>
      </c>
      <c r="J878">
        <v>-289.54199999999997</v>
      </c>
      <c r="K878" t="s">
        <v>48</v>
      </c>
    </row>
    <row r="879" spans="1:11" x14ac:dyDescent="0.45">
      <c r="A879" t="s">
        <v>90</v>
      </c>
      <c r="B879" t="s">
        <v>6</v>
      </c>
      <c r="C879" t="s">
        <v>84</v>
      </c>
      <c r="D879" t="s">
        <v>48</v>
      </c>
      <c r="E879" t="s">
        <v>46</v>
      </c>
      <c r="F879" t="s">
        <v>48</v>
      </c>
      <c r="G879" t="s">
        <v>49</v>
      </c>
      <c r="H879" t="s">
        <v>50</v>
      </c>
      <c r="I879">
        <v>2100</v>
      </c>
      <c r="J879">
        <v>-153.83195000000001</v>
      </c>
      <c r="K879" t="s">
        <v>48</v>
      </c>
    </row>
    <row r="880" spans="1:11" x14ac:dyDescent="0.45">
      <c r="A880" t="s">
        <v>90</v>
      </c>
      <c r="B880" t="s">
        <v>6</v>
      </c>
      <c r="C880" t="s">
        <v>84</v>
      </c>
      <c r="D880" t="s">
        <v>51</v>
      </c>
      <c r="E880" t="s">
        <v>46</v>
      </c>
      <c r="F880" t="s">
        <v>51</v>
      </c>
      <c r="G880" t="s">
        <v>49</v>
      </c>
      <c r="H880" t="s">
        <v>50</v>
      </c>
      <c r="I880">
        <v>2020</v>
      </c>
      <c r="J880">
        <v>469.30295000000001</v>
      </c>
      <c r="K880" t="s">
        <v>51</v>
      </c>
    </row>
    <row r="881" spans="1:11" x14ac:dyDescent="0.45">
      <c r="A881" t="s">
        <v>90</v>
      </c>
      <c r="B881" t="s">
        <v>6</v>
      </c>
      <c r="C881" t="s">
        <v>84</v>
      </c>
      <c r="D881" t="s">
        <v>51</v>
      </c>
      <c r="E881" t="s">
        <v>46</v>
      </c>
      <c r="F881" t="s">
        <v>51</v>
      </c>
      <c r="G881" t="s">
        <v>49</v>
      </c>
      <c r="H881" t="s">
        <v>50</v>
      </c>
      <c r="I881">
        <v>2025</v>
      </c>
      <c r="J881">
        <v>388.70960000000002</v>
      </c>
      <c r="K881" t="s">
        <v>51</v>
      </c>
    </row>
    <row r="882" spans="1:11" x14ac:dyDescent="0.45">
      <c r="A882" t="s">
        <v>90</v>
      </c>
      <c r="B882" t="s">
        <v>6</v>
      </c>
      <c r="C882" t="s">
        <v>84</v>
      </c>
      <c r="D882" t="s">
        <v>51</v>
      </c>
      <c r="E882" t="s">
        <v>46</v>
      </c>
      <c r="F882" t="s">
        <v>51</v>
      </c>
      <c r="G882" t="s">
        <v>49</v>
      </c>
      <c r="H882" t="s">
        <v>50</v>
      </c>
      <c r="I882">
        <v>2030</v>
      </c>
      <c r="J882">
        <v>332.82759999999996</v>
      </c>
      <c r="K882" t="s">
        <v>51</v>
      </c>
    </row>
    <row r="883" spans="1:11" x14ac:dyDescent="0.45">
      <c r="A883" t="s">
        <v>90</v>
      </c>
      <c r="B883" t="s">
        <v>6</v>
      </c>
      <c r="C883" t="s">
        <v>84</v>
      </c>
      <c r="D883" t="s">
        <v>51</v>
      </c>
      <c r="E883" t="s">
        <v>46</v>
      </c>
      <c r="F883" t="s">
        <v>51</v>
      </c>
      <c r="G883" t="s">
        <v>49</v>
      </c>
      <c r="H883" t="s">
        <v>50</v>
      </c>
      <c r="I883">
        <v>2035</v>
      </c>
      <c r="J883">
        <v>258.39314999999999</v>
      </c>
      <c r="K883" t="s">
        <v>51</v>
      </c>
    </row>
    <row r="884" spans="1:11" x14ac:dyDescent="0.45">
      <c r="A884" t="s">
        <v>90</v>
      </c>
      <c r="B884" t="s">
        <v>6</v>
      </c>
      <c r="C884" t="s">
        <v>84</v>
      </c>
      <c r="D884" t="s">
        <v>51</v>
      </c>
      <c r="E884" t="s">
        <v>46</v>
      </c>
      <c r="F884" t="s">
        <v>51</v>
      </c>
      <c r="G884" t="s">
        <v>49</v>
      </c>
      <c r="H884" t="s">
        <v>50</v>
      </c>
      <c r="I884">
        <v>2040</v>
      </c>
      <c r="J884">
        <v>132.3417</v>
      </c>
      <c r="K884" t="s">
        <v>51</v>
      </c>
    </row>
    <row r="885" spans="1:11" x14ac:dyDescent="0.45">
      <c r="A885" t="s">
        <v>90</v>
      </c>
      <c r="B885" t="s">
        <v>6</v>
      </c>
      <c r="C885" t="s">
        <v>84</v>
      </c>
      <c r="D885" t="s">
        <v>51</v>
      </c>
      <c r="E885" t="s">
        <v>46</v>
      </c>
      <c r="F885" t="s">
        <v>51</v>
      </c>
      <c r="G885" t="s">
        <v>49</v>
      </c>
      <c r="H885" t="s">
        <v>50</v>
      </c>
      <c r="I885">
        <v>2045</v>
      </c>
      <c r="J885">
        <v>71.878150000000005</v>
      </c>
      <c r="K885" t="s">
        <v>51</v>
      </c>
    </row>
    <row r="886" spans="1:11" x14ac:dyDescent="0.45">
      <c r="A886" t="s">
        <v>90</v>
      </c>
      <c r="B886" t="s">
        <v>6</v>
      </c>
      <c r="C886" t="s">
        <v>84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2050</v>
      </c>
      <c r="J886">
        <v>48.722250000000003</v>
      </c>
      <c r="K886" t="s">
        <v>51</v>
      </c>
    </row>
    <row r="887" spans="1:11" x14ac:dyDescent="0.45">
      <c r="A887" t="s">
        <v>90</v>
      </c>
      <c r="B887" t="s">
        <v>6</v>
      </c>
      <c r="C887" t="s">
        <v>84</v>
      </c>
      <c r="D887" t="s">
        <v>51</v>
      </c>
      <c r="E887" t="s">
        <v>46</v>
      </c>
      <c r="F887" t="s">
        <v>51</v>
      </c>
      <c r="G887" t="s">
        <v>49</v>
      </c>
      <c r="H887" t="s">
        <v>50</v>
      </c>
      <c r="I887">
        <v>2055</v>
      </c>
      <c r="J887">
        <v>10.181149999999999</v>
      </c>
      <c r="K887" t="s">
        <v>51</v>
      </c>
    </row>
    <row r="888" spans="1:11" x14ac:dyDescent="0.45">
      <c r="A888" t="s">
        <v>90</v>
      </c>
      <c r="B888" t="s">
        <v>6</v>
      </c>
      <c r="C888" t="s">
        <v>84</v>
      </c>
      <c r="D888" t="s">
        <v>51</v>
      </c>
      <c r="E888" t="s">
        <v>46</v>
      </c>
      <c r="F888" t="s">
        <v>51</v>
      </c>
      <c r="G888" t="s">
        <v>49</v>
      </c>
      <c r="H888" t="s">
        <v>50</v>
      </c>
      <c r="I888">
        <v>2060</v>
      </c>
      <c r="J888">
        <v>9.529300000000001</v>
      </c>
      <c r="K888" t="s">
        <v>51</v>
      </c>
    </row>
    <row r="889" spans="1:11" x14ac:dyDescent="0.45">
      <c r="A889" t="s">
        <v>90</v>
      </c>
      <c r="B889" t="s">
        <v>6</v>
      </c>
      <c r="C889" t="s">
        <v>84</v>
      </c>
      <c r="D889" t="s">
        <v>51</v>
      </c>
      <c r="E889" t="s">
        <v>46</v>
      </c>
      <c r="F889" t="s">
        <v>51</v>
      </c>
      <c r="G889" t="s">
        <v>49</v>
      </c>
      <c r="H889" t="s">
        <v>50</v>
      </c>
      <c r="I889">
        <v>2065</v>
      </c>
      <c r="J889">
        <v>10.018099999999999</v>
      </c>
      <c r="K889" t="s">
        <v>51</v>
      </c>
    </row>
    <row r="890" spans="1:11" x14ac:dyDescent="0.45">
      <c r="A890" t="s">
        <v>90</v>
      </c>
      <c r="B890" t="s">
        <v>6</v>
      </c>
      <c r="C890" t="s">
        <v>84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2070</v>
      </c>
      <c r="J890">
        <v>10.317449999999999</v>
      </c>
      <c r="K890" t="s">
        <v>51</v>
      </c>
    </row>
    <row r="891" spans="1:11" x14ac:dyDescent="0.45">
      <c r="A891" t="s">
        <v>90</v>
      </c>
      <c r="B891" t="s">
        <v>6</v>
      </c>
      <c r="C891" t="s">
        <v>84</v>
      </c>
      <c r="D891" t="s">
        <v>51</v>
      </c>
      <c r="E891" t="s">
        <v>46</v>
      </c>
      <c r="F891" t="s">
        <v>51</v>
      </c>
      <c r="G891" t="s">
        <v>49</v>
      </c>
      <c r="H891" t="s">
        <v>50</v>
      </c>
      <c r="I891">
        <v>2075</v>
      </c>
      <c r="J891">
        <v>13.835699999999999</v>
      </c>
      <c r="K891" t="s">
        <v>51</v>
      </c>
    </row>
    <row r="892" spans="1:11" x14ac:dyDescent="0.45">
      <c r="A892" t="s">
        <v>90</v>
      </c>
      <c r="B892" t="s">
        <v>6</v>
      </c>
      <c r="C892" t="s">
        <v>84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2080</v>
      </c>
      <c r="J892">
        <v>17.3184</v>
      </c>
      <c r="K892" t="s">
        <v>51</v>
      </c>
    </row>
    <row r="893" spans="1:11" x14ac:dyDescent="0.45">
      <c r="A893" t="s">
        <v>90</v>
      </c>
      <c r="B893" t="s">
        <v>6</v>
      </c>
      <c r="C893" t="s">
        <v>84</v>
      </c>
      <c r="D893" t="s">
        <v>51</v>
      </c>
      <c r="E893" t="s">
        <v>46</v>
      </c>
      <c r="F893" t="s">
        <v>51</v>
      </c>
      <c r="G893" t="s">
        <v>49</v>
      </c>
      <c r="H893" t="s">
        <v>50</v>
      </c>
      <c r="I893">
        <v>2085</v>
      </c>
      <c r="J893">
        <v>19.065049999999999</v>
      </c>
      <c r="K893" t="s">
        <v>51</v>
      </c>
    </row>
    <row r="894" spans="1:11" x14ac:dyDescent="0.45">
      <c r="A894" t="s">
        <v>90</v>
      </c>
      <c r="B894" t="s">
        <v>6</v>
      </c>
      <c r="C894" t="s">
        <v>84</v>
      </c>
      <c r="D894" t="s">
        <v>51</v>
      </c>
      <c r="E894" t="s">
        <v>46</v>
      </c>
      <c r="F894" t="s">
        <v>51</v>
      </c>
      <c r="G894" t="s">
        <v>49</v>
      </c>
      <c r="H894" t="s">
        <v>50</v>
      </c>
      <c r="I894">
        <v>2090</v>
      </c>
      <c r="J894">
        <v>19.9695</v>
      </c>
      <c r="K894" t="s">
        <v>51</v>
      </c>
    </row>
    <row r="895" spans="1:11" x14ac:dyDescent="0.45">
      <c r="A895" t="s">
        <v>90</v>
      </c>
      <c r="B895" t="s">
        <v>6</v>
      </c>
      <c r="C895" t="s">
        <v>84</v>
      </c>
      <c r="D895" t="s">
        <v>51</v>
      </c>
      <c r="E895" t="s">
        <v>46</v>
      </c>
      <c r="F895" t="s">
        <v>51</v>
      </c>
      <c r="G895" t="s">
        <v>49</v>
      </c>
      <c r="H895" t="s">
        <v>50</v>
      </c>
      <c r="I895">
        <v>2095</v>
      </c>
      <c r="J895">
        <v>19.076450000000001</v>
      </c>
      <c r="K895" t="s">
        <v>51</v>
      </c>
    </row>
    <row r="896" spans="1:11" x14ac:dyDescent="0.45">
      <c r="A896" t="s">
        <v>90</v>
      </c>
      <c r="B896" t="s">
        <v>6</v>
      </c>
      <c r="C896" t="s">
        <v>84</v>
      </c>
      <c r="D896" t="s">
        <v>51</v>
      </c>
      <c r="E896" t="s">
        <v>46</v>
      </c>
      <c r="F896" t="s">
        <v>51</v>
      </c>
      <c r="G896" t="s">
        <v>49</v>
      </c>
      <c r="H896" t="s">
        <v>50</v>
      </c>
      <c r="I896">
        <v>2100</v>
      </c>
      <c r="J896">
        <v>17.970800000000001</v>
      </c>
      <c r="K896" t="s">
        <v>51</v>
      </c>
    </row>
    <row r="897" spans="1:11" x14ac:dyDescent="0.45">
      <c r="A897" t="s">
        <v>90</v>
      </c>
      <c r="B897" t="s">
        <v>6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6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6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5.5946499999999997</v>
      </c>
      <c r="K899" t="s">
        <v>29</v>
      </c>
    </row>
    <row r="900" spans="1:11" x14ac:dyDescent="0.45">
      <c r="A900" t="s">
        <v>90</v>
      </c>
      <c r="B900" t="s">
        <v>6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4.7282500000000001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5.6577500000000001</v>
      </c>
      <c r="K901" t="s">
        <v>29</v>
      </c>
    </row>
    <row r="902" spans="1:11" x14ac:dyDescent="0.45">
      <c r="A902" t="s">
        <v>90</v>
      </c>
      <c r="B902" t="s">
        <v>6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6.7579000000000002</v>
      </c>
      <c r="K902" t="s">
        <v>29</v>
      </c>
    </row>
    <row r="903" spans="1:11" x14ac:dyDescent="0.45">
      <c r="A903" t="s">
        <v>90</v>
      </c>
      <c r="B903" t="s">
        <v>6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8.1373999999999995</v>
      </c>
      <c r="K903" t="s">
        <v>29</v>
      </c>
    </row>
    <row r="904" spans="1:11" x14ac:dyDescent="0.45">
      <c r="A904" t="s">
        <v>90</v>
      </c>
      <c r="B904" t="s">
        <v>6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9.2483499999999985</v>
      </c>
      <c r="K904" t="s">
        <v>29</v>
      </c>
    </row>
    <row r="905" spans="1:11" x14ac:dyDescent="0.45">
      <c r="A905" t="s">
        <v>90</v>
      </c>
      <c r="B905" t="s">
        <v>6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14.686199999999999</v>
      </c>
      <c r="K905" t="s">
        <v>29</v>
      </c>
    </row>
    <row r="906" spans="1:11" x14ac:dyDescent="0.45">
      <c r="A906" t="s">
        <v>90</v>
      </c>
      <c r="B906" t="s">
        <v>6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15.117049999999999</v>
      </c>
      <c r="K906" t="s">
        <v>29</v>
      </c>
    </row>
    <row r="907" spans="1:11" x14ac:dyDescent="0.45">
      <c r="A907" t="s">
        <v>90</v>
      </c>
      <c r="B907" t="s">
        <v>6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15.547899999999998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15.43695</v>
      </c>
      <c r="K908" t="s">
        <v>29</v>
      </c>
    </row>
    <row r="909" spans="1:11" x14ac:dyDescent="0.45">
      <c r="A909" t="s">
        <v>90</v>
      </c>
      <c r="B909" t="s">
        <v>6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15.325950000000001</v>
      </c>
      <c r="K909" t="s">
        <v>29</v>
      </c>
    </row>
    <row r="910" spans="1:11" x14ac:dyDescent="0.45">
      <c r="A910" t="s">
        <v>90</v>
      </c>
      <c r="B910" t="s">
        <v>6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15.232099999999999</v>
      </c>
      <c r="K910" t="s">
        <v>29</v>
      </c>
    </row>
    <row r="911" spans="1:11" x14ac:dyDescent="0.45">
      <c r="A911" t="s">
        <v>90</v>
      </c>
      <c r="B911" t="s">
        <v>6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15.138300000000001</v>
      </c>
      <c r="K911" t="s">
        <v>29</v>
      </c>
    </row>
    <row r="912" spans="1:11" x14ac:dyDescent="0.45">
      <c r="A912" t="s">
        <v>90</v>
      </c>
      <c r="B912" t="s">
        <v>6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15.0703</v>
      </c>
      <c r="K912" t="s">
        <v>29</v>
      </c>
    </row>
    <row r="913" spans="1:11" x14ac:dyDescent="0.45">
      <c r="A913" t="s">
        <v>90</v>
      </c>
      <c r="B913" t="s">
        <v>6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15.00235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2020</v>
      </c>
      <c r="J914">
        <v>2.0344000000000002</v>
      </c>
      <c r="K914" t="s">
        <v>33</v>
      </c>
    </row>
    <row r="915" spans="1:11" x14ac:dyDescent="0.45">
      <c r="A915" t="s">
        <v>90</v>
      </c>
      <c r="B915" t="s">
        <v>6</v>
      </c>
      <c r="C915" t="s">
        <v>84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2025</v>
      </c>
      <c r="J915">
        <v>2.2243500000000003</v>
      </c>
      <c r="K915" t="s">
        <v>33</v>
      </c>
    </row>
    <row r="916" spans="1:11" x14ac:dyDescent="0.45">
      <c r="A916" t="s">
        <v>90</v>
      </c>
      <c r="B916" t="s">
        <v>6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2030</v>
      </c>
      <c r="J916">
        <v>2.2640500000000001</v>
      </c>
      <c r="K916" t="s">
        <v>33</v>
      </c>
    </row>
    <row r="917" spans="1:11" x14ac:dyDescent="0.45">
      <c r="A917" t="s">
        <v>90</v>
      </c>
      <c r="B917" t="s">
        <v>6</v>
      </c>
      <c r="C917" t="s">
        <v>84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2035</v>
      </c>
      <c r="J917">
        <v>2.2480000000000002</v>
      </c>
      <c r="K917" t="s">
        <v>33</v>
      </c>
    </row>
    <row r="918" spans="1:11" x14ac:dyDescent="0.45">
      <c r="A918" t="s">
        <v>90</v>
      </c>
      <c r="B918" t="s">
        <v>6</v>
      </c>
      <c r="C918" t="s">
        <v>84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2040</v>
      </c>
      <c r="J918">
        <v>1.90195</v>
      </c>
      <c r="K918" t="s">
        <v>33</v>
      </c>
    </row>
    <row r="919" spans="1:11" x14ac:dyDescent="0.45">
      <c r="A919" t="s">
        <v>90</v>
      </c>
      <c r="B919" t="s">
        <v>6</v>
      </c>
      <c r="C919" t="s">
        <v>84</v>
      </c>
      <c r="D919" t="s">
        <v>33</v>
      </c>
      <c r="E919" t="s">
        <v>30</v>
      </c>
      <c r="F919" t="s">
        <v>33</v>
      </c>
      <c r="G919" t="s">
        <v>31</v>
      </c>
      <c r="H919" t="s">
        <v>34</v>
      </c>
      <c r="I919">
        <v>2045</v>
      </c>
      <c r="J919">
        <v>1.47685</v>
      </c>
      <c r="K919" t="s">
        <v>33</v>
      </c>
    </row>
    <row r="920" spans="1:11" x14ac:dyDescent="0.45">
      <c r="A920" t="s">
        <v>90</v>
      </c>
      <c r="B920" t="s">
        <v>6</v>
      </c>
      <c r="C920" t="s">
        <v>84</v>
      </c>
      <c r="D920" t="s">
        <v>33</v>
      </c>
      <c r="E920" t="s">
        <v>30</v>
      </c>
      <c r="F920" t="s">
        <v>33</v>
      </c>
      <c r="G920" t="s">
        <v>31</v>
      </c>
      <c r="H920" t="s">
        <v>34</v>
      </c>
      <c r="I920">
        <v>2050</v>
      </c>
      <c r="J920">
        <v>1.714</v>
      </c>
      <c r="K920" t="s">
        <v>33</v>
      </c>
    </row>
    <row r="921" spans="1:11" x14ac:dyDescent="0.45">
      <c r="A921" t="s">
        <v>90</v>
      </c>
      <c r="B921" t="s">
        <v>6</v>
      </c>
      <c r="C921" t="s">
        <v>84</v>
      </c>
      <c r="D921" t="s">
        <v>33</v>
      </c>
      <c r="E921" t="s">
        <v>30</v>
      </c>
      <c r="F921" t="s">
        <v>33</v>
      </c>
      <c r="G921" t="s">
        <v>31</v>
      </c>
      <c r="H921" t="s">
        <v>34</v>
      </c>
      <c r="I921">
        <v>2055</v>
      </c>
      <c r="J921">
        <v>1.5321500000000001</v>
      </c>
      <c r="K921" t="s">
        <v>33</v>
      </c>
    </row>
    <row r="922" spans="1:11" x14ac:dyDescent="0.45">
      <c r="A922" t="s">
        <v>90</v>
      </c>
      <c r="B922" t="s">
        <v>6</v>
      </c>
      <c r="C922" t="s">
        <v>84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2060</v>
      </c>
      <c r="J922">
        <v>2.2842500000000001</v>
      </c>
      <c r="K922" t="s">
        <v>33</v>
      </c>
    </row>
    <row r="923" spans="1:11" x14ac:dyDescent="0.45">
      <c r="A923" t="s">
        <v>90</v>
      </c>
      <c r="B923" t="s">
        <v>6</v>
      </c>
      <c r="C923" t="s">
        <v>84</v>
      </c>
      <c r="D923" t="s">
        <v>33</v>
      </c>
      <c r="E923" t="s">
        <v>30</v>
      </c>
      <c r="F923" t="s">
        <v>33</v>
      </c>
      <c r="G923" t="s">
        <v>31</v>
      </c>
      <c r="H923" t="s">
        <v>34</v>
      </c>
      <c r="I923">
        <v>2065</v>
      </c>
      <c r="J923">
        <v>2.2705000000000002</v>
      </c>
      <c r="K923" t="s">
        <v>33</v>
      </c>
    </row>
    <row r="924" spans="1:11" x14ac:dyDescent="0.45">
      <c r="A924" t="s">
        <v>90</v>
      </c>
      <c r="B924" t="s">
        <v>6</v>
      </c>
      <c r="C924" t="s">
        <v>84</v>
      </c>
      <c r="D924" t="s">
        <v>33</v>
      </c>
      <c r="E924" t="s">
        <v>30</v>
      </c>
      <c r="F924" t="s">
        <v>33</v>
      </c>
      <c r="G924" t="s">
        <v>31</v>
      </c>
      <c r="H924" t="s">
        <v>34</v>
      </c>
      <c r="I924">
        <v>2070</v>
      </c>
      <c r="J924">
        <v>2.2568000000000001</v>
      </c>
      <c r="K924" t="s">
        <v>33</v>
      </c>
    </row>
    <row r="925" spans="1:11" x14ac:dyDescent="0.45">
      <c r="A925" t="s">
        <v>90</v>
      </c>
      <c r="B925" t="s">
        <v>6</v>
      </c>
      <c r="C925" t="s">
        <v>84</v>
      </c>
      <c r="D925" t="s">
        <v>33</v>
      </c>
      <c r="E925" t="s">
        <v>30</v>
      </c>
      <c r="F925" t="s">
        <v>33</v>
      </c>
      <c r="G925" t="s">
        <v>31</v>
      </c>
      <c r="H925" t="s">
        <v>34</v>
      </c>
      <c r="I925">
        <v>2075</v>
      </c>
      <c r="J925">
        <v>2.2270000000000003</v>
      </c>
      <c r="K925" t="s">
        <v>33</v>
      </c>
    </row>
    <row r="926" spans="1:11" x14ac:dyDescent="0.45">
      <c r="A926" t="s">
        <v>90</v>
      </c>
      <c r="B926" t="s">
        <v>6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2080</v>
      </c>
      <c r="J926">
        <v>2.1972499999999999</v>
      </c>
      <c r="K926" t="s">
        <v>33</v>
      </c>
    </row>
    <row r="927" spans="1:11" x14ac:dyDescent="0.45">
      <c r="A927" t="s">
        <v>90</v>
      </c>
      <c r="B927" t="s">
        <v>6</v>
      </c>
      <c r="C927" t="s">
        <v>84</v>
      </c>
      <c r="D927" t="s">
        <v>33</v>
      </c>
      <c r="E927" t="s">
        <v>30</v>
      </c>
      <c r="F927" t="s">
        <v>33</v>
      </c>
      <c r="G927" t="s">
        <v>31</v>
      </c>
      <c r="H927" t="s">
        <v>34</v>
      </c>
      <c r="I927">
        <v>2085</v>
      </c>
      <c r="J927">
        <v>2.1886000000000001</v>
      </c>
      <c r="K927" t="s">
        <v>33</v>
      </c>
    </row>
    <row r="928" spans="1:11" x14ac:dyDescent="0.45">
      <c r="A928" t="s">
        <v>90</v>
      </c>
      <c r="B928" t="s">
        <v>6</v>
      </c>
      <c r="C928" t="s">
        <v>84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2090</v>
      </c>
      <c r="J928">
        <v>2.1798999999999999</v>
      </c>
      <c r="K928" t="s">
        <v>33</v>
      </c>
    </row>
    <row r="929" spans="1:11" x14ac:dyDescent="0.45">
      <c r="A929" t="s">
        <v>90</v>
      </c>
      <c r="B929" t="s">
        <v>6</v>
      </c>
      <c r="C929" t="s">
        <v>84</v>
      </c>
      <c r="D929" t="s">
        <v>33</v>
      </c>
      <c r="E929" t="s">
        <v>30</v>
      </c>
      <c r="F929" t="s">
        <v>33</v>
      </c>
      <c r="G929" t="s">
        <v>31</v>
      </c>
      <c r="H929" t="s">
        <v>34</v>
      </c>
      <c r="I929">
        <v>2095</v>
      </c>
      <c r="J929">
        <v>2.117</v>
      </c>
      <c r="K929" t="s">
        <v>33</v>
      </c>
    </row>
    <row r="930" spans="1:11" x14ac:dyDescent="0.45">
      <c r="A930" t="s">
        <v>90</v>
      </c>
      <c r="B930" t="s">
        <v>6</v>
      </c>
      <c r="C930" t="s">
        <v>84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2100</v>
      </c>
      <c r="J930">
        <v>2.0540000000000003</v>
      </c>
      <c r="K930" t="s">
        <v>33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1.0057499999999999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0.95579999999999998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1.0401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1.15205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1.2110500000000002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1.2011500000000002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1.1540999999999999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1.0565500000000001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1.0043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1.0086499999999998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1.0136500000000002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1.0650499999999998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1.1167500000000001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1.1379999999999999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1.1590500000000001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1.1968000000000001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1.2335500000000001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2020</v>
      </c>
      <c r="J948">
        <v>0.67235</v>
      </c>
      <c r="K948" t="s">
        <v>24</v>
      </c>
    </row>
    <row r="949" spans="1:11" x14ac:dyDescent="0.45">
      <c r="A949" t="s">
        <v>90</v>
      </c>
      <c r="B949" t="s">
        <v>6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2025</v>
      </c>
      <c r="J949">
        <v>0.64339999999999997</v>
      </c>
      <c r="K949" t="s">
        <v>24</v>
      </c>
    </row>
    <row r="950" spans="1:11" x14ac:dyDescent="0.45">
      <c r="A950" t="s">
        <v>90</v>
      </c>
      <c r="B950" t="s">
        <v>6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2030</v>
      </c>
      <c r="J950">
        <v>0.7228</v>
      </c>
      <c r="K950" t="s">
        <v>24</v>
      </c>
    </row>
    <row r="951" spans="1:11" x14ac:dyDescent="0.45">
      <c r="A951" t="s">
        <v>90</v>
      </c>
      <c r="B951" t="s">
        <v>6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2035</v>
      </c>
      <c r="J951">
        <v>0.7218</v>
      </c>
      <c r="K951" t="s">
        <v>24</v>
      </c>
    </row>
    <row r="952" spans="1:11" x14ac:dyDescent="0.45">
      <c r="A952" t="s">
        <v>90</v>
      </c>
      <c r="B952" t="s">
        <v>6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2040</v>
      </c>
      <c r="J952">
        <v>0.81384999999999996</v>
      </c>
      <c r="K952" t="s">
        <v>24</v>
      </c>
    </row>
    <row r="953" spans="1:11" x14ac:dyDescent="0.45">
      <c r="A953" t="s">
        <v>90</v>
      </c>
      <c r="B953" t="s">
        <v>6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2045</v>
      </c>
      <c r="J953">
        <v>0.84620000000000006</v>
      </c>
      <c r="K953" t="s">
        <v>24</v>
      </c>
    </row>
    <row r="954" spans="1:11" x14ac:dyDescent="0.45">
      <c r="A954" t="s">
        <v>90</v>
      </c>
      <c r="B954" t="s">
        <v>6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2050</v>
      </c>
      <c r="J954">
        <v>0.83274999999999999</v>
      </c>
      <c r="K954" t="s">
        <v>24</v>
      </c>
    </row>
    <row r="955" spans="1:11" x14ac:dyDescent="0.45">
      <c r="A955" t="s">
        <v>90</v>
      </c>
      <c r="B955" t="s">
        <v>6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2055</v>
      </c>
      <c r="J955">
        <v>0.81974999999999998</v>
      </c>
      <c r="K955" t="s">
        <v>24</v>
      </c>
    </row>
    <row r="956" spans="1:11" x14ac:dyDescent="0.45">
      <c r="A956" t="s">
        <v>90</v>
      </c>
      <c r="B956" t="s">
        <v>6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0.74814999999999998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2065</v>
      </c>
      <c r="J957">
        <v>0.72225000000000006</v>
      </c>
      <c r="K957" t="s">
        <v>24</v>
      </c>
    </row>
    <row r="958" spans="1:11" x14ac:dyDescent="0.45">
      <c r="A958" t="s">
        <v>90</v>
      </c>
      <c r="B958" t="s">
        <v>6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2070</v>
      </c>
      <c r="J958">
        <v>0.70009999999999994</v>
      </c>
      <c r="K958" t="s">
        <v>24</v>
      </c>
    </row>
    <row r="959" spans="1:11" x14ac:dyDescent="0.45">
      <c r="A959" t="s">
        <v>90</v>
      </c>
      <c r="B959" t="s">
        <v>6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2075</v>
      </c>
      <c r="J959">
        <v>0.67820000000000003</v>
      </c>
      <c r="K959" t="s">
        <v>24</v>
      </c>
    </row>
    <row r="960" spans="1:11" x14ac:dyDescent="0.45">
      <c r="A960" t="s">
        <v>90</v>
      </c>
      <c r="B960" t="s">
        <v>6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2080</v>
      </c>
      <c r="J960">
        <v>0.65880000000000005</v>
      </c>
      <c r="K960" t="s">
        <v>24</v>
      </c>
    </row>
    <row r="961" spans="1:11" x14ac:dyDescent="0.45">
      <c r="A961" t="s">
        <v>90</v>
      </c>
      <c r="B961" t="s">
        <v>6</v>
      </c>
      <c r="C961" t="s">
        <v>84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2085</v>
      </c>
      <c r="J961">
        <v>0.62519999999999998</v>
      </c>
      <c r="K961" t="s">
        <v>24</v>
      </c>
    </row>
    <row r="962" spans="1:11" x14ac:dyDescent="0.45">
      <c r="A962" t="s">
        <v>90</v>
      </c>
      <c r="B962" t="s">
        <v>6</v>
      </c>
      <c r="C962" t="s">
        <v>84</v>
      </c>
      <c r="D962" t="s">
        <v>24</v>
      </c>
      <c r="E962" t="s">
        <v>25</v>
      </c>
      <c r="F962" t="s">
        <v>24</v>
      </c>
      <c r="G962" t="s">
        <v>26</v>
      </c>
      <c r="H962" t="s">
        <v>13</v>
      </c>
      <c r="I962">
        <v>2090</v>
      </c>
      <c r="J962">
        <v>0.5927</v>
      </c>
      <c r="K962" t="s">
        <v>24</v>
      </c>
    </row>
    <row r="963" spans="1:11" x14ac:dyDescent="0.45">
      <c r="A963" t="s">
        <v>90</v>
      </c>
      <c r="B963" t="s">
        <v>6</v>
      </c>
      <c r="C963" t="s">
        <v>84</v>
      </c>
      <c r="D963" t="s">
        <v>24</v>
      </c>
      <c r="E963" t="s">
        <v>25</v>
      </c>
      <c r="F963" t="s">
        <v>24</v>
      </c>
      <c r="G963" t="s">
        <v>26</v>
      </c>
      <c r="H963" t="s">
        <v>13</v>
      </c>
      <c r="I963">
        <v>2095</v>
      </c>
      <c r="J963">
        <v>0.56580000000000008</v>
      </c>
      <c r="K963" t="s">
        <v>24</v>
      </c>
    </row>
    <row r="964" spans="1:11" x14ac:dyDescent="0.45">
      <c r="A964" t="s">
        <v>90</v>
      </c>
      <c r="B964" t="s">
        <v>6</v>
      </c>
      <c r="C964" t="s">
        <v>84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2100</v>
      </c>
      <c r="J964">
        <v>0.53900000000000003</v>
      </c>
      <c r="K964" t="s">
        <v>24</v>
      </c>
    </row>
    <row r="965" spans="1:11" x14ac:dyDescent="0.45">
      <c r="A965" t="s">
        <v>90</v>
      </c>
      <c r="B965" t="s">
        <v>6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1.6849999999999997E-2</v>
      </c>
      <c r="K965" t="s">
        <v>27</v>
      </c>
    </row>
    <row r="966" spans="1:11" x14ac:dyDescent="0.45">
      <c r="A966" t="s">
        <v>90</v>
      </c>
      <c r="B966" t="s">
        <v>6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6.1249999999999999E-2</v>
      </c>
      <c r="K966" t="s">
        <v>27</v>
      </c>
    </row>
    <row r="967" spans="1:11" x14ac:dyDescent="0.45">
      <c r="A967" t="s">
        <v>90</v>
      </c>
      <c r="B967" t="s">
        <v>6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0.17115</v>
      </c>
      <c r="K967" t="s">
        <v>27</v>
      </c>
    </row>
    <row r="968" spans="1:11" x14ac:dyDescent="0.45">
      <c r="A968" t="s">
        <v>90</v>
      </c>
      <c r="B968" t="s">
        <v>6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0.32350000000000001</v>
      </c>
      <c r="K968" t="s">
        <v>27</v>
      </c>
    </row>
    <row r="969" spans="1:11" x14ac:dyDescent="0.45">
      <c r="A969" t="s">
        <v>90</v>
      </c>
      <c r="B969" t="s">
        <v>6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0.43149999999999999</v>
      </c>
      <c r="K969" t="s">
        <v>27</v>
      </c>
    </row>
    <row r="970" spans="1:11" x14ac:dyDescent="0.45">
      <c r="A970" t="s">
        <v>90</v>
      </c>
      <c r="B970" t="s">
        <v>6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0.47275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0.49715000000000004</v>
      </c>
      <c r="K971" t="s">
        <v>27</v>
      </c>
    </row>
    <row r="972" spans="1:11" x14ac:dyDescent="0.45">
      <c r="A972" t="s">
        <v>90</v>
      </c>
      <c r="B972" t="s">
        <v>6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0.50760000000000005</v>
      </c>
      <c r="K972" t="s">
        <v>27</v>
      </c>
    </row>
    <row r="973" spans="1:11" x14ac:dyDescent="0.45">
      <c r="A973" t="s">
        <v>90</v>
      </c>
      <c r="B973" t="s">
        <v>6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0.51095000000000002</v>
      </c>
      <c r="K973" t="s">
        <v>27</v>
      </c>
    </row>
    <row r="974" spans="1:11" x14ac:dyDescent="0.45">
      <c r="A974" t="s">
        <v>90</v>
      </c>
      <c r="B974" t="s">
        <v>6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0.50285000000000002</v>
      </c>
      <c r="K974" t="s">
        <v>27</v>
      </c>
    </row>
    <row r="975" spans="1:11" x14ac:dyDescent="0.45">
      <c r="A975" t="s">
        <v>90</v>
      </c>
      <c r="B975" t="s">
        <v>6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0.49585000000000001</v>
      </c>
      <c r="K975" t="s">
        <v>27</v>
      </c>
    </row>
    <row r="976" spans="1:11" x14ac:dyDescent="0.45">
      <c r="A976" t="s">
        <v>90</v>
      </c>
      <c r="B976" t="s">
        <v>6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0.49054999999999999</v>
      </c>
      <c r="K976" t="s">
        <v>27</v>
      </c>
    </row>
    <row r="977" spans="1:11" x14ac:dyDescent="0.45">
      <c r="A977" t="s">
        <v>90</v>
      </c>
      <c r="B977" t="s">
        <v>6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0.48604999999999998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0.48514999999999997</v>
      </c>
      <c r="K978" t="s">
        <v>27</v>
      </c>
    </row>
    <row r="979" spans="1:11" x14ac:dyDescent="0.45">
      <c r="A979" t="s">
        <v>90</v>
      </c>
      <c r="B979" t="s">
        <v>6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0.48435</v>
      </c>
      <c r="K979" t="s">
        <v>27</v>
      </c>
    </row>
    <row r="980" spans="1:11" x14ac:dyDescent="0.45">
      <c r="A980" t="s">
        <v>90</v>
      </c>
      <c r="B980" t="s">
        <v>6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0.48819999999999997</v>
      </c>
      <c r="K980" t="s">
        <v>27</v>
      </c>
    </row>
    <row r="981" spans="1:11" x14ac:dyDescent="0.45">
      <c r="A981" t="s">
        <v>90</v>
      </c>
      <c r="B981" t="s">
        <v>6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0.49149999999999999</v>
      </c>
      <c r="K981" t="s">
        <v>27</v>
      </c>
    </row>
    <row r="982" spans="1:11" x14ac:dyDescent="0.45">
      <c r="A982" t="s">
        <v>90</v>
      </c>
      <c r="B982" t="s">
        <v>6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6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4.6684000000000001</v>
      </c>
      <c r="K983" t="s">
        <v>35</v>
      </c>
    </row>
    <row r="984" spans="1:11" x14ac:dyDescent="0.45">
      <c r="A984" t="s">
        <v>90</v>
      </c>
      <c r="B984" t="s">
        <v>6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4.6098499999999998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5.0059500000000003</v>
      </c>
      <c r="K985" t="s">
        <v>35</v>
      </c>
    </row>
    <row r="986" spans="1:11" x14ac:dyDescent="0.45">
      <c r="A986" t="s">
        <v>90</v>
      </c>
      <c r="B986" t="s">
        <v>6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4.9486500000000007</v>
      </c>
      <c r="K986" t="s">
        <v>35</v>
      </c>
    </row>
    <row r="987" spans="1:11" x14ac:dyDescent="0.45">
      <c r="A987" t="s">
        <v>90</v>
      </c>
      <c r="B987" t="s">
        <v>6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5.3717000000000006</v>
      </c>
      <c r="K987" t="s">
        <v>35</v>
      </c>
    </row>
    <row r="988" spans="1:11" x14ac:dyDescent="0.45">
      <c r="A988" t="s">
        <v>90</v>
      </c>
      <c r="B988" t="s">
        <v>6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5.4856999999999996</v>
      </c>
      <c r="K988" t="s">
        <v>35</v>
      </c>
    </row>
    <row r="989" spans="1:11" x14ac:dyDescent="0.45">
      <c r="A989" t="s">
        <v>90</v>
      </c>
      <c r="B989" t="s">
        <v>6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4.8427000000000007</v>
      </c>
      <c r="K989" t="s">
        <v>35</v>
      </c>
    </row>
    <row r="990" spans="1:11" x14ac:dyDescent="0.45">
      <c r="A990" t="s">
        <v>90</v>
      </c>
      <c r="B990" t="s">
        <v>6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5.8754</v>
      </c>
      <c r="K990" t="s">
        <v>35</v>
      </c>
    </row>
    <row r="991" spans="1:11" x14ac:dyDescent="0.45">
      <c r="A991" t="s">
        <v>90</v>
      </c>
      <c r="B991" t="s">
        <v>6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5.65855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5.4417</v>
      </c>
      <c r="K992" t="s">
        <v>35</v>
      </c>
    </row>
    <row r="993" spans="1:11" x14ac:dyDescent="0.45">
      <c r="A993" t="s">
        <v>90</v>
      </c>
      <c r="B993" t="s">
        <v>6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5.4064499999999995</v>
      </c>
      <c r="K993" t="s">
        <v>35</v>
      </c>
    </row>
    <row r="994" spans="1:11" x14ac:dyDescent="0.45">
      <c r="A994" t="s">
        <v>90</v>
      </c>
      <c r="B994" t="s">
        <v>6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5.3712499999999999</v>
      </c>
      <c r="K994" t="s">
        <v>35</v>
      </c>
    </row>
    <row r="995" spans="1:11" x14ac:dyDescent="0.45">
      <c r="A995" t="s">
        <v>90</v>
      </c>
      <c r="B995" t="s">
        <v>6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5.36965</v>
      </c>
      <c r="K995" t="s">
        <v>35</v>
      </c>
    </row>
    <row r="996" spans="1:11" x14ac:dyDescent="0.45">
      <c r="A996" t="s">
        <v>90</v>
      </c>
      <c r="B996" t="s">
        <v>6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5.3680500000000002</v>
      </c>
      <c r="K996" t="s">
        <v>35</v>
      </c>
    </row>
    <row r="997" spans="1:11" x14ac:dyDescent="0.45">
      <c r="A997" t="s">
        <v>90</v>
      </c>
      <c r="B997" t="s">
        <v>6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5.4055999999999997</v>
      </c>
      <c r="K997" t="s">
        <v>35</v>
      </c>
    </row>
    <row r="998" spans="1:11" x14ac:dyDescent="0.45">
      <c r="A998" t="s">
        <v>90</v>
      </c>
      <c r="B998" t="s">
        <v>6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5.4432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2020</v>
      </c>
      <c r="J999">
        <v>8.8000000000000005E-3</v>
      </c>
      <c r="K999" t="s">
        <v>85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2025</v>
      </c>
      <c r="J1000">
        <v>4.0750000000000001E-2</v>
      </c>
      <c r="K1000" t="s">
        <v>85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2030</v>
      </c>
      <c r="J1001">
        <v>6.4350000000000004E-2</v>
      </c>
      <c r="K1001" t="s">
        <v>85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2035</v>
      </c>
      <c r="J1002">
        <v>7.955000000000001E-2</v>
      </c>
      <c r="K1002" t="s">
        <v>85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2040</v>
      </c>
      <c r="J1003">
        <v>8.6550000000000002E-2</v>
      </c>
      <c r="K1003" t="s">
        <v>85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2045</v>
      </c>
      <c r="J1004">
        <v>0.13750000000000001</v>
      </c>
      <c r="K1004" t="s">
        <v>85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2050</v>
      </c>
      <c r="J1005">
        <v>0.22589999999999999</v>
      </c>
      <c r="K1005" t="s">
        <v>85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2055</v>
      </c>
      <c r="J1006">
        <v>0.29059999999999997</v>
      </c>
      <c r="K1006" t="s">
        <v>85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2060</v>
      </c>
      <c r="J1007">
        <v>0.38929999999999998</v>
      </c>
      <c r="K1007" t="s">
        <v>85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2065</v>
      </c>
      <c r="J1008">
        <v>0.40634999999999999</v>
      </c>
      <c r="K1008" t="s">
        <v>85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2070</v>
      </c>
      <c r="J1009">
        <v>0.41544999999999999</v>
      </c>
      <c r="K1009" t="s">
        <v>85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2075</v>
      </c>
      <c r="J1010">
        <v>0.42720000000000002</v>
      </c>
      <c r="K1010" t="s">
        <v>85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85</v>
      </c>
      <c r="E1011" t="s">
        <v>25</v>
      </c>
      <c r="F1011" t="s">
        <v>85</v>
      </c>
      <c r="G1011" t="s">
        <v>26</v>
      </c>
      <c r="H1011" t="s">
        <v>82</v>
      </c>
      <c r="I1011">
        <v>2080</v>
      </c>
      <c r="J1011">
        <v>0.42930000000000001</v>
      </c>
      <c r="K1011" t="s">
        <v>85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85</v>
      </c>
      <c r="E1012" t="s">
        <v>25</v>
      </c>
      <c r="F1012" t="s">
        <v>85</v>
      </c>
      <c r="G1012" t="s">
        <v>26</v>
      </c>
      <c r="H1012" t="s">
        <v>82</v>
      </c>
      <c r="I1012">
        <v>2085</v>
      </c>
      <c r="J1012">
        <v>0.44230000000000003</v>
      </c>
      <c r="K1012" t="s">
        <v>85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85</v>
      </c>
      <c r="E1013" t="s">
        <v>25</v>
      </c>
      <c r="F1013" t="s">
        <v>85</v>
      </c>
      <c r="G1013" t="s">
        <v>26</v>
      </c>
      <c r="H1013" t="s">
        <v>82</v>
      </c>
      <c r="I1013">
        <v>2090</v>
      </c>
      <c r="J1013">
        <v>0.44174999999999998</v>
      </c>
      <c r="K1013" t="s">
        <v>85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85</v>
      </c>
      <c r="E1014" t="s">
        <v>25</v>
      </c>
      <c r="F1014" t="s">
        <v>85</v>
      </c>
      <c r="G1014" t="s">
        <v>26</v>
      </c>
      <c r="H1014" t="s">
        <v>82</v>
      </c>
      <c r="I1014">
        <v>2095</v>
      </c>
      <c r="J1014">
        <v>0.44184999999999997</v>
      </c>
      <c r="K1014" t="s">
        <v>85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85</v>
      </c>
      <c r="E1015" t="s">
        <v>25</v>
      </c>
      <c r="F1015" t="s">
        <v>85</v>
      </c>
      <c r="G1015" t="s">
        <v>26</v>
      </c>
      <c r="H1015" t="s">
        <v>82</v>
      </c>
      <c r="I1015">
        <v>2100</v>
      </c>
      <c r="J1015">
        <v>0.43969999999999998</v>
      </c>
      <c r="K1015" t="s">
        <v>85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2.0989</v>
      </c>
      <c r="K1016" t="s">
        <v>45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9.0707500000000003</v>
      </c>
      <c r="K1017" t="s">
        <v>45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13.8673</v>
      </c>
      <c r="K1018" t="s">
        <v>45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17.659399999999998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25.34995</v>
      </c>
      <c r="K1020" t="s">
        <v>45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28.114350000000002</v>
      </c>
      <c r="K1021" t="s">
        <v>45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27.843400000000003</v>
      </c>
      <c r="K1022" t="s">
        <v>45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50.232499999999995</v>
      </c>
      <c r="K1023" t="s">
        <v>45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47.447500000000005</v>
      </c>
      <c r="K1024" t="s">
        <v>45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42.716499999999996</v>
      </c>
      <c r="K1025" t="s">
        <v>45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37.741799999999998</v>
      </c>
      <c r="K1026" t="s">
        <v>45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30.27505</v>
      </c>
      <c r="K1027" t="s">
        <v>45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21.573249999999998</v>
      </c>
      <c r="K1028" t="s">
        <v>45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13.079499999999999</v>
      </c>
      <c r="K1029" t="s">
        <v>45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4.8033999999999999</v>
      </c>
      <c r="K1030" t="s">
        <v>45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3.0357500000000002</v>
      </c>
      <c r="K1031" t="s">
        <v>45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1.29715</v>
      </c>
      <c r="K1032" t="s">
        <v>45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52</v>
      </c>
      <c r="E1033" t="s">
        <v>25</v>
      </c>
      <c r="F1033" t="s">
        <v>52</v>
      </c>
      <c r="G1033" t="s">
        <v>71</v>
      </c>
      <c r="H1033" t="s">
        <v>89</v>
      </c>
      <c r="I1033">
        <v>2020</v>
      </c>
      <c r="J1033">
        <v>8.2199999999999995E-2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52</v>
      </c>
      <c r="E1034" t="s">
        <v>25</v>
      </c>
      <c r="F1034" t="s">
        <v>52</v>
      </c>
      <c r="G1034" t="s">
        <v>71</v>
      </c>
      <c r="H1034" t="s">
        <v>89</v>
      </c>
      <c r="I1034">
        <v>2025</v>
      </c>
      <c r="J1034">
        <v>2.75E-2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52</v>
      </c>
      <c r="E1035" t="s">
        <v>25</v>
      </c>
      <c r="F1035" t="s">
        <v>52</v>
      </c>
      <c r="G1035" t="s">
        <v>71</v>
      </c>
      <c r="H1035" t="s">
        <v>89</v>
      </c>
      <c r="I1035">
        <v>2030</v>
      </c>
      <c r="J1035">
        <v>1.5800000000000002E-2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52</v>
      </c>
      <c r="E1036" t="s">
        <v>25</v>
      </c>
      <c r="F1036" t="s">
        <v>52</v>
      </c>
      <c r="G1036" t="s">
        <v>71</v>
      </c>
      <c r="H1036" t="s">
        <v>89</v>
      </c>
      <c r="I1036">
        <v>2035</v>
      </c>
      <c r="J1036">
        <v>4.0000000000000002E-4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52</v>
      </c>
      <c r="E1037" t="s">
        <v>25</v>
      </c>
      <c r="F1037" t="s">
        <v>52</v>
      </c>
      <c r="G1037" t="s">
        <v>71</v>
      </c>
      <c r="H1037" t="s">
        <v>89</v>
      </c>
      <c r="I1037">
        <v>2040</v>
      </c>
      <c r="J1037">
        <v>1E-4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2045</v>
      </c>
      <c r="J1038">
        <v>1E-4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2050</v>
      </c>
      <c r="J1039">
        <v>1E-4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2055</v>
      </c>
      <c r="J1040">
        <v>1E-4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2060</v>
      </c>
      <c r="J1041">
        <v>1E-4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2065</v>
      </c>
      <c r="J1042">
        <v>1E-4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2070</v>
      </c>
      <c r="J1043">
        <v>5.0000000000000002E-5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2075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52</v>
      </c>
      <c r="E1045" t="s">
        <v>25</v>
      </c>
      <c r="F1045" t="s">
        <v>52</v>
      </c>
      <c r="G1045" t="s">
        <v>71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52</v>
      </c>
      <c r="E1046" t="s">
        <v>25</v>
      </c>
      <c r="F1046" t="s">
        <v>52</v>
      </c>
      <c r="G1046" t="s">
        <v>71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52</v>
      </c>
      <c r="E1047" t="s">
        <v>25</v>
      </c>
      <c r="F1047" t="s">
        <v>52</v>
      </c>
      <c r="G1047" t="s">
        <v>71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52</v>
      </c>
      <c r="E1048" t="s">
        <v>25</v>
      </c>
      <c r="F1048" t="s">
        <v>52</v>
      </c>
      <c r="G1048" t="s">
        <v>71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52</v>
      </c>
      <c r="E1049" t="s">
        <v>25</v>
      </c>
      <c r="F1049" t="s">
        <v>52</v>
      </c>
      <c r="G1049" t="s">
        <v>71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2020</v>
      </c>
      <c r="J1050">
        <v>0.20230000000000001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2025</v>
      </c>
      <c r="J1051">
        <v>0.1394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53</v>
      </c>
      <c r="E1052" t="s">
        <v>25</v>
      </c>
      <c r="F1052" t="s">
        <v>53</v>
      </c>
      <c r="G1052" t="s">
        <v>71</v>
      </c>
      <c r="H1052" t="s">
        <v>89</v>
      </c>
      <c r="I1052">
        <v>2030</v>
      </c>
      <c r="J1052">
        <v>9.9000000000000005E-2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53</v>
      </c>
      <c r="E1053" t="s">
        <v>25</v>
      </c>
      <c r="F1053" t="s">
        <v>53</v>
      </c>
      <c r="G1053" t="s">
        <v>71</v>
      </c>
      <c r="H1053" t="s">
        <v>89</v>
      </c>
      <c r="I1053">
        <v>2035</v>
      </c>
      <c r="J1053">
        <v>5.57E-2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53</v>
      </c>
      <c r="E1054" t="s">
        <v>25</v>
      </c>
      <c r="F1054" t="s">
        <v>53</v>
      </c>
      <c r="G1054" t="s">
        <v>71</v>
      </c>
      <c r="H1054" t="s">
        <v>89</v>
      </c>
      <c r="I1054">
        <v>2040</v>
      </c>
      <c r="J1054">
        <v>4.6899999999999997E-2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53</v>
      </c>
      <c r="E1055" t="s">
        <v>25</v>
      </c>
      <c r="F1055" t="s">
        <v>53</v>
      </c>
      <c r="G1055" t="s">
        <v>71</v>
      </c>
      <c r="H1055" t="s">
        <v>89</v>
      </c>
      <c r="I1055">
        <v>2045</v>
      </c>
      <c r="J1055">
        <v>1.8200000000000001E-2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2050</v>
      </c>
      <c r="J1056">
        <v>1.6199999999999999E-2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53</v>
      </c>
      <c r="E1057" t="s">
        <v>25</v>
      </c>
      <c r="F1057" t="s">
        <v>53</v>
      </c>
      <c r="G1057" t="s">
        <v>71</v>
      </c>
      <c r="H1057" t="s">
        <v>89</v>
      </c>
      <c r="I1057">
        <v>2055</v>
      </c>
      <c r="J1057">
        <v>1.005E-2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53</v>
      </c>
      <c r="E1058" t="s">
        <v>25</v>
      </c>
      <c r="F1058" t="s">
        <v>53</v>
      </c>
      <c r="G1058" t="s">
        <v>71</v>
      </c>
      <c r="H1058" t="s">
        <v>89</v>
      </c>
      <c r="I1058">
        <v>2060</v>
      </c>
      <c r="J1058">
        <v>9.5499999999999995E-3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53</v>
      </c>
      <c r="E1059" t="s">
        <v>25</v>
      </c>
      <c r="F1059" t="s">
        <v>53</v>
      </c>
      <c r="G1059" t="s">
        <v>71</v>
      </c>
      <c r="H1059" t="s">
        <v>89</v>
      </c>
      <c r="I1059">
        <v>2065</v>
      </c>
      <c r="J1059">
        <v>8.4499999999999992E-3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2070</v>
      </c>
      <c r="J1060">
        <v>6.6499999999999997E-3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53</v>
      </c>
      <c r="E1061" t="s">
        <v>25</v>
      </c>
      <c r="F1061" t="s">
        <v>53</v>
      </c>
      <c r="G1061" t="s">
        <v>71</v>
      </c>
      <c r="H1061" t="s">
        <v>89</v>
      </c>
      <c r="I1061">
        <v>2075</v>
      </c>
      <c r="J1061">
        <v>4.45E-3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2080</v>
      </c>
      <c r="J1062">
        <v>2.3500000000000001E-3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2085</v>
      </c>
      <c r="J1063">
        <v>1.2999999999999999E-3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53</v>
      </c>
      <c r="E1064" t="s">
        <v>25</v>
      </c>
      <c r="F1064" t="s">
        <v>53</v>
      </c>
      <c r="G1064" t="s">
        <v>71</v>
      </c>
      <c r="H1064" t="s">
        <v>89</v>
      </c>
      <c r="I1064">
        <v>2090</v>
      </c>
      <c r="J1064">
        <v>4.0000000000000002E-4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2095</v>
      </c>
      <c r="J1065">
        <v>5.5000000000000003E-4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2100</v>
      </c>
      <c r="J1066">
        <v>6.4999999999999997E-4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1.1299999999999999E-2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4.3E-3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4.0000000000000002E-4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74.293300000000002</v>
      </c>
      <c r="K1084" t="s">
        <v>37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100.30600000000001</v>
      </c>
      <c r="K1085" t="s">
        <v>37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87.748149999999995</v>
      </c>
      <c r="K1086" t="s">
        <v>37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55.533199999999994</v>
      </c>
      <c r="K1087" t="s">
        <v>37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92.234800000000007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108.12045000000001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119.68615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141.904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197.09139999999999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243.62145000000001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290.15139999999997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290.75750000000005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291.36365000000001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295.18164999999999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298.99959999999999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316.91060000000004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334.82159999999999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114.43119999999999</v>
      </c>
      <c r="K1101" t="s">
        <v>48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-126.8352</v>
      </c>
      <c r="K1102" t="s">
        <v>48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-346.8261</v>
      </c>
      <c r="K1103" t="s">
        <v>48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-409.0104</v>
      </c>
      <c r="K1104" t="s">
        <v>48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-409.33670000000001</v>
      </c>
      <c r="K1105" t="s">
        <v>48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-382.02795000000003</v>
      </c>
      <c r="K1106" t="s">
        <v>48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-335.24035000000003</v>
      </c>
      <c r="K1107" t="s">
        <v>48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-347.36124999999998</v>
      </c>
      <c r="K1108" t="s">
        <v>48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-328.47585000000004</v>
      </c>
      <c r="K1109" t="s">
        <v>48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-215.88050000000001</v>
      </c>
      <c r="K1110" t="s">
        <v>48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-102.85650000000001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-219.31900000000002</v>
      </c>
      <c r="K1112" t="s">
        <v>48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-335.52215000000001</v>
      </c>
      <c r="K1113" t="s">
        <v>48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-267.90854999999999</v>
      </c>
      <c r="K1114" t="s">
        <v>48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-200.19920000000002</v>
      </c>
      <c r="K1115" t="s">
        <v>48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-242.39419999999998</v>
      </c>
      <c r="K1116" t="s">
        <v>48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-284.34035</v>
      </c>
      <c r="K1117" t="s">
        <v>48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2020</v>
      </c>
      <c r="J1118">
        <v>470.89150000000001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2025</v>
      </c>
      <c r="J1119">
        <v>357.31174999999996</v>
      </c>
      <c r="K1119" t="s">
        <v>51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210.84924999999998</v>
      </c>
      <c r="K1120" t="s">
        <v>51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2035</v>
      </c>
      <c r="J1121">
        <v>98.531300000000002</v>
      </c>
      <c r="K1121" t="s">
        <v>51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2040</v>
      </c>
      <c r="J1122">
        <v>42.799250000000001</v>
      </c>
      <c r="K1122" t="s">
        <v>51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2045</v>
      </c>
      <c r="J1123">
        <v>11.9247</v>
      </c>
      <c r="K1123" t="s">
        <v>51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-4.8493999999999993</v>
      </c>
      <c r="K1124" t="s">
        <v>51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2055</v>
      </c>
      <c r="J1125">
        <v>-53.933799999999998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2060</v>
      </c>
      <c r="J1126">
        <v>-59.6295</v>
      </c>
      <c r="K1126" t="s">
        <v>51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-61.732300000000002</v>
      </c>
      <c r="K1127" t="s">
        <v>51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2070</v>
      </c>
      <c r="J1128">
        <v>-63.4071</v>
      </c>
      <c r="K1128" t="s">
        <v>51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2075</v>
      </c>
      <c r="J1129">
        <v>-64.933499999999995</v>
      </c>
      <c r="K1129" t="s">
        <v>51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2080</v>
      </c>
      <c r="J1130">
        <v>-66.200649999999996</v>
      </c>
      <c r="K1130" t="s">
        <v>51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2085</v>
      </c>
      <c r="J1131">
        <v>-67.490350000000007</v>
      </c>
      <c r="K1131" t="s">
        <v>51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2090</v>
      </c>
      <c r="J1132">
        <v>-68.685000000000002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2095</v>
      </c>
      <c r="J1133">
        <v>-65.570099999999996</v>
      </c>
      <c r="K1133" t="s">
        <v>51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-62.206900000000005</v>
      </c>
      <c r="K1134" t="s">
        <v>51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5.3708</v>
      </c>
      <c r="K1136" t="s">
        <v>29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5.2363499999999998</v>
      </c>
      <c r="K1137" t="s">
        <v>29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7.7720500000000001</v>
      </c>
      <c r="K1138" t="s">
        <v>29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8.9328500000000002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12.79175</v>
      </c>
      <c r="K1141" t="s">
        <v>29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10.578399999999998</v>
      </c>
      <c r="K1142" t="s">
        <v>29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21.462600000000002</v>
      </c>
      <c r="K1143" t="s">
        <v>29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19.187899999999999</v>
      </c>
      <c r="K1144" t="s">
        <v>29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16.913249999999998</v>
      </c>
      <c r="K1145" t="s">
        <v>29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16.574300000000001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16.235250000000001</v>
      </c>
      <c r="K1147" t="s">
        <v>29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16.323450000000001</v>
      </c>
      <c r="K1148" t="s">
        <v>29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16.411549999999998</v>
      </c>
      <c r="K1149" t="s">
        <v>29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16.4863</v>
      </c>
      <c r="K1150" t="s">
        <v>29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16.561</v>
      </c>
      <c r="K1151" t="s">
        <v>29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2020</v>
      </c>
      <c r="J1152">
        <v>2.0344000000000002</v>
      </c>
      <c r="K1152" t="s">
        <v>33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2025</v>
      </c>
      <c r="J1153">
        <v>2.3414999999999999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2030</v>
      </c>
      <c r="J1154">
        <v>1.6132</v>
      </c>
      <c r="K1154" t="s">
        <v>33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2035</v>
      </c>
      <c r="J1155">
        <v>1.1793999999999998</v>
      </c>
      <c r="K1155" t="s">
        <v>33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2040</v>
      </c>
      <c r="J1156">
        <v>1.33395</v>
      </c>
      <c r="K1156" t="s">
        <v>33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33</v>
      </c>
      <c r="E1157" t="s">
        <v>30</v>
      </c>
      <c r="F1157" t="s">
        <v>33</v>
      </c>
      <c r="G1157" t="s">
        <v>31</v>
      </c>
      <c r="H1157" t="s">
        <v>34</v>
      </c>
      <c r="I1157">
        <v>2045</v>
      </c>
      <c r="J1157">
        <v>1.2519499999999999</v>
      </c>
      <c r="K1157" t="s">
        <v>33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2050</v>
      </c>
      <c r="J1158">
        <v>1.59405</v>
      </c>
      <c r="K1158" t="s">
        <v>33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33</v>
      </c>
      <c r="E1159" t="s">
        <v>30</v>
      </c>
      <c r="F1159" t="s">
        <v>33</v>
      </c>
      <c r="G1159" t="s">
        <v>31</v>
      </c>
      <c r="H1159" t="s">
        <v>34</v>
      </c>
      <c r="I1159">
        <v>2055</v>
      </c>
      <c r="J1159">
        <v>1.51485</v>
      </c>
      <c r="K1159" t="s">
        <v>33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2060</v>
      </c>
      <c r="J1160">
        <v>1.5146000000000002</v>
      </c>
      <c r="K1160" t="s">
        <v>33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33</v>
      </c>
      <c r="E1161" t="s">
        <v>30</v>
      </c>
      <c r="F1161" t="s">
        <v>33</v>
      </c>
      <c r="G1161" t="s">
        <v>31</v>
      </c>
      <c r="H1161" t="s">
        <v>34</v>
      </c>
      <c r="I1161">
        <v>2065</v>
      </c>
      <c r="J1161">
        <v>1.63405</v>
      </c>
      <c r="K1161" t="s">
        <v>33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2070</v>
      </c>
      <c r="J1162">
        <v>1.7535500000000002</v>
      </c>
      <c r="K1162" t="s">
        <v>33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33</v>
      </c>
      <c r="E1163" t="s">
        <v>30</v>
      </c>
      <c r="F1163" t="s">
        <v>33</v>
      </c>
      <c r="G1163" t="s">
        <v>31</v>
      </c>
      <c r="H1163" t="s">
        <v>34</v>
      </c>
      <c r="I1163">
        <v>2075</v>
      </c>
      <c r="J1163">
        <v>1.8342499999999999</v>
      </c>
      <c r="K1163" t="s">
        <v>33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2080</v>
      </c>
      <c r="J1164">
        <v>1.9149500000000002</v>
      </c>
      <c r="K1164" t="s">
        <v>33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2085</v>
      </c>
      <c r="J1165">
        <v>1.8938000000000001</v>
      </c>
      <c r="K1165" t="s">
        <v>33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2090</v>
      </c>
      <c r="J1166">
        <v>1.8727</v>
      </c>
      <c r="K1166" t="s">
        <v>33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2095</v>
      </c>
      <c r="J1167">
        <v>1.7038500000000001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2100</v>
      </c>
      <c r="J1168">
        <v>1.53505</v>
      </c>
      <c r="K1168" t="s">
        <v>33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1.01525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1.0679000000000001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1.0948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1.1705000000000001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1.1912500000000001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1.1880999999999999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1.1802000000000001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1.0223499999999999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0.99229999999999996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0.97989999999999999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0.96994999999999998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1.0199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1.0701000000000001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1.1215000000000002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1.1732499999999999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1.21065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1.2496499999999999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2020</v>
      </c>
      <c r="J1186">
        <v>0.67720000000000002</v>
      </c>
      <c r="K1186" t="s">
        <v>24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2025</v>
      </c>
      <c r="J1187">
        <v>0.47794999999999999</v>
      </c>
      <c r="K1187" t="s">
        <v>24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2030</v>
      </c>
      <c r="J1188">
        <v>0.49895</v>
      </c>
      <c r="K1188" t="s">
        <v>24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2035</v>
      </c>
      <c r="J1189">
        <v>0.48575000000000002</v>
      </c>
      <c r="K1189" t="s">
        <v>24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2040</v>
      </c>
      <c r="J1190">
        <v>0.46534999999999999</v>
      </c>
      <c r="K1190" t="s">
        <v>24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2045</v>
      </c>
      <c r="J1191">
        <v>0.44855</v>
      </c>
      <c r="K1191" t="s">
        <v>24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2050</v>
      </c>
      <c r="J1192">
        <v>0.43764999999999998</v>
      </c>
      <c r="K1192" t="s">
        <v>24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2055</v>
      </c>
      <c r="J1193">
        <v>0.40234999999999999</v>
      </c>
      <c r="K1193" t="s">
        <v>24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2060</v>
      </c>
      <c r="J1194">
        <v>0.38019999999999998</v>
      </c>
      <c r="K1194" t="s">
        <v>24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2065</v>
      </c>
      <c r="J1195">
        <v>0.37340000000000001</v>
      </c>
      <c r="K1195" t="s">
        <v>24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2070</v>
      </c>
      <c r="J1196">
        <v>0.36924999999999997</v>
      </c>
      <c r="K1196" t="s">
        <v>24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2075</v>
      </c>
      <c r="J1197">
        <v>0.36760000000000004</v>
      </c>
      <c r="K1197" t="s">
        <v>24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24</v>
      </c>
      <c r="E1198" t="s">
        <v>25</v>
      </c>
      <c r="F1198" t="s">
        <v>24</v>
      </c>
      <c r="G1198" t="s">
        <v>26</v>
      </c>
      <c r="H1198" t="s">
        <v>13</v>
      </c>
      <c r="I1198">
        <v>2080</v>
      </c>
      <c r="J1198">
        <v>0.36625000000000002</v>
      </c>
      <c r="K1198" t="s">
        <v>24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24</v>
      </c>
      <c r="E1199" t="s">
        <v>25</v>
      </c>
      <c r="F1199" t="s">
        <v>24</v>
      </c>
      <c r="G1199" t="s">
        <v>26</v>
      </c>
      <c r="H1199" t="s">
        <v>13</v>
      </c>
      <c r="I1199">
        <v>2085</v>
      </c>
      <c r="J1199">
        <v>0.37045</v>
      </c>
      <c r="K1199" t="s">
        <v>24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24</v>
      </c>
      <c r="E1200" t="s">
        <v>25</v>
      </c>
      <c r="F1200" t="s">
        <v>24</v>
      </c>
      <c r="G1200" t="s">
        <v>26</v>
      </c>
      <c r="H1200" t="s">
        <v>13</v>
      </c>
      <c r="I1200">
        <v>2090</v>
      </c>
      <c r="J1200">
        <v>0.37485000000000002</v>
      </c>
      <c r="K1200" t="s">
        <v>24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24</v>
      </c>
      <c r="E1201" t="s">
        <v>25</v>
      </c>
      <c r="F1201" t="s">
        <v>24</v>
      </c>
      <c r="G1201" t="s">
        <v>26</v>
      </c>
      <c r="H1201" t="s">
        <v>13</v>
      </c>
      <c r="I1201">
        <v>2095</v>
      </c>
      <c r="J1201">
        <v>0.36604999999999999</v>
      </c>
      <c r="K1201" t="s">
        <v>24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2100</v>
      </c>
      <c r="J1202">
        <v>0.3579</v>
      </c>
      <c r="K1202" t="s">
        <v>24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27</v>
      </c>
      <c r="E1203" t="s">
        <v>25</v>
      </c>
      <c r="F1203" t="s">
        <v>27</v>
      </c>
      <c r="G1203" t="s">
        <v>26</v>
      </c>
      <c r="H1203" t="s">
        <v>10</v>
      </c>
      <c r="I1203">
        <v>2020</v>
      </c>
      <c r="J1203">
        <v>1.7250000000000001E-2</v>
      </c>
      <c r="K1203" t="s">
        <v>27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2025</v>
      </c>
      <c r="J1204">
        <v>5.21E-2</v>
      </c>
      <c r="K1204" t="s">
        <v>27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2030</v>
      </c>
      <c r="J1205">
        <v>0.16955000000000001</v>
      </c>
      <c r="K1205" t="s">
        <v>27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27</v>
      </c>
      <c r="E1206" t="s">
        <v>25</v>
      </c>
      <c r="F1206" t="s">
        <v>27</v>
      </c>
      <c r="G1206" t="s">
        <v>26</v>
      </c>
      <c r="H1206" t="s">
        <v>10</v>
      </c>
      <c r="I1206">
        <v>2035</v>
      </c>
      <c r="J1206">
        <v>0.32140000000000002</v>
      </c>
      <c r="K1206" t="s">
        <v>27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27</v>
      </c>
      <c r="E1207" t="s">
        <v>25</v>
      </c>
      <c r="F1207" t="s">
        <v>27</v>
      </c>
      <c r="G1207" t="s">
        <v>26</v>
      </c>
      <c r="H1207" t="s">
        <v>10</v>
      </c>
      <c r="I1207">
        <v>2040</v>
      </c>
      <c r="J1207">
        <v>0.44364999999999999</v>
      </c>
      <c r="K1207" t="s">
        <v>27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27</v>
      </c>
      <c r="E1208" t="s">
        <v>25</v>
      </c>
      <c r="F1208" t="s">
        <v>27</v>
      </c>
      <c r="G1208" t="s">
        <v>26</v>
      </c>
      <c r="H1208" t="s">
        <v>10</v>
      </c>
      <c r="I1208">
        <v>2045</v>
      </c>
      <c r="J1208">
        <v>0.46189999999999998</v>
      </c>
      <c r="K1208" t="s">
        <v>27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27</v>
      </c>
      <c r="E1209" t="s">
        <v>25</v>
      </c>
      <c r="F1209" t="s">
        <v>27</v>
      </c>
      <c r="G1209" t="s">
        <v>26</v>
      </c>
      <c r="H1209" t="s">
        <v>10</v>
      </c>
      <c r="I1209">
        <v>2050</v>
      </c>
      <c r="J1209">
        <v>0.41010000000000002</v>
      </c>
      <c r="K1209" t="s">
        <v>27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27</v>
      </c>
      <c r="E1210" t="s">
        <v>25</v>
      </c>
      <c r="F1210" t="s">
        <v>27</v>
      </c>
      <c r="G1210" t="s">
        <v>26</v>
      </c>
      <c r="H1210" t="s">
        <v>10</v>
      </c>
      <c r="I1210">
        <v>2055</v>
      </c>
      <c r="J1210">
        <v>0.49054999999999999</v>
      </c>
      <c r="K1210" t="s">
        <v>27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27</v>
      </c>
      <c r="E1211" t="s">
        <v>25</v>
      </c>
      <c r="F1211" t="s">
        <v>27</v>
      </c>
      <c r="G1211" t="s">
        <v>26</v>
      </c>
      <c r="H1211" t="s">
        <v>10</v>
      </c>
      <c r="I1211">
        <v>2060</v>
      </c>
      <c r="J1211">
        <v>0.49014999999999997</v>
      </c>
      <c r="K1211" t="s">
        <v>27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27</v>
      </c>
      <c r="E1212" t="s">
        <v>25</v>
      </c>
      <c r="F1212" t="s">
        <v>27</v>
      </c>
      <c r="G1212" t="s">
        <v>26</v>
      </c>
      <c r="H1212" t="s">
        <v>10</v>
      </c>
      <c r="I1212">
        <v>2065</v>
      </c>
      <c r="J1212">
        <v>0.47875000000000001</v>
      </c>
      <c r="K1212" t="s">
        <v>27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27</v>
      </c>
      <c r="E1213" t="s">
        <v>25</v>
      </c>
      <c r="F1213" t="s">
        <v>27</v>
      </c>
      <c r="G1213" t="s">
        <v>26</v>
      </c>
      <c r="H1213" t="s">
        <v>10</v>
      </c>
      <c r="I1213">
        <v>2070</v>
      </c>
      <c r="J1213">
        <v>0.46965000000000001</v>
      </c>
      <c r="K1213" t="s">
        <v>27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27</v>
      </c>
      <c r="E1214" t="s">
        <v>25</v>
      </c>
      <c r="F1214" t="s">
        <v>27</v>
      </c>
      <c r="G1214" t="s">
        <v>26</v>
      </c>
      <c r="H1214" t="s">
        <v>10</v>
      </c>
      <c r="I1214">
        <v>2075</v>
      </c>
      <c r="J1214">
        <v>0.46294999999999997</v>
      </c>
      <c r="K1214" t="s">
        <v>27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2080</v>
      </c>
      <c r="J1215">
        <v>0.4572</v>
      </c>
      <c r="K1215" t="s">
        <v>27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2085</v>
      </c>
      <c r="J1216">
        <v>0.45465</v>
      </c>
      <c r="K1216" t="s">
        <v>27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2090</v>
      </c>
      <c r="J1217">
        <v>0.45389999999999997</v>
      </c>
      <c r="K1217" t="s">
        <v>27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2095</v>
      </c>
      <c r="J1218">
        <v>0.45545000000000002</v>
      </c>
      <c r="K1218" t="s">
        <v>27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2100</v>
      </c>
      <c r="J1219">
        <v>0.45579999999999998</v>
      </c>
      <c r="K1219" t="s">
        <v>27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2020</v>
      </c>
      <c r="J1220">
        <v>3.9710999999999999</v>
      </c>
      <c r="K1220" t="s">
        <v>35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2025</v>
      </c>
      <c r="J1221">
        <v>4.6830999999999996</v>
      </c>
      <c r="K1221" t="s">
        <v>35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35</v>
      </c>
      <c r="E1222" t="s">
        <v>30</v>
      </c>
      <c r="F1222" t="s">
        <v>35</v>
      </c>
      <c r="G1222" t="s">
        <v>31</v>
      </c>
      <c r="H1222" t="s">
        <v>36</v>
      </c>
      <c r="I1222">
        <v>2030</v>
      </c>
      <c r="J1222">
        <v>4.3525</v>
      </c>
      <c r="K1222" t="s">
        <v>35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2035</v>
      </c>
      <c r="J1223">
        <v>5.21875</v>
      </c>
      <c r="K1223" t="s">
        <v>35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35</v>
      </c>
      <c r="E1224" t="s">
        <v>30</v>
      </c>
      <c r="F1224" t="s">
        <v>35</v>
      </c>
      <c r="G1224" t="s">
        <v>31</v>
      </c>
      <c r="H1224" t="s">
        <v>36</v>
      </c>
      <c r="I1224">
        <v>2040</v>
      </c>
      <c r="J1224">
        <v>4.6133500000000005</v>
      </c>
      <c r="K1224" t="s">
        <v>35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2045</v>
      </c>
      <c r="J1225">
        <v>4.0944000000000003</v>
      </c>
      <c r="K1225" t="s">
        <v>35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35</v>
      </c>
      <c r="E1226" t="s">
        <v>30</v>
      </c>
      <c r="F1226" t="s">
        <v>35</v>
      </c>
      <c r="G1226" t="s">
        <v>31</v>
      </c>
      <c r="H1226" t="s">
        <v>36</v>
      </c>
      <c r="I1226">
        <v>2050</v>
      </c>
      <c r="J1226">
        <v>4.16275</v>
      </c>
      <c r="K1226" t="s">
        <v>35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2055</v>
      </c>
      <c r="J1227">
        <v>4.0207499999999996</v>
      </c>
      <c r="K1227" t="s">
        <v>35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2060</v>
      </c>
      <c r="J1228">
        <v>5.0639500000000002</v>
      </c>
      <c r="K1228" t="s">
        <v>35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2065</v>
      </c>
      <c r="J1229">
        <v>5.1820000000000004</v>
      </c>
      <c r="K1229" t="s">
        <v>35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2070</v>
      </c>
      <c r="J1230">
        <v>5.3000500000000006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2075</v>
      </c>
      <c r="J1231">
        <v>5.1056999999999997</v>
      </c>
      <c r="K1231" t="s">
        <v>35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2080</v>
      </c>
      <c r="J1232">
        <v>4.9113500000000005</v>
      </c>
      <c r="K1232" t="s">
        <v>35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2085</v>
      </c>
      <c r="J1233">
        <v>4.8847000000000005</v>
      </c>
      <c r="K1233" t="s">
        <v>35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2090</v>
      </c>
      <c r="J1234">
        <v>4.8580500000000004</v>
      </c>
      <c r="K1234" t="s">
        <v>35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2095</v>
      </c>
      <c r="J1235">
        <v>4.3528500000000001</v>
      </c>
      <c r="K1235" t="s">
        <v>35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35</v>
      </c>
      <c r="E1236" t="s">
        <v>30</v>
      </c>
      <c r="F1236" t="s">
        <v>35</v>
      </c>
      <c r="G1236" t="s">
        <v>31</v>
      </c>
      <c r="H1236" t="s">
        <v>36</v>
      </c>
      <c r="I1236">
        <v>2100</v>
      </c>
      <c r="J1236">
        <v>3.8476499999999998</v>
      </c>
      <c r="K1236" t="s">
        <v>35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2020</v>
      </c>
      <c r="J1237">
        <v>8.8000000000000005E-3</v>
      </c>
      <c r="K1237" t="s">
        <v>85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2025</v>
      </c>
      <c r="J1238">
        <v>3.3649999999999999E-2</v>
      </c>
      <c r="K1238" t="s">
        <v>85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2030</v>
      </c>
      <c r="J1239">
        <v>6.1499999999999999E-2</v>
      </c>
      <c r="K1239" t="s">
        <v>85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2035</v>
      </c>
      <c r="J1240">
        <v>9.1249999999999998E-2</v>
      </c>
      <c r="K1240" t="s">
        <v>85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2040</v>
      </c>
      <c r="J1241">
        <v>0.11330000000000001</v>
      </c>
      <c r="K1241" t="s">
        <v>85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2045</v>
      </c>
      <c r="J1242">
        <v>0.13009999999999999</v>
      </c>
      <c r="K1242" t="s">
        <v>85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2050</v>
      </c>
      <c r="J1243">
        <v>0.14085</v>
      </c>
      <c r="K1243" t="s">
        <v>85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2055</v>
      </c>
      <c r="J1244">
        <v>0.14399999999999999</v>
      </c>
      <c r="K1244" t="s">
        <v>85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2060</v>
      </c>
      <c r="J1245">
        <v>0.13999999999999999</v>
      </c>
      <c r="K1245" t="s">
        <v>85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2065</v>
      </c>
      <c r="J1246">
        <v>0.13305</v>
      </c>
      <c r="K1246" t="s">
        <v>85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2070</v>
      </c>
      <c r="J1247">
        <v>0.12514999999999998</v>
      </c>
      <c r="K1247" t="s">
        <v>85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2075</v>
      </c>
      <c r="J1248">
        <v>0.12614999999999998</v>
      </c>
      <c r="K1248" t="s">
        <v>85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85</v>
      </c>
      <c r="E1249" t="s">
        <v>25</v>
      </c>
      <c r="F1249" t="s">
        <v>85</v>
      </c>
      <c r="G1249" t="s">
        <v>26</v>
      </c>
      <c r="H1249" t="s">
        <v>82</v>
      </c>
      <c r="I1249">
        <v>2080</v>
      </c>
      <c r="J1249">
        <v>0.12665000000000001</v>
      </c>
      <c r="K1249" t="s">
        <v>85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85</v>
      </c>
      <c r="E1250" t="s">
        <v>25</v>
      </c>
      <c r="F1250" t="s">
        <v>85</v>
      </c>
      <c r="G1250" t="s">
        <v>26</v>
      </c>
      <c r="H1250" t="s">
        <v>82</v>
      </c>
      <c r="I1250">
        <v>2085</v>
      </c>
      <c r="J1250">
        <v>0.13519999999999999</v>
      </c>
      <c r="K1250" t="s">
        <v>85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85</v>
      </c>
      <c r="E1251" t="s">
        <v>25</v>
      </c>
      <c r="F1251" t="s">
        <v>85</v>
      </c>
      <c r="G1251" t="s">
        <v>26</v>
      </c>
      <c r="H1251" t="s">
        <v>82</v>
      </c>
      <c r="I1251">
        <v>2090</v>
      </c>
      <c r="J1251">
        <v>0.14315</v>
      </c>
      <c r="K1251" t="s">
        <v>85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85</v>
      </c>
      <c r="E1252" t="s">
        <v>25</v>
      </c>
      <c r="F1252" t="s">
        <v>85</v>
      </c>
      <c r="G1252" t="s">
        <v>26</v>
      </c>
      <c r="H1252" t="s">
        <v>82</v>
      </c>
      <c r="I1252">
        <v>2095</v>
      </c>
      <c r="J1252">
        <v>0.16599999999999998</v>
      </c>
      <c r="K1252" t="s">
        <v>85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85</v>
      </c>
      <c r="E1253" t="s">
        <v>25</v>
      </c>
      <c r="F1253" t="s">
        <v>85</v>
      </c>
      <c r="G1253" t="s">
        <v>26</v>
      </c>
      <c r="H1253" t="s">
        <v>82</v>
      </c>
      <c r="I1253">
        <v>2100</v>
      </c>
      <c r="J1253">
        <v>0.18609999999999999</v>
      </c>
      <c r="K1253" t="s">
        <v>85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2.1031500000000003</v>
      </c>
      <c r="K1254" t="s">
        <v>45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8.7012</v>
      </c>
      <c r="K1255" t="s">
        <v>45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19.336100000000002</v>
      </c>
      <c r="K1256" t="s">
        <v>45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31.120950000000001</v>
      </c>
      <c r="K1257" t="s">
        <v>45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39.538650000000004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55.454250000000002</v>
      </c>
      <c r="K1259" t="s">
        <v>45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73.110050000000001</v>
      </c>
      <c r="K1260" t="s">
        <v>45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76.211199999999991</v>
      </c>
      <c r="K1261" t="s">
        <v>45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79.966450000000009</v>
      </c>
      <c r="K1262" t="s">
        <v>45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80.899699999999996</v>
      </c>
      <c r="K1263" t="s">
        <v>45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81.289100000000005</v>
      </c>
      <c r="K1264" t="s">
        <v>45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82.568950000000001</v>
      </c>
      <c r="K1265" t="s">
        <v>45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83.550849999999997</v>
      </c>
      <c r="K1266" t="s">
        <v>45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83.899499999999989</v>
      </c>
      <c r="K1267" t="s">
        <v>45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84.143499999999989</v>
      </c>
      <c r="K1268" t="s">
        <v>45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79.679149999999993</v>
      </c>
      <c r="K1269" t="s">
        <v>45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74.8947</v>
      </c>
      <c r="K1270" t="s">
        <v>45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52</v>
      </c>
      <c r="E1271" t="s">
        <v>25</v>
      </c>
      <c r="F1271" t="s">
        <v>52</v>
      </c>
      <c r="G1271" t="s">
        <v>71</v>
      </c>
      <c r="H1271" t="s">
        <v>89</v>
      </c>
      <c r="I1271">
        <v>2020</v>
      </c>
      <c r="J1271">
        <v>8.5400000000000004E-2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2025</v>
      </c>
      <c r="J1272">
        <v>2.3699999999999999E-2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52</v>
      </c>
      <c r="E1273" t="s">
        <v>25</v>
      </c>
      <c r="F1273" t="s">
        <v>52</v>
      </c>
      <c r="G1273" t="s">
        <v>71</v>
      </c>
      <c r="H1273" t="s">
        <v>89</v>
      </c>
      <c r="I1273">
        <v>2030</v>
      </c>
      <c r="J1273">
        <v>4.0000000000000002E-4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2035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52</v>
      </c>
      <c r="E1275" t="s">
        <v>25</v>
      </c>
      <c r="F1275" t="s">
        <v>52</v>
      </c>
      <c r="G1275" t="s">
        <v>71</v>
      </c>
      <c r="H1275" t="s">
        <v>89</v>
      </c>
      <c r="I1275">
        <v>2040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52</v>
      </c>
      <c r="E1276" t="s">
        <v>25</v>
      </c>
      <c r="F1276" t="s">
        <v>52</v>
      </c>
      <c r="G1276" t="s">
        <v>71</v>
      </c>
      <c r="H1276" t="s">
        <v>89</v>
      </c>
      <c r="I1276">
        <v>2045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52</v>
      </c>
      <c r="E1277" t="s">
        <v>25</v>
      </c>
      <c r="F1277" t="s">
        <v>52</v>
      </c>
      <c r="G1277" t="s">
        <v>71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52</v>
      </c>
      <c r="E1280" t="s">
        <v>25</v>
      </c>
      <c r="F1280" t="s">
        <v>52</v>
      </c>
      <c r="G1280" t="s">
        <v>71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52</v>
      </c>
      <c r="E1282" t="s">
        <v>25</v>
      </c>
      <c r="F1282" t="s">
        <v>52</v>
      </c>
      <c r="G1282" t="s">
        <v>71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53</v>
      </c>
      <c r="E1288" t="s">
        <v>25</v>
      </c>
      <c r="F1288" t="s">
        <v>53</v>
      </c>
      <c r="G1288" t="s">
        <v>71</v>
      </c>
      <c r="H1288" t="s">
        <v>89</v>
      </c>
      <c r="I1288">
        <v>2020</v>
      </c>
      <c r="J1288">
        <v>0.2072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53</v>
      </c>
      <c r="E1289" t="s">
        <v>25</v>
      </c>
      <c r="F1289" t="s">
        <v>53</v>
      </c>
      <c r="G1289" t="s">
        <v>71</v>
      </c>
      <c r="H1289" t="s">
        <v>89</v>
      </c>
      <c r="I1289">
        <v>2025</v>
      </c>
      <c r="J1289">
        <v>0.1128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2030</v>
      </c>
      <c r="J1290">
        <v>5.6599999999999998E-2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2035</v>
      </c>
      <c r="J1291">
        <v>4.8999999999999998E-3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2040</v>
      </c>
      <c r="J1292">
        <v>2.5999999999999999E-3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2045</v>
      </c>
      <c r="J1293">
        <v>1.8E-3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2050</v>
      </c>
      <c r="J1294">
        <v>8.9999999999999998E-4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2055</v>
      </c>
      <c r="J1295">
        <v>1.5000000000000001E-4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2060</v>
      </c>
      <c r="J1296">
        <v>0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53</v>
      </c>
      <c r="E1297" t="s">
        <v>25</v>
      </c>
      <c r="F1297" t="s">
        <v>53</v>
      </c>
      <c r="G1297" t="s">
        <v>71</v>
      </c>
      <c r="H1297" t="s">
        <v>89</v>
      </c>
      <c r="I1297">
        <v>2065</v>
      </c>
      <c r="J1297">
        <v>0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53</v>
      </c>
      <c r="E1298" t="s">
        <v>25</v>
      </c>
      <c r="F1298" t="s">
        <v>53</v>
      </c>
      <c r="G1298" t="s">
        <v>71</v>
      </c>
      <c r="H1298" t="s">
        <v>89</v>
      </c>
      <c r="I1298">
        <v>2070</v>
      </c>
      <c r="J1298">
        <v>0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53</v>
      </c>
      <c r="E1299" t="s">
        <v>25</v>
      </c>
      <c r="F1299" t="s">
        <v>53</v>
      </c>
      <c r="G1299" t="s">
        <v>71</v>
      </c>
      <c r="H1299" t="s">
        <v>89</v>
      </c>
      <c r="I1299">
        <v>2075</v>
      </c>
      <c r="J1299">
        <v>0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53</v>
      </c>
      <c r="E1300" t="s">
        <v>25</v>
      </c>
      <c r="F1300" t="s">
        <v>53</v>
      </c>
      <c r="G1300" t="s">
        <v>71</v>
      </c>
      <c r="H1300" t="s">
        <v>89</v>
      </c>
      <c r="I1300">
        <v>2080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53</v>
      </c>
      <c r="E1301" t="s">
        <v>25</v>
      </c>
      <c r="F1301" t="s">
        <v>53</v>
      </c>
      <c r="G1301" t="s">
        <v>71</v>
      </c>
      <c r="H1301" t="s">
        <v>89</v>
      </c>
      <c r="I1301">
        <v>2085</v>
      </c>
      <c r="J1301">
        <v>0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53</v>
      </c>
      <c r="E1302" t="s">
        <v>25</v>
      </c>
      <c r="F1302" t="s">
        <v>53</v>
      </c>
      <c r="G1302" t="s">
        <v>71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54</v>
      </c>
      <c r="E1305" t="s">
        <v>25</v>
      </c>
      <c r="F1305" t="s">
        <v>54</v>
      </c>
      <c r="G1305" t="s">
        <v>71</v>
      </c>
      <c r="H1305" t="s">
        <v>89</v>
      </c>
      <c r="I1305">
        <v>2020</v>
      </c>
      <c r="J1305">
        <v>1.1599999999999999E-2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54</v>
      </c>
      <c r="E1306" t="s">
        <v>25</v>
      </c>
      <c r="F1306" t="s">
        <v>54</v>
      </c>
      <c r="G1306" t="s">
        <v>71</v>
      </c>
      <c r="H1306" t="s">
        <v>89</v>
      </c>
      <c r="I1306">
        <v>2025</v>
      </c>
      <c r="J1306">
        <v>4.0000000000000001E-3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54</v>
      </c>
      <c r="E1307" t="s">
        <v>25</v>
      </c>
      <c r="F1307" t="s">
        <v>54</v>
      </c>
      <c r="G1307" t="s">
        <v>71</v>
      </c>
      <c r="H1307" t="s">
        <v>89</v>
      </c>
      <c r="I1307">
        <v>2030</v>
      </c>
      <c r="J1307">
        <v>5.9999999999999995E-4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54</v>
      </c>
      <c r="E1308" t="s">
        <v>25</v>
      </c>
      <c r="F1308" t="s">
        <v>54</v>
      </c>
      <c r="G1308" t="s">
        <v>71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54</v>
      </c>
      <c r="E1310" t="s">
        <v>25</v>
      </c>
      <c r="F1310" t="s">
        <v>54</v>
      </c>
      <c r="G1310" t="s">
        <v>71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54</v>
      </c>
      <c r="E1319" t="s">
        <v>25</v>
      </c>
      <c r="F1319" t="s">
        <v>54</v>
      </c>
      <c r="G1319" t="s">
        <v>71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54</v>
      </c>
      <c r="E1320" t="s">
        <v>25</v>
      </c>
      <c r="F1320" t="s">
        <v>54</v>
      </c>
      <c r="G1320" t="s">
        <v>71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74.293300000000002</v>
      </c>
      <c r="K1322" t="s">
        <v>37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34.571250000000006</v>
      </c>
      <c r="K1323" t="s">
        <v>37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37.030149999999999</v>
      </c>
      <c r="K1324" t="s">
        <v>37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2.7265999999999999</v>
      </c>
      <c r="K1325" t="s">
        <v>37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2.4035500000000001</v>
      </c>
      <c r="K1326" t="s">
        <v>37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5.1338999999999997</v>
      </c>
      <c r="K1327" t="s">
        <v>37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1.6668499999999999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78.421099999999996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130.8836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163.33404999999999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195.78455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196.56639999999999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197.34829999999999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182.1729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166.9975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195.20920000000001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223.42089999999999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2020</v>
      </c>
      <c r="J1339">
        <v>113.03104999999999</v>
      </c>
      <c r="K1339" t="s">
        <v>48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48</v>
      </c>
      <c r="E1340" t="s">
        <v>46</v>
      </c>
      <c r="F1340" t="s">
        <v>48</v>
      </c>
      <c r="G1340" t="s">
        <v>49</v>
      </c>
      <c r="H1340" t="s">
        <v>50</v>
      </c>
      <c r="I1340">
        <v>2025</v>
      </c>
      <c r="J1340">
        <v>-133.66974999999999</v>
      </c>
      <c r="K1340" t="s">
        <v>48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48</v>
      </c>
      <c r="E1341" t="s">
        <v>46</v>
      </c>
      <c r="F1341" t="s">
        <v>48</v>
      </c>
      <c r="G1341" t="s">
        <v>49</v>
      </c>
      <c r="H1341" t="s">
        <v>50</v>
      </c>
      <c r="I1341">
        <v>2030</v>
      </c>
      <c r="J1341">
        <v>-361.13215000000002</v>
      </c>
      <c r="K1341" t="s">
        <v>48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48</v>
      </c>
      <c r="E1342" t="s">
        <v>46</v>
      </c>
      <c r="F1342" t="s">
        <v>48</v>
      </c>
      <c r="G1342" t="s">
        <v>49</v>
      </c>
      <c r="H1342" t="s">
        <v>50</v>
      </c>
      <c r="I1342">
        <v>2035</v>
      </c>
      <c r="J1342">
        <v>-530.38724999999999</v>
      </c>
      <c r="K1342" t="s">
        <v>48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48</v>
      </c>
      <c r="E1343" t="s">
        <v>46</v>
      </c>
      <c r="F1343" t="s">
        <v>48</v>
      </c>
      <c r="G1343" t="s">
        <v>49</v>
      </c>
      <c r="H1343" t="s">
        <v>50</v>
      </c>
      <c r="I1343">
        <v>2040</v>
      </c>
      <c r="J1343">
        <v>-660.46135000000004</v>
      </c>
      <c r="K1343" t="s">
        <v>48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48</v>
      </c>
      <c r="E1344" t="s">
        <v>46</v>
      </c>
      <c r="F1344" t="s">
        <v>48</v>
      </c>
      <c r="G1344" t="s">
        <v>49</v>
      </c>
      <c r="H1344" t="s">
        <v>50</v>
      </c>
      <c r="I1344">
        <v>2045</v>
      </c>
      <c r="J1344">
        <v>-712.32704999999999</v>
      </c>
      <c r="K1344" t="s">
        <v>48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48</v>
      </c>
      <c r="E1345" t="s">
        <v>46</v>
      </c>
      <c r="F1345" t="s">
        <v>48</v>
      </c>
      <c r="G1345" t="s">
        <v>49</v>
      </c>
      <c r="H1345" t="s">
        <v>50</v>
      </c>
      <c r="I1345">
        <v>2050</v>
      </c>
      <c r="J1345">
        <v>-725.41949999999997</v>
      </c>
      <c r="K1345" t="s">
        <v>48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48</v>
      </c>
      <c r="E1346" t="s">
        <v>46</v>
      </c>
      <c r="F1346" t="s">
        <v>48</v>
      </c>
      <c r="G1346" t="s">
        <v>49</v>
      </c>
      <c r="H1346" t="s">
        <v>50</v>
      </c>
      <c r="I1346">
        <v>2055</v>
      </c>
      <c r="J1346">
        <v>-649.49770000000001</v>
      </c>
      <c r="K1346" t="s">
        <v>48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48</v>
      </c>
      <c r="E1347" t="s">
        <v>46</v>
      </c>
      <c r="F1347" t="s">
        <v>48</v>
      </c>
      <c r="G1347" t="s">
        <v>49</v>
      </c>
      <c r="H1347" t="s">
        <v>50</v>
      </c>
      <c r="I1347">
        <v>2060</v>
      </c>
      <c r="J1347">
        <v>-578.22625000000005</v>
      </c>
      <c r="K1347" t="s">
        <v>48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48</v>
      </c>
      <c r="E1348" t="s">
        <v>46</v>
      </c>
      <c r="F1348" t="s">
        <v>48</v>
      </c>
      <c r="G1348" t="s">
        <v>49</v>
      </c>
      <c r="H1348" t="s">
        <v>50</v>
      </c>
      <c r="I1348">
        <v>2065</v>
      </c>
      <c r="J1348">
        <v>-526.38519999999994</v>
      </c>
      <c r="K1348" t="s">
        <v>48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48</v>
      </c>
      <c r="E1349" t="s">
        <v>46</v>
      </c>
      <c r="F1349" t="s">
        <v>48</v>
      </c>
      <c r="G1349" t="s">
        <v>49</v>
      </c>
      <c r="H1349" t="s">
        <v>50</v>
      </c>
      <c r="I1349">
        <v>2070</v>
      </c>
      <c r="J1349">
        <v>-474.59985</v>
      </c>
      <c r="K1349" t="s">
        <v>48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48</v>
      </c>
      <c r="E1350" t="s">
        <v>46</v>
      </c>
      <c r="F1350" t="s">
        <v>48</v>
      </c>
      <c r="G1350" t="s">
        <v>49</v>
      </c>
      <c r="H1350" t="s">
        <v>50</v>
      </c>
      <c r="I1350">
        <v>2075</v>
      </c>
      <c r="J1350">
        <v>-480.7912</v>
      </c>
      <c r="K1350" t="s">
        <v>48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2080</v>
      </c>
      <c r="J1351">
        <v>-487.76094999999998</v>
      </c>
      <c r="K1351" t="s">
        <v>48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48</v>
      </c>
      <c r="E1352" t="s">
        <v>46</v>
      </c>
      <c r="F1352" t="s">
        <v>48</v>
      </c>
      <c r="G1352" t="s">
        <v>49</v>
      </c>
      <c r="H1352" t="s">
        <v>50</v>
      </c>
      <c r="I1352">
        <v>2085</v>
      </c>
      <c r="J1352">
        <v>-452.27105</v>
      </c>
      <c r="K1352" t="s">
        <v>48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2090</v>
      </c>
      <c r="J1353">
        <v>-416.83500000000004</v>
      </c>
      <c r="K1353" t="s">
        <v>48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48</v>
      </c>
      <c r="E1354" t="s">
        <v>46</v>
      </c>
      <c r="F1354" t="s">
        <v>48</v>
      </c>
      <c r="G1354" t="s">
        <v>49</v>
      </c>
      <c r="H1354" t="s">
        <v>50</v>
      </c>
      <c r="I1354">
        <v>2095</v>
      </c>
      <c r="J1354">
        <v>-278.74805000000003</v>
      </c>
      <c r="K1354" t="s">
        <v>48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48</v>
      </c>
      <c r="E1355" t="s">
        <v>46</v>
      </c>
      <c r="F1355" t="s">
        <v>48</v>
      </c>
      <c r="G1355" t="s">
        <v>49</v>
      </c>
      <c r="H1355" t="s">
        <v>50</v>
      </c>
      <c r="I1355">
        <v>2100</v>
      </c>
      <c r="J1355">
        <v>-140.69299999999998</v>
      </c>
      <c r="K1355" t="s">
        <v>48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51</v>
      </c>
      <c r="E1356" t="s">
        <v>46</v>
      </c>
      <c r="F1356" t="s">
        <v>51</v>
      </c>
      <c r="G1356" t="s">
        <v>49</v>
      </c>
      <c r="H1356" t="s">
        <v>50</v>
      </c>
      <c r="I1356">
        <v>2020</v>
      </c>
      <c r="J1356">
        <v>469.49655000000001</v>
      </c>
      <c r="K1356" t="s">
        <v>51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51</v>
      </c>
      <c r="E1357" t="s">
        <v>46</v>
      </c>
      <c r="F1357" t="s">
        <v>51</v>
      </c>
      <c r="G1357" t="s">
        <v>49</v>
      </c>
      <c r="H1357" t="s">
        <v>50</v>
      </c>
      <c r="I1357">
        <v>2025</v>
      </c>
      <c r="J1357">
        <v>372.25369999999998</v>
      </c>
      <c r="K1357" t="s">
        <v>51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51</v>
      </c>
      <c r="E1358" t="s">
        <v>46</v>
      </c>
      <c r="F1358" t="s">
        <v>51</v>
      </c>
      <c r="G1358" t="s">
        <v>49</v>
      </c>
      <c r="H1358" t="s">
        <v>50</v>
      </c>
      <c r="I1358">
        <v>2030</v>
      </c>
      <c r="J1358">
        <v>238.0249</v>
      </c>
      <c r="K1358" t="s">
        <v>51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51</v>
      </c>
      <c r="E1359" t="s">
        <v>46</v>
      </c>
      <c r="F1359" t="s">
        <v>51</v>
      </c>
      <c r="G1359" t="s">
        <v>49</v>
      </c>
      <c r="H1359" t="s">
        <v>50</v>
      </c>
      <c r="I1359">
        <v>2035</v>
      </c>
      <c r="J1359">
        <v>104.49575</v>
      </c>
      <c r="K1359" t="s">
        <v>51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51</v>
      </c>
      <c r="E1360" t="s">
        <v>46</v>
      </c>
      <c r="F1360" t="s">
        <v>51</v>
      </c>
      <c r="G1360" t="s">
        <v>49</v>
      </c>
      <c r="H1360" t="s">
        <v>50</v>
      </c>
      <c r="I1360">
        <v>2040</v>
      </c>
      <c r="J1360">
        <v>2.7552000000000003</v>
      </c>
      <c r="K1360" t="s">
        <v>51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51</v>
      </c>
      <c r="E1361" t="s">
        <v>46</v>
      </c>
      <c r="F1361" t="s">
        <v>51</v>
      </c>
      <c r="G1361" t="s">
        <v>49</v>
      </c>
      <c r="H1361" t="s">
        <v>50</v>
      </c>
      <c r="I1361">
        <v>2045</v>
      </c>
      <c r="J1361">
        <v>-45.45655</v>
      </c>
      <c r="K1361" t="s">
        <v>51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51</v>
      </c>
      <c r="E1362" t="s">
        <v>46</v>
      </c>
      <c r="F1362" t="s">
        <v>51</v>
      </c>
      <c r="G1362" t="s">
        <v>49</v>
      </c>
      <c r="H1362" t="s">
        <v>50</v>
      </c>
      <c r="I1362">
        <v>2050</v>
      </c>
      <c r="J1362">
        <v>-55.157650000000004</v>
      </c>
      <c r="K1362" t="s">
        <v>51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51</v>
      </c>
      <c r="E1363" t="s">
        <v>46</v>
      </c>
      <c r="F1363" t="s">
        <v>51</v>
      </c>
      <c r="G1363" t="s">
        <v>49</v>
      </c>
      <c r="H1363" t="s">
        <v>50</v>
      </c>
      <c r="I1363">
        <v>2055</v>
      </c>
      <c r="J1363">
        <v>-46.873400000000004</v>
      </c>
      <c r="K1363" t="s">
        <v>51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51</v>
      </c>
      <c r="E1364" t="s">
        <v>46</v>
      </c>
      <c r="F1364" t="s">
        <v>51</v>
      </c>
      <c r="G1364" t="s">
        <v>49</v>
      </c>
      <c r="H1364" t="s">
        <v>50</v>
      </c>
      <c r="I1364">
        <v>2060</v>
      </c>
      <c r="J1364">
        <v>-44.848149999999997</v>
      </c>
      <c r="K1364" t="s">
        <v>51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51</v>
      </c>
      <c r="E1365" t="s">
        <v>46</v>
      </c>
      <c r="F1365" t="s">
        <v>51</v>
      </c>
      <c r="G1365" t="s">
        <v>49</v>
      </c>
      <c r="H1365" t="s">
        <v>50</v>
      </c>
      <c r="I1365">
        <v>2065</v>
      </c>
      <c r="J1365">
        <v>-39.111199999999997</v>
      </c>
      <c r="K1365" t="s">
        <v>51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2070</v>
      </c>
      <c r="J1366">
        <v>-33.431800000000003</v>
      </c>
      <c r="K1366" t="s">
        <v>51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51</v>
      </c>
      <c r="E1367" t="s">
        <v>46</v>
      </c>
      <c r="F1367" t="s">
        <v>51</v>
      </c>
      <c r="G1367" t="s">
        <v>49</v>
      </c>
      <c r="H1367" t="s">
        <v>50</v>
      </c>
      <c r="I1367">
        <v>2075</v>
      </c>
      <c r="J1367">
        <v>-17.29195</v>
      </c>
      <c r="K1367" t="s">
        <v>51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2080</v>
      </c>
      <c r="J1368">
        <v>-1.9339500000000001</v>
      </c>
      <c r="K1368" t="s">
        <v>51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51</v>
      </c>
      <c r="E1369" t="s">
        <v>46</v>
      </c>
      <c r="F1369" t="s">
        <v>51</v>
      </c>
      <c r="G1369" t="s">
        <v>49</v>
      </c>
      <c r="H1369" t="s">
        <v>50</v>
      </c>
      <c r="I1369">
        <v>2085</v>
      </c>
      <c r="J1369">
        <v>9.8227000000000011</v>
      </c>
      <c r="K1369" t="s">
        <v>51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51</v>
      </c>
      <c r="E1370" t="s">
        <v>46</v>
      </c>
      <c r="F1370" t="s">
        <v>51</v>
      </c>
      <c r="G1370" t="s">
        <v>49</v>
      </c>
      <c r="H1370" t="s">
        <v>50</v>
      </c>
      <c r="I1370">
        <v>2090</v>
      </c>
      <c r="J1370">
        <v>21.510750000000002</v>
      </c>
      <c r="K1370" t="s">
        <v>51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51</v>
      </c>
      <c r="E1371" t="s">
        <v>46</v>
      </c>
      <c r="F1371" t="s">
        <v>51</v>
      </c>
      <c r="G1371" t="s">
        <v>49</v>
      </c>
      <c r="H1371" t="s">
        <v>50</v>
      </c>
      <c r="I1371">
        <v>2095</v>
      </c>
      <c r="J1371">
        <v>21.772449999999999</v>
      </c>
      <c r="K1371" t="s">
        <v>51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51</v>
      </c>
      <c r="E1372" t="s">
        <v>46</v>
      </c>
      <c r="F1372" t="s">
        <v>51</v>
      </c>
      <c r="G1372" t="s">
        <v>49</v>
      </c>
      <c r="H1372" t="s">
        <v>50</v>
      </c>
      <c r="I1372">
        <v>2100</v>
      </c>
      <c r="J1372">
        <v>22.002800000000001</v>
      </c>
      <c r="K1372" t="s">
        <v>51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5.6462000000000003</v>
      </c>
      <c r="K1374" t="s">
        <v>29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5.6435499999999994</v>
      </c>
      <c r="K1375" t="s">
        <v>29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5.8456999999999999</v>
      </c>
      <c r="K1376" t="s">
        <v>29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5.91425</v>
      </c>
      <c r="K1377" t="s">
        <v>29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6.5330500000000002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7.6464999999999996</v>
      </c>
      <c r="K1379" t="s">
        <v>29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6.8690999999999995</v>
      </c>
      <c r="K1380" t="s">
        <v>29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13.05955</v>
      </c>
      <c r="K1381" t="s">
        <v>29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12.338899999999999</v>
      </c>
      <c r="K1382" t="s">
        <v>29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11.61825</v>
      </c>
      <c r="K1383" t="s">
        <v>29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11.212400000000001</v>
      </c>
      <c r="K1384" t="s">
        <v>29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10.8065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10.06185</v>
      </c>
      <c r="K1386" t="s">
        <v>29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9.3171999999999997</v>
      </c>
      <c r="K1387" t="s">
        <v>29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10.18595</v>
      </c>
      <c r="K1388" t="s">
        <v>29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11.05475</v>
      </c>
      <c r="K1389" t="s">
        <v>29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2.1265499999999999</v>
      </c>
      <c r="K1391" t="s">
        <v>33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2.0793499999999998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2.0613000000000001</v>
      </c>
      <c r="K1393" t="s">
        <v>33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1.9228499999999999</v>
      </c>
      <c r="K1394" t="s">
        <v>33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1.8179000000000001</v>
      </c>
      <c r="K1395" t="s">
        <v>33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1.8801999999999999</v>
      </c>
      <c r="K1396" t="s">
        <v>33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1.8517000000000001</v>
      </c>
      <c r="K1397" t="s">
        <v>33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2.3400499999999997</v>
      </c>
      <c r="K1398" t="s">
        <v>33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2.2040999999999999</v>
      </c>
      <c r="K1399" t="s">
        <v>33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2.0681500000000002</v>
      </c>
      <c r="K1400" t="s">
        <v>33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2.1757499999999999</v>
      </c>
      <c r="K1401" t="s">
        <v>33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2.29</v>
      </c>
      <c r="K1403" t="s">
        <v>33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2.2967</v>
      </c>
      <c r="K1404" t="s">
        <v>33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2.3285</v>
      </c>
      <c r="K1405" t="s">
        <v>33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2.3602499999999997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1.0016500000000002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0.9625999999999999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1.0777000000000001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1.25935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1.3268500000000001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1.33175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1.2193499999999999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1.0478999999999998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0.98419999999999996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1.0076000000000001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1.03105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1.0659000000000001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1.10155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1.1176499999999998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1.1336999999999999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1.1802000000000001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1.2263999999999999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2020</v>
      </c>
      <c r="J1424">
        <v>0.66805000000000003</v>
      </c>
      <c r="K1424" t="s">
        <v>24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2025</v>
      </c>
      <c r="J1425">
        <v>0.65545000000000009</v>
      </c>
      <c r="K1425" t="s">
        <v>24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2030</v>
      </c>
      <c r="J1426">
        <v>0.79505000000000003</v>
      </c>
      <c r="K1426" t="s">
        <v>24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2035</v>
      </c>
      <c r="J1427">
        <v>0.84255000000000002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2040</v>
      </c>
      <c r="J1428">
        <v>0.8879999999999999</v>
      </c>
      <c r="K1428" t="s">
        <v>24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2045</v>
      </c>
      <c r="J1429">
        <v>0.90190000000000003</v>
      </c>
      <c r="K1429" t="s">
        <v>24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2050</v>
      </c>
      <c r="J1430">
        <v>0.88024999999999998</v>
      </c>
      <c r="K1430" t="s">
        <v>24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2055</v>
      </c>
      <c r="J1431">
        <v>0.83404999999999996</v>
      </c>
      <c r="K1431" t="s">
        <v>24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2060</v>
      </c>
      <c r="J1432">
        <v>0.74160000000000004</v>
      </c>
      <c r="K1432" t="s">
        <v>24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2065</v>
      </c>
      <c r="J1433">
        <v>0.71934999999999993</v>
      </c>
      <c r="K1433" t="s">
        <v>24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2070</v>
      </c>
      <c r="J1434">
        <v>0.70079999999999998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2075</v>
      </c>
      <c r="J1435">
        <v>0.67215000000000003</v>
      </c>
      <c r="K1435" t="s">
        <v>24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2080</v>
      </c>
      <c r="J1436">
        <v>0.64644999999999997</v>
      </c>
      <c r="K1436" t="s">
        <v>24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0.60915000000000008</v>
      </c>
      <c r="K1437" t="s">
        <v>24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24</v>
      </c>
      <c r="E1438" t="s">
        <v>25</v>
      </c>
      <c r="F1438" t="s">
        <v>24</v>
      </c>
      <c r="G1438" t="s">
        <v>26</v>
      </c>
      <c r="H1438" t="s">
        <v>13</v>
      </c>
      <c r="I1438">
        <v>2090</v>
      </c>
      <c r="J1438">
        <v>0.57094999999999996</v>
      </c>
      <c r="K1438" t="s">
        <v>24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24</v>
      </c>
      <c r="E1439" t="s">
        <v>25</v>
      </c>
      <c r="F1439" t="s">
        <v>24</v>
      </c>
      <c r="G1439" t="s">
        <v>26</v>
      </c>
      <c r="H1439" t="s">
        <v>13</v>
      </c>
      <c r="I1439">
        <v>2095</v>
      </c>
      <c r="J1439">
        <v>0.54964999999999997</v>
      </c>
      <c r="K1439" t="s">
        <v>24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2100</v>
      </c>
      <c r="J1440">
        <v>0.52939999999999998</v>
      </c>
      <c r="K1440" t="s">
        <v>24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2020</v>
      </c>
      <c r="J1441">
        <v>1.6799999999999999E-2</v>
      </c>
      <c r="K1441" t="s">
        <v>27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2025</v>
      </c>
      <c r="J1442">
        <v>6.3549999999999995E-2</v>
      </c>
      <c r="K1442" t="s">
        <v>27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2030</v>
      </c>
      <c r="J1443">
        <v>0.1883</v>
      </c>
      <c r="K1443" t="s">
        <v>27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2035</v>
      </c>
      <c r="J1444">
        <v>0.32579999999999998</v>
      </c>
      <c r="K1444" t="s">
        <v>27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2040</v>
      </c>
      <c r="J1445">
        <v>0.42910000000000004</v>
      </c>
      <c r="K1445" t="s">
        <v>27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2045</v>
      </c>
      <c r="J1446">
        <v>0.46435000000000004</v>
      </c>
      <c r="K1446" t="s">
        <v>27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2050</v>
      </c>
      <c r="J1447">
        <v>0.48319999999999996</v>
      </c>
      <c r="K1447" t="s">
        <v>27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2055</v>
      </c>
      <c r="J1448">
        <v>0.49995000000000001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2060</v>
      </c>
      <c r="J1449">
        <v>0.51024999999999998</v>
      </c>
      <c r="K1449" t="s">
        <v>27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2065</v>
      </c>
      <c r="J1450">
        <v>0.50209999999999999</v>
      </c>
      <c r="K1450" t="s">
        <v>27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27</v>
      </c>
      <c r="E1451" t="s">
        <v>25</v>
      </c>
      <c r="F1451" t="s">
        <v>27</v>
      </c>
      <c r="G1451" t="s">
        <v>26</v>
      </c>
      <c r="H1451" t="s">
        <v>10</v>
      </c>
      <c r="I1451">
        <v>2070</v>
      </c>
      <c r="J1451">
        <v>0.49519999999999997</v>
      </c>
      <c r="K1451" t="s">
        <v>27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27</v>
      </c>
      <c r="E1452" t="s">
        <v>25</v>
      </c>
      <c r="F1452" t="s">
        <v>27</v>
      </c>
      <c r="G1452" t="s">
        <v>26</v>
      </c>
      <c r="H1452" t="s">
        <v>10</v>
      </c>
      <c r="I1452">
        <v>2075</v>
      </c>
      <c r="J1452">
        <v>0.48914999999999997</v>
      </c>
      <c r="K1452" t="s">
        <v>27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2080</v>
      </c>
      <c r="J1453">
        <v>0.48404999999999998</v>
      </c>
      <c r="K1453" t="s">
        <v>27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2085</v>
      </c>
      <c r="J1454">
        <v>0.47885</v>
      </c>
      <c r="K1454" t="s">
        <v>27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2090</v>
      </c>
      <c r="J1455">
        <v>0.47170000000000001</v>
      </c>
      <c r="K1455" t="s">
        <v>27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2095</v>
      </c>
      <c r="J1456">
        <v>0.47304999999999997</v>
      </c>
      <c r="K1456" t="s">
        <v>27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2100</v>
      </c>
      <c r="J1457">
        <v>0.47570000000000001</v>
      </c>
      <c r="K1457" t="s">
        <v>27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2020</v>
      </c>
      <c r="J1458">
        <v>3.9710999999999999</v>
      </c>
      <c r="K1458" t="s">
        <v>35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2025</v>
      </c>
      <c r="J1459">
        <v>4.5302500000000006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35</v>
      </c>
      <c r="E1460" t="s">
        <v>30</v>
      </c>
      <c r="F1460" t="s">
        <v>35</v>
      </c>
      <c r="G1460" t="s">
        <v>31</v>
      </c>
      <c r="H1460" t="s">
        <v>36</v>
      </c>
      <c r="I1460">
        <v>2030</v>
      </c>
      <c r="J1460">
        <v>4.3168500000000005</v>
      </c>
      <c r="K1460" t="s">
        <v>35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2035</v>
      </c>
      <c r="J1461">
        <v>4.7407500000000002</v>
      </c>
      <c r="K1461" t="s">
        <v>35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35</v>
      </c>
      <c r="E1462" t="s">
        <v>30</v>
      </c>
      <c r="F1462" t="s">
        <v>35</v>
      </c>
      <c r="G1462" t="s">
        <v>31</v>
      </c>
      <c r="H1462" t="s">
        <v>36</v>
      </c>
      <c r="I1462">
        <v>2040</v>
      </c>
      <c r="J1462">
        <v>5.0349500000000003</v>
      </c>
      <c r="K1462" t="s">
        <v>35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2045</v>
      </c>
      <c r="J1463">
        <v>5.3595000000000006</v>
      </c>
      <c r="K1463" t="s">
        <v>35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35</v>
      </c>
      <c r="E1464" t="s">
        <v>30</v>
      </c>
      <c r="F1464" t="s">
        <v>35</v>
      </c>
      <c r="G1464" t="s">
        <v>31</v>
      </c>
      <c r="H1464" t="s">
        <v>36</v>
      </c>
      <c r="I1464">
        <v>2050</v>
      </c>
      <c r="J1464">
        <v>5.35215</v>
      </c>
      <c r="K1464" t="s">
        <v>35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2055</v>
      </c>
      <c r="J1465">
        <v>5.03695</v>
      </c>
      <c r="K1465" t="s">
        <v>35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2060</v>
      </c>
      <c r="J1466">
        <v>6.1361500000000007</v>
      </c>
      <c r="K1466" t="s">
        <v>35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2065</v>
      </c>
      <c r="J1467">
        <v>5.9593500000000006</v>
      </c>
      <c r="K1467" t="s">
        <v>35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2070</v>
      </c>
      <c r="J1468">
        <v>5.7826500000000003</v>
      </c>
      <c r="K1468" t="s">
        <v>35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2075</v>
      </c>
      <c r="J1469">
        <v>5.7862499999999999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2080</v>
      </c>
      <c r="J1470">
        <v>5.7898499999999995</v>
      </c>
      <c r="K1470" t="s">
        <v>35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2085</v>
      </c>
      <c r="J1471">
        <v>5.8544</v>
      </c>
      <c r="K1471" t="s">
        <v>35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2090</v>
      </c>
      <c r="J1472">
        <v>5.9189499999999997</v>
      </c>
      <c r="K1472" t="s">
        <v>35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2095</v>
      </c>
      <c r="J1473">
        <v>5.9424000000000001</v>
      </c>
      <c r="K1473" t="s">
        <v>35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2100</v>
      </c>
      <c r="J1474">
        <v>5.9658999999999995</v>
      </c>
      <c r="K1474" t="s">
        <v>35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2020</v>
      </c>
      <c r="J1475">
        <v>8.8000000000000005E-3</v>
      </c>
      <c r="K1475" t="s">
        <v>85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2025</v>
      </c>
      <c r="J1476">
        <v>3.6699999999999997E-2</v>
      </c>
      <c r="K1476" t="s">
        <v>85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2030</v>
      </c>
      <c r="J1477">
        <v>7.8949999999999992E-2</v>
      </c>
      <c r="K1477" t="s">
        <v>85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2035</v>
      </c>
      <c r="J1478">
        <v>0.13545000000000001</v>
      </c>
      <c r="K1478" t="s">
        <v>85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2040</v>
      </c>
      <c r="J1479">
        <v>0.19350000000000001</v>
      </c>
      <c r="K1479" t="s">
        <v>85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2045</v>
      </c>
      <c r="J1480">
        <v>0.25490000000000002</v>
      </c>
      <c r="K1480" t="s">
        <v>85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2050</v>
      </c>
      <c r="J1481">
        <v>0.35424999999999995</v>
      </c>
      <c r="K1481" t="s">
        <v>85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2055</v>
      </c>
      <c r="J1482">
        <v>0.47094999999999998</v>
      </c>
      <c r="K1482" t="s">
        <v>85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2060</v>
      </c>
      <c r="J1483">
        <v>0.60175000000000001</v>
      </c>
      <c r="K1483" t="s">
        <v>85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2065</v>
      </c>
      <c r="J1484">
        <v>0.59055000000000002</v>
      </c>
      <c r="K1484" t="s">
        <v>85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2070</v>
      </c>
      <c r="J1485">
        <v>0.56125000000000003</v>
      </c>
      <c r="K1485" t="s">
        <v>85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2075</v>
      </c>
      <c r="J1486">
        <v>0.53544999999999998</v>
      </c>
      <c r="K1486" t="s">
        <v>85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85</v>
      </c>
      <c r="E1487" t="s">
        <v>25</v>
      </c>
      <c r="F1487" t="s">
        <v>85</v>
      </c>
      <c r="G1487" t="s">
        <v>26</v>
      </c>
      <c r="H1487" t="s">
        <v>82</v>
      </c>
      <c r="I1487">
        <v>2080</v>
      </c>
      <c r="J1487">
        <v>0.48980000000000001</v>
      </c>
      <c r="K1487" t="s">
        <v>85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85</v>
      </c>
      <c r="E1488" t="s">
        <v>25</v>
      </c>
      <c r="F1488" t="s">
        <v>85</v>
      </c>
      <c r="G1488" t="s">
        <v>26</v>
      </c>
      <c r="H1488" t="s">
        <v>82</v>
      </c>
      <c r="I1488">
        <v>2085</v>
      </c>
      <c r="J1488">
        <v>0.48670000000000002</v>
      </c>
      <c r="K1488" t="s">
        <v>85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85</v>
      </c>
      <c r="E1489" t="s">
        <v>25</v>
      </c>
      <c r="F1489" t="s">
        <v>85</v>
      </c>
      <c r="G1489" t="s">
        <v>26</v>
      </c>
      <c r="H1489" t="s">
        <v>82</v>
      </c>
      <c r="I1489">
        <v>2090</v>
      </c>
      <c r="J1489">
        <v>0.47785</v>
      </c>
      <c r="K1489" t="s">
        <v>85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85</v>
      </c>
      <c r="E1490" t="s">
        <v>25</v>
      </c>
      <c r="F1490" t="s">
        <v>85</v>
      </c>
      <c r="G1490" t="s">
        <v>26</v>
      </c>
      <c r="H1490" t="s">
        <v>82</v>
      </c>
      <c r="I1490">
        <v>2095</v>
      </c>
      <c r="J1490">
        <v>0.4607</v>
      </c>
      <c r="K1490" t="s">
        <v>85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85</v>
      </c>
      <c r="E1491" t="s">
        <v>25</v>
      </c>
      <c r="F1491" t="s">
        <v>85</v>
      </c>
      <c r="G1491" t="s">
        <v>26</v>
      </c>
      <c r="H1491" t="s">
        <v>82</v>
      </c>
      <c r="I1491">
        <v>2100</v>
      </c>
      <c r="J1491">
        <v>0.44309999999999999</v>
      </c>
      <c r="K1491" t="s">
        <v>85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45</v>
      </c>
      <c r="E1492" t="s">
        <v>46</v>
      </c>
      <c r="F1492" t="s">
        <v>45</v>
      </c>
      <c r="G1492" t="s">
        <v>47</v>
      </c>
      <c r="H1492" t="s">
        <v>89</v>
      </c>
      <c r="I1492">
        <v>2020</v>
      </c>
      <c r="J1492">
        <v>2.0997000000000003</v>
      </c>
      <c r="K1492" t="s">
        <v>45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2025</v>
      </c>
      <c r="J1493">
        <v>9.7439499999999999</v>
      </c>
      <c r="K1493" t="s">
        <v>45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45</v>
      </c>
      <c r="E1494" t="s">
        <v>46</v>
      </c>
      <c r="F1494" t="s">
        <v>45</v>
      </c>
      <c r="G1494" t="s">
        <v>47</v>
      </c>
      <c r="H1494" t="s">
        <v>89</v>
      </c>
      <c r="I1494">
        <v>2030</v>
      </c>
      <c r="J1494">
        <v>29.408149999999999</v>
      </c>
      <c r="K1494" t="s">
        <v>45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45</v>
      </c>
      <c r="E1495" t="s">
        <v>46</v>
      </c>
      <c r="F1495" t="s">
        <v>45</v>
      </c>
      <c r="G1495" t="s">
        <v>47</v>
      </c>
      <c r="H1495" t="s">
        <v>89</v>
      </c>
      <c r="I1495">
        <v>2035</v>
      </c>
      <c r="J1495">
        <v>65.31765</v>
      </c>
      <c r="K1495" t="s">
        <v>45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45</v>
      </c>
      <c r="E1496" t="s">
        <v>46</v>
      </c>
      <c r="F1496" t="s">
        <v>45</v>
      </c>
      <c r="G1496" t="s">
        <v>47</v>
      </c>
      <c r="H1496" t="s">
        <v>89</v>
      </c>
      <c r="I1496">
        <v>2040</v>
      </c>
      <c r="J1496">
        <v>104.28115</v>
      </c>
      <c r="K1496" t="s">
        <v>45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45</v>
      </c>
      <c r="E1497" t="s">
        <v>46</v>
      </c>
      <c r="F1497" t="s">
        <v>45</v>
      </c>
      <c r="G1497" t="s">
        <v>47</v>
      </c>
      <c r="H1497" t="s">
        <v>89</v>
      </c>
      <c r="I1497">
        <v>2045</v>
      </c>
      <c r="J1497">
        <v>123.49695</v>
      </c>
      <c r="K1497" t="s">
        <v>45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45</v>
      </c>
      <c r="E1498" t="s">
        <v>46</v>
      </c>
      <c r="F1498" t="s">
        <v>45</v>
      </c>
      <c r="G1498" t="s">
        <v>47</v>
      </c>
      <c r="H1498" t="s">
        <v>89</v>
      </c>
      <c r="I1498">
        <v>2050</v>
      </c>
      <c r="J1498">
        <v>124.35214999999999</v>
      </c>
      <c r="K1498" t="s">
        <v>45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45</v>
      </c>
      <c r="E1499" t="s">
        <v>46</v>
      </c>
      <c r="F1499" t="s">
        <v>45</v>
      </c>
      <c r="G1499" t="s">
        <v>47</v>
      </c>
      <c r="H1499" t="s">
        <v>89</v>
      </c>
      <c r="I1499">
        <v>2055</v>
      </c>
      <c r="J1499">
        <v>116.36920000000001</v>
      </c>
      <c r="K1499" t="s">
        <v>45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2060</v>
      </c>
      <c r="J1500">
        <v>105.59094999999999</v>
      </c>
      <c r="K1500" t="s">
        <v>45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45</v>
      </c>
      <c r="E1501" t="s">
        <v>46</v>
      </c>
      <c r="F1501" t="s">
        <v>45</v>
      </c>
      <c r="G1501" t="s">
        <v>47</v>
      </c>
      <c r="H1501" t="s">
        <v>89</v>
      </c>
      <c r="I1501">
        <v>2065</v>
      </c>
      <c r="J1501">
        <v>89.933799999999991</v>
      </c>
      <c r="K1501" t="s">
        <v>45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2070</v>
      </c>
      <c r="J1502">
        <v>73.833500000000001</v>
      </c>
      <c r="K1502" t="s">
        <v>45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45</v>
      </c>
      <c r="E1503" t="s">
        <v>46</v>
      </c>
      <c r="F1503" t="s">
        <v>45</v>
      </c>
      <c r="G1503" t="s">
        <v>47</v>
      </c>
      <c r="H1503" t="s">
        <v>89</v>
      </c>
      <c r="I1503">
        <v>2075</v>
      </c>
      <c r="J1503">
        <v>51.429649999999995</v>
      </c>
      <c r="K1503" t="s">
        <v>45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45</v>
      </c>
      <c r="E1504" t="s">
        <v>46</v>
      </c>
      <c r="F1504" t="s">
        <v>45</v>
      </c>
      <c r="G1504" t="s">
        <v>47</v>
      </c>
      <c r="H1504" t="s">
        <v>89</v>
      </c>
      <c r="I1504">
        <v>2080</v>
      </c>
      <c r="J1504">
        <v>29.392400000000002</v>
      </c>
      <c r="K1504" t="s">
        <v>45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45</v>
      </c>
      <c r="E1505" t="s">
        <v>46</v>
      </c>
      <c r="F1505" t="s">
        <v>45</v>
      </c>
      <c r="G1505" t="s">
        <v>47</v>
      </c>
      <c r="H1505" t="s">
        <v>89</v>
      </c>
      <c r="I1505">
        <v>2085</v>
      </c>
      <c r="J1505">
        <v>17.086350000000003</v>
      </c>
      <c r="K1505" t="s">
        <v>45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45</v>
      </c>
      <c r="E1506" t="s">
        <v>46</v>
      </c>
      <c r="F1506" t="s">
        <v>45</v>
      </c>
      <c r="G1506" t="s">
        <v>47</v>
      </c>
      <c r="H1506" t="s">
        <v>89</v>
      </c>
      <c r="I1506">
        <v>2090</v>
      </c>
      <c r="J1506">
        <v>4.6966000000000001</v>
      </c>
      <c r="K1506" t="s">
        <v>45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2095</v>
      </c>
      <c r="J1507">
        <v>2.7593000000000001</v>
      </c>
      <c r="K1507" t="s">
        <v>45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45</v>
      </c>
      <c r="E1508" t="s">
        <v>46</v>
      </c>
      <c r="F1508" t="s">
        <v>45</v>
      </c>
      <c r="G1508" t="s">
        <v>47</v>
      </c>
      <c r="H1508" t="s">
        <v>89</v>
      </c>
      <c r="I1508">
        <v>2100</v>
      </c>
      <c r="J1508">
        <v>0.82410000000000005</v>
      </c>
      <c r="K1508" t="s">
        <v>45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2020</v>
      </c>
      <c r="J1509">
        <v>8.2000000000000003E-2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2025</v>
      </c>
      <c r="J1510">
        <v>2.5899999999999999E-2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52</v>
      </c>
      <c r="E1511" t="s">
        <v>25</v>
      </c>
      <c r="F1511" t="s">
        <v>52</v>
      </c>
      <c r="G1511" t="s">
        <v>71</v>
      </c>
      <c r="H1511" t="s">
        <v>89</v>
      </c>
      <c r="I1511">
        <v>2030</v>
      </c>
      <c r="J1511">
        <v>4.0000000000000002E-4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2035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2040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52</v>
      </c>
      <c r="E1514" t="s">
        <v>25</v>
      </c>
      <c r="F1514" t="s">
        <v>52</v>
      </c>
      <c r="G1514" t="s">
        <v>71</v>
      </c>
      <c r="H1514" t="s">
        <v>89</v>
      </c>
      <c r="I1514">
        <v>2045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52</v>
      </c>
      <c r="E1515" t="s">
        <v>25</v>
      </c>
      <c r="F1515" t="s">
        <v>52</v>
      </c>
      <c r="G1515" t="s">
        <v>71</v>
      </c>
      <c r="H1515" t="s">
        <v>89</v>
      </c>
      <c r="I1515">
        <v>2050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2055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2060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52</v>
      </c>
      <c r="E1518" t="s">
        <v>25</v>
      </c>
      <c r="F1518" t="s">
        <v>52</v>
      </c>
      <c r="G1518" t="s">
        <v>71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52</v>
      </c>
      <c r="E1520" t="s">
        <v>25</v>
      </c>
      <c r="F1520" t="s">
        <v>52</v>
      </c>
      <c r="G1520" t="s">
        <v>71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52</v>
      </c>
      <c r="E1521" t="s">
        <v>25</v>
      </c>
      <c r="F1521" t="s">
        <v>52</v>
      </c>
      <c r="G1521" t="s">
        <v>71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52</v>
      </c>
      <c r="E1522" t="s">
        <v>25</v>
      </c>
      <c r="F1522" t="s">
        <v>52</v>
      </c>
      <c r="G1522" t="s">
        <v>71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52</v>
      </c>
      <c r="E1523" t="s">
        <v>25</v>
      </c>
      <c r="F1523" t="s">
        <v>52</v>
      </c>
      <c r="G1523" t="s">
        <v>71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52</v>
      </c>
      <c r="E1525" t="s">
        <v>25</v>
      </c>
      <c r="F1525" t="s">
        <v>52</v>
      </c>
      <c r="G1525" t="s">
        <v>71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0.2011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0.13120000000000001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8.5099999999999995E-2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5.0000000000000001E-3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2.2000000000000001E-3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1.4E-3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6.9999999999999999E-4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1.5000000000000001E-4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2020</v>
      </c>
      <c r="J1543">
        <v>1.12E-2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54</v>
      </c>
      <c r="E1544" t="s">
        <v>25</v>
      </c>
      <c r="F1544" t="s">
        <v>54</v>
      </c>
      <c r="G1544" t="s">
        <v>71</v>
      </c>
      <c r="H1544" t="s">
        <v>89</v>
      </c>
      <c r="I1544">
        <v>2025</v>
      </c>
      <c r="J1544">
        <v>4.4000000000000003E-3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54</v>
      </c>
      <c r="E1545" t="s">
        <v>25</v>
      </c>
      <c r="F1545" t="s">
        <v>54</v>
      </c>
      <c r="G1545" t="s">
        <v>71</v>
      </c>
      <c r="H1545" t="s">
        <v>89</v>
      </c>
      <c r="I1545">
        <v>2030</v>
      </c>
      <c r="J1545">
        <v>8.9999999999999998E-4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54</v>
      </c>
      <c r="E1546" t="s">
        <v>25</v>
      </c>
      <c r="F1546" t="s">
        <v>54</v>
      </c>
      <c r="G1546" t="s">
        <v>71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54</v>
      </c>
      <c r="E1548" t="s">
        <v>25</v>
      </c>
      <c r="F1548" t="s">
        <v>54</v>
      </c>
      <c r="G1548" t="s">
        <v>71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74.293300000000002</v>
      </c>
      <c r="K1560" t="s">
        <v>37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92.331250000000011</v>
      </c>
      <c r="K1561" t="s">
        <v>37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89.640350000000012</v>
      </c>
      <c r="K1562" t="s">
        <v>37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92.385500000000008</v>
      </c>
      <c r="K1563" t="s">
        <v>37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105.3052</v>
      </c>
      <c r="K1564" t="s">
        <v>37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110.38435</v>
      </c>
      <c r="K1565" t="s">
        <v>37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127.7315</v>
      </c>
      <c r="K1566" t="s">
        <v>37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145.02255</v>
      </c>
      <c r="K1567" t="s">
        <v>37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225.43959999999998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263.71559999999999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301.99164999999999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308.05250000000001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314.11329999999998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301.22140000000002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288.32939999999996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310.99599999999998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333.66264999999999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113.81865000000001</v>
      </c>
      <c r="K1577" t="s">
        <v>48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-113.03489999999999</v>
      </c>
      <c r="K1578" t="s">
        <v>48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-327.96820000000002</v>
      </c>
      <c r="K1579" t="s">
        <v>48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-430.22884999999997</v>
      </c>
      <c r="K1580" t="s">
        <v>48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-439.096</v>
      </c>
      <c r="K1581" t="s">
        <v>48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-420.07164999999998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-374.49919999999997</v>
      </c>
      <c r="K1583" t="s">
        <v>48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-364.80465000000004</v>
      </c>
      <c r="K1584" t="s">
        <v>48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-337.93965000000003</v>
      </c>
      <c r="K1585" t="s">
        <v>48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-210.173</v>
      </c>
      <c r="K1586" t="s">
        <v>48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-81.748500000000007</v>
      </c>
      <c r="K1587" t="s">
        <v>48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-188.38684999999998</v>
      </c>
      <c r="K1588" t="s">
        <v>48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-298.55124999999998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-230.90339999999998</v>
      </c>
      <c r="K1590" t="s">
        <v>48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-163.33645000000001</v>
      </c>
      <c r="K1591" t="s">
        <v>48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-211.10685000000001</v>
      </c>
      <c r="K1592" t="s">
        <v>48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-258.53769999999997</v>
      </c>
      <c r="K1593" t="s">
        <v>48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2020</v>
      </c>
      <c r="J1594">
        <v>470.2953</v>
      </c>
      <c r="K1594" t="s">
        <v>51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51</v>
      </c>
      <c r="E1595" t="s">
        <v>46</v>
      </c>
      <c r="F1595" t="s">
        <v>51</v>
      </c>
      <c r="G1595" t="s">
        <v>49</v>
      </c>
      <c r="H1595" t="s">
        <v>50</v>
      </c>
      <c r="I1595">
        <v>2025</v>
      </c>
      <c r="J1595">
        <v>370.34789999999998</v>
      </c>
      <c r="K1595" t="s">
        <v>51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2030</v>
      </c>
      <c r="J1596">
        <v>226.7801</v>
      </c>
      <c r="K1596" t="s">
        <v>51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51</v>
      </c>
      <c r="E1597" t="s">
        <v>46</v>
      </c>
      <c r="F1597" t="s">
        <v>51</v>
      </c>
      <c r="G1597" t="s">
        <v>49</v>
      </c>
      <c r="H1597" t="s">
        <v>50</v>
      </c>
      <c r="I1597">
        <v>2035</v>
      </c>
      <c r="J1597">
        <v>72.44919999999999</v>
      </c>
      <c r="K1597" t="s">
        <v>51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2040</v>
      </c>
      <c r="J1598">
        <v>5.8876999999999997</v>
      </c>
      <c r="K1598" t="s">
        <v>51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2045</v>
      </c>
      <c r="J1599">
        <v>-35.457700000000003</v>
      </c>
      <c r="K1599" t="s">
        <v>51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2050</v>
      </c>
      <c r="J1600">
        <v>-51.546800000000005</v>
      </c>
      <c r="K1600" t="s">
        <v>51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2055</v>
      </c>
      <c r="J1601">
        <v>-62.9328</v>
      </c>
      <c r="K1601" t="s">
        <v>51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2060</v>
      </c>
      <c r="J1602">
        <v>-63.182749999999999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2065</v>
      </c>
      <c r="J1603">
        <v>-53.686250000000001</v>
      </c>
      <c r="K1603" t="s">
        <v>51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2070</v>
      </c>
      <c r="J1604">
        <v>-43.535800000000002</v>
      </c>
      <c r="K1604" t="s">
        <v>51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51</v>
      </c>
      <c r="E1605" t="s">
        <v>46</v>
      </c>
      <c r="F1605" t="s">
        <v>51</v>
      </c>
      <c r="G1605" t="s">
        <v>49</v>
      </c>
      <c r="H1605" t="s">
        <v>50</v>
      </c>
      <c r="I1605">
        <v>2075</v>
      </c>
      <c r="J1605">
        <v>-37.876750000000001</v>
      </c>
      <c r="K1605" t="s">
        <v>51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2080</v>
      </c>
      <c r="J1606">
        <v>-35.747550000000004</v>
      </c>
      <c r="K1606" t="s">
        <v>51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2085</v>
      </c>
      <c r="J1607">
        <v>-37.485299999999995</v>
      </c>
      <c r="K1607" t="s">
        <v>51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2090</v>
      </c>
      <c r="J1608">
        <v>-39.305799999999998</v>
      </c>
      <c r="K1608" t="s">
        <v>51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51</v>
      </c>
      <c r="E1609" t="s">
        <v>46</v>
      </c>
      <c r="F1609" t="s">
        <v>51</v>
      </c>
      <c r="G1609" t="s">
        <v>49</v>
      </c>
      <c r="H1609" t="s">
        <v>50</v>
      </c>
      <c r="I1609">
        <v>2095</v>
      </c>
      <c r="J1609">
        <v>-41.003100000000003</v>
      </c>
      <c r="K1609" t="s">
        <v>51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-42.35595</v>
      </c>
      <c r="K1610" t="s">
        <v>51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5.2343000000000002</v>
      </c>
      <c r="K1612" t="s">
        <v>29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6.0677500000000002</v>
      </c>
      <c r="K1613" t="s">
        <v>29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8.3306499999999986</v>
      </c>
      <c r="K1614" t="s">
        <v>29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16.86035</v>
      </c>
      <c r="K1615" t="s">
        <v>29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22.537300000000002</v>
      </c>
      <c r="K1616" t="s">
        <v>29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21.625300000000003</v>
      </c>
      <c r="K1617" t="s">
        <v>29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20.022300000000001</v>
      </c>
      <c r="K1618" t="s">
        <v>29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34.522100000000002</v>
      </c>
      <c r="K1619" t="s">
        <v>29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34.848349999999996</v>
      </c>
      <c r="K1620" t="s">
        <v>29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35.174599999999998</v>
      </c>
      <c r="K1621" t="s">
        <v>29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34.450149999999994</v>
      </c>
      <c r="K1622" t="s">
        <v>29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33.725650000000002</v>
      </c>
      <c r="K1623" t="s">
        <v>29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35.534049999999993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37.342399999999998</v>
      </c>
      <c r="K1625" t="s">
        <v>29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41.003249999999994</v>
      </c>
      <c r="K1626" t="s">
        <v>29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44.664050000000003</v>
      </c>
      <c r="K1627" t="s">
        <v>29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2.6320999999999999</v>
      </c>
      <c r="K1629" t="s">
        <v>33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1.7513000000000001</v>
      </c>
      <c r="K1630" t="s">
        <v>33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1.4137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1.3690500000000001</v>
      </c>
      <c r="K1632" t="s">
        <v>33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1.4416</v>
      </c>
      <c r="K1633" t="s">
        <v>33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1.7387999999999999</v>
      </c>
      <c r="K1634" t="s">
        <v>33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1.66615</v>
      </c>
      <c r="K1635" t="s">
        <v>33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1.8959000000000001</v>
      </c>
      <c r="K1636" t="s">
        <v>33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1.9075500000000001</v>
      </c>
      <c r="K1637" t="s">
        <v>33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1.9191499999999999</v>
      </c>
      <c r="K1638" t="s">
        <v>33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2.0170500000000002</v>
      </c>
      <c r="K1639" t="s">
        <v>33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2.1149</v>
      </c>
      <c r="K1640" t="s">
        <v>33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2.0994000000000002</v>
      </c>
      <c r="K1641" t="s">
        <v>33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2.0839499999999997</v>
      </c>
      <c r="K1642" t="s">
        <v>33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1.94255</v>
      </c>
      <c r="K1643" t="s">
        <v>33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1.8012000000000001</v>
      </c>
      <c r="K1644" t="s">
        <v>33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1.00885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0.98255000000000003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1.1333500000000001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1.3280500000000002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1.3608500000000001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1.3606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1.29725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1.1568999999999998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1.1194000000000002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1.1125500000000001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1.1066500000000001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1.1668499999999999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1.22695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1.2824499999999999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1.3393999999999999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1.3738000000000001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1.4081999999999999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2020</v>
      </c>
      <c r="J1662">
        <v>0.67049999999999998</v>
      </c>
      <c r="K1662" t="s">
        <v>24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2025</v>
      </c>
      <c r="J1663">
        <v>0.6734</v>
      </c>
      <c r="K1663" t="s">
        <v>24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2030</v>
      </c>
      <c r="J1664">
        <v>0.82384999999999997</v>
      </c>
      <c r="K1664" t="s">
        <v>24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2035</v>
      </c>
      <c r="J1665">
        <v>0.87095</v>
      </c>
      <c r="K1665" t="s">
        <v>24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2040</v>
      </c>
      <c r="J1666">
        <v>0.90759999999999996</v>
      </c>
      <c r="K1666" t="s">
        <v>24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2045</v>
      </c>
      <c r="J1667">
        <v>0.93064999999999998</v>
      </c>
      <c r="K1667" t="s">
        <v>24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2050</v>
      </c>
      <c r="J1668">
        <v>0.92694999999999994</v>
      </c>
      <c r="K1668" t="s">
        <v>24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2055</v>
      </c>
      <c r="J1669">
        <v>0.90670000000000006</v>
      </c>
      <c r="K1669" t="s">
        <v>24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2060</v>
      </c>
      <c r="J1670">
        <v>0.81555</v>
      </c>
      <c r="K1670" t="s">
        <v>24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2065</v>
      </c>
      <c r="J1671">
        <v>0.79535</v>
      </c>
      <c r="K1671" t="s">
        <v>24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2070</v>
      </c>
      <c r="J1672">
        <v>0.77710000000000001</v>
      </c>
      <c r="K1672" t="s">
        <v>24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2075</v>
      </c>
      <c r="J1673">
        <v>0.75930000000000009</v>
      </c>
      <c r="K1673" t="s">
        <v>24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24</v>
      </c>
      <c r="E1674" t="s">
        <v>25</v>
      </c>
      <c r="F1674" t="s">
        <v>24</v>
      </c>
      <c r="G1674" t="s">
        <v>26</v>
      </c>
      <c r="H1674" t="s">
        <v>13</v>
      </c>
      <c r="I1674">
        <v>2080</v>
      </c>
      <c r="J1674">
        <v>0.7418499999999999</v>
      </c>
      <c r="K1674" t="s">
        <v>24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24</v>
      </c>
      <c r="E1675" t="s">
        <v>25</v>
      </c>
      <c r="F1675" t="s">
        <v>24</v>
      </c>
      <c r="G1675" t="s">
        <v>26</v>
      </c>
      <c r="H1675" t="s">
        <v>13</v>
      </c>
      <c r="I1675">
        <v>2085</v>
      </c>
      <c r="J1675">
        <v>0.72504999999999997</v>
      </c>
      <c r="K1675" t="s">
        <v>24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24</v>
      </c>
      <c r="E1676" t="s">
        <v>25</v>
      </c>
      <c r="F1676" t="s">
        <v>24</v>
      </c>
      <c r="G1676" t="s">
        <v>26</v>
      </c>
      <c r="H1676" t="s">
        <v>13</v>
      </c>
      <c r="I1676">
        <v>2090</v>
      </c>
      <c r="J1676">
        <v>0.70910000000000006</v>
      </c>
      <c r="K1676" t="s">
        <v>24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24</v>
      </c>
      <c r="E1677" t="s">
        <v>25</v>
      </c>
      <c r="F1677" t="s">
        <v>24</v>
      </c>
      <c r="G1677" t="s">
        <v>26</v>
      </c>
      <c r="H1677" t="s">
        <v>13</v>
      </c>
      <c r="I1677">
        <v>2095</v>
      </c>
      <c r="J1677">
        <v>0.67785000000000006</v>
      </c>
      <c r="K1677" t="s">
        <v>24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2100</v>
      </c>
      <c r="J1678">
        <v>0.6472</v>
      </c>
      <c r="K1678" t="s">
        <v>24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27</v>
      </c>
      <c r="E1679" t="s">
        <v>25</v>
      </c>
      <c r="F1679" t="s">
        <v>27</v>
      </c>
      <c r="G1679" t="s">
        <v>26</v>
      </c>
      <c r="H1679" t="s">
        <v>10</v>
      </c>
      <c r="I1679">
        <v>2020</v>
      </c>
      <c r="J1679">
        <v>1.72E-2</v>
      </c>
      <c r="K1679" t="s">
        <v>27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2025</v>
      </c>
      <c r="J1680">
        <v>5.5E-2</v>
      </c>
      <c r="K1680" t="s">
        <v>27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2030</v>
      </c>
      <c r="J1681">
        <v>0.19650000000000001</v>
      </c>
      <c r="K1681" t="s">
        <v>27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27</v>
      </c>
      <c r="E1682" t="s">
        <v>25</v>
      </c>
      <c r="F1682" t="s">
        <v>27</v>
      </c>
      <c r="G1682" t="s">
        <v>26</v>
      </c>
      <c r="H1682" t="s">
        <v>10</v>
      </c>
      <c r="I1682">
        <v>2035</v>
      </c>
      <c r="J1682">
        <v>0.371</v>
      </c>
      <c r="K1682" t="s">
        <v>27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27</v>
      </c>
      <c r="E1683" t="s">
        <v>25</v>
      </c>
      <c r="F1683" t="s">
        <v>27</v>
      </c>
      <c r="G1683" t="s">
        <v>26</v>
      </c>
      <c r="H1683" t="s">
        <v>10</v>
      </c>
      <c r="I1683">
        <v>2040</v>
      </c>
      <c r="J1683">
        <v>0.52659999999999996</v>
      </c>
      <c r="K1683" t="s">
        <v>27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27</v>
      </c>
      <c r="E1684" t="s">
        <v>25</v>
      </c>
      <c r="F1684" t="s">
        <v>27</v>
      </c>
      <c r="G1684" t="s">
        <v>26</v>
      </c>
      <c r="H1684" t="s">
        <v>10</v>
      </c>
      <c r="I1684">
        <v>2045</v>
      </c>
      <c r="J1684">
        <v>0.56950000000000001</v>
      </c>
      <c r="K1684" t="s">
        <v>27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27</v>
      </c>
      <c r="E1685" t="s">
        <v>25</v>
      </c>
      <c r="F1685" t="s">
        <v>27</v>
      </c>
      <c r="G1685" t="s">
        <v>26</v>
      </c>
      <c r="H1685" t="s">
        <v>10</v>
      </c>
      <c r="I1685">
        <v>2050</v>
      </c>
      <c r="J1685">
        <v>0.58624999999999994</v>
      </c>
      <c r="K1685" t="s">
        <v>27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27</v>
      </c>
      <c r="E1686" t="s">
        <v>25</v>
      </c>
      <c r="F1686" t="s">
        <v>27</v>
      </c>
      <c r="G1686" t="s">
        <v>26</v>
      </c>
      <c r="H1686" t="s">
        <v>10</v>
      </c>
      <c r="I1686">
        <v>2055</v>
      </c>
      <c r="J1686">
        <v>0.59634999999999994</v>
      </c>
      <c r="K1686" t="s">
        <v>27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27</v>
      </c>
      <c r="E1687" t="s">
        <v>25</v>
      </c>
      <c r="F1687" t="s">
        <v>27</v>
      </c>
      <c r="G1687" t="s">
        <v>26</v>
      </c>
      <c r="H1687" t="s">
        <v>10</v>
      </c>
      <c r="I1687">
        <v>2060</v>
      </c>
      <c r="J1687">
        <v>0.59335000000000004</v>
      </c>
      <c r="K1687" t="s">
        <v>27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27</v>
      </c>
      <c r="E1688" t="s">
        <v>25</v>
      </c>
      <c r="F1688" t="s">
        <v>27</v>
      </c>
      <c r="G1688" t="s">
        <v>26</v>
      </c>
      <c r="H1688" t="s">
        <v>10</v>
      </c>
      <c r="I1688">
        <v>2065</v>
      </c>
      <c r="J1688">
        <v>0.58494999999999997</v>
      </c>
      <c r="K1688" t="s">
        <v>27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27</v>
      </c>
      <c r="E1689" t="s">
        <v>25</v>
      </c>
      <c r="F1689" t="s">
        <v>27</v>
      </c>
      <c r="G1689" t="s">
        <v>26</v>
      </c>
      <c r="H1689" t="s">
        <v>10</v>
      </c>
      <c r="I1689">
        <v>2070</v>
      </c>
      <c r="J1689">
        <v>0.57814999999999994</v>
      </c>
      <c r="K1689" t="s">
        <v>27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27</v>
      </c>
      <c r="E1690" t="s">
        <v>25</v>
      </c>
      <c r="F1690" t="s">
        <v>27</v>
      </c>
      <c r="G1690" t="s">
        <v>26</v>
      </c>
      <c r="H1690" t="s">
        <v>10</v>
      </c>
      <c r="I1690">
        <v>2075</v>
      </c>
      <c r="J1690">
        <v>0.57364999999999999</v>
      </c>
      <c r="K1690" t="s">
        <v>27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2080</v>
      </c>
      <c r="J1691">
        <v>0.56979999999999997</v>
      </c>
      <c r="K1691" t="s">
        <v>27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2085</v>
      </c>
      <c r="J1692">
        <v>0.56659999999999999</v>
      </c>
      <c r="K1692" t="s">
        <v>27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2090</v>
      </c>
      <c r="J1693">
        <v>0.56589999999999996</v>
      </c>
      <c r="K1693" t="s">
        <v>27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0.57325000000000004</v>
      </c>
      <c r="K1694" t="s">
        <v>27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2100</v>
      </c>
      <c r="J1695">
        <v>0.58240000000000003</v>
      </c>
      <c r="K1695" t="s">
        <v>27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2020</v>
      </c>
      <c r="J1696">
        <v>3.9710999999999999</v>
      </c>
      <c r="K1696" t="s">
        <v>35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2025</v>
      </c>
      <c r="J1697">
        <v>5.1760999999999999</v>
      </c>
      <c r="K1697" t="s">
        <v>35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35</v>
      </c>
      <c r="E1698" t="s">
        <v>30</v>
      </c>
      <c r="F1698" t="s">
        <v>35</v>
      </c>
      <c r="G1698" t="s">
        <v>31</v>
      </c>
      <c r="H1698" t="s">
        <v>36</v>
      </c>
      <c r="I1698">
        <v>2030</v>
      </c>
      <c r="J1698">
        <v>5.5630500000000005</v>
      </c>
      <c r="K1698" t="s">
        <v>35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2035</v>
      </c>
      <c r="J1699">
        <v>5.8599999999999994</v>
      </c>
      <c r="K1699" t="s">
        <v>35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35</v>
      </c>
      <c r="E1700" t="s">
        <v>30</v>
      </c>
      <c r="F1700" t="s">
        <v>35</v>
      </c>
      <c r="G1700" t="s">
        <v>31</v>
      </c>
      <c r="H1700" t="s">
        <v>36</v>
      </c>
      <c r="I1700">
        <v>2040</v>
      </c>
      <c r="J1700">
        <v>5.8657500000000002</v>
      </c>
      <c r="K1700" t="s">
        <v>35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2045</v>
      </c>
      <c r="J1701">
        <v>4.9245999999999999</v>
      </c>
      <c r="K1701" t="s">
        <v>35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35</v>
      </c>
      <c r="E1702" t="s">
        <v>30</v>
      </c>
      <c r="F1702" t="s">
        <v>35</v>
      </c>
      <c r="G1702" t="s">
        <v>31</v>
      </c>
      <c r="H1702" t="s">
        <v>36</v>
      </c>
      <c r="I1702">
        <v>2050</v>
      </c>
      <c r="J1702">
        <v>4.4139499999999998</v>
      </c>
      <c r="K1702" t="s">
        <v>35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2055</v>
      </c>
      <c r="J1703">
        <v>4.5674000000000001</v>
      </c>
      <c r="K1703" t="s">
        <v>35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2060</v>
      </c>
      <c r="J1704">
        <v>5.5579999999999998</v>
      </c>
      <c r="K1704" t="s">
        <v>35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2065</v>
      </c>
      <c r="J1705">
        <v>5.8658999999999999</v>
      </c>
      <c r="K1705" t="s">
        <v>35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2070</v>
      </c>
      <c r="J1706">
        <v>6.1738</v>
      </c>
      <c r="K1706" t="s">
        <v>35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2075</v>
      </c>
      <c r="J1707">
        <v>6.0717999999999996</v>
      </c>
      <c r="K1707" t="s">
        <v>35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2080</v>
      </c>
      <c r="J1708">
        <v>5.9697999999999993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2085</v>
      </c>
      <c r="J1709">
        <v>5.8603500000000004</v>
      </c>
      <c r="K1709" t="s">
        <v>35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2090</v>
      </c>
      <c r="J1710">
        <v>5.7508499999999998</v>
      </c>
      <c r="K1710" t="s">
        <v>35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35</v>
      </c>
      <c r="E1712" t="s">
        <v>30</v>
      </c>
      <c r="F1712" t="s">
        <v>35</v>
      </c>
      <c r="G1712" t="s">
        <v>31</v>
      </c>
      <c r="H1712" t="s">
        <v>36</v>
      </c>
      <c r="I1712">
        <v>2100</v>
      </c>
      <c r="J1712">
        <v>4.9152500000000003</v>
      </c>
      <c r="K1712" t="s">
        <v>35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8.8000000000000005E-3</v>
      </c>
      <c r="K1713" t="s">
        <v>85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3.7400000000000003E-2</v>
      </c>
      <c r="K1714" t="s">
        <v>85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8.4350000000000008E-2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0.13535</v>
      </c>
      <c r="K1716" t="s">
        <v>85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0.15725</v>
      </c>
      <c r="K1717" t="s">
        <v>85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0.2011</v>
      </c>
      <c r="K1718" t="s">
        <v>85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0.25334999999999996</v>
      </c>
      <c r="K1719" t="s">
        <v>85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0.29599999999999999</v>
      </c>
      <c r="K1720" t="s">
        <v>85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0.37280000000000002</v>
      </c>
      <c r="K1721" t="s">
        <v>85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0.36409999999999998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0.33440000000000003</v>
      </c>
      <c r="K1723" t="s">
        <v>85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0.31140000000000001</v>
      </c>
      <c r="K1724" t="s">
        <v>85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0.30615000000000003</v>
      </c>
      <c r="K1725" t="s">
        <v>85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0.31630000000000003</v>
      </c>
      <c r="K1726" t="s">
        <v>85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0.32695000000000002</v>
      </c>
      <c r="K1727" t="s">
        <v>85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0.32955000000000001</v>
      </c>
      <c r="K1728" t="s">
        <v>85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0.3296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45</v>
      </c>
      <c r="E1730" t="s">
        <v>46</v>
      </c>
      <c r="F1730" t="s">
        <v>45</v>
      </c>
      <c r="G1730" t="s">
        <v>47</v>
      </c>
      <c r="H1730" t="s">
        <v>89</v>
      </c>
      <c r="I1730">
        <v>2020</v>
      </c>
      <c r="J1730">
        <v>2.0850499999999998</v>
      </c>
      <c r="K1730" t="s">
        <v>45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2025</v>
      </c>
      <c r="J1731">
        <v>9.2960999999999991</v>
      </c>
      <c r="K1731" t="s">
        <v>45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45</v>
      </c>
      <c r="E1732" t="s">
        <v>46</v>
      </c>
      <c r="F1732" t="s">
        <v>45</v>
      </c>
      <c r="G1732" t="s">
        <v>47</v>
      </c>
      <c r="H1732" t="s">
        <v>89</v>
      </c>
      <c r="I1732">
        <v>2030</v>
      </c>
      <c r="J1732">
        <v>27.802799999999998</v>
      </c>
      <c r="K1732" t="s">
        <v>45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45</v>
      </c>
      <c r="E1733" t="s">
        <v>46</v>
      </c>
      <c r="F1733" t="s">
        <v>45</v>
      </c>
      <c r="G1733" t="s">
        <v>47</v>
      </c>
      <c r="H1733" t="s">
        <v>89</v>
      </c>
      <c r="I1733">
        <v>2035</v>
      </c>
      <c r="J1733">
        <v>54.850499999999997</v>
      </c>
      <c r="K1733" t="s">
        <v>45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45</v>
      </c>
      <c r="E1734" t="s">
        <v>46</v>
      </c>
      <c r="F1734" t="s">
        <v>45</v>
      </c>
      <c r="G1734" t="s">
        <v>47</v>
      </c>
      <c r="H1734" t="s">
        <v>89</v>
      </c>
      <c r="I1734">
        <v>2040</v>
      </c>
      <c r="J1734">
        <v>70.274200000000008</v>
      </c>
      <c r="K1734" t="s">
        <v>45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45</v>
      </c>
      <c r="E1735" t="s">
        <v>46</v>
      </c>
      <c r="F1735" t="s">
        <v>45</v>
      </c>
      <c r="G1735" t="s">
        <v>47</v>
      </c>
      <c r="H1735" t="s">
        <v>89</v>
      </c>
      <c r="I1735">
        <v>2045</v>
      </c>
      <c r="J1735">
        <v>77.940049999999999</v>
      </c>
      <c r="K1735" t="s">
        <v>45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45</v>
      </c>
      <c r="E1736" t="s">
        <v>46</v>
      </c>
      <c r="F1736" t="s">
        <v>45</v>
      </c>
      <c r="G1736" t="s">
        <v>47</v>
      </c>
      <c r="H1736" t="s">
        <v>89</v>
      </c>
      <c r="I1736">
        <v>2050</v>
      </c>
      <c r="J1736">
        <v>78.716200000000001</v>
      </c>
      <c r="K1736" t="s">
        <v>45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45</v>
      </c>
      <c r="E1737" t="s">
        <v>46</v>
      </c>
      <c r="F1737" t="s">
        <v>45</v>
      </c>
      <c r="G1737" t="s">
        <v>47</v>
      </c>
      <c r="H1737" t="s">
        <v>89</v>
      </c>
      <c r="I1737">
        <v>2055</v>
      </c>
      <c r="J1737">
        <v>80.246350000000007</v>
      </c>
      <c r="K1737" t="s">
        <v>45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45</v>
      </c>
      <c r="E1738" t="s">
        <v>46</v>
      </c>
      <c r="F1738" t="s">
        <v>45</v>
      </c>
      <c r="G1738" t="s">
        <v>47</v>
      </c>
      <c r="H1738" t="s">
        <v>89</v>
      </c>
      <c r="I1738">
        <v>2060</v>
      </c>
      <c r="J1738">
        <v>73.720699999999994</v>
      </c>
      <c r="K1738" t="s">
        <v>45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45</v>
      </c>
      <c r="E1739" t="s">
        <v>46</v>
      </c>
      <c r="F1739" t="s">
        <v>45</v>
      </c>
      <c r="G1739" t="s">
        <v>47</v>
      </c>
      <c r="H1739" t="s">
        <v>89</v>
      </c>
      <c r="I1739">
        <v>2065</v>
      </c>
      <c r="J1739">
        <v>61.639449999999997</v>
      </c>
      <c r="K1739" t="s">
        <v>45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45</v>
      </c>
      <c r="E1740" t="s">
        <v>46</v>
      </c>
      <c r="F1740" t="s">
        <v>45</v>
      </c>
      <c r="G1740" t="s">
        <v>47</v>
      </c>
      <c r="H1740" t="s">
        <v>89</v>
      </c>
      <c r="I1740">
        <v>2070</v>
      </c>
      <c r="J1740">
        <v>48.817599999999999</v>
      </c>
      <c r="K1740" t="s">
        <v>45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45</v>
      </c>
      <c r="E1741" t="s">
        <v>46</v>
      </c>
      <c r="F1741" t="s">
        <v>45</v>
      </c>
      <c r="G1741" t="s">
        <v>47</v>
      </c>
      <c r="H1741" t="s">
        <v>89</v>
      </c>
      <c r="I1741">
        <v>2075</v>
      </c>
      <c r="J1741">
        <v>40.713049999999996</v>
      </c>
      <c r="K1741" t="s">
        <v>45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45</v>
      </c>
      <c r="E1742" t="s">
        <v>46</v>
      </c>
      <c r="F1742" t="s">
        <v>45</v>
      </c>
      <c r="G1742" t="s">
        <v>47</v>
      </c>
      <c r="H1742" t="s">
        <v>89</v>
      </c>
      <c r="I1742">
        <v>2080</v>
      </c>
      <c r="J1742">
        <v>36.12735</v>
      </c>
      <c r="K1742" t="s">
        <v>45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45</v>
      </c>
      <c r="E1743" t="s">
        <v>46</v>
      </c>
      <c r="F1743" t="s">
        <v>45</v>
      </c>
      <c r="G1743" t="s">
        <v>47</v>
      </c>
      <c r="H1743" t="s">
        <v>89</v>
      </c>
      <c r="I1743">
        <v>2085</v>
      </c>
      <c r="J1743">
        <v>37.234250000000003</v>
      </c>
      <c r="K1743" t="s">
        <v>45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45</v>
      </c>
      <c r="E1744" t="s">
        <v>46</v>
      </c>
      <c r="F1744" t="s">
        <v>45</v>
      </c>
      <c r="G1744" t="s">
        <v>47</v>
      </c>
      <c r="H1744" t="s">
        <v>89</v>
      </c>
      <c r="I1744">
        <v>2090</v>
      </c>
      <c r="J1744">
        <v>38.406999999999996</v>
      </c>
      <c r="K1744" t="s">
        <v>45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2095</v>
      </c>
      <c r="J1745">
        <v>39.640250000000002</v>
      </c>
      <c r="K1745" t="s">
        <v>45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45</v>
      </c>
      <c r="E1746" t="s">
        <v>46</v>
      </c>
      <c r="F1746" t="s">
        <v>45</v>
      </c>
      <c r="G1746" t="s">
        <v>47</v>
      </c>
      <c r="H1746" t="s">
        <v>89</v>
      </c>
      <c r="I1746">
        <v>2100</v>
      </c>
      <c r="J1746">
        <v>40.582149999999999</v>
      </c>
      <c r="K1746" t="s">
        <v>45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52</v>
      </c>
      <c r="E1747" t="s">
        <v>25</v>
      </c>
      <c r="F1747" t="s">
        <v>52</v>
      </c>
      <c r="G1747" t="s">
        <v>71</v>
      </c>
      <c r="H1747" t="s">
        <v>89</v>
      </c>
      <c r="I1747">
        <v>2020</v>
      </c>
      <c r="J1747">
        <v>8.5099999999999995E-2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2025</v>
      </c>
      <c r="J1748">
        <v>2.9000000000000001E-2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52</v>
      </c>
      <c r="E1749" t="s">
        <v>25</v>
      </c>
      <c r="F1749" t="s">
        <v>52</v>
      </c>
      <c r="G1749" t="s">
        <v>71</v>
      </c>
      <c r="H1749" t="s">
        <v>89</v>
      </c>
      <c r="I1749">
        <v>2030</v>
      </c>
      <c r="J1749">
        <v>5.0000000000000001E-4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52</v>
      </c>
      <c r="E1750" t="s">
        <v>25</v>
      </c>
      <c r="F1750" t="s">
        <v>52</v>
      </c>
      <c r="G1750" t="s">
        <v>71</v>
      </c>
      <c r="H1750" t="s">
        <v>89</v>
      </c>
      <c r="I1750">
        <v>2035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52</v>
      </c>
      <c r="E1751" t="s">
        <v>25</v>
      </c>
      <c r="F1751" t="s">
        <v>52</v>
      </c>
      <c r="G1751" t="s">
        <v>71</v>
      </c>
      <c r="H1751" t="s">
        <v>89</v>
      </c>
      <c r="I1751">
        <v>2040</v>
      </c>
      <c r="J1751">
        <v>0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52</v>
      </c>
      <c r="E1752" t="s">
        <v>25</v>
      </c>
      <c r="F1752" t="s">
        <v>52</v>
      </c>
      <c r="G1752" t="s">
        <v>71</v>
      </c>
      <c r="H1752" t="s">
        <v>89</v>
      </c>
      <c r="I1752">
        <v>2045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52</v>
      </c>
      <c r="E1753" t="s">
        <v>25</v>
      </c>
      <c r="F1753" t="s">
        <v>52</v>
      </c>
      <c r="G1753" t="s">
        <v>71</v>
      </c>
      <c r="H1753" t="s">
        <v>89</v>
      </c>
      <c r="I1753">
        <v>2050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2055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2060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52</v>
      </c>
      <c r="E1756" t="s">
        <v>25</v>
      </c>
      <c r="F1756" t="s">
        <v>52</v>
      </c>
      <c r="G1756" t="s">
        <v>71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52</v>
      </c>
      <c r="E1758" t="s">
        <v>25</v>
      </c>
      <c r="F1758" t="s">
        <v>52</v>
      </c>
      <c r="G1758" t="s">
        <v>71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52</v>
      </c>
      <c r="E1759" t="s">
        <v>25</v>
      </c>
      <c r="F1759" t="s">
        <v>52</v>
      </c>
      <c r="G1759" t="s">
        <v>71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52</v>
      </c>
      <c r="E1760" t="s">
        <v>25</v>
      </c>
      <c r="F1760" t="s">
        <v>52</v>
      </c>
      <c r="G1760" t="s">
        <v>71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52</v>
      </c>
      <c r="E1761" t="s">
        <v>25</v>
      </c>
      <c r="F1761" t="s">
        <v>52</v>
      </c>
      <c r="G1761" t="s">
        <v>71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52</v>
      </c>
      <c r="E1762" t="s">
        <v>25</v>
      </c>
      <c r="F1762" t="s">
        <v>52</v>
      </c>
      <c r="G1762" t="s">
        <v>71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52</v>
      </c>
      <c r="E1763" t="s">
        <v>25</v>
      </c>
      <c r="F1763" t="s">
        <v>52</v>
      </c>
      <c r="G1763" t="s">
        <v>71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2020</v>
      </c>
      <c r="J1764">
        <v>0.2049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2025</v>
      </c>
      <c r="J1765">
        <v>0.13200000000000001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53</v>
      </c>
      <c r="E1766" t="s">
        <v>25</v>
      </c>
      <c r="F1766" t="s">
        <v>53</v>
      </c>
      <c r="G1766" t="s">
        <v>71</v>
      </c>
      <c r="H1766" t="s">
        <v>89</v>
      </c>
      <c r="I1766">
        <v>2030</v>
      </c>
      <c r="J1766">
        <v>8.0799999999999997E-2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53</v>
      </c>
      <c r="E1767" t="s">
        <v>25</v>
      </c>
      <c r="F1767" t="s">
        <v>53</v>
      </c>
      <c r="G1767" t="s">
        <v>71</v>
      </c>
      <c r="H1767" t="s">
        <v>89</v>
      </c>
      <c r="I1767">
        <v>2035</v>
      </c>
      <c r="J1767">
        <v>3.8E-3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53</v>
      </c>
      <c r="E1768" t="s">
        <v>25</v>
      </c>
      <c r="F1768" t="s">
        <v>53</v>
      </c>
      <c r="G1768" t="s">
        <v>71</v>
      </c>
      <c r="H1768" t="s">
        <v>89</v>
      </c>
      <c r="I1768">
        <v>2040</v>
      </c>
      <c r="J1768">
        <v>1.6999999999999999E-3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53</v>
      </c>
      <c r="E1769" t="s">
        <v>25</v>
      </c>
      <c r="F1769" t="s">
        <v>53</v>
      </c>
      <c r="G1769" t="s">
        <v>71</v>
      </c>
      <c r="H1769" t="s">
        <v>89</v>
      </c>
      <c r="I1769">
        <v>2045</v>
      </c>
      <c r="J1769">
        <v>6.9999999999999999E-4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2050</v>
      </c>
      <c r="J1770">
        <v>2.0000000000000001E-4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53</v>
      </c>
      <c r="E1771" t="s">
        <v>25</v>
      </c>
      <c r="F1771" t="s">
        <v>53</v>
      </c>
      <c r="G1771" t="s">
        <v>71</v>
      </c>
      <c r="H1771" t="s">
        <v>89</v>
      </c>
      <c r="I1771">
        <v>2055</v>
      </c>
      <c r="J1771">
        <v>5.0000000000000002E-5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53</v>
      </c>
      <c r="E1772" t="s">
        <v>25</v>
      </c>
      <c r="F1772" t="s">
        <v>53</v>
      </c>
      <c r="G1772" t="s">
        <v>71</v>
      </c>
      <c r="H1772" t="s">
        <v>89</v>
      </c>
      <c r="I1772">
        <v>2060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53</v>
      </c>
      <c r="E1773" t="s">
        <v>25</v>
      </c>
      <c r="F1773" t="s">
        <v>53</v>
      </c>
      <c r="G1773" t="s">
        <v>71</v>
      </c>
      <c r="H1773" t="s">
        <v>89</v>
      </c>
      <c r="I1773">
        <v>2065</v>
      </c>
      <c r="J1773">
        <v>0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53</v>
      </c>
      <c r="E1774" t="s">
        <v>25</v>
      </c>
      <c r="F1774" t="s">
        <v>53</v>
      </c>
      <c r="G1774" t="s">
        <v>71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53</v>
      </c>
      <c r="E1775" t="s">
        <v>25</v>
      </c>
      <c r="F1775" t="s">
        <v>53</v>
      </c>
      <c r="G1775" t="s">
        <v>71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53</v>
      </c>
      <c r="E1776" t="s">
        <v>25</v>
      </c>
      <c r="F1776" t="s">
        <v>53</v>
      </c>
      <c r="G1776" t="s">
        <v>71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53</v>
      </c>
      <c r="E1777" t="s">
        <v>25</v>
      </c>
      <c r="F1777" t="s">
        <v>53</v>
      </c>
      <c r="G1777" t="s">
        <v>71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53</v>
      </c>
      <c r="E1778" t="s">
        <v>25</v>
      </c>
      <c r="F1778" t="s">
        <v>53</v>
      </c>
      <c r="G1778" t="s">
        <v>71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53</v>
      </c>
      <c r="E1779" t="s">
        <v>25</v>
      </c>
      <c r="F1779" t="s">
        <v>53</v>
      </c>
      <c r="G1779" t="s">
        <v>71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53</v>
      </c>
      <c r="E1780" t="s">
        <v>25</v>
      </c>
      <c r="F1780" t="s">
        <v>53</v>
      </c>
      <c r="G1780" t="s">
        <v>71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54</v>
      </c>
      <c r="E1781" t="s">
        <v>25</v>
      </c>
      <c r="F1781" t="s">
        <v>54</v>
      </c>
      <c r="G1781" t="s">
        <v>71</v>
      </c>
      <c r="H1781" t="s">
        <v>89</v>
      </c>
      <c r="I1781">
        <v>2020</v>
      </c>
      <c r="J1781">
        <v>1.15E-2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54</v>
      </c>
      <c r="E1782" t="s">
        <v>25</v>
      </c>
      <c r="F1782" t="s">
        <v>54</v>
      </c>
      <c r="G1782" t="s">
        <v>71</v>
      </c>
      <c r="H1782" t="s">
        <v>89</v>
      </c>
      <c r="I1782">
        <v>2025</v>
      </c>
      <c r="J1782">
        <v>4.7999999999999996E-3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54</v>
      </c>
      <c r="E1783" t="s">
        <v>25</v>
      </c>
      <c r="F1783" t="s">
        <v>54</v>
      </c>
      <c r="G1783" t="s">
        <v>71</v>
      </c>
      <c r="H1783" t="s">
        <v>89</v>
      </c>
      <c r="I1783">
        <v>2030</v>
      </c>
      <c r="J1783">
        <v>1.1000000000000001E-3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54</v>
      </c>
      <c r="E1784" t="s">
        <v>25</v>
      </c>
      <c r="F1784" t="s">
        <v>54</v>
      </c>
      <c r="G1784" t="s">
        <v>71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54</v>
      </c>
      <c r="E1786" t="s">
        <v>25</v>
      </c>
      <c r="F1786" t="s">
        <v>54</v>
      </c>
      <c r="G1786" t="s">
        <v>71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54</v>
      </c>
      <c r="E1787" t="s">
        <v>25</v>
      </c>
      <c r="F1787" t="s">
        <v>54</v>
      </c>
      <c r="G1787" t="s">
        <v>71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54</v>
      </c>
      <c r="E1788" t="s">
        <v>25</v>
      </c>
      <c r="F1788" t="s">
        <v>54</v>
      </c>
      <c r="G1788" t="s">
        <v>71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54</v>
      </c>
      <c r="E1789" t="s">
        <v>25</v>
      </c>
      <c r="F1789" t="s">
        <v>54</v>
      </c>
      <c r="G1789" t="s">
        <v>71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54</v>
      </c>
      <c r="E1790" t="s">
        <v>25</v>
      </c>
      <c r="F1790" t="s">
        <v>54</v>
      </c>
      <c r="G1790" t="s">
        <v>71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54</v>
      </c>
      <c r="E1791" t="s">
        <v>25</v>
      </c>
      <c r="F1791" t="s">
        <v>54</v>
      </c>
      <c r="G1791" t="s">
        <v>71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54</v>
      </c>
      <c r="E1792" t="s">
        <v>25</v>
      </c>
      <c r="F1792" t="s">
        <v>54</v>
      </c>
      <c r="G1792" t="s">
        <v>71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54</v>
      </c>
      <c r="E1793" t="s">
        <v>25</v>
      </c>
      <c r="F1793" t="s">
        <v>54</v>
      </c>
      <c r="G1793" t="s">
        <v>71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54</v>
      </c>
      <c r="E1794" t="s">
        <v>25</v>
      </c>
      <c r="F1794" t="s">
        <v>54</v>
      </c>
      <c r="G1794" t="s">
        <v>71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54</v>
      </c>
      <c r="E1795" t="s">
        <v>25</v>
      </c>
      <c r="F1795" t="s">
        <v>54</v>
      </c>
      <c r="G1795" t="s">
        <v>71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54</v>
      </c>
      <c r="E1796" t="s">
        <v>25</v>
      </c>
      <c r="F1796" t="s">
        <v>54</v>
      </c>
      <c r="G1796" t="s">
        <v>71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54</v>
      </c>
      <c r="E1797" t="s">
        <v>25</v>
      </c>
      <c r="F1797" t="s">
        <v>54</v>
      </c>
      <c r="G1797" t="s">
        <v>71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74.293300000000002</v>
      </c>
      <c r="K1798" t="s">
        <v>37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92.347399999999993</v>
      </c>
      <c r="K1799" t="s">
        <v>37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86.640299999999996</v>
      </c>
      <c r="K1800" t="s">
        <v>37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92.847549999999998</v>
      </c>
      <c r="K1801" t="s">
        <v>37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92.438450000000003</v>
      </c>
      <c r="K1802" t="s">
        <v>37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98.306749999999994</v>
      </c>
      <c r="K1803" t="s">
        <v>37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108.36574999999999</v>
      </c>
      <c r="K1804" t="s">
        <v>37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147.73585</v>
      </c>
      <c r="K1805" t="s">
        <v>37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225.85429999999999</v>
      </c>
      <c r="K1806" t="s">
        <v>37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280.27679999999998</v>
      </c>
      <c r="K1807" t="s">
        <v>37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334.69920000000002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329.38329999999996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324.06735000000003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320.14305000000002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316.21875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370.82939999999996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425.44004999999999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1.3575999999999999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5.5697999999999999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10.2485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19.813300000000002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41.644799999999996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0.69099999999999995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0.68730000000000002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0.67730000000000001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0.66290000000000004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0.65859999999999996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0.66849999999999998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0.71209999999999996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1.2383999999999999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1.2336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1.2524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1.244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1.3161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1.4545999999999999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1.6366000000000001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2.3900000000000001E-2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2.5999999999999999E-2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3.6400000000000002E-2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4.2099999999999999E-2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5.8700000000000002E-2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0.11119999999999999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1.52E-2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1.5900000000000001E-2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7.1999999999999998E-3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7.1000000000000004E-3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1.44E-2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4.1700000000000001E-2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7.3800000000000004E-2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12.492599999999999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5.0666000000000002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1.4006000000000001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0.74260000000000004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0.32900000000000001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7.5200000000000003E-2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8.442499999999999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9.4819999999999993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9.4215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11.308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12.787500000000001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12.969000000000001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10.147499999999999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3.794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2.4710000000000001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1.1200000000000001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3.5000000000000003E-2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166.7216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58.041499999999999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-55.807699999999997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-71.054699999999997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-84.063199999999995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-84.746600000000001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-106.3471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518.07380000000001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530.59460000000001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480.25799999999998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471.55610000000001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464.5249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423.69760000000002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361.47770000000003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0.69779999999999998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0.66590000000000005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0.6643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0.66100000000000003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0.67059999999999997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0.67910000000000004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0.67520000000000002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1.2712000000000001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1.2765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1.3301000000000001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1.37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1.4625999999999999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1.5783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1.6941999999999999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2.4E-2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2.5700000000000001E-2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2.8899999999999999E-2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3.7199999999999997E-2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5.1499999999999997E-2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1.4E-2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1.4E-2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1.4200000000000001E-2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2.6800000000000001E-2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2.6700000000000002E-2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2.6700000000000002E-2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1.3299999999999999E-2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12.990799999999998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13.7804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13.7898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10.716000000000001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6.2885999999999997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7.9430000000000005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9.0052000000000003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8.722999999999999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10.263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14.828000000000001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15.201999999999998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15.653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19.948500000000003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25.162500000000001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3.8639999999999999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3.6399999999999997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2.7510000000000003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1.2109999999999999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153.00319999999999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2.6305000000000001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-105.18940000000001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-122.7195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-171.18700000000001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-191.39580000000001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-196.1429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504.4554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522.33119999999997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517.38660000000004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528.53970000000004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507.79840000000002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515.25319999999999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537.87109999999996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3.9683999999999999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10.2996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17.366099999999999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24.001899999999999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0.70699999999999996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0.67920000000000003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0.68240000000000001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0.67279999999999995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0.68689999999999996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0.70809999999999995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0.71560000000000001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1.2750999999999999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1.2819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1.3376999999999999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1.2896000000000001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1.3717999999999999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1.4914000000000001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1.6388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2.4500000000000001E-2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2.6499999999999999E-2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2.5000000000000001E-2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3.4799999999999998E-2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3.9300000000000002E-2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5.0200000000000002E-2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7.5200000000000003E-2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1.4E-2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1.4E-2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1.4200000000000001E-2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3.3399999999999999E-2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5.2299999999999999E-2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7.8100000000000003E-2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0.1222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12.878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13.564200000000001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13.4984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0.44180000000000003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8.6790000000000003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10.164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14.619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5.5220000000000002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5.6429999999999998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4.6145000000000005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3.2449999999999997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3.871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3.6399999999999997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2.7510000000000003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0.378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152.96899999999999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48.142400000000002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-13.8385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-69.717299999999994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-171.13239999999999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-223.73840000000001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-264.1823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504.36779999999999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521.89440000000002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516.89419999999996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467.98829999999998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373.94639999999998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281.59820000000002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201.42779999999999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1.3842000000000001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4.1054000000000004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12.297700000000001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22.472799999999999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0.70520000000000005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0.67720000000000002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0.67859999999999998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0.67230000000000001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0.6845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0.70430000000000004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0.71589999999999998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1.2584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1.2586999999999999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1.3058000000000001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1.3190999999999999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1.4074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1.5375000000000001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1.6884999999999999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2.4400000000000002E-2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2.63E-2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2.4799999999999999E-2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3.3099999999999997E-2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3.5999999999999997E-2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4.4400000000000002E-2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6.3899999999999998E-2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1.46E-2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1.46E-2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1.47E-2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2.12E-2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2.7900000000000001E-2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3.7199999999999997E-2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3.32E-2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12.633599999999999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13.150599999999999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12.953200000000001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2.3782000000000001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0.76139999999999997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2.8199999999999996E-2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9.4000000000000004E-3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8.5414999999999992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9.9164999999999992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14.151499999999999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5.83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7.0729999999999995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7.0235000000000003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5.4945000000000004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3.8289999999999997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3.5840000000000001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2.702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0.40599999999999997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164.72110000000001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39.513199999999998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-44.114699999999999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-149.29669999999999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-238.3562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-321.9307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-411.39429999999999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515.86429999999996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535.94510000000002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532.15359999999998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456.73950000000002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396.6678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318.50330000000002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235.29249999999999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15.475899999999999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26.970500000000001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41.857100000000003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70.038600000000002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136.51669999999999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0.66859999999999997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0.64180000000000004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0.66039999999999999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0.6139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0.58150000000000002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0.622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0.69830000000000003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1.2195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1.2169000000000001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1.1667000000000001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1.141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1.2074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1.5038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1.7765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2.1000000000000001E-2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2.1000000000000001E-2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2.5399999999999999E-2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2.8400000000000002E-2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4.5199999999999997E-2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0.10489999999999999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1.66E-2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1.7500000000000002E-2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7.2300000000000003E-2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0.17430000000000001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0.28960000000000002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0.47610000000000002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0.75660000000000005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12.633599999999999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5.2358000000000002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1.3253999999999999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0.2162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7.5200000000000003E-2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5.6399999999999992E-2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8.5084999999999997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9.6634999999999991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7.0510000000000002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1.76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0.72599999999999998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1.6445000000000001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3.2669999999999999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3.794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2.4710000000000001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0.58799999999999997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198.20859999999999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104.01739999999999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-73.335999999999999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-94.716099999999997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-108.7341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-125.7058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-148.81809999999999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548.65819999999997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575.4769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464.16180000000003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380.99419999999998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304.87729999999999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228.71010000000001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150.37880000000001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1.3454999999999999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3.4994999999999998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7.7525000000000004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13.6546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0.69569999999999999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0.69020000000000004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0.67800000000000005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0.6744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0.67059999999999997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0.68049999999999999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0.69599999999999995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1.2636000000000001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1.2763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1.3167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1.3435999999999999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1.4220999999999999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1.5518000000000001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1.6991000000000001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2.3900000000000001E-2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2.5999999999999999E-2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3.0599999999999999E-2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3.5499999999999997E-2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3.9399999999999998E-2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5.4199999999999998E-2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8.77E-2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1.44E-2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1.4999999999999999E-2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1.49E-2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1.4999999999999999E-2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1.55E-2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1.35E-2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1.6199999999999999E-2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12.868599999999999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5.4050000000000002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3.3182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0.96820000000000006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0.92120000000000002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0.31019999999999998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8.6515000000000004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9.9714999999999989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10.378500000000001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12.996500000000001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15.455000000000002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19.789000000000001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26.0975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3.843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2.5409999999999999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1.3580000000000001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0.19600000000000001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159.29589999999999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23.780100000000001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-98.967799999999997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-111.48739999999999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-141.471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-154.05170000000001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-152.29580000000001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510.54629999999997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519.05589999999995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481.55930000000001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497.95760000000001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494.92919999999998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486.89920000000001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493.8682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18.226500000000001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21.567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23.697600000000001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36.966099999999997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54.733800000000002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0.66859999999999997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0.65010000000000001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0.64419999999999999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0.61460000000000004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0.64780000000000004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0.63539999999999996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0.72699999999999998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1.2153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1.1992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1.2041999999999999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1.2193000000000001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1.4311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1.7636000000000001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2.1301000000000001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2.29E-2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2.4299999999999999E-2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2.6499999999999999E-2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3.2899999999999999E-2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5.8799999999999998E-2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0.1012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0.1321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1.5100000000000001E-2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1.5800000000000002E-2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2.9499999999999998E-2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0.14779999999999999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0.28449999999999998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0.37409999999999999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12.596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5.1794000000000002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0.47000000000000003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0.13159999999999999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2.8199999999999996E-2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8.4864999999999995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9.6029999999999998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3.4430000000000001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9.8999999999999991E-2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0.11549999999999999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4.4000000000000004E-2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3.7870000000000004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2.4710000000000001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0.17500000000000002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166.34219999999999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56.5139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-153.72139999999999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-193.33109999999999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-210.33199999999999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-230.21440000000001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-222.25739999999999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517.83929999999998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529.37620000000004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386.52210000000002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289.09379999999999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215.24289999999999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135.33369999999999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83.1524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2.1004999999999998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9.3486999999999991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21.118500000000001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37.5336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56.188099999999999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73.984499999999997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86.359700000000004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84.412300000000002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80.843299999999999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71.770399999999995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62.4572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46.563000000000002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30.848700000000001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23.9068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17.0852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15.150399999999999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13.193099999999999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0.67090000000000005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0.66120000000000001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0.75970000000000004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0.85129999999999995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0.87039999999999995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0.87490000000000001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0.88019999999999998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0.85929999999999995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0.76900000000000002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0.74380000000000002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0.71950000000000003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0.69379999999999997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0.67079999999999995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0.6462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0.62370000000000003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0.59360000000000002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0.56430000000000002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1.0047999999999999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0.97609999999999997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1.0684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1.1911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1.2465999999999999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1.2856000000000001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1.2497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1.1240000000000001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1.0346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1.0458000000000001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1.0561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1.0981000000000001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1.1406000000000001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1.1913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1.2424999999999999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1.262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1.282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1.6899999999999998E-2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5.3900000000000003E-2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0.188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0.37469999999999998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0.51570000000000005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0.56730000000000003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0.59189999999999998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0.59850000000000003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0.60370000000000001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0.59419999999999995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0.58479999999999999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0.57630000000000003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0.56869999999999998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0.56530000000000002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0.56330000000000002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0.56979999999999997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0.5776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8.8000000000000005E-3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3.6200000000000003E-2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6.8500000000000005E-2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9.7100000000000006E-2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0.11749999999999999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0.13800000000000001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0.1704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0.2341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0.35360000000000003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0.36940000000000001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0.37709999999999999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0.37759999999999999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0.35539999999999999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0.34510000000000002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0.32969999999999999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0.33110000000000001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0.33129999999999998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8.2900000000000001E-2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2.69E-2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0.2029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0.1396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5.74E-2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1.6400000000000001E-2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3.3999999999999998E-3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2.2000000000000001E-3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1.1000000000000001E-3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1.1299999999999999E-2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4.5999999999999999E-3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5.0000000000000001E-4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113.1497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-102.29600000000001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-260.36900000000003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-395.95949999999999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-507.08690000000001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-527.12279999999998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-516.24419999999998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-448.88330000000002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-375.44490000000002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-349.87950000000001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-324.15609999999998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-295.97340000000003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-268.05090000000001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-266.31569999999999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-264.79939999999999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-172.46520000000001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-80.1511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469.60480000000001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380.71699999999998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292.05900000000003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169.9221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64.847099999999998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3.3719000000000001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-27.733599999999999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-27.976500000000001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-23.765999999999998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-21.420300000000001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-18.920200000000001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-14.3949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-10.1318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-8.9870999999999999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-8.0707000000000004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-7.7251000000000003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-7.3945999999999996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2.1114000000000002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9.1273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13.9382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15.496700000000001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15.5509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15.1823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14.6035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13.411799999999999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11.6599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8.4551999999999996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5.1981000000000002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2.7780999999999998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0.34179999999999999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0.16950000000000001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0.66610000000000003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0.63790000000000002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0.71860000000000002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0.74790000000000001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0.77239999999999998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0.79669999999999996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0.78129999999999999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0.75049999999999994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0.71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0.66910000000000003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0.63170000000000004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0.60019999999999996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0.57120000000000004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0.54759999999999998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0.5292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0.5141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0.49890000000000001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1.0012000000000001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0.9506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1.0319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1.0276000000000001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1.0173000000000001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0.9909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0.92769999999999997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0.87670000000000003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0.87860000000000005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0.86739999999999995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0.85780000000000001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0.89100000000000001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0.92490000000000006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0.96599999999999997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1.0115000000000001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1.0570999999999999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1.1014999999999999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1.67E-2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6.0999999999999999E-2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0.17019999999999999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0.30690000000000001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0.41370000000000001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0.45490000000000003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0.4738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0.48759999999999998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0.49659999999999999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0.48909999999999998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0.48280000000000001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0.47339999999999999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0.46560000000000001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0.45810000000000001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0.45440000000000003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0.45710000000000001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0.46010000000000001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8.8000000000000005E-3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4.0800000000000003E-2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6.4299999999999996E-2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8.2600000000000007E-2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9.4399999999999998E-2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0.105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0.10829999999999999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0.1177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0.1346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0.15079999999999999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0.25009999999999999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0.31330000000000002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0.3674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0.4274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0.47449999999999998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8.1900000000000001E-2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2.7400000000000001E-2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1.5699999999999999E-2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8.9999999999999998E-4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2.0000000000000001E-4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2.0000000000000001E-4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2.0000000000000001E-4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3.0000000000000001E-3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6.7999999999999996E-3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1.29E-2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1.95E-2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0.20080000000000001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0.13739999999999999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9.6699999999999994E-2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8.8599999999999998E-2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7.1800000000000003E-2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4.9200000000000001E-2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1.6400000000000001E-2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1.9E-3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2.0999999999999999E-3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2.3E-3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3.8E-3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5.3E-3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7.0000000000000001E-3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1.47E-2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1.12E-2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4.3E-3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113.2343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-138.1679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-309.17290000000003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-387.11520000000002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-447.19959999999998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-498.51260000000002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-534.22289999999998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-514.86609999999996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-497.79340000000002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-476.91590000000002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-456.26670000000001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-487.91329999999999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-519.83879999999999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-486.6687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-453.80529999999999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-333.17680000000001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-212.14529999999999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469.70659999999998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389.95729999999998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333.95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291.1644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259.04950000000002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233.82589999999999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224.2038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220.62190000000001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214.7457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212.7192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210.45849999999999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201.81489999999999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192.89359999999999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180.18450000000001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167.1636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150.21559999999999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133.67160000000001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2.0945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9.1129999999999995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13.8894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18.714700000000001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49.089500000000001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85.261099999999999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116.85769999999999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137.4579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161.5333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174.4836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183.84129999999999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172.89060000000001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158.59460000000001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129.88470000000001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100.434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77.350200000000001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54.195799999999998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0.67320000000000002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0.64500000000000002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0.72799999999999998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0.80830000000000002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0.93310000000000004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0.90549999999999997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0.88719999999999999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0.87949999999999995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0.79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0.76119999999999999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0.72950000000000004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0.70669999999999999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0.68630000000000002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0.65139999999999998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0.61870000000000003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0.59119999999999995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0.56489999999999996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1.0066999999999999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0.95920000000000005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1.0432999999999999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1.0842000000000001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1.1906000000000001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1.2806999999999999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1.2704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1.1595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1.1115999999999999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1.0891999999999999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1.0662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1.1145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1.163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1.1834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1.2051000000000001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1.2475000000000001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1.2891999999999999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1.6899999999999998E-2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6.1699999999999998E-2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0.17180000000000001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0.32240000000000002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0.42480000000000001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0.46899999999999997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0.49430000000000002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0.50839999999999996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0.5111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0.50570000000000004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0.49769999999999998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0.4924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0.48799999999999999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0.4864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0.48599999999999999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0.49059999999999998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0.49630000000000002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8.8000000000000005E-3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4.07E-2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6.4100000000000004E-2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8.2600000000000007E-2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0.1022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0.1721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0.29270000000000002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0.42149999999999999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0.62870000000000004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0.74050000000000005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0.8367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0.84519999999999995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0.82740000000000002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0.78859999999999997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0.72330000000000005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0.63349999999999995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0.53159999999999996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8.3199999999999996E-2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2.8000000000000001E-2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1.6199999999999999E-2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5.0000000000000001E-4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0.1404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9.9900000000000003E-2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5.3100000000000001E-2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3.73E-2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2.7000000000000001E-3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1.5E-3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2.9999999999999997E-4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2.0000000000000001E-4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1.14E-2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4.4000000000000003E-3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112.9171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-93.363100000000003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-218.69479999999999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-322.78519999999997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-523.73670000000004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-556.25480000000005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-573.19309999999996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-539.45579999999995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-502.43119999999999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-497.54730000000001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-489.21269999999998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-455.38389999999998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-418.43180000000001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-390.03870000000001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-360.90960000000001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-245.86770000000001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-130.7561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469.38499999999999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388.88979999999998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332.6694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244.6575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54.811199999999999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-15.1929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-71.075199999999995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-104.767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-138.97999999999999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-158.91220000000001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-175.3965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-165.72059999999999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-152.9237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-125.0213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-96.387799999999999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-73.135800000000003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-49.8127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2.0983000000000001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9.1128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13.893000000000001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18.552800000000001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40.360700000000001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58.513800000000003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75.328699999999998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71.444599999999994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66.785700000000006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60.7896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54.324399999999997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44.424900000000001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32.976599999999998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20.614599999999999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8.5113000000000003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5.5303000000000004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2.5943000000000001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0.67159999999999997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0.64329999999999998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0.7258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0.70450000000000002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0.85219999999999996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0.86299999999999999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0.84770000000000001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0.83740000000000003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0.74439999999999995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0.71960000000000002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0.69830000000000003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0.6754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0.65480000000000005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0.62239999999999995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0.59319999999999995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0.56520000000000004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0.53580000000000005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1.0045999999999999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0.95630000000000004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1.0397000000000001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1.1749000000000001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1.1907000000000001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1.1627000000000001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1.1642999999999999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1.0638000000000001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1.0149999999999999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1.0208999999999999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1.0275000000000001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1.0728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1.1184000000000001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1.1408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1.1629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1.1921999999999999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1.2197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1.6899999999999998E-2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6.1600000000000002E-2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0.1716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0.3286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0.43719999999999998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0.48230000000000001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0.50360000000000005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0.50480000000000003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0.50439999999999996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0.4965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0.48959999999999998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0.48459999999999998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0.48049999999999998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0.4788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0.4793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0.48259999999999997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0.48349999999999999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8.8000000000000005E-3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4.07E-2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6.4100000000000004E-2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8.4099999999999994E-2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0.13159999999999999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0.22950000000000001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0.29409999999999997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0.36149999999999999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0.45669999999999999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0.45140000000000002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0.44109999999999999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0.4345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0.41930000000000001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0.4214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0.41210000000000002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0.41499999999999998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0.41549999999999998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8.2699999999999996E-2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2.7900000000000001E-2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1E-4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0.20250000000000001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0.1394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9.9000000000000005E-2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5.6399999999999999E-2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4.3900000000000002E-2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7.0000000000000001E-3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5.8999999999999999E-3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4.1999999999999997E-3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3.3999999999999998E-3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2.2000000000000001E-3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1.1999999999999999E-3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1.1299999999999999E-2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4.3E-3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112.7229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-116.38249999999999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-264.6164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-389.77319999999997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-597.69090000000006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-667.00480000000005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-702.77800000000002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-635.6703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-563.64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-513.03920000000005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-462.59100000000001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-476.47680000000003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-490.33780000000002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-461.04559999999998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-432.78129999999999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-296.67039999999997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-160.81809999999999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469.18349999999998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388.8082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332.63049999999998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245.1293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66.923900000000003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1.306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-31.172499999999999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-32.099299999999999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-28.964099999999998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-24.243500000000001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-19.679300000000001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-10.2479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-0.79449999999999998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6.2439999999999998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12.2263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11.9817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11.482699999999999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2.1116000000000001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8.8792000000000009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19.309000000000001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30.777999999999999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36.275500000000001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39.424199999999999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42.3733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46.868099999999998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53.699100000000001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57.481000000000002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61.052399999999999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63.944800000000001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66.603200000000001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67.588499999999996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68.490099999999998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64.305899999999994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59.853900000000003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0.67879999999999996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0.47510000000000002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0.49519999999999997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0.48020000000000002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0.45569999999999999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0.43730000000000002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0.42659999999999998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0.39789999999999998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0.37430000000000002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0.36770000000000003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0.36259999999999998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0.35920000000000002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0.35620000000000002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0.36080000000000001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0.3659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0.3574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0.34920000000000001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1.0135000000000001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1.0678000000000001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1.0888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1.1694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1.1614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1.1325000000000001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1.1227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0.98729999999999996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0.96719999999999995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0.95579999999999998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0.9456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0.99470000000000003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1.044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1.0980000000000001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1.1528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1.1872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1.2228000000000001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1.7100000000000001E-2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5.2200000000000003E-2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0.1711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0.3251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0.44919999999999999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0.46860000000000002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0.41599999999999998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0.4844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0.48209999999999997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0.47170000000000001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0.46239999999999998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0.45569999999999999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0.44979999999999998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0.45029999999999998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0.4511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0.4516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8.8000000000000005E-3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3.3799999999999997E-2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5.5100000000000003E-2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6.8599999999999994E-2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6.8699999999999997E-2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6.6000000000000003E-2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6.3700000000000007E-2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6.1699999999999998E-2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6.0199999999999997E-2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5.8400000000000001E-2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5.6399999999999999E-2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5.8900000000000001E-2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6.1100000000000002E-2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6.7799999999999999E-2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7.3999999999999996E-2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0.10539999999999999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0.13370000000000001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8.4599999999999995E-2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2.3599999999999999E-2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4.0000000000000002E-4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0.20619999999999999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0.1103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5.4600000000000003E-2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4.8999999999999998E-3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2.8999999999999998E-3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1.1599999999999999E-2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4.0000000000000001E-3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5.9999999999999995E-4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113.8826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-128.2328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-346.58569999999997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-408.05939999999998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-408.29259999999999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-378.7713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-328.89109999999999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-312.05259999999998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-292.13220000000001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-180.85050000000001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-69.549400000000006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-186.8999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-304.08940000000001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-238.2723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-172.387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-215.96629999999999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-259.41480000000001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470.33350000000002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356.0677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210.98769999999999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100.0808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44.752099999999999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15.0739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-0.44919999999999999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-10.121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-18.231300000000001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-23.4773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-28.7056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-32.219000000000001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-35.5715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-38.669400000000003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-41.700099999999999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-39.4771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-37.124299999999998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2.0998000000000001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9.8245000000000005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30.877700000000001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66.749600000000001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104.3342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122.8656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123.49720000000001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115.44670000000001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104.8476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89.223799999999997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73.144900000000007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51.3581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29.876799999999999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17.658000000000001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5.3905000000000003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3.5194000000000001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1.6482000000000001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0.66830000000000001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0.65810000000000002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0.80059999999999998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0.84340000000000004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0.88849999999999996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0.89880000000000004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0.87429999999999997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0.8296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0.7339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0.68989999999999996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0.66039999999999999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0.63370000000000004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0.59760000000000002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0.55779999999999996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0.53700000000000003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0.51729999999999998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1.0017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0.96619999999999995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1.0820000000000001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1.2597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1.3238000000000001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1.3255999999999999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1.21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1.0411999999999999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0.97599999999999998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0.99670000000000003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1.0176000000000001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1.0496000000000001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1.0823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1.0934999999999999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1.1032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1.1484000000000001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1.1933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1.6799999999999999E-2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6.4100000000000004E-2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0.18870000000000001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0.32579999999999998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0.42870000000000003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0.46250000000000002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0.4798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0.496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0.50539999999999996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0.49630000000000002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0.4884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0.48099999999999998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0.4748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0.47110000000000002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0.46379999999999999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0.46579999999999999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8.8000000000000005E-3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3.6900000000000002E-2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8.0399999999999999E-2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0.13930000000000001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0.1996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0.26140000000000002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0.36059999999999998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0.47499999999999998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0.60340000000000005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0.58940000000000003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0.55740000000000001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0.52959999999999996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0.48349999999999999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0.48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0.47070000000000001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0.4541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0.437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8.2100000000000006E-2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2.6499999999999999E-2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4.0000000000000002E-4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0.20130000000000001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0.13170000000000001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8.4599999999999995E-2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5.0000000000000001E-3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2.2000000000000001E-3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1.4E-3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6.9999999999999999E-4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1.12E-2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4.4999999999999997E-3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8.9999999999999998E-4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113.018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-134.36689999999999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-364.6626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-536.03779999999995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-666.52089999999998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-717.84019999999998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-732.86469999999997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-653.1694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-581.94140000000004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-529.88829999999996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-477.91090000000003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-483.98320000000001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-490.69439999999997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-454.78800000000001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-419.07510000000002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-280.89440000000002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-142.74469999999999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469.48140000000001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371.50779999999997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234.4469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98.824799999999996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-3.3111000000000002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-50.973500000000001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-62.442100000000003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-50.523299999999999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-48.508899999999997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-42.540799999999997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-36.650500000000001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-20.354199999999999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-4.6996000000000002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7.4893000000000001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19.469899999999999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19.827999999999999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20.157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2.0880000000000001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9.6144999999999996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26.748699999999999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50.253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64.030900000000003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72.05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73.674499999999995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69.841200000000001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63.767600000000002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52.644799999999996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40.8401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36.595399999999998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36.517400000000002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37.781500000000001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39.089599999999997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39.863300000000002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40.316400000000002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0.6734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0.6764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0.83279999999999998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0.87460000000000004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0.90800000000000003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0.92530000000000001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0.9234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0.90110000000000001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0.81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0.78710000000000002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0.76600000000000001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0.74680000000000002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0.72719999999999996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0.70840000000000003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0.68969999999999998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0.65439999999999998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0.62029999999999996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1.0101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0.98360000000000003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1.1353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1.3280000000000001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1.3501000000000001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1.3529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1.2838000000000001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1.1521999999999999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1.1185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1.1040000000000001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1.0907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1.1498999999999999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1.2084999999999999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1.2608999999999999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1.3150999999999999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1.3440000000000001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1.3723000000000001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1.7000000000000001E-2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5.5100000000000003E-2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0.20050000000000001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0.37880000000000003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0.5363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0.58130000000000004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0.6008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0.60570000000000002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0.60329999999999995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0.59519999999999995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0.58830000000000005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0.58240000000000003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0.57589999999999997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0.57120000000000004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0.56879999999999997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0.57469999999999999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0.58179999999999998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8.8000000000000005E-3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8.1299999999999997E-2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0.127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0.14449999999999999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0.16089999999999999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0.2009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0.25569999999999998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0.32779999999999998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0.32690000000000002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0.30420000000000003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0.2954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0.3115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0.3211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0.33090000000000003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0.33450000000000002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0.3352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8.3500000000000005E-2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2.7799999999999998E-2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4.0000000000000002E-4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0.20399999999999999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0.13059999999999999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8.0799999999999997E-2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4.7999999999999996E-3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1.1000000000000001E-3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4.0000000000000002E-4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1.14E-2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4.7000000000000002E-3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113.38849999999999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-112.8925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-325.25110000000001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-423.95609999999999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-430.69490000000002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-411.63819999999998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-368.34530000000001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-351.73970000000003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-324.23520000000002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-196.12389999999999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-67.451700000000002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-180.1456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-297.06740000000002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-229.92179999999999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-162.8467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-210.7473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-258.26609999999999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469.84859999999998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370.59910000000002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230.05680000000001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79.460999999999999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13.8104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-27.194600000000001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-44.501600000000003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-48.485599999999998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-48.716999999999999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-39.056399999999996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-28.838200000000001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-29.117999999999999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-33.628900000000002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-35.7883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-38.017099999999999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-39.850499999999997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-41.299900000000001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2.1002999999999998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9.6008999999999993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23.8337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54.004600000000003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85.777799999999999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108.4449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111.42870000000001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108.6784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104.1045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93.460899999999995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74.429500000000004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55.6509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37.054499999999997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26.121300000000002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15.4582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14.348699999999999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13.203099999999999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0.67059999999999997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0.65859999999999996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0.751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0.84470000000000001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0.87629999999999997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0.88539999999999996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0.89429999999999998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0.86699999999999999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0.77969999999999995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0.75739999999999996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0.73819999999999997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0.71609999999999996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0.68989999999999996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0.66669999999999996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0.64529999999999998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0.61650000000000005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0.58840000000000003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1.0045999999999999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0.97509999999999997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1.0606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1.2013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1.2709999999999999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1.3125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1.2619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1.1299999999999999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1.0471999999999999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1.0742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1.1011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1.1415999999999999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1.1840999999999999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1.2307999999999999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1.2783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1.3077000000000001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1.3371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1.6899999999999998E-2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5.3499999999999999E-2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0.18690000000000001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0.37619999999999998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0.52139999999999997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0.5766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0.60089999999999999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0.60750000000000004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0.61309999999999998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0.60250000000000004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0.59350000000000003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0.58960000000000001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0.58620000000000005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0.58160000000000001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0.57840000000000003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0.58489999999999998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0.5927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8.8000000000000005E-3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3.7499999999999999E-2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7.0999999999999994E-2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0.1085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0.13969999999999999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0.16839999999999999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0.28549999999999998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0.40710000000000002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0.40789999999999998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0.39879999999999999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0.39810000000000001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0.38479999999999998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0.36249999999999999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0.32319999999999999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0.3246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0.32529999999999998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8.2900000000000001E-2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2.6700000000000002E-2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0.20269999999999999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0.14149999999999999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5.8299999999999998E-2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1.9400000000000001E-2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3.3999999999999998E-3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1.8E-3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8.9999999999999998E-4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1.1299999999999999E-2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4.4999999999999997E-3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5.0000000000000001E-4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113.16419999999999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-99.450900000000004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-258.53719999999998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-403.89139999999998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-533.48789999999997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-555.89380000000006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-534.88710000000003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-466.64319999999998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-399.8614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-373.16430000000003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-346.61309999999997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-307.49549999999999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-268.5736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-265.64010000000002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-263.47949999999997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-171.78219999999999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-80.057900000000004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469.62060000000002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383.55290000000002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293.81119999999999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161.76599999999999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37.922699999999999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-26.482700000000001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-47.376100000000001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-46.027099999999997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-48.108899999999998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-44.511200000000002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-41.061199999999999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-25.6709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-10.474399999999999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-8.3234999999999992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-6.9531000000000001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-7.2442000000000002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-7.5037000000000003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2.1111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9.0335999999999999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13.8651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15.703900000000001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15.844900000000001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15.4384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14.815799999999999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13.604799999999999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11.839600000000001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8.6006999999999998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5.3234000000000004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2.859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0.38769999999999999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0.19139999999999999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0.66579999999999995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0.63619999999999999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0.71640000000000004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0.74729999999999996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0.77459999999999996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0.80559999999999998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0.79369999999999996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0.76419999999999999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0.72860000000000003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0.6915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0.65790000000000004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0.63139999999999996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0.60599999999999998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0.58499999999999996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0.56610000000000005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0.54659999999999997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0.52800000000000002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1.0012000000000001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0.9496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1.0302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1.0254000000000001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1.0163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0.99719999999999998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0.93389999999999995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0.88419999999999999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0.89080000000000004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0.88680000000000003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0.8841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0.92830000000000001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0.97230000000000005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1.0277000000000001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1.0835999999999999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1.1287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1.1736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1.67E-2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6.08E-2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0.17019999999999999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0.30730000000000002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0.41549999999999998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0.45879999999999999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0.48060000000000003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0.4965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0.50660000000000005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0.50149999999999995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0.4975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0.49199999999999999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0.48520000000000002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0.47620000000000001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0.47820000000000001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0.48159999999999997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8.8000000000000005E-3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4.0899999999999999E-2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6.4799999999999996E-2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8.3400000000000002E-2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9.5699999999999993E-2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0.1066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0.11070000000000001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0.1245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0.15129999999999999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0.1767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0.24990000000000001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0.31519999999999998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0.3921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0.45710000000000001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0.5181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0.56310000000000004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8.1900000000000001E-2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2.7300000000000001E-2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1.5599999999999999E-2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8.9999999999999998E-4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2.0000000000000001E-4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2.0000000000000001E-4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1.8E-3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4.1999999999999997E-3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1.4800000000000001E-2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2.6200000000000001E-2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4.1700000000000001E-2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5.7799999999999997E-2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0.13880000000000001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9.7699999999999995E-2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8.9499999999999996E-2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7.2800000000000004E-2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5.3600000000000002E-2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1.8599999999999998E-2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7.3000000000000001E-3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8.0000000000000004E-4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1.1000000000000001E-3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2.3999999999999998E-3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4.4000000000000003E-3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6.6E-3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8.9999999999999993E-3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1.15E-2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1.5100000000000001E-2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1.8800000000000001E-2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1.12E-2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4.1999999999999997E-3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113.21980000000001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-138.83580000000001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-309.23849999999999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-386.67579999999998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-446.28680000000003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-496.62869999999998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-531.43640000000005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-511.63830000000002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-491.83199999999999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-471.23669999999998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-450.98739999999998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-482.58550000000002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-513.96140000000003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-482.19099999999997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-449.584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-327.34440000000001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-204.7467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469.69400000000002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389.12150000000003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333.59500000000003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291.28019999999998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259.68419999999998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235.48330000000001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226.80250000000001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223.7098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220.64959999999999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218.34979999999999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215.69749999999999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207.07480000000001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198.6679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184.49160000000001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171.1439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155.78059999999999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140.77699999999999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2.0947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9.0248000000000008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13.8271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18.603999999999999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50.023200000000003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87.9542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123.3852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148.4188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178.30619999999999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189.30869999999999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195.52940000000001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184.00069999999999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169.70320000000001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138.20099999999999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105.93689999999999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80.409400000000005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54.825600000000001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0.67290000000000005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0.64339999999999997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0.72589999999999999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0.80910000000000004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0.93810000000000004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0.91359999999999997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0.89559999999999995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0.88800000000000001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0.80959999999999999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0.77929999999999999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0.75170000000000003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0.73099999999999998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0.71220000000000006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0.67900000000000005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0.64759999999999995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0.61829999999999996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1.0066999999999999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0.95830000000000004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1.0418000000000001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1.0860000000000001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1.1986000000000001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1.2887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1.282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1.1813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1.1431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1.1254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1.1048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1.1577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1.2111000000000001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1.2352000000000001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1.2606999999999999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1.339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1.6899999999999998E-2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6.1499999999999999E-2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0.1719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0.32540000000000002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0.42949999999999999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0.47639999999999999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0.50360000000000005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0.51849999999999996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0.52159999999999995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0.51659999999999995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0.51280000000000003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0.50680000000000003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0.49940000000000001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0.50370000000000004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0.50929999999999997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8.8000000000000005E-3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4.0800000000000003E-2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6.4600000000000005E-2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8.2299999999999998E-2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0.1024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0.18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0.313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0.45519999999999999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0.67290000000000005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0.77910000000000001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0.8629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0.87209999999999999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0.85840000000000005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0.81540000000000001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0.74460000000000004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0.64610000000000001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8.3199999999999996E-2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2.7900000000000001E-2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1.6199999999999999E-2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5.0000000000000001E-4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0.14199999999999999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0.10100000000000001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5.4199999999999998E-2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3.8800000000000001E-2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2.8999999999999998E-3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1.6000000000000001E-3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6.9999999999999999E-4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5.0000000000000001E-4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2.0000000000000001E-4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1.14E-2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4.4000000000000003E-3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112.962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-93.996799999999993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-218.7097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-322.17880000000002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-524.59310000000005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-560.54340000000002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-580.5675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-550.88940000000002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-520.12070000000006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-511.50749999999999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-498.15620000000001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-464.42570000000001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-428.12900000000002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-397.4708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-366.05290000000002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-248.41900000000001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-130.72130000000001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469.42899999999997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388.0849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332.36009999999999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244.84020000000001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53.636499999999998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-19.847899999999999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-78.826700000000002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-116.54340000000001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-156.49039999999999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-172.6523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-184.08189999999999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-174.51519999999999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-162.38390000000001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-132.29939999999999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-101.4593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-75.769199999999998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-50.014099999999999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2.1042000000000001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9.0287000000000006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13.8416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17.519400000000001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25.6372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29.4771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29.612200000000001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29.020399999999999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28.109300000000001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24.6434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21.159199999999998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16.1252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10.1699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5.5444000000000004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1.0954999999999999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0.54120000000000001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0.66830000000000001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0.63870000000000005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0.7198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0.73909999999999998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0.80430000000000001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0.82940000000000003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0.82189999999999996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0.80210000000000004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0.75190000000000001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0.72489999999999999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0.70189999999999997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0.68100000000000005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0.66279999999999994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0.628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0.59219999999999995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0.56640000000000001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0.54220000000000002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1.0031000000000001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0.95269999999999999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1.0345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1.0893999999999999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1.1738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1.2035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1.1438999999999999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1.0492999999999999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0.99360000000000004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0.99639999999999995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0.99980000000000002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1.0572999999999999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1.1151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1.1352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1.1552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1.2014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1.2474000000000001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1.6799999999999999E-2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6.0999999999999999E-2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0.17069999999999999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0.31890000000000002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0.42580000000000001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0.4632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0.49070000000000003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0.51039999999999996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0.51749999999999996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0.50919999999999999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0.50209999999999999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0.4965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0.49159999999999998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0.49149999999999999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0.4894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0.49380000000000002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8.8000000000000005E-3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4.0899999999999999E-2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6.4699999999999994E-2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7.8200000000000006E-2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7.8700000000000006E-2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0.1038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0.1615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0.21970000000000001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0.32190000000000002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0.36130000000000001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0.38979999999999998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0.43930000000000002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0.4632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0.47139999999999999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0.46870000000000001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0.46389999999999998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8.2199999999999995E-2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2.75E-2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1.5800000000000002E-2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4.0000000000000002E-4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1E-4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0.2014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0.1399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9.8799999999999999E-2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5.4699999999999999E-2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4.7399999999999998E-2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1.8200000000000001E-2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1.6199999999999999E-2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1.5900000000000001E-2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1.5699999999999999E-2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1.47E-2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8.3000000000000001E-3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4.7000000000000002E-3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2.5999999999999999E-3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1.1000000000000001E-3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1.2999999999999999E-3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1.12E-2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4.3E-3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112.9547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-116.39960000000001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-263.9171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-378.85910000000001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-528.7201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-597.43489999999997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-630.16330000000005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-565.59220000000005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-496.44510000000002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-452.00880000000001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-407.79169999999999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-432.16239999999999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-456.62079999999997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-437.07929999999999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-418.15460000000002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-282.41359999999997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-146.8458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469.42239999999998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388.61099999999999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333.0247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260.89890000000003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145.73390000000001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85.780600000000007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58.876199999999997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52.461599999999997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48.0227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44.279699999999998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40.3142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37.9193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35.4313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31.886099999999999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27.712700000000002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26.171199999999999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24.4589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2.0989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8.7001000000000008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23.804300000000001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50.051499999999997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78.810699999999997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94.742199999999997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101.9996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105.5543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106.2338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104.3184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101.5258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101.1931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100.49850000000001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100.2105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99.796899999999994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95.052400000000006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89.935500000000005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0.67959999999999998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0.47939999999999999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0.50270000000000004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0.48870000000000002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0.46899999999999997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0.45140000000000002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0.43390000000000001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0.40679999999999999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0.3861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0.37909999999999999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0.37590000000000001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0.376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0.37630000000000002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0.38009999999999999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0.38379999999999997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0.37469999999999998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0.36659999999999998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1.0169999999999999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1.0680000000000001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1.1008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1.2271000000000001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1.2556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1.2141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1.2029000000000001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1.0573999999999999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1.0174000000000001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1.004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0.99429999999999996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1.0450999999999999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1.0962000000000001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1.145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1.1937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1.2341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1.2765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1.72E-2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5.2200000000000003E-2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0.17299999999999999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0.33160000000000001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0.46200000000000002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0.48580000000000001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0.42920000000000003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0.49669999999999997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0.49819999999999998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0.48580000000000001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0.47689999999999999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0.47020000000000001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0.46429999999999999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0.45950000000000002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0.45750000000000002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8.6999999999999994E-3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3.3500000000000002E-2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6.7199999999999996E-2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0.1129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0.15740000000000001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0.19420000000000001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0.218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0.2263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0.2198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0.2077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0.19389999999999999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0.19339999999999999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0.19220000000000001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0.2026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0.21229999999999999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0.2266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0.23849999999999999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8.5400000000000004E-2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2.3699999999999999E-2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4.0000000000000002E-4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0.20760000000000001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0.1128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5.8200000000000002E-2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4.0000000000000001E-3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1.8E-3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4.0000000000000002E-4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1.1599999999999999E-2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4.0000000000000001E-3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5.9999999999999995E-4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114.59229999999999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-125.4376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-349.83730000000003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-438.15699999999998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-469.32679999999999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-447.57920000000001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-398.45780000000002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-382.66989999999998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-364.81950000000001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-250.91050000000001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-136.1636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-251.7381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-366.95490000000001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-297.54480000000001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-228.01140000000001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-268.82209999999998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-309.26589999999999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471.04590000000002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358.33589999999998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205.4289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61.72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-32.499099999999999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-75.902900000000002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-91.995000000000005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-97.746600000000001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-101.0277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-99.987300000000005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-98.108599999999996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-97.647999999999996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-96.829800000000006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-96.311300000000003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-95.669899999999998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-91.6631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-87.289500000000004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2.0998000000000001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9.6633999999999993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28.6191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63.8857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104.2281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124.1283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125.2071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117.29170000000001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106.3343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90.643799999999999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74.522099999999995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51.501199999999997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28.908000000000001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16.514700000000001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4.0026999999999999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1.9992000000000001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0.66779999999999995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0.65280000000000005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0.79469999999999996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0.8417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0.88749999999999996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0.90500000000000003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0.88619999999999999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0.83850000000000002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0.74929999999999997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0.72870000000000001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0.7117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0.68389999999999995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0.65920000000000001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0.62070000000000003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0.58409999999999995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0.56230000000000002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0.54149999999999998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1.0016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0.95899999999999996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1.0682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1.2488999999999999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1.321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1.3273999999999999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1.2181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1.0546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0.99239999999999995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1.0185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1.0445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1.0822000000000001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1.1208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1.1417999999999999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1.1641999999999999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1.212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1.2595000000000001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1.6799999999999999E-2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6.3399999999999998E-2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0.188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0.32579999999999998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0.42949999999999999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0.4662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0.48659999999999998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0.50390000000000001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0.5151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0.50790000000000002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0.502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0.49730000000000002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0.49330000000000002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0.48659999999999998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0.48020000000000002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0.48230000000000001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0.48559999999999998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8.8000000000000005E-3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3.6499999999999998E-2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7.7499999999999999E-2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0.13159999999999999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0.18740000000000001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0.24840000000000001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0.34789999999999999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0.46689999999999998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0.60009999999999997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0.5917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0.56510000000000005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0.5413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0.49609999999999999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0.49340000000000001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0.48499999999999999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0.46729999999999999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0.44919999999999999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8.2000000000000003E-2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2.5899999999999999E-2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4.0000000000000002E-4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0.20100000000000001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0.13120000000000001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8.5500000000000007E-2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5.8999999999999999E-3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2.7000000000000001E-3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8.0000000000000004E-4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1.12E-2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4.4000000000000003E-3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8.9999999999999998E-4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113.03270000000001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-132.9726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-357.60169999999999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-524.73670000000004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-654.40179999999998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-706.81389999999999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-720.50969999999995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-645.82600000000002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-574.51110000000006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-522.88210000000004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-471.28879999999998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-477.5992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-484.82749999999999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-449.75409999999999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-414.5949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-276.60169999999999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-138.6413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469.49810000000002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372.99959999999999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241.5829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110.16670000000001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8.8215000000000003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-39.939599999999999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-50.098300000000002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-43.223500000000001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-41.187399999999997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-35.681600000000003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-30.213100000000001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-14.229699999999999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0.83169999999999999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12.1561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23.551600000000001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23.716899999999999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23.848600000000001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2.0851000000000002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9.3773999999999997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28.8569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59.704599999999999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79.642399999999995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90.821899999999999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95.313000000000002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90.651499999999999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83.6738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70.634100000000004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56.795099999999998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44.8307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35.737299999999998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36.686999999999998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37.724400000000003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39.417200000000001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40.847900000000003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0.67059999999999997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0.67400000000000004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0.82399999999999995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0.86939999999999995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0.90720000000000001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0.93600000000000005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0.93049999999999999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0.9123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0.82110000000000005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0.80359999999999998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0.78820000000000001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0.77180000000000004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0.75649999999999995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0.74170000000000003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0.72850000000000004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0.70130000000000003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0.67410000000000003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1.0076000000000001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0.98150000000000004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1.1314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1.3281000000000001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1.3582000000000001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1.3588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1.3028999999999999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1.1616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1.1203000000000001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1.1211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1.1226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1.1838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1.2454000000000001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1.304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1.3636999999999999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1.4036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1.4440999999999999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1.72E-2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5.4899999999999997E-2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0.1963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0.37040000000000001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0.52580000000000005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0.56850000000000001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0.58550000000000002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0.58699999999999997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0.58340000000000003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0.57469999999999999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0.56799999999999995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0.56489999999999996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0.56369999999999998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0.56200000000000006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0.56299999999999994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0.57179999999999997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0.58299999999999996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8.8000000000000005E-3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3.73E-2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8.7400000000000005E-2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0.1492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0.18140000000000001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0.21290000000000001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0.26819999999999999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0.33629999999999999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0.4178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0.40129999999999999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0.36459999999999998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0.32740000000000002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0.30080000000000001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0.3115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0.32300000000000001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0.3246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0.32400000000000001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8.5199999999999998E-2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2.9100000000000001E-2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5.0000000000000001E-4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0.20499999999999999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0.13320000000000001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8.1600000000000006E-2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3.8E-3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6.9999999999999999E-4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2.0000000000000001E-4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1.15E-2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4.7999999999999996E-3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113.83540000000001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-113.1773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-330.68529999999998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-436.5016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-448.64710000000002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-434.56610000000001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-393.8211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-377.86959999999999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-351.64409999999998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-224.22210000000001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-96.045299999999997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-196.62809999999999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-300.0351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-231.88499999999999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-163.8262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-211.46639999999999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-258.80930000000001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470.31180000000001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370.0967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223.5034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63.613599999999998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-8.8902000000000001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-55.081099999999999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-74.041899999999998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-77.38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-77.648499999999999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-68.316100000000006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-58.233400000000003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-46.6355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-37.866199999999999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-39.182299999999998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-40.594499999999996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-42.155700000000003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-43.411999999999999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2.0996999999999999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9.5815000000000001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23.0489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53.744300000000003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85.339500000000001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108.76009999999999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112.87090000000001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0.67100000000000004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0.6613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0.75180000000000002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0.84660000000000002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0.88149999999999995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0.89190000000000003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0.90080000000000005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1.0047999999999999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0.97760000000000002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1.0620000000000001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1.2018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1.2788999999999999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1.3226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1.2722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1.6899999999999998E-2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5.3699999999999998E-2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0.18720000000000001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0.37740000000000001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0.52370000000000005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0.57989999999999997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0.60489999999999999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8.8000000000000005E-3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3.73E-2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7.0199999999999999E-2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0.10780000000000001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0.14069999999999999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0.17119999999999999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0.214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8.2900000000000001E-2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2.81E-2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5.9999999999999995E-4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0.2029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0.14219999999999999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5.8299999999999998E-2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1.8700000000000001E-2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3.3999999999999998E-3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1.8E-3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8.9999999999999998E-4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1.1299999999999999E-2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4.5999999999999999E-3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5.0000000000000001E-4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113.17789999999999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-101.45269999999999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-258.82859999999999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-404.4015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-536.15560000000005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-558.7337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-537.12509999999997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469.6327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382.89109999999999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293.84300000000002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161.16139999999999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35.116700000000002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-29.591799999999999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-49.890700000000002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2.1040000000000001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9.1321999999999992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14.174099999999999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16.0489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16.4069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16.007000000000001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15.4114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0.66210000000000002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0.63290000000000002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0.72650000000000003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0.76019999999999999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0.7944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0.83020000000000005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0.81910000000000005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1.0004999999999999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0.94950000000000001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1.0443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1.0408999999999999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1.0344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1.0161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0.95299999999999996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1.66E-2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5.5500000000000001E-2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0.16200000000000001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0.30120000000000002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0.41549999999999998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0.46810000000000002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0.49740000000000001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8.8000000000000005E-3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4.0899999999999999E-2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6.5500000000000003E-2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8.4699999999999998E-2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9.74E-2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0.1084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0.1164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8.1699999999999995E-2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2.7099999999999999E-2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1.6199999999999999E-2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8.9999999999999998E-4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2.0000000000000001E-4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0.20030000000000001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0.1366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0.10059999999999999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9.2600000000000002E-2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7.6600000000000001E-2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5.6899999999999999E-2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2.1600000000000001E-2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1.12E-2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4.1999999999999997E-3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113.4439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-141.04519999999999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-307.10430000000002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-383.99579999999997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-443.2251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-493.53070000000002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-528.30489999999998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469.95830000000001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388.6028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336.34379999999999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293.99990000000003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262.52449999999999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238.32130000000001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229.73500000000001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2.1046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9.1389999999999993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14.1912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18.6722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45.113900000000001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87.597200000000001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124.7413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0.6633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0.63370000000000004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0.72950000000000004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0.8054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0.96079999999999999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0.9325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0.90769999999999995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1.0016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0.94950000000000001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1.0454000000000001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1.101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1.2012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1.2964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1.2926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1.6500000000000001E-2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5.5399999999999998E-2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0.16320000000000001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0.33200000000000002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0.43990000000000001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0.48920000000000002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0.51890000000000003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8.8000000000000005E-3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4.0899999999999999E-2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6.5500000000000003E-2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8.2500000000000004E-2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0.1051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0.1865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0.3271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8.0500000000000002E-2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2.6100000000000002E-2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1.5699999999999999E-2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4.0000000000000002E-4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0.1996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0.13519999999999999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9.9900000000000003E-2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5.4399999999999997E-2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3.8600000000000002E-2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2.7000000000000001E-3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1.5E-3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1.11E-2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4.1000000000000003E-3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113.161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-95.539000000000001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-215.69319999999999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-322.49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-520.24210000000005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-560.64369999999997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-582.82600000000002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469.67140000000001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388.2253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335.98439999999999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244.40719999999999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57.347200000000001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-20.988099999999999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-82.450400000000002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2.0994999999999999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9.1346000000000007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13.9931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17.799399999999999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25.0627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26.7516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26.0746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0.67310000000000003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0.64349999999999996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0.72709999999999997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0.73929999999999996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0.82340000000000002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0.87870000000000004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0.84360000000000002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1.0068999999999999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0.95530000000000004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1.0405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1.1292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1.2314000000000001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1.1988000000000001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1.1207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1.6799999999999999E-2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6.1499999999999999E-2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0.17349999999999999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0.3281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0.43890000000000001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0.49030000000000001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0.51800000000000002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8.8000000000000005E-3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4.0800000000000003E-2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6.4600000000000005E-2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9.4399999999999998E-2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0.17119999999999999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0.2903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8.1799999999999998E-2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2.6800000000000001E-2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1.5599999999999999E-2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4.0000000000000002E-4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1E-4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0.20230000000000001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0.13919999999999999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9.9199999999999997E-2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5.57E-2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4.6899999999999997E-2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1.83E-2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1.66E-2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1.1299999999999999E-2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4.3E-3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112.6699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-119.94589999999999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-266.17500000000001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-384.4896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-556.3691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-625.2269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-647.5222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469.12259999999998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386.71350000000001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331.40449999999998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255.88740000000001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118.9495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57.975700000000003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38.568300000000001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2.1074000000000002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8.7022999999999993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19.363199999999999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31.463899999999999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37.220199999999998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40.869900000000001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44.220500000000001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0.67559999999999998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0.47649999999999998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0.49469999999999997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0.48280000000000001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0.4617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0.44569999999999999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0.44140000000000001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1.0109999999999999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1.0627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1.0843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1.1716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1.1751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1.1620999999999999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1.1575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1.7299999999999999E-2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5.1999999999999998E-2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0.16800000000000001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0.31769999999999998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0.43809999999999999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0.45519999999999999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0.4042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8.8000000000000005E-3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3.4000000000000002E-2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5.5800000000000002E-2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6.9599999999999995E-2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6.9199999999999998E-2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6.5100000000000005E-2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6.2E-2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8.6300000000000002E-2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2.4799999999999999E-2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0.2072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0.1128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5.6599999999999998E-2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1.8E-3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8.9999999999999998E-4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1.1599999999999999E-2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4.1000000000000003E-3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6.9999999999999999E-4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114.2701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-129.47020000000001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-347.06650000000002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-409.96140000000003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-410.38080000000002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-385.28460000000001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-341.58960000000002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470.7371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356.2876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210.71080000000001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96.981800000000007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40.846400000000003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8.7754999999999992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-9.2495999999999992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2.0996000000000001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9.8840000000000003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30.197199999999999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69.841099999999997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113.01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133.61019999999999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132.6823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0.66779999999999995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0.65280000000000005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0.7954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0.84370000000000001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0.8952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0.91100000000000003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0.89019999999999999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1.0016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0.95809999999999995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1.0733999999999999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1.2589999999999999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1.3299000000000001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1.3361000000000001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1.2205999999999999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1.6799999999999999E-2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6.3700000000000007E-2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0.18859999999999999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0.32740000000000002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0.43309999999999998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0.47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0.49070000000000003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8.8000000000000005E-3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3.7100000000000001E-2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8.2199999999999995E-2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0.14410000000000001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0.20810000000000001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0.27229999999999999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0.37280000000000002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8.2000000000000003E-2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2.5899999999999999E-2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4.0000000000000002E-4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0.2011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0.13020000000000001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8.5099999999999995E-2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4.7999999999999996E-3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2.0999999999999999E-3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5.9999999999999995E-4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1.12E-2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4.4000000000000003E-3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8.9999999999999998E-4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113.0294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-135.75309999999999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-364.6653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-537.61360000000002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-670.30650000000003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-722.15060000000005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-730.32929999999999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469.495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371.01190000000003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234.46690000000001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97.031300000000002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-7.3636999999999997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-55.561999999999998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-60.216999999999999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2.085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9.2148000000000003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29.521000000000001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59.448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76.517499999999998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83.830100000000002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83.757900000000006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0.6704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0.67279999999999995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0.82369999999999999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0.87250000000000005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0.91149999999999998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0.9415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0.9365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1.0073000000000001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0.98029999999999995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1.3304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1.3634999999999999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1.3624000000000001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1.2916000000000001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1.72E-2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5.5199999999999999E-2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0.19670000000000001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0.37159999999999999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0.52739999999999998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0.57050000000000001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0.58699999999999997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8.8000000000000005E-3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8.7499999999999994E-2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0.14369999999999999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0.16669999999999999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0.1893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0.23849999999999999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8.5099999999999995E-2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2.9000000000000001E-2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0.2049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0.13200000000000001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8.0399999999999999E-2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3.8E-3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6.9999999999999999E-4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2.0000000000000001E-4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1.15E-2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4.7999999999999996E-3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113.8019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-115.04519999999999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-332.93970000000002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-438.70060000000001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-447.49709999999999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-428.50510000000003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-380.65309999999999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470.27879999999999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369.72750000000002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222.9692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65.437399999999997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-2.0350000000000001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-43.720799999999997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-58.591999999999999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2025-09-17T10:50:20Z</dcterms:modified>
</cp:coreProperties>
</file>