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87F2E50C-63F7-407D-A51B-FF0613A3A6DB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annual" sheetId="7" r:id="rId6"/>
    <sheet name="ts_12t" sheetId="8" r:id="rId7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8" l="1"/>
  <c r="AG9" i="8"/>
  <c r="AC9" i="8"/>
  <c r="A10" i="6"/>
  <c r="X9" i="8"/>
  <c r="S9" i="8"/>
  <c r="N9" i="8"/>
  <c r="I9" i="8"/>
  <c r="A11" i="8"/>
  <c r="C9" i="8" s="1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H21" i="6" s="1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<sst xmlns="http://schemas.openxmlformats.org/spreadsheetml/2006/main" count="2081" uniqueCount="187">
  <si>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</si>
  <si>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</si>
  <si>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</si>
  <si>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</si>
  <si>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</si>
  <si>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</si>
  <si>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</si>
  <si>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</si>
  <si>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</si>
  <si>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</si>
  <si>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</si>
  <si>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</si>
  <si>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</si>
  <si>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</si>
  <si>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</si>
  <si>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</si>
  <si>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</si>
  <si>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</si>
  <si>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</si>
  <si>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</si>
  <si>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</si>
  <si>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</si>
  <si>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</si>
  <si>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</si>
  <si>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</si>
  <si>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</si>
  <si>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</si>
  <si>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</si>
  <si>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</si>
  <si>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</si>
  <si>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</si>
  <si>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</si>
  <si>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</si>
  <si>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</si>
  <si>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</si>
  <si>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</si>
  <si>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</si>
  <si>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</si>
  <si>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</si>
  <si>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</si>
  <si>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</si>
  <si>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</si>
  <si>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</si>
  <si>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</si>
  <si>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</si>
  <si>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</si>
  <si>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</si>
  <si>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</si>
  <si>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</si>
  <si>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</si>
  <si>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</si>
  <si>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</si>
  <si>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</si>
  <si>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</si>
  <si>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</si>
  <si>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</si>
  <si>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</si>
  <si>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</si>
  <si>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</si>
  <si>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</si>
  <si>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</si>
  <si>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</si>
  <si>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</si>
  <si>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</si>
  <si>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</si>
  <si>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</si>
  <si>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</si>
  <si>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</si>
  <si>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</si>
  <si>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</si>
  <si>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</si>
  <si>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</si>
  <si>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</si>
  <si>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</si>
  <si>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</si>
  <si>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</si>
  <si>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</si>
  <si>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</si>
  <si>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</si>
  <si>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</si>
  <si>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</si>
  <si>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</si>
  <si>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</si>
  <si>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</si>
  <si>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</si>
  <si>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</si>
  <si>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</si>
  <si>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</si>
  <si>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</si>
  <si>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</si>
  <si>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</si>
  <si>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</si>
  <si>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</si>
  <si>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</si>
  <si>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</si>
  <si>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</si>
  <si>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</si>
  <si>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</si>
  <si>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</si>
  <si>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</si>
  <si>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</si>
  <si>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</si>
  <si>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</si>
  <si>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</si>
  <si>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</si>
  <si>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</si>
  <si>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</si>
  <si>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</si>
  <si>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</si>
  <si>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</si>
  <si>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</si>
  <si>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</si>
  <si>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</si>
  <si>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</si>
  <si>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</si>
  <si>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</si>
  <si>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</si>
  <si>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</si>
  <si>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</si>
  <si>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</si>
  <si>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</si>
  <si>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</si>
  <si>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</si>
  <si>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</si>
  <si>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</si>
  <si>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</si>
  <si>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</si>
  <si>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</si>
  <si>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</si>
  <si>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</si>
  <si>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</si>
  <si>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</si>
  <si>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</si>
  <si>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</si>
  <si>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</si>
  <si>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</si>
  <si>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</si>
  <si>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</si>
  <si>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</si>
  <si>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</si>
  <si>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</si>
  <si>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</si>
  <si>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CAN</t>
  </si>
  <si>
    <t>R10NORTH_AM</t>
  </si>
  <si>
    <t>Cheap shale gas, coal less competitive</t>
  </si>
  <si>
    <t>1-70</t>
  </si>
  <si>
    <t>season</t>
  </si>
  <si>
    <t>weekly</t>
  </si>
  <si>
    <t>daynite</t>
  </si>
  <si>
    <t>wparent</t>
  </si>
  <si>
    <t>dparent</t>
  </si>
  <si>
    <t>AllS</t>
  </si>
  <si>
    <t>a</t>
  </si>
  <si>
    <t>AllH</t>
  </si>
  <si>
    <t>F</t>
  </si>
  <si>
    <t>D</t>
  </si>
  <si>
    <t>W,R,S,F</t>
  </si>
  <si>
    <t>R</t>
  </si>
  <si>
    <t>N</t>
  </si>
  <si>
    <t>S</t>
  </si>
  <si>
    <t>P</t>
  </si>
  <si>
    <t>W</t>
  </si>
  <si>
    <t>com_fr</t>
  </si>
  <si>
    <t>elc_spv-CAN</t>
  </si>
  <si>
    <t>FaD</t>
  </si>
  <si>
    <t>IMPNRGZ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</si>
  <si>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</si>
  <si>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</si>
  <si>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</si>
  <si>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</si>
  <si>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</si>
  <si>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</si>
  <si>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</si>
  <si>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</si>
  <si>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</si>
  <si>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</si>
  <si>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</si>
  <si>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elc_won-CAN</t>
  </si>
  <si>
    <t>elc_wof-CAN</t>
  </si>
  <si>
    <t>g_yrfr</t>
  </si>
  <si>
    <t>day_night</t>
  </si>
  <si>
    <t>FaP,SaP,WaD,FaD,RaD,RaP,SaD,WaP</t>
  </si>
  <si>
    <t>RaP,FaN,WaP,SaN,WaN,FaP,SaP,RaN</t>
  </si>
  <si>
    <t>com_pkflx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</si>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</sst>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599.92000000000007</c:v>
                </c:pt>
                <c:pt idx="1">
                  <c:v>605.91920000000005</c:v>
                </c:pt>
                <c:pt idx="2">
                  <c:v>653.91280000000017</c:v>
                </c:pt>
                <c:pt idx="3">
                  <c:v>707.90560000000005</c:v>
                </c:pt>
                <c:pt idx="4">
                  <c:v>779.89600000000007</c:v>
                </c:pt>
                <c:pt idx="5">
                  <c:v>899.88000000000011</c:v>
                </c:pt>
                <c:pt idx="6">
                  <c:v>1019.8640000000001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79.900000000000006</c:v>
                </c:pt>
                <c:pt idx="3">
                  <c:v>104.42</c:v>
                </c:pt>
                <c:pt idx="4">
                  <c:v>134.84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599.92000000000007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599.92000000000007</v>
      </c>
      <c r="U14" s="8">
        <f t="shared" ref="U14:Z14" si="3">$S$12*J15</f>
        <v>605.91920000000005</v>
      </c>
      <c r="V14" s="8">
        <f t="shared" si="3"/>
        <v>653.91280000000017</v>
      </c>
      <c r="W14" s="8">
        <f t="shared" si="3"/>
        <v>707.90560000000005</v>
      </c>
      <c r="X14" s="8">
        <f t="shared" si="3"/>
        <v>779.89600000000007</v>
      </c>
      <c r="Y14" s="8">
        <f t="shared" si="3"/>
        <v>899.88000000000011</v>
      </c>
      <c r="Z14" s="8">
        <f t="shared" si="3"/>
        <v>1019.8640000000001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1.01</v>
      </c>
      <c r="K15" s="11">
        <f>SUMIFS(ar6_r10!$F$2:$F$999,ar6_r10!$A$2:$A$999,Veda!$E$5,ar6_r10!$C$2:$C$999,Veda!K$17,ar6_r10!$M$2:$M$999,Veda!$G15)</f>
        <v>1.0900000000000001</v>
      </c>
      <c r="L15" s="11">
        <f>SUMIFS(ar6_r10!$F$2:$F$999,ar6_r10!$A$2:$A$999,Veda!$E$5,ar6_r10!$C$2:$C$999,Veda!L$17,ar6_r10!$M$2:$M$999,Veda!$G15)</f>
        <v>1.18</v>
      </c>
      <c r="M15" s="11">
        <f>SUMIFS(ar6_r10!$F$2:$F$999,ar6_r10!$A$2:$A$999,Veda!$E$5,ar6_r10!$C$2:$C$999,Veda!M$17,ar6_r10!$M$2:$M$999,Veda!$G15)</f>
        <v>1.3</v>
      </c>
      <c r="N15" s="11">
        <f>SUMIFS(ar6_r10!$F$2:$F$999,ar6_r10!$A$2:$A$999,Veda!$E$5,ar6_r10!$C$2:$C$999,Veda!N$17,ar6_r10!$M$2:$M$999,Veda!$G15)</f>
        <v>1.5</v>
      </c>
      <c r="O15" s="11">
        <f>SUMIFS(ar6_r10!$F$2:$F$999,ar6_r10!$A$2:$A$999,Veda!$E$5,ar6_r10!$C$2:$C$999,Veda!O$17,ar6_r10!$M$2:$M$999,Veda!$G15)</f>
        <v>1.7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0.02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6.5391280000000016</v>
      </c>
      <c r="W18" s="6">
        <f t="shared" si="7"/>
        <v>7.0790560000000005</v>
      </c>
      <c r="X18" s="6">
        <f t="shared" si="7"/>
        <v>15.597920000000002</v>
      </c>
      <c r="Y18" s="6">
        <f t="shared" si="7"/>
        <v>8.998800000000001</v>
      </c>
      <c r="Z18" s="6">
        <f t="shared" si="7"/>
        <v>30.595920000000003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0.22</v>
      </c>
      <c r="J19" s="11">
        <f>SUMIFS(ar6_r10!$F$2:$F$999,ar6_r10!$A$2:$A$999,Veda!$E$5,ar6_r10!$C$2:$C$999,Veda!J$17,ar6_r10!$M$2:$M$999,Veda!$G19)</f>
        <v>0.21</v>
      </c>
      <c r="K19" s="11">
        <f>SUMIFS(ar6_r10!$F$2:$F$999,ar6_r10!$A$2:$A$999,Veda!$E$5,ar6_r10!$C$2:$C$999,Veda!K$17,ar6_r10!$M$2:$M$999,Veda!$G19)</f>
        <v>0.21</v>
      </c>
      <c r="L19" s="11">
        <f>SUMIFS(ar6_r10!$F$2:$F$999,ar6_r10!$A$2:$A$999,Veda!$E$5,ar6_r10!$C$2:$C$999,Veda!L$17,ar6_r10!$M$2:$M$999,Veda!$G19)</f>
        <v>0.21</v>
      </c>
      <c r="M19" s="11">
        <f>SUMIFS(ar6_r10!$F$2:$F$999,ar6_r10!$A$2:$A$999,Veda!$E$5,ar6_r10!$C$2:$C$999,Veda!M$17,ar6_r10!$M$2:$M$999,Veda!$G19)</f>
        <v>0.21</v>
      </c>
      <c r="N19" s="11">
        <f>SUMIFS(ar6_r10!$F$2:$F$999,ar6_r10!$A$2:$A$999,Veda!$E$5,ar6_r10!$C$2:$C$999,Veda!N$17,ar6_r10!$M$2:$M$999,Veda!$G19)</f>
        <v>0.22</v>
      </c>
      <c r="O19" s="11">
        <f>SUMIFS(ar6_r10!$F$2:$F$999,ar6_r10!$A$2:$A$999,Veda!$E$5,ar6_r10!$C$2:$C$999,Veda!O$17,ar6_r10!$M$2:$M$999,Veda!$G19)</f>
        <v>0.24</v>
      </c>
      <c r="S19" s="10" t="s">
        <v>19</v>
      </c>
      <c r="T19" s="6">
        <f t="shared" si="7"/>
        <v>131.98240000000001</v>
      </c>
      <c r="U19" s="6">
        <f t="shared" si="7"/>
        <v>127.243032</v>
      </c>
      <c r="V19" s="6">
        <f t="shared" si="7"/>
        <v>137.32168800000002</v>
      </c>
      <c r="W19" s="6">
        <f t="shared" si="7"/>
        <v>148.66017600000001</v>
      </c>
      <c r="X19" s="6">
        <f t="shared" si="7"/>
        <v>163.77816000000001</v>
      </c>
      <c r="Y19" s="6">
        <f t="shared" si="7"/>
        <v>197.97360000000003</v>
      </c>
      <c r="Z19" s="6">
        <f t="shared" si="7"/>
        <v>244.76736000000002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0.76</v>
      </c>
      <c r="J20" s="11">
        <f>SUMIFS(ar6_r10!$F$2:$F$999,ar6_r10!$A$2:$A$999,Veda!$E$5,ar6_r10!$C$2:$C$999,Veda!J$17,ar6_r10!$M$2:$M$999,Veda!$G20)</f>
        <v>0.77</v>
      </c>
      <c r="K20" s="11">
        <f>SUMIFS(ar6_r10!$F$2:$F$999,ar6_r10!$A$2:$A$999,Veda!$E$5,ar6_r10!$C$2:$C$999,Veda!K$17,ar6_r10!$M$2:$M$999,Veda!$G20)</f>
        <v>0.75</v>
      </c>
      <c r="L20" s="11">
        <f>SUMIFS(ar6_r10!$F$2:$F$999,ar6_r10!$A$2:$A$999,Veda!$E$5,ar6_r10!$C$2:$C$999,Veda!L$17,ar6_r10!$M$2:$M$999,Veda!$G20)</f>
        <v>0.71</v>
      </c>
      <c r="M20" s="11">
        <f>SUMIFS(ar6_r10!$F$2:$F$999,ar6_r10!$A$2:$A$999,Veda!$E$5,ar6_r10!$C$2:$C$999,Veda!M$17,ar6_r10!$M$2:$M$999,Veda!$G20)</f>
        <v>0.69</v>
      </c>
      <c r="N20" s="11">
        <f>SUMIFS(ar6_r10!$F$2:$F$999,ar6_r10!$A$2:$A$999,Veda!$E$5,ar6_r10!$C$2:$C$999,Veda!N$17,ar6_r10!$M$2:$M$999,Veda!$G20)</f>
        <v>0.64</v>
      </c>
      <c r="O20" s="11">
        <f>SUMIFS(ar6_r10!$F$2:$F$999,ar6_r10!$A$2:$A$999,Veda!$E$5,ar6_r10!$C$2:$C$999,Veda!O$17,ar6_r10!$M$2:$M$999,Veda!$G20)</f>
        <v>0.6</v>
      </c>
      <c r="S20" s="10" t="s">
        <v>22</v>
      </c>
      <c r="T20" s="6">
        <f t="shared" si="7"/>
        <v>455.93920000000008</v>
      </c>
      <c r="U20" s="6">
        <f t="shared" si="7"/>
        <v>466.55778400000003</v>
      </c>
      <c r="V20" s="6">
        <f t="shared" si="7"/>
        <v>490.43460000000016</v>
      </c>
      <c r="W20" s="6">
        <f t="shared" si="7"/>
        <v>502.612976</v>
      </c>
      <c r="X20" s="6">
        <f t="shared" si="7"/>
        <v>538.12824000000001</v>
      </c>
      <c r="Y20" s="6">
        <f t="shared" si="7"/>
        <v>575.92320000000007</v>
      </c>
      <c r="Z20" s="6">
        <f t="shared" si="7"/>
        <v>611.91840000000002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0.02</v>
      </c>
      <c r="K21" s="11">
        <f>SUMIFS(ar6_r10!$F$2:$F$999,ar6_r10!$A$2:$A$999,Veda!$E$5,ar6_r10!$C$2:$C$999,Veda!K$17,ar6_r10!$M$2:$M$999,Veda!$G21)</f>
        <v>0.03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0.09</v>
      </c>
      <c r="N21" s="11">
        <f>SUMIFS(ar6_r10!$F$2:$F$999,ar6_r10!$A$2:$A$999,Veda!$E$5,ar6_r10!$C$2:$C$999,Veda!N$17,ar6_r10!$M$2:$M$999,Veda!$G21)</f>
        <v>0.12</v>
      </c>
      <c r="O21" s="11">
        <f>SUMIFS(ar6_r10!$F$2:$F$999,ar6_r10!$A$2:$A$999,Veda!$E$5,ar6_r10!$C$2:$C$999,Veda!O$17,ar6_r10!$M$2:$M$999,Veda!$G21)</f>
        <v>0.14000000000000001</v>
      </c>
      <c r="S21" s="10" t="s">
        <v>24</v>
      </c>
      <c r="T21" s="6">
        <f>I21*T$14</f>
        <v>0</v>
      </c>
      <c r="U21" s="6">
        <f t="shared" ref="U21:Z21" si="8">T21</f>
        <v>0</v>
      </c>
      <c r="V21" s="6">
        <f t="shared" si="8"/>
        <v>0</v>
      </c>
      <c r="W21" s="6">
        <f t="shared" si="8"/>
        <v>0</v>
      </c>
      <c r="X21" s="6">
        <f t="shared" si="8"/>
        <v>0</v>
      </c>
      <c r="Y21" s="6">
        <f t="shared" si="8"/>
        <v>0</v>
      </c>
      <c r="Z21" s="6">
        <f t="shared" si="8"/>
        <v>0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11.998399999999947</v>
      </c>
      <c r="U22" s="6">
        <f t="shared" si="9"/>
        <v>12.118383999999992</v>
      </c>
      <c r="V22" s="6">
        <f t="shared" si="9"/>
        <v>26.156512000000021</v>
      </c>
      <c r="W22" s="6">
        <f t="shared" si="9"/>
        <v>56.632448000000068</v>
      </c>
      <c r="X22" s="6">
        <f t="shared" si="9"/>
        <v>77.989599999999996</v>
      </c>
      <c r="Y22" s="6">
        <f t="shared" si="9"/>
        <v>125.98320000000001</v>
      </c>
      <c r="Z22" s="6">
        <f t="shared" si="9"/>
        <v>163.17824000000007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79.900000000000006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134.84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7.9899999999999999E-2</v>
      </c>
      <c r="W24" s="11">
        <f>L24/1000</f>
        <v>0.10442</v>
      </c>
      <c r="X24" s="11">
        <f>M24/1000</f>
        <v>0.13484000000000002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14.12</v>
      </c>
      <c r="S28" t="s">
        <v>32</v>
      </c>
      <c r="T28" s="3">
        <f>Q28</f>
        <v>14.12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-65.400000000000006</v>
      </c>
      <c r="S29" t="s">
        <v>35</v>
      </c>
      <c r="T29" s="3">
        <f>-1*Q29</f>
        <v>65.400000000000006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1.1200000000000001</v>
      </c>
      <c r="K37" s="11">
        <f>SUMIFS(ar6_r10!$F$2:$F$999,ar6_r10!$A$2:$A$999,Veda!$G$36,ar6_r10!$C$2:$C$999,Veda!K$17,ar6_r10!$M$2:$M$999,Veda!$G37)</f>
        <v>1.1000000000000001</v>
      </c>
      <c r="L37" s="11">
        <f>SUMIFS(ar6_r10!$F$2:$F$999,ar6_r10!$A$2:$A$999,Veda!$G$36,ar6_r10!$C$2:$C$999,Veda!L$17,ar6_r10!$M$2:$M$999,Veda!$G37)</f>
        <v>1.1100000000000001</v>
      </c>
      <c r="M37" s="11">
        <f>SUMIFS(ar6_r10!$F$2:$F$999,ar6_r10!$A$2:$A$999,Veda!$G$36,ar6_r10!$C$2:$C$999,Veda!M$17,ar6_r10!$M$2:$M$999,Veda!$G37)</f>
        <v>1.17</v>
      </c>
      <c r="N37" s="11">
        <f>SUMIFS(ar6_r10!$F$2:$F$999,ar6_r10!$A$2:$A$999,Veda!$G$36,ar6_r10!$C$2:$C$999,Veda!N$17,ar6_r10!$M$2:$M$999,Veda!$G37)</f>
        <v>1.1499999999999999</v>
      </c>
      <c r="O37" s="11">
        <f>SUMIFS(ar6_r10!$F$2:$F$999,ar6_r10!$A$2:$A$999,Veda!$G$36,ar6_r10!$C$2:$C$999,Veda!O$17,ar6_r10!$M$2:$M$999,Veda!$G37)</f>
        <v>1.26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1.05</v>
      </c>
      <c r="K38" s="11">
        <f>SUMIFS(ar6_r10!$F$2:$F$999,ar6_r10!$A$2:$A$999,Veda!$G$36,ar6_r10!$C$2:$C$999,Veda!K$17,ar6_r10!$M$2:$M$999,Veda!$G38)</f>
        <v>1.1100000000000001</v>
      </c>
      <c r="L38" s="11">
        <f>SUMIFS(ar6_r10!$F$2:$F$999,ar6_r10!$A$2:$A$999,Veda!$G$36,ar6_r10!$C$2:$C$999,Veda!L$17,ar6_r10!$M$2:$M$999,Veda!$G38)</f>
        <v>1.1399999999999999</v>
      </c>
      <c r="M38" s="11">
        <f>SUMIFS(ar6_r10!$F$2:$F$999,ar6_r10!$A$2:$A$999,Veda!$G$36,ar6_r10!$C$2:$C$999,Veda!M$17,ar6_r10!$M$2:$M$999,Veda!$G38)</f>
        <v>1.2</v>
      </c>
      <c r="N38" s="11">
        <f>SUMIFS(ar6_r10!$F$2:$F$999,ar6_r10!$A$2:$A$999,Veda!$G$36,ar6_r10!$C$2:$C$999,Veda!N$17,ar6_r10!$M$2:$M$999,Veda!$G38)</f>
        <v>1.27</v>
      </c>
      <c r="O38" s="11">
        <f>SUMIFS(ar6_r10!$F$2:$F$999,ar6_r10!$A$2:$A$999,Veda!$G$36,ar6_r10!$C$2:$C$999,Veda!O$17,ar6_r10!$M$2:$M$999,Veda!$G38)</f>
        <v>1.2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1.03</v>
      </c>
      <c r="L39" s="11">
        <f>SUMIFS(ar6_r10!$F$2:$F$999,ar6_r10!$A$2:$A$999,Veda!$G$36,ar6_r10!$C$2:$C$999,Veda!L$17,ar6_r10!$M$2:$M$999,Veda!$G39)</f>
        <v>1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1.22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1.08</v>
      </c>
      <c r="L40" s="11">
        <f>SUMIFS(ar6_r10!$F$2:$F$999,ar6_r10!$A$2:$A$999,Veda!$G$36,ar6_r10!$C$2:$C$999,Veda!L$17,ar6_r10!$M$2:$M$999,Veda!$G40)</f>
        <v>1.06</v>
      </c>
      <c r="M40" s="11">
        <f>SUMIFS(ar6_r10!$F$2:$F$999,ar6_r10!$A$2:$A$999,Veda!$G$36,ar6_r10!$C$2:$C$999,Veda!M$17,ar6_r10!$M$2:$M$999,Veda!$G40)</f>
        <v>1.04</v>
      </c>
      <c r="N40" s="11">
        <f>SUMIFS(ar6_r10!$F$2:$F$999,ar6_r10!$A$2:$A$999,Veda!$G$36,ar6_r10!$C$2:$C$999,Veda!N$17,ar6_r10!$M$2:$M$999,Veda!$G40)</f>
        <v>1.07</v>
      </c>
      <c r="O40" s="11">
        <f>SUMIFS(ar6_r10!$F$2:$F$999,ar6_r10!$A$2:$A$999,Veda!$G$36,ar6_r10!$C$2:$C$999,Veda!O$17,ar6_r10!$M$2:$M$999,Veda!$G40)</f>
        <v>1.2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10</v>
      </c>
      <c r="J45">
        <f t="shared" si="12"/>
        <v>11.200000000000001</v>
      </c>
      <c r="K45">
        <f t="shared" si="12"/>
        <v>11</v>
      </c>
      <c r="L45">
        <f t="shared" si="12"/>
        <v>11.100000000000001</v>
      </c>
      <c r="M45">
        <f t="shared" si="12"/>
        <v>11.7</v>
      </c>
      <c r="N45">
        <f t="shared" si="12"/>
        <v>11.5</v>
      </c>
      <c r="O45">
        <f t="shared" si="12"/>
        <v>12.6</v>
      </c>
      <c r="R45">
        <f>HLOOKUP($G45&amp;"_"&amp;R$44,fuel_prices!$B$10:$I$11,2,FALSE)</f>
        <v>8.6</v>
      </c>
      <c r="S45">
        <f>HLOOKUP($G45&amp;"_"&amp;S$44,fuel_prices!$B$10:$I$11,2,FALSE)</f>
        <v>11.4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13.7</v>
      </c>
      <c r="J46">
        <f t="shared" si="12"/>
        <v>14.385</v>
      </c>
      <c r="K46">
        <f t="shared" si="12"/>
        <v>15.207000000000001</v>
      </c>
      <c r="L46">
        <f t="shared" si="12"/>
        <v>15.617999999999999</v>
      </c>
      <c r="M46">
        <f t="shared" si="12"/>
        <v>16.439999999999998</v>
      </c>
      <c r="N46">
        <f t="shared" si="12"/>
        <v>17.399000000000001</v>
      </c>
      <c r="O46">
        <f t="shared" si="12"/>
        <v>16.439999999999998</v>
      </c>
      <c r="R46">
        <f>HLOOKUP($G46&amp;"_"&amp;R$44,fuel_prices!$B$10:$I$11,2,FALSE)</f>
        <v>12.2</v>
      </c>
      <c r="S46">
        <f>HLOOKUP($G46&amp;"_"&amp;S$44,fuel_prices!$B$10:$I$11,2,FALSE)</f>
        <v>15.2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50.5</v>
      </c>
      <c r="K47">
        <f t="shared" si="12"/>
        <v>51.5</v>
      </c>
      <c r="L47">
        <f t="shared" si="12"/>
        <v>50</v>
      </c>
      <c r="M47">
        <f t="shared" si="12"/>
        <v>52</v>
      </c>
      <c r="N47">
        <f t="shared" si="12"/>
        <v>58.5</v>
      </c>
      <c r="O47">
        <f t="shared" si="12"/>
        <v>61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20</v>
      </c>
      <c r="J48">
        <f t="shared" si="12"/>
        <v>21</v>
      </c>
      <c r="K48">
        <f t="shared" si="12"/>
        <v>21.6</v>
      </c>
      <c r="L48">
        <f t="shared" si="12"/>
        <v>21.200000000000003</v>
      </c>
      <c r="M48">
        <f t="shared" si="12"/>
        <v>20.8</v>
      </c>
      <c r="N48">
        <f t="shared" si="12"/>
        <v>21.400000000000002</v>
      </c>
      <c r="O48">
        <f t="shared" si="12"/>
        <v>24</v>
      </c>
      <c r="R48">
        <f>HLOOKUP($G48&amp;"_"&amp;R$44,fuel_prices!$B$10:$I$11,2,FALSE)</f>
        <v>16</v>
      </c>
      <c r="S48">
        <f>HLOOKUP($G48&amp;"_"&amp;S$44,fuel_prices!$B$10:$I$11,2,FALSE)</f>
        <v>24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8.6</v>
      </c>
      <c r="C11">
        <v>11.4</v>
      </c>
      <c r="D11">
        <v>12.2</v>
      </c>
      <c r="E11">
        <v>15.2</v>
      </c>
      <c r="F11">
        <v>45</v>
      </c>
      <c r="G11">
        <v>55</v>
      </c>
      <c r="H11">
        <v>16</v>
      </c>
      <c r="I11">
        <v>24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289.83</v>
      </c>
      <c r="D11">
        <v>236.17</v>
      </c>
      <c r="E11">
        <v>0</v>
      </c>
      <c r="F11">
        <v>0.87</v>
      </c>
      <c r="G11">
        <v>15.34</v>
      </c>
      <c r="H11">
        <v>-50.98</v>
      </c>
      <c r="I11">
        <v>606.09</v>
      </c>
    </row>
    <row r="12" spans="1:9" x14ac:dyDescent="0.45">
      <c r="A12" t="s">
        <v>142</v>
      </c>
      <c r="B12">
        <v>2001</v>
      </c>
      <c r="C12">
        <v>291.75</v>
      </c>
      <c r="D12">
        <v>237.02</v>
      </c>
      <c r="E12">
        <v>0</v>
      </c>
      <c r="F12">
        <v>0.85</v>
      </c>
      <c r="G12">
        <v>16.12</v>
      </c>
      <c r="H12">
        <v>-39.24</v>
      </c>
      <c r="I12">
        <v>590.25</v>
      </c>
    </row>
    <row r="13" spans="1:9" x14ac:dyDescent="0.45">
      <c r="A13" t="s">
        <v>142</v>
      </c>
      <c r="B13">
        <v>2002</v>
      </c>
      <c r="C13">
        <v>296.7</v>
      </c>
      <c r="D13">
        <v>248.03</v>
      </c>
      <c r="E13">
        <v>0</v>
      </c>
      <c r="F13">
        <v>0.93</v>
      </c>
      <c r="G13">
        <v>16.09</v>
      </c>
      <c r="H13">
        <v>-36.119999999999997</v>
      </c>
      <c r="I13">
        <v>601.6</v>
      </c>
    </row>
    <row r="14" spans="1:9" x14ac:dyDescent="0.45">
      <c r="A14" t="s">
        <v>142</v>
      </c>
      <c r="B14">
        <v>2003</v>
      </c>
      <c r="C14">
        <v>293.47000000000003</v>
      </c>
      <c r="D14">
        <v>255.96</v>
      </c>
      <c r="E14">
        <v>0</v>
      </c>
      <c r="F14">
        <v>0.94</v>
      </c>
      <c r="G14">
        <v>24.52</v>
      </c>
      <c r="H14">
        <v>-31.31</v>
      </c>
      <c r="I14">
        <v>589.91</v>
      </c>
    </row>
    <row r="15" spans="1:9" x14ac:dyDescent="0.45">
      <c r="A15" t="s">
        <v>142</v>
      </c>
      <c r="B15">
        <v>2004</v>
      </c>
      <c r="C15">
        <v>297.27999999999997</v>
      </c>
      <c r="D15">
        <v>258.3</v>
      </c>
      <c r="E15">
        <v>0</v>
      </c>
      <c r="F15">
        <v>0.96</v>
      </c>
      <c r="G15">
        <v>22.86</v>
      </c>
      <c r="H15">
        <v>-33.67</v>
      </c>
      <c r="I15">
        <v>600.22</v>
      </c>
    </row>
    <row r="16" spans="1:9" x14ac:dyDescent="0.45">
      <c r="A16" t="s">
        <v>142</v>
      </c>
      <c r="B16">
        <v>2005</v>
      </c>
      <c r="C16">
        <v>275.49</v>
      </c>
      <c r="D16">
        <v>278</v>
      </c>
      <c r="E16">
        <v>0</v>
      </c>
      <c r="F16">
        <v>0.98</v>
      </c>
      <c r="G16">
        <v>19.600000000000001</v>
      </c>
      <c r="H16">
        <v>-43.09</v>
      </c>
      <c r="I16">
        <v>621.03</v>
      </c>
    </row>
    <row r="17" spans="1:9" x14ac:dyDescent="0.45">
      <c r="A17" t="s">
        <v>142</v>
      </c>
      <c r="B17">
        <v>2006</v>
      </c>
      <c r="C17">
        <v>272.52999999999997</v>
      </c>
      <c r="D17">
        <v>272.55</v>
      </c>
      <c r="E17">
        <v>0</v>
      </c>
      <c r="F17">
        <v>0.97</v>
      </c>
      <c r="G17">
        <v>22.44</v>
      </c>
      <c r="H17">
        <v>-40.700000000000003</v>
      </c>
      <c r="I17">
        <v>610.25</v>
      </c>
    </row>
    <row r="18" spans="1:9" x14ac:dyDescent="0.45">
      <c r="A18" t="s">
        <v>142</v>
      </c>
      <c r="B18">
        <v>2007</v>
      </c>
      <c r="C18">
        <v>273.69</v>
      </c>
      <c r="D18">
        <v>284.29000000000002</v>
      </c>
      <c r="E18">
        <v>0</v>
      </c>
      <c r="F18">
        <v>0.91</v>
      </c>
      <c r="G18">
        <v>19.14</v>
      </c>
      <c r="H18">
        <v>-49.92</v>
      </c>
      <c r="I18">
        <v>627.91</v>
      </c>
    </row>
    <row r="19" spans="1:9" x14ac:dyDescent="0.45">
      <c r="A19" t="s">
        <v>142</v>
      </c>
      <c r="B19">
        <v>2008</v>
      </c>
      <c r="C19">
        <v>260.56</v>
      </c>
      <c r="D19">
        <v>290.99</v>
      </c>
      <c r="E19">
        <v>0</v>
      </c>
      <c r="F19">
        <v>1.05</v>
      </c>
      <c r="G19">
        <v>23.86</v>
      </c>
      <c r="H19">
        <v>-56.02</v>
      </c>
      <c r="I19">
        <v>633.04999999999995</v>
      </c>
    </row>
    <row r="20" spans="1:9" x14ac:dyDescent="0.45">
      <c r="A20" t="s">
        <v>142</v>
      </c>
      <c r="B20">
        <v>2009</v>
      </c>
      <c r="C20">
        <v>246.21</v>
      </c>
      <c r="D20">
        <v>294.51</v>
      </c>
      <c r="E20">
        <v>0</v>
      </c>
      <c r="F20">
        <v>0.95</v>
      </c>
      <c r="G20">
        <v>18.18</v>
      </c>
      <c r="H20">
        <v>-52.03</v>
      </c>
      <c r="I20">
        <v>608.41</v>
      </c>
    </row>
    <row r="21" spans="1:9" x14ac:dyDescent="0.45">
      <c r="A21" t="s">
        <v>142</v>
      </c>
      <c r="B21">
        <v>2010</v>
      </c>
      <c r="C21">
        <v>248.4</v>
      </c>
      <c r="D21">
        <v>295.57</v>
      </c>
      <c r="E21">
        <v>0</v>
      </c>
      <c r="F21">
        <v>1</v>
      </c>
      <c r="G21">
        <v>18.809999999999999</v>
      </c>
      <c r="H21">
        <v>-44.25</v>
      </c>
      <c r="I21">
        <v>602.91999999999996</v>
      </c>
    </row>
    <row r="22" spans="1:9" x14ac:dyDescent="0.45">
      <c r="A22" t="s">
        <v>142</v>
      </c>
      <c r="B22">
        <v>2011</v>
      </c>
      <c r="C22">
        <v>250.4</v>
      </c>
      <c r="D22">
        <v>303.23</v>
      </c>
      <c r="E22">
        <v>0</v>
      </c>
      <c r="F22">
        <v>1.03</v>
      </c>
      <c r="G22">
        <v>14.55</v>
      </c>
      <c r="H22">
        <v>-51.37</v>
      </c>
      <c r="I22">
        <v>633.26</v>
      </c>
    </row>
    <row r="23" spans="1:9" x14ac:dyDescent="0.45">
      <c r="A23" t="s">
        <v>142</v>
      </c>
      <c r="B23">
        <v>2012</v>
      </c>
      <c r="C23">
        <v>246.99</v>
      </c>
      <c r="D23">
        <v>301.58</v>
      </c>
      <c r="E23">
        <v>0</v>
      </c>
      <c r="F23">
        <v>1.02</v>
      </c>
      <c r="G23">
        <v>10.93</v>
      </c>
      <c r="H23">
        <v>-57.86</v>
      </c>
      <c r="I23">
        <v>631.98</v>
      </c>
    </row>
    <row r="24" spans="1:9" x14ac:dyDescent="0.45">
      <c r="A24" t="s">
        <v>142</v>
      </c>
      <c r="B24">
        <v>2013</v>
      </c>
      <c r="C24">
        <v>248.3</v>
      </c>
      <c r="D24">
        <v>311.49</v>
      </c>
      <c r="E24">
        <v>0</v>
      </c>
      <c r="F24">
        <v>1.1299999999999999</v>
      </c>
      <c r="G24">
        <v>10.69</v>
      </c>
      <c r="H24">
        <v>-62.74</v>
      </c>
      <c r="I24">
        <v>657.4</v>
      </c>
    </row>
    <row r="25" spans="1:9" x14ac:dyDescent="0.45">
      <c r="A25" t="s">
        <v>142</v>
      </c>
      <c r="B25">
        <v>2014</v>
      </c>
      <c r="C25">
        <v>252.66</v>
      </c>
      <c r="D25">
        <v>317.77</v>
      </c>
      <c r="E25">
        <v>0</v>
      </c>
      <c r="F25">
        <v>1.24</v>
      </c>
      <c r="G25">
        <v>12.81</v>
      </c>
      <c r="H25">
        <v>-58.42</v>
      </c>
      <c r="I25">
        <v>658.55</v>
      </c>
    </row>
    <row r="26" spans="1:9" x14ac:dyDescent="0.45">
      <c r="A26" t="s">
        <v>142</v>
      </c>
      <c r="B26">
        <v>2015</v>
      </c>
      <c r="C26">
        <v>256.11</v>
      </c>
      <c r="D26">
        <v>317.14999999999998</v>
      </c>
      <c r="E26">
        <v>0</v>
      </c>
      <c r="F26">
        <v>1.22</v>
      </c>
      <c r="G26">
        <v>8.73</v>
      </c>
      <c r="H26">
        <v>-68.290000000000006</v>
      </c>
      <c r="I26">
        <v>657.78</v>
      </c>
    </row>
    <row r="27" spans="1:9" x14ac:dyDescent="0.45">
      <c r="A27" t="s">
        <v>142</v>
      </c>
      <c r="B27">
        <v>2016</v>
      </c>
      <c r="C27">
        <v>254.93</v>
      </c>
      <c r="D27">
        <v>312.29000000000002</v>
      </c>
      <c r="E27">
        <v>0</v>
      </c>
      <c r="F27">
        <v>1.22</v>
      </c>
      <c r="G27">
        <v>9.3000000000000007</v>
      </c>
      <c r="H27">
        <v>-73.099999999999994</v>
      </c>
      <c r="I27">
        <v>664.91</v>
      </c>
    </row>
    <row r="28" spans="1:9" x14ac:dyDescent="0.45">
      <c r="A28" t="s">
        <v>142</v>
      </c>
      <c r="B28">
        <v>2017</v>
      </c>
      <c r="C28">
        <v>264.99</v>
      </c>
      <c r="D28">
        <v>323.72000000000003</v>
      </c>
      <c r="E28">
        <v>0</v>
      </c>
      <c r="F28">
        <v>1.22</v>
      </c>
      <c r="G28">
        <v>9.9</v>
      </c>
      <c r="H28">
        <v>-72.040000000000006</v>
      </c>
      <c r="I28">
        <v>662.57</v>
      </c>
    </row>
    <row r="29" spans="1:9" x14ac:dyDescent="0.45">
      <c r="A29" t="s">
        <v>142</v>
      </c>
      <c r="B29">
        <v>2018</v>
      </c>
      <c r="C29">
        <v>264.76</v>
      </c>
      <c r="D29">
        <v>331.86</v>
      </c>
      <c r="E29">
        <v>0</v>
      </c>
      <c r="F29">
        <v>1.22</v>
      </c>
      <c r="G29">
        <v>13.2</v>
      </c>
      <c r="H29">
        <v>-61.4</v>
      </c>
      <c r="I29">
        <v>658.33</v>
      </c>
    </row>
    <row r="30" spans="1:9" x14ac:dyDescent="0.45">
      <c r="A30" t="s">
        <v>142</v>
      </c>
      <c r="B30">
        <v>2019</v>
      </c>
      <c r="C30">
        <v>267.06</v>
      </c>
      <c r="D30">
        <v>335.51</v>
      </c>
      <c r="E30">
        <v>0</v>
      </c>
      <c r="F30">
        <v>1.29</v>
      </c>
      <c r="G30">
        <v>13.33</v>
      </c>
      <c r="H30">
        <v>-60.41</v>
      </c>
      <c r="I30">
        <v>652</v>
      </c>
    </row>
    <row r="31" spans="1:9" x14ac:dyDescent="0.45">
      <c r="A31" t="s">
        <v>142</v>
      </c>
      <c r="B31">
        <v>2020</v>
      </c>
      <c r="C31">
        <v>256.17</v>
      </c>
      <c r="D31">
        <v>333.25</v>
      </c>
      <c r="E31">
        <v>0</v>
      </c>
      <c r="F31">
        <v>1.26</v>
      </c>
      <c r="G31">
        <v>9.7799999999999994</v>
      </c>
      <c r="H31">
        <v>-67.42</v>
      </c>
      <c r="I31">
        <v>651.35</v>
      </c>
    </row>
    <row r="32" spans="1:9" x14ac:dyDescent="0.45">
      <c r="A32" t="s">
        <v>142</v>
      </c>
      <c r="B32">
        <v>2021</v>
      </c>
      <c r="C32">
        <v>263.10000000000002</v>
      </c>
      <c r="D32">
        <v>332.97</v>
      </c>
      <c r="E32">
        <v>0</v>
      </c>
      <c r="F32">
        <v>1.29</v>
      </c>
      <c r="G32">
        <v>13.02</v>
      </c>
      <c r="H32">
        <v>-60.39</v>
      </c>
      <c r="I32">
        <v>644.58000000000004</v>
      </c>
    </row>
    <row r="33" spans="1:9" x14ac:dyDescent="0.45">
      <c r="A33" t="s">
        <v>142</v>
      </c>
      <c r="B33">
        <v>2022</v>
      </c>
      <c r="C33">
        <v>269.16000000000003</v>
      </c>
      <c r="D33">
        <v>337.78</v>
      </c>
      <c r="E33">
        <v>0</v>
      </c>
      <c r="F33">
        <v>1.24</v>
      </c>
      <c r="G33">
        <v>14.12</v>
      </c>
      <c r="H33">
        <v>-65.400000000000006</v>
      </c>
      <c r="I33">
        <v>651.20000000000005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9.09</v>
      </c>
      <c r="F11">
        <v>0.28000000000000003</v>
      </c>
      <c r="G11">
        <v>11.39</v>
      </c>
      <c r="H11">
        <v>0</v>
      </c>
      <c r="I11">
        <v>27.01</v>
      </c>
      <c r="J11">
        <v>0</v>
      </c>
      <c r="K11">
        <v>19.61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206.51</v>
      </c>
      <c r="F12">
        <v>186.41</v>
      </c>
      <c r="G12">
        <v>121.36</v>
      </c>
      <c r="H12">
        <v>33.32</v>
      </c>
      <c r="I12">
        <v>626.48</v>
      </c>
      <c r="J12">
        <v>132.25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266.32</v>
      </c>
      <c r="F13">
        <v>241.69</v>
      </c>
      <c r="G13">
        <v>128.69999999999999</v>
      </c>
      <c r="H13">
        <v>65.59</v>
      </c>
      <c r="I13">
        <v>673.46</v>
      </c>
      <c r="J13">
        <v>182.47</v>
      </c>
      <c r="K13">
        <v>320.88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357.78</v>
      </c>
      <c r="F14">
        <v>339.03</v>
      </c>
      <c r="G14">
        <v>168.46</v>
      </c>
      <c r="H14">
        <v>2.57</v>
      </c>
      <c r="I14">
        <v>859.53</v>
      </c>
      <c r="J14">
        <v>227.05</v>
      </c>
      <c r="K14">
        <v>455.16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465.58</v>
      </c>
      <c r="F15">
        <v>410.28</v>
      </c>
      <c r="G15">
        <v>216.16</v>
      </c>
      <c r="H15">
        <v>162.1</v>
      </c>
      <c r="I15">
        <v>1097.01</v>
      </c>
      <c r="J15">
        <v>298.63</v>
      </c>
      <c r="K15">
        <v>617.6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557.95000000000005</v>
      </c>
      <c r="F16">
        <v>494.2</v>
      </c>
      <c r="G16">
        <v>248.47</v>
      </c>
      <c r="H16">
        <v>193.42</v>
      </c>
      <c r="I16">
        <v>1269.8800000000001</v>
      </c>
      <c r="J16">
        <v>352.78</v>
      </c>
      <c r="K16">
        <v>716.45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640.07000000000005</v>
      </c>
      <c r="F17">
        <v>644.35</v>
      </c>
      <c r="G17">
        <v>263.85000000000002</v>
      </c>
      <c r="H17">
        <v>209.76</v>
      </c>
      <c r="I17">
        <v>1170.26</v>
      </c>
      <c r="J17">
        <v>409.79</v>
      </c>
      <c r="K17">
        <v>850.15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4.93</v>
      </c>
      <c r="F18">
        <v>0</v>
      </c>
      <c r="G18">
        <v>9.17</v>
      </c>
      <c r="H18">
        <v>0</v>
      </c>
      <c r="I18">
        <v>26.79</v>
      </c>
      <c r="J18">
        <v>0</v>
      </c>
      <c r="K18">
        <v>3.32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71.569999999999993</v>
      </c>
      <c r="F19">
        <v>53.52</v>
      </c>
      <c r="G19">
        <v>44.95</v>
      </c>
      <c r="H19">
        <v>20.07</v>
      </c>
      <c r="I19">
        <v>220.01</v>
      </c>
      <c r="J19">
        <v>40.81</v>
      </c>
      <c r="K19">
        <v>96.45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82.28</v>
      </c>
      <c r="F20">
        <v>72.87</v>
      </c>
      <c r="G20">
        <v>51.41</v>
      </c>
      <c r="H20">
        <v>0</v>
      </c>
      <c r="I20">
        <v>293.35000000000002</v>
      </c>
      <c r="J20">
        <v>48.73</v>
      </c>
      <c r="K20">
        <v>108.63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205.45</v>
      </c>
      <c r="F21">
        <v>153.66</v>
      </c>
      <c r="G21">
        <v>290.08999999999997</v>
      </c>
      <c r="H21">
        <v>60.83</v>
      </c>
      <c r="I21">
        <v>2037.12</v>
      </c>
      <c r="J21">
        <v>89.74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253.23</v>
      </c>
      <c r="F22">
        <v>172.09</v>
      </c>
      <c r="G22">
        <v>360.43</v>
      </c>
      <c r="H22">
        <v>0</v>
      </c>
      <c r="I22">
        <v>2600</v>
      </c>
      <c r="J22">
        <v>116.42</v>
      </c>
      <c r="K22">
        <v>258.41000000000003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300.07</v>
      </c>
      <c r="F23">
        <v>253.87</v>
      </c>
      <c r="G23">
        <v>190.72</v>
      </c>
      <c r="H23">
        <v>103.36</v>
      </c>
      <c r="I23">
        <v>1213.1199999999999</v>
      </c>
      <c r="J23">
        <v>168.51</v>
      </c>
      <c r="K23">
        <v>351.39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309.05</v>
      </c>
      <c r="F24">
        <v>285.02999999999997</v>
      </c>
      <c r="G24">
        <v>170.01</v>
      </c>
      <c r="H24">
        <v>0</v>
      </c>
      <c r="I24">
        <v>729.74</v>
      </c>
      <c r="J24">
        <v>194.45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10.23</v>
      </c>
      <c r="F25">
        <v>0</v>
      </c>
      <c r="G25">
        <v>16.02</v>
      </c>
      <c r="H25">
        <v>0</v>
      </c>
      <c r="I25">
        <v>138.4</v>
      </c>
      <c r="J25">
        <v>0</v>
      </c>
      <c r="K25">
        <v>19.66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69.319999999999993</v>
      </c>
      <c r="F26">
        <v>53.56</v>
      </c>
      <c r="G26">
        <v>46.54</v>
      </c>
      <c r="H26">
        <v>12.5</v>
      </c>
      <c r="I26">
        <v>260.38</v>
      </c>
      <c r="J26">
        <v>38.94</v>
      </c>
      <c r="K26">
        <v>98.16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94.02</v>
      </c>
      <c r="F27">
        <v>79.900000000000006</v>
      </c>
      <c r="G27">
        <v>53.67</v>
      </c>
      <c r="H27">
        <v>7.9</v>
      </c>
      <c r="I27">
        <v>347.18</v>
      </c>
      <c r="J27">
        <v>52.11</v>
      </c>
      <c r="K27">
        <v>120.05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129.71</v>
      </c>
      <c r="F28">
        <v>104.42</v>
      </c>
      <c r="G28">
        <v>98.65</v>
      </c>
      <c r="H28">
        <v>11.85</v>
      </c>
      <c r="I28">
        <v>960.63</v>
      </c>
      <c r="J28">
        <v>72.599999999999994</v>
      </c>
      <c r="K28">
        <v>166.17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166.56</v>
      </c>
      <c r="F29">
        <v>134.84</v>
      </c>
      <c r="G29">
        <v>118.6</v>
      </c>
      <c r="H29">
        <v>46.91</v>
      </c>
      <c r="I29">
        <v>1226.04</v>
      </c>
      <c r="J29">
        <v>98.66</v>
      </c>
      <c r="K29">
        <v>211.54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207.79</v>
      </c>
      <c r="F30">
        <v>178.1</v>
      </c>
      <c r="G30">
        <v>149.51</v>
      </c>
      <c r="H30">
        <v>46.46</v>
      </c>
      <c r="I30">
        <v>1564.8</v>
      </c>
      <c r="J30">
        <v>120.71</v>
      </c>
      <c r="K30">
        <v>262.83999999999997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240.05</v>
      </c>
      <c r="F31">
        <v>209.45</v>
      </c>
      <c r="G31">
        <v>122.98</v>
      </c>
      <c r="H31">
        <v>50.41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3.73</v>
      </c>
      <c r="F32">
        <v>0</v>
      </c>
      <c r="G32">
        <v>8.06</v>
      </c>
      <c r="H32">
        <v>0</v>
      </c>
      <c r="I32">
        <v>26.79</v>
      </c>
      <c r="J32">
        <v>0</v>
      </c>
      <c r="K32">
        <v>0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35.26</v>
      </c>
      <c r="F33">
        <v>32.29</v>
      </c>
      <c r="G33">
        <v>20.190000000000001</v>
      </c>
      <c r="H33">
        <v>0</v>
      </c>
      <c r="I33">
        <v>107.15</v>
      </c>
      <c r="J33">
        <v>23.59</v>
      </c>
      <c r="K33">
        <v>40.18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63.74</v>
      </c>
      <c r="F34">
        <v>53.39</v>
      </c>
      <c r="G34">
        <v>33.14</v>
      </c>
      <c r="H34">
        <v>0</v>
      </c>
      <c r="I34">
        <v>128.4</v>
      </c>
      <c r="J34">
        <v>38.83</v>
      </c>
      <c r="K34">
        <v>97.41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86.46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132.32</v>
      </c>
      <c r="F38">
        <v>112.38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4.2</v>
      </c>
      <c r="F39">
        <v>0</v>
      </c>
      <c r="G39">
        <v>8.2799999999999994</v>
      </c>
      <c r="H39">
        <v>0</v>
      </c>
      <c r="I39">
        <v>27.01</v>
      </c>
      <c r="J39">
        <v>0</v>
      </c>
      <c r="K39">
        <v>3.32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4.01</v>
      </c>
      <c r="F40">
        <v>0</v>
      </c>
      <c r="G40">
        <v>7.99</v>
      </c>
      <c r="H40">
        <v>0</v>
      </c>
      <c r="I40">
        <v>25.21</v>
      </c>
      <c r="J40">
        <v>0</v>
      </c>
      <c r="K40">
        <v>1.71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10.46</v>
      </c>
      <c r="F41">
        <v>0</v>
      </c>
      <c r="G41">
        <v>29.23</v>
      </c>
      <c r="H41">
        <v>0</v>
      </c>
      <c r="I41">
        <v>129.01</v>
      </c>
      <c r="J41">
        <v>0</v>
      </c>
      <c r="K41">
        <v>4.22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4.38</v>
      </c>
      <c r="F42">
        <v>0</v>
      </c>
      <c r="G42">
        <v>7.41</v>
      </c>
      <c r="H42">
        <v>0</v>
      </c>
      <c r="I42">
        <v>22.44</v>
      </c>
      <c r="J42">
        <v>0</v>
      </c>
      <c r="K42">
        <v>5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4.0199999999999996</v>
      </c>
      <c r="F43">
        <v>0</v>
      </c>
      <c r="G43">
        <v>6.89</v>
      </c>
      <c r="H43">
        <v>0</v>
      </c>
      <c r="I43">
        <v>21.14</v>
      </c>
      <c r="J43">
        <v>0</v>
      </c>
      <c r="K43">
        <v>3.75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4.47</v>
      </c>
      <c r="F44">
        <v>0</v>
      </c>
      <c r="G44">
        <v>6.86</v>
      </c>
      <c r="H44">
        <v>0</v>
      </c>
      <c r="I44">
        <v>19.899999999999999</v>
      </c>
      <c r="J44">
        <v>0</v>
      </c>
      <c r="K44">
        <v>5.93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4.08</v>
      </c>
      <c r="F45">
        <v>0</v>
      </c>
      <c r="G45">
        <v>6.49</v>
      </c>
      <c r="H45">
        <v>-0.01</v>
      </c>
      <c r="I45">
        <v>21.35</v>
      </c>
      <c r="J45">
        <v>0</v>
      </c>
      <c r="K45">
        <v>5.22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0.99</v>
      </c>
      <c r="F47">
        <v>0.97</v>
      </c>
      <c r="G47">
        <v>0.08</v>
      </c>
      <c r="H47">
        <v>0.84</v>
      </c>
      <c r="I47">
        <v>1.25</v>
      </c>
      <c r="J47">
        <v>0.95</v>
      </c>
      <c r="K47">
        <v>1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1.0900000000000001</v>
      </c>
      <c r="F48">
        <v>1.07</v>
      </c>
      <c r="G48">
        <v>0.15</v>
      </c>
      <c r="H48">
        <v>0.85</v>
      </c>
      <c r="I48">
        <v>1.79</v>
      </c>
      <c r="J48">
        <v>1.02</v>
      </c>
      <c r="K48">
        <v>1.1200000000000001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1.29</v>
      </c>
      <c r="F49">
        <v>1.26</v>
      </c>
      <c r="G49">
        <v>0.2</v>
      </c>
      <c r="H49">
        <v>1.03</v>
      </c>
      <c r="I49">
        <v>2.06</v>
      </c>
      <c r="J49">
        <v>1.1599999999999999</v>
      </c>
      <c r="K49">
        <v>1.34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1.52</v>
      </c>
      <c r="F50">
        <v>1.49</v>
      </c>
      <c r="G50">
        <v>0.25</v>
      </c>
      <c r="H50">
        <v>0.95</v>
      </c>
      <c r="I50">
        <v>2.21</v>
      </c>
      <c r="J50">
        <v>1.33</v>
      </c>
      <c r="K50">
        <v>1.64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1.72</v>
      </c>
      <c r="F51">
        <v>1.67</v>
      </c>
      <c r="G51">
        <v>0.3</v>
      </c>
      <c r="H51">
        <v>1.04</v>
      </c>
      <c r="I51">
        <v>2.4700000000000002</v>
      </c>
      <c r="J51">
        <v>1.5</v>
      </c>
      <c r="K51">
        <v>1.95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1.88</v>
      </c>
      <c r="F52">
        <v>1.88</v>
      </c>
      <c r="G52">
        <v>0.35</v>
      </c>
      <c r="H52">
        <v>1.1299999999999999</v>
      </c>
      <c r="I52">
        <v>2.66</v>
      </c>
      <c r="J52">
        <v>1.68</v>
      </c>
      <c r="K52">
        <v>2.13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1.02</v>
      </c>
      <c r="F54">
        <v>1.01</v>
      </c>
      <c r="G54">
        <v>0.06</v>
      </c>
      <c r="H54">
        <v>0.8</v>
      </c>
      <c r="I54">
        <v>1.3</v>
      </c>
      <c r="J54">
        <v>0.98</v>
      </c>
      <c r="K54">
        <v>1.04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1.1000000000000001</v>
      </c>
      <c r="F55">
        <v>1.0900000000000001</v>
      </c>
      <c r="G55">
        <v>0.09</v>
      </c>
      <c r="H55">
        <v>0.77</v>
      </c>
      <c r="I55">
        <v>1.47</v>
      </c>
      <c r="J55">
        <v>1.06</v>
      </c>
      <c r="K55">
        <v>1.1399999999999999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1.18</v>
      </c>
      <c r="F56">
        <v>1.17</v>
      </c>
      <c r="G56">
        <v>0.12</v>
      </c>
      <c r="H56">
        <v>0.89</v>
      </c>
      <c r="I56">
        <v>1.66</v>
      </c>
      <c r="J56">
        <v>1.1000000000000001</v>
      </c>
      <c r="K56">
        <v>1.27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1.38</v>
      </c>
      <c r="F57">
        <v>1.36</v>
      </c>
      <c r="G57">
        <v>0.17</v>
      </c>
      <c r="H57">
        <v>1.07</v>
      </c>
      <c r="I57">
        <v>1.98</v>
      </c>
      <c r="J57">
        <v>1.26</v>
      </c>
      <c r="K57">
        <v>1.49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1.54</v>
      </c>
      <c r="F58">
        <v>1.48</v>
      </c>
      <c r="G58">
        <v>0.22</v>
      </c>
      <c r="H58">
        <v>1.1399999999999999</v>
      </c>
      <c r="I58">
        <v>2.2000000000000002</v>
      </c>
      <c r="J58">
        <v>1.38</v>
      </c>
      <c r="K58">
        <v>1.73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1.75</v>
      </c>
      <c r="F59">
        <v>1.72</v>
      </c>
      <c r="G59">
        <v>0.26</v>
      </c>
      <c r="H59">
        <v>1.17</v>
      </c>
      <c r="I59">
        <v>2.46</v>
      </c>
      <c r="J59">
        <v>1.59</v>
      </c>
      <c r="K59">
        <v>1.94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233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210</v>
      </c>
      <c r="E61">
        <v>1.02</v>
      </c>
      <c r="F61">
        <v>1.01</v>
      </c>
      <c r="G61">
        <v>0.06</v>
      </c>
      <c r="H61">
        <v>0.86</v>
      </c>
      <c r="I61">
        <v>1.24</v>
      </c>
      <c r="J61">
        <v>0.98</v>
      </c>
      <c r="K61">
        <v>1.04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233</v>
      </c>
      <c r="E62">
        <v>1.0900000000000001</v>
      </c>
      <c r="F62">
        <v>1.0900000000000001</v>
      </c>
      <c r="G62">
        <v>0.09</v>
      </c>
      <c r="H62">
        <v>0.86</v>
      </c>
      <c r="I62">
        <v>1.44</v>
      </c>
      <c r="J62">
        <v>1.04</v>
      </c>
      <c r="K62">
        <v>1.1200000000000001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210</v>
      </c>
      <c r="E63">
        <v>1.19</v>
      </c>
      <c r="F63">
        <v>1.18</v>
      </c>
      <c r="G63">
        <v>0.15</v>
      </c>
      <c r="H63">
        <v>0.93</v>
      </c>
      <c r="I63">
        <v>2.08</v>
      </c>
      <c r="J63">
        <v>1.1000000000000001</v>
      </c>
      <c r="K63">
        <v>1.25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233</v>
      </c>
      <c r="E64">
        <v>1.36</v>
      </c>
      <c r="F64">
        <v>1.3</v>
      </c>
      <c r="G64">
        <v>0.22</v>
      </c>
      <c r="H64">
        <v>0.95</v>
      </c>
      <c r="I64">
        <v>2.5299999999999998</v>
      </c>
      <c r="J64">
        <v>1.21</v>
      </c>
      <c r="K64">
        <v>1.5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210</v>
      </c>
      <c r="E65">
        <v>1.59</v>
      </c>
      <c r="F65">
        <v>1.5</v>
      </c>
      <c r="G65">
        <v>0.3</v>
      </c>
      <c r="H65">
        <v>1.01</v>
      </c>
      <c r="I65">
        <v>2.63</v>
      </c>
      <c r="J65">
        <v>1.38</v>
      </c>
      <c r="K65">
        <v>1.72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233</v>
      </c>
      <c r="E66">
        <v>1.76</v>
      </c>
      <c r="F66">
        <v>1.7</v>
      </c>
      <c r="G66">
        <v>0.33</v>
      </c>
      <c r="H66">
        <v>1.05</v>
      </c>
      <c r="I66">
        <v>2.83</v>
      </c>
      <c r="J66">
        <v>1.53</v>
      </c>
      <c r="K66">
        <v>1.92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87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81</v>
      </c>
      <c r="E68">
        <v>1.05</v>
      </c>
      <c r="F68">
        <v>1.04</v>
      </c>
      <c r="G68">
        <v>0.08</v>
      </c>
      <c r="H68">
        <v>0.96</v>
      </c>
      <c r="I68">
        <v>1.19</v>
      </c>
      <c r="J68">
        <v>0.99</v>
      </c>
      <c r="K68">
        <v>1.07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87</v>
      </c>
      <c r="E69">
        <v>1.1000000000000001</v>
      </c>
      <c r="F69">
        <v>1.1100000000000001</v>
      </c>
      <c r="G69">
        <v>0.08</v>
      </c>
      <c r="H69">
        <v>0.98</v>
      </c>
      <c r="I69">
        <v>1.27</v>
      </c>
      <c r="J69">
        <v>1.04</v>
      </c>
      <c r="K69">
        <v>1.1599999999999999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81</v>
      </c>
      <c r="E70">
        <v>1.1100000000000001</v>
      </c>
      <c r="F70">
        <v>1.08</v>
      </c>
      <c r="G70">
        <v>0.1</v>
      </c>
      <c r="H70">
        <v>0.94</v>
      </c>
      <c r="I70">
        <v>1.4</v>
      </c>
      <c r="J70">
        <v>1.03</v>
      </c>
      <c r="K70">
        <v>1.18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87</v>
      </c>
      <c r="E71">
        <v>1.2</v>
      </c>
      <c r="F71">
        <v>1.19</v>
      </c>
      <c r="G71">
        <v>0.13</v>
      </c>
      <c r="H71">
        <v>0.95</v>
      </c>
      <c r="I71">
        <v>1.6</v>
      </c>
      <c r="J71">
        <v>1.1100000000000001</v>
      </c>
      <c r="K71">
        <v>1.26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81</v>
      </c>
      <c r="E72">
        <v>1.31</v>
      </c>
      <c r="F72">
        <v>1.31</v>
      </c>
      <c r="G72">
        <v>0.16</v>
      </c>
      <c r="H72">
        <v>0.99</v>
      </c>
      <c r="I72">
        <v>1.78</v>
      </c>
      <c r="J72">
        <v>1.2</v>
      </c>
      <c r="K72">
        <v>1.41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87</v>
      </c>
      <c r="E73">
        <v>1.45</v>
      </c>
      <c r="F73">
        <v>1.47</v>
      </c>
      <c r="G73">
        <v>0.19</v>
      </c>
      <c r="H73">
        <v>1.01</v>
      </c>
      <c r="I73">
        <v>1.95</v>
      </c>
      <c r="J73">
        <v>1.34</v>
      </c>
      <c r="K73">
        <v>1.58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1.05</v>
      </c>
      <c r="F75">
        <v>1.06</v>
      </c>
      <c r="G75">
        <v>0.04</v>
      </c>
      <c r="H75">
        <v>0.96</v>
      </c>
      <c r="I75">
        <v>1.1499999999999999</v>
      </c>
      <c r="J75">
        <v>1.04</v>
      </c>
      <c r="K75">
        <v>1.07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1.1000000000000001</v>
      </c>
      <c r="F76">
        <v>1.0900000000000001</v>
      </c>
      <c r="G76">
        <v>7.0000000000000007E-2</v>
      </c>
      <c r="H76">
        <v>0.86</v>
      </c>
      <c r="I76">
        <v>1.28</v>
      </c>
      <c r="J76">
        <v>1.07</v>
      </c>
      <c r="K76">
        <v>1.1499999999999999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1.1599999999999999</v>
      </c>
      <c r="F77">
        <v>1.1499999999999999</v>
      </c>
      <c r="G77">
        <v>0.1</v>
      </c>
      <c r="H77">
        <v>0.84</v>
      </c>
      <c r="I77">
        <v>1.4</v>
      </c>
      <c r="J77">
        <v>1.1100000000000001</v>
      </c>
      <c r="K77">
        <v>1.22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1.21</v>
      </c>
      <c r="F78">
        <v>1.2</v>
      </c>
      <c r="G78">
        <v>0.12</v>
      </c>
      <c r="H78">
        <v>0.85</v>
      </c>
      <c r="I78">
        <v>1.5</v>
      </c>
      <c r="J78">
        <v>1.1399999999999999</v>
      </c>
      <c r="K78">
        <v>1.29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1.27</v>
      </c>
      <c r="F79">
        <v>1.25</v>
      </c>
      <c r="G79">
        <v>0.16</v>
      </c>
      <c r="H79">
        <v>0.9</v>
      </c>
      <c r="I79">
        <v>1.63</v>
      </c>
      <c r="J79">
        <v>1.1599999999999999</v>
      </c>
      <c r="K79">
        <v>1.36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1.32</v>
      </c>
      <c r="F80">
        <v>1.31</v>
      </c>
      <c r="G80">
        <v>0.18</v>
      </c>
      <c r="H80">
        <v>0.97</v>
      </c>
      <c r="I80">
        <v>1.77</v>
      </c>
      <c r="J80">
        <v>1.2</v>
      </c>
      <c r="K80">
        <v>1.41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63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63</v>
      </c>
      <c r="E82">
        <v>0.01</v>
      </c>
      <c r="F82">
        <v>0.01</v>
      </c>
      <c r="G82">
        <v>0.01</v>
      </c>
      <c r="H82">
        <v>0</v>
      </c>
      <c r="I82">
        <v>0.03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63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63</v>
      </c>
      <c r="E84">
        <v>0.03</v>
      </c>
      <c r="F84">
        <v>0.02</v>
      </c>
      <c r="G84">
        <v>0.03</v>
      </c>
      <c r="H84">
        <v>0</v>
      </c>
      <c r="I84">
        <v>0.13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63</v>
      </c>
      <c r="E85">
        <v>0.05</v>
      </c>
      <c r="F85">
        <v>0.04</v>
      </c>
      <c r="G85">
        <v>0.06</v>
      </c>
      <c r="H85">
        <v>0</v>
      </c>
      <c r="I85">
        <v>0.31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63</v>
      </c>
      <c r="E86">
        <v>7.0000000000000007E-2</v>
      </c>
      <c r="F86">
        <v>0.05</v>
      </c>
      <c r="G86">
        <v>0.08</v>
      </c>
      <c r="H86">
        <v>0</v>
      </c>
      <c r="I86">
        <v>0.46</v>
      </c>
      <c r="J86">
        <v>0.02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63</v>
      </c>
      <c r="E87">
        <v>0.08</v>
      </c>
      <c r="F87">
        <v>0.05</v>
      </c>
      <c r="G87">
        <v>0.08</v>
      </c>
      <c r="H87">
        <v>0</v>
      </c>
      <c r="I87">
        <v>0.35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88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99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88</v>
      </c>
      <c r="E91">
        <v>0.01</v>
      </c>
      <c r="F91">
        <v>0.01</v>
      </c>
      <c r="G91">
        <v>0.01</v>
      </c>
      <c r="H91">
        <v>0</v>
      </c>
      <c r="I91">
        <v>0.06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99</v>
      </c>
      <c r="E92">
        <v>0.02</v>
      </c>
      <c r="F92">
        <v>0.01</v>
      </c>
      <c r="G92">
        <v>0.04</v>
      </c>
      <c r="H92">
        <v>0</v>
      </c>
      <c r="I92">
        <v>0.16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88</v>
      </c>
      <c r="E93">
        <v>0.04</v>
      </c>
      <c r="F93">
        <v>0.03</v>
      </c>
      <c r="G93">
        <v>0.06</v>
      </c>
      <c r="H93">
        <v>0</v>
      </c>
      <c r="I93">
        <v>0.2</v>
      </c>
      <c r="J93">
        <v>0</v>
      </c>
      <c r="K93">
        <v>0.06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99</v>
      </c>
      <c r="E94">
        <v>0.06</v>
      </c>
      <c r="F94">
        <v>0.04</v>
      </c>
      <c r="G94">
        <v>7.0000000000000007E-2</v>
      </c>
      <c r="H94">
        <v>0</v>
      </c>
      <c r="I94">
        <v>0.28999999999999998</v>
      </c>
      <c r="J94">
        <v>0</v>
      </c>
      <c r="K94">
        <v>0.08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228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205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228</v>
      </c>
      <c r="E97">
        <v>0.01</v>
      </c>
      <c r="F97">
        <v>0.01</v>
      </c>
      <c r="G97">
        <v>0.01</v>
      </c>
      <c r="H97">
        <v>0</v>
      </c>
      <c r="I97">
        <v>0.05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205</v>
      </c>
      <c r="E98">
        <v>0.02</v>
      </c>
      <c r="F98">
        <v>0.01</v>
      </c>
      <c r="G98">
        <v>0.02</v>
      </c>
      <c r="H98">
        <v>0</v>
      </c>
      <c r="I98">
        <v>0.08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228</v>
      </c>
      <c r="E99">
        <v>0.03</v>
      </c>
      <c r="F99">
        <v>0.02</v>
      </c>
      <c r="G99">
        <v>0.03</v>
      </c>
      <c r="H99">
        <v>0</v>
      </c>
      <c r="I99">
        <v>0.16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205</v>
      </c>
      <c r="E100">
        <v>0.03</v>
      </c>
      <c r="F100">
        <v>0.01</v>
      </c>
      <c r="G100">
        <v>0.04</v>
      </c>
      <c r="H100">
        <v>0</v>
      </c>
      <c r="I100">
        <v>0.21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228</v>
      </c>
      <c r="E101">
        <v>0.04</v>
      </c>
      <c r="F101">
        <v>0.03</v>
      </c>
      <c r="G101">
        <v>0.05</v>
      </c>
      <c r="H101">
        <v>0</v>
      </c>
      <c r="I101">
        <v>0.22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87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81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87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81</v>
      </c>
      <c r="E105">
        <v>0.01</v>
      </c>
      <c r="F105">
        <v>0</v>
      </c>
      <c r="G105">
        <v>0.01</v>
      </c>
      <c r="H105">
        <v>0</v>
      </c>
      <c r="I105">
        <v>0.04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87</v>
      </c>
      <c r="E106">
        <v>0.01</v>
      </c>
      <c r="F106">
        <v>0</v>
      </c>
      <c r="G106">
        <v>0.02</v>
      </c>
      <c r="H106">
        <v>0</v>
      </c>
      <c r="I106">
        <v>0.08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81</v>
      </c>
      <c r="E107">
        <v>0.01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0.02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87</v>
      </c>
      <c r="E108">
        <v>0.02</v>
      </c>
      <c r="F108">
        <v>0</v>
      </c>
      <c r="G108">
        <v>0.03</v>
      </c>
      <c r="H108">
        <v>0</v>
      </c>
      <c r="I108">
        <v>0.1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0.03</v>
      </c>
      <c r="G114">
        <v>0.03</v>
      </c>
      <c r="H114">
        <v>0</v>
      </c>
      <c r="I114">
        <v>0.09</v>
      </c>
      <c r="J114">
        <v>0.01</v>
      </c>
      <c r="K114">
        <v>0.04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0.11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0.22</v>
      </c>
      <c r="F116">
        <v>0.22</v>
      </c>
      <c r="G116">
        <v>0.02</v>
      </c>
      <c r="H116">
        <v>0.2</v>
      </c>
      <c r="I116">
        <v>0.28999999999999998</v>
      </c>
      <c r="J116">
        <v>0.2</v>
      </c>
      <c r="K116">
        <v>0.24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0.22</v>
      </c>
      <c r="F117">
        <v>0.2</v>
      </c>
      <c r="G117">
        <v>0.04</v>
      </c>
      <c r="H117">
        <v>0.15</v>
      </c>
      <c r="I117">
        <v>0.32</v>
      </c>
      <c r="J117">
        <v>0.19</v>
      </c>
      <c r="K117">
        <v>0.24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0.22</v>
      </c>
      <c r="F118">
        <v>0.2</v>
      </c>
      <c r="G118">
        <v>0.05</v>
      </c>
      <c r="H118">
        <v>0.16</v>
      </c>
      <c r="I118">
        <v>0.4</v>
      </c>
      <c r="J118">
        <v>0.19</v>
      </c>
      <c r="K118">
        <v>0.25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0.23</v>
      </c>
      <c r="F119">
        <v>0.2</v>
      </c>
      <c r="G119">
        <v>0.06</v>
      </c>
      <c r="H119">
        <v>0.16</v>
      </c>
      <c r="I119">
        <v>0.41</v>
      </c>
      <c r="J119">
        <v>0.19</v>
      </c>
      <c r="K119">
        <v>0.25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0.24</v>
      </c>
      <c r="F120">
        <v>0.22</v>
      </c>
      <c r="G120">
        <v>0.06</v>
      </c>
      <c r="H120">
        <v>0.16</v>
      </c>
      <c r="I120">
        <v>0.4</v>
      </c>
      <c r="J120">
        <v>0.2</v>
      </c>
      <c r="K120">
        <v>0.25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0.24</v>
      </c>
      <c r="F121">
        <v>0.23</v>
      </c>
      <c r="G121">
        <v>7.0000000000000007E-2</v>
      </c>
      <c r="H121">
        <v>0.15</v>
      </c>
      <c r="I121">
        <v>0.4</v>
      </c>
      <c r="J121">
        <v>0.18</v>
      </c>
      <c r="K121">
        <v>0.26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0.25</v>
      </c>
      <c r="F122">
        <v>0.26</v>
      </c>
      <c r="G122">
        <v>7.0000000000000007E-2</v>
      </c>
      <c r="H122">
        <v>0.14000000000000001</v>
      </c>
      <c r="I122">
        <v>0.4</v>
      </c>
      <c r="J122">
        <v>0.18</v>
      </c>
      <c r="K122">
        <v>0.3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99</v>
      </c>
      <c r="E123">
        <v>0.22</v>
      </c>
      <c r="F123">
        <v>0.22</v>
      </c>
      <c r="G123">
        <v>0.02</v>
      </c>
      <c r="H123">
        <v>0.2</v>
      </c>
      <c r="I123">
        <v>0.28999999999999998</v>
      </c>
      <c r="J123">
        <v>0.2</v>
      </c>
      <c r="K123">
        <v>0.23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88</v>
      </c>
      <c r="E124">
        <v>0.22</v>
      </c>
      <c r="F124">
        <v>0.22</v>
      </c>
      <c r="G124">
        <v>0.03</v>
      </c>
      <c r="H124">
        <v>0</v>
      </c>
      <c r="I124">
        <v>0.3</v>
      </c>
      <c r="J124">
        <v>0.21</v>
      </c>
      <c r="K124">
        <v>0.23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99</v>
      </c>
      <c r="E125">
        <v>0.21</v>
      </c>
      <c r="F125">
        <v>0.21</v>
      </c>
      <c r="G125">
        <v>0.04</v>
      </c>
      <c r="H125">
        <v>0</v>
      </c>
      <c r="I125">
        <v>0.34</v>
      </c>
      <c r="J125">
        <v>0.19</v>
      </c>
      <c r="K125">
        <v>0.23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88</v>
      </c>
      <c r="E126">
        <v>0.23</v>
      </c>
      <c r="F126">
        <v>0.22</v>
      </c>
      <c r="G126">
        <v>0.04</v>
      </c>
      <c r="H126">
        <v>0.16</v>
      </c>
      <c r="I126">
        <v>0.35</v>
      </c>
      <c r="J126">
        <v>0.2</v>
      </c>
      <c r="K126">
        <v>0.24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99</v>
      </c>
      <c r="E127">
        <v>0.22</v>
      </c>
      <c r="F127">
        <v>0.21</v>
      </c>
      <c r="G127">
        <v>0.05</v>
      </c>
      <c r="H127">
        <v>0.13</v>
      </c>
      <c r="I127">
        <v>0.34</v>
      </c>
      <c r="J127">
        <v>0.19</v>
      </c>
      <c r="K127">
        <v>0.24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88</v>
      </c>
      <c r="E128">
        <v>0.23</v>
      </c>
      <c r="F128">
        <v>0.23</v>
      </c>
      <c r="G128">
        <v>0.04</v>
      </c>
      <c r="H128">
        <v>0.16</v>
      </c>
      <c r="I128">
        <v>0.36</v>
      </c>
      <c r="J128">
        <v>0.19</v>
      </c>
      <c r="K128">
        <v>0.24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99</v>
      </c>
      <c r="E129">
        <v>0.22</v>
      </c>
      <c r="F129">
        <v>0.23</v>
      </c>
      <c r="G129">
        <v>0.06</v>
      </c>
      <c r="H129">
        <v>0.13</v>
      </c>
      <c r="I129">
        <v>0.38</v>
      </c>
      <c r="J129">
        <v>0.17</v>
      </c>
      <c r="K129">
        <v>0.26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231</v>
      </c>
      <c r="E130">
        <v>0.23</v>
      </c>
      <c r="F130">
        <v>0.22</v>
      </c>
      <c r="G130">
        <v>0.02</v>
      </c>
      <c r="H130">
        <v>0.2</v>
      </c>
      <c r="I130">
        <v>0.28999999999999998</v>
      </c>
      <c r="J130">
        <v>0.2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208</v>
      </c>
      <c r="E131">
        <v>0.2</v>
      </c>
      <c r="F131">
        <v>0.21</v>
      </c>
      <c r="G131">
        <v>7.0000000000000007E-2</v>
      </c>
      <c r="H131">
        <v>0</v>
      </c>
      <c r="I131">
        <v>0.3</v>
      </c>
      <c r="J131">
        <v>0.19</v>
      </c>
      <c r="K131">
        <v>0.23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231</v>
      </c>
      <c r="E132">
        <v>0.21</v>
      </c>
      <c r="F132">
        <v>0.21</v>
      </c>
      <c r="G132">
        <v>7.0000000000000007E-2</v>
      </c>
      <c r="H132">
        <v>0</v>
      </c>
      <c r="I132">
        <v>0.34</v>
      </c>
      <c r="J132">
        <v>0.19</v>
      </c>
      <c r="K132">
        <v>0.25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208</v>
      </c>
      <c r="E133">
        <v>0.22</v>
      </c>
      <c r="F133">
        <v>0.21</v>
      </c>
      <c r="G133">
        <v>0.05</v>
      </c>
      <c r="H133">
        <v>0.16</v>
      </c>
      <c r="I133">
        <v>0.39</v>
      </c>
      <c r="J133">
        <v>0.19</v>
      </c>
      <c r="K133">
        <v>0.25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231</v>
      </c>
      <c r="E134">
        <v>0.22</v>
      </c>
      <c r="F134">
        <v>0.21</v>
      </c>
      <c r="G134">
        <v>0.05</v>
      </c>
      <c r="H134">
        <v>0.14000000000000001</v>
      </c>
      <c r="I134">
        <v>0.39</v>
      </c>
      <c r="J134">
        <v>0.19</v>
      </c>
      <c r="K134">
        <v>0.25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208</v>
      </c>
      <c r="E135">
        <v>0.23</v>
      </c>
      <c r="F135">
        <v>0.22</v>
      </c>
      <c r="G135">
        <v>0.06</v>
      </c>
      <c r="H135">
        <v>0.16</v>
      </c>
      <c r="I135">
        <v>0.39</v>
      </c>
      <c r="J135">
        <v>0.19</v>
      </c>
      <c r="K135">
        <v>0.25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231</v>
      </c>
      <c r="E136">
        <v>0.24</v>
      </c>
      <c r="F136">
        <v>0.24</v>
      </c>
      <c r="G136">
        <v>7.0000000000000007E-2</v>
      </c>
      <c r="H136">
        <v>0.13</v>
      </c>
      <c r="I136">
        <v>0.39</v>
      </c>
      <c r="J136">
        <v>0.17</v>
      </c>
      <c r="K136">
        <v>0.28000000000000003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87</v>
      </c>
      <c r="E137">
        <v>0.23</v>
      </c>
      <c r="F137">
        <v>0.24</v>
      </c>
      <c r="G137">
        <v>0.02</v>
      </c>
      <c r="H137">
        <v>0.2</v>
      </c>
      <c r="I137">
        <v>0.27</v>
      </c>
      <c r="J137">
        <v>0.22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81</v>
      </c>
      <c r="E138">
        <v>0.23</v>
      </c>
      <c r="F138">
        <v>0.23</v>
      </c>
      <c r="G138">
        <v>0.02</v>
      </c>
      <c r="H138">
        <v>0.19</v>
      </c>
      <c r="I138">
        <v>0.3</v>
      </c>
      <c r="J138">
        <v>0.22</v>
      </c>
      <c r="K138">
        <v>0.25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87</v>
      </c>
      <c r="E139">
        <v>0.23</v>
      </c>
      <c r="F139">
        <v>0.23</v>
      </c>
      <c r="G139">
        <v>0.03</v>
      </c>
      <c r="H139">
        <v>0.19</v>
      </c>
      <c r="I139">
        <v>0.31</v>
      </c>
      <c r="J139">
        <v>0.21</v>
      </c>
      <c r="K139">
        <v>0.25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81</v>
      </c>
      <c r="E140">
        <v>0.24</v>
      </c>
      <c r="F140">
        <v>0.23</v>
      </c>
      <c r="G140">
        <v>0.03</v>
      </c>
      <c r="H140">
        <v>0.17</v>
      </c>
      <c r="I140">
        <v>0.32</v>
      </c>
      <c r="J140">
        <v>0.22</v>
      </c>
      <c r="K140">
        <v>0.26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87</v>
      </c>
      <c r="E141">
        <v>0.24</v>
      </c>
      <c r="F141">
        <v>0.23</v>
      </c>
      <c r="G141">
        <v>0.04</v>
      </c>
      <c r="H141">
        <v>0.19</v>
      </c>
      <c r="I141">
        <v>0.35</v>
      </c>
      <c r="J141">
        <v>0.2</v>
      </c>
      <c r="K141">
        <v>0.27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81</v>
      </c>
      <c r="E142">
        <v>0.23</v>
      </c>
      <c r="F142">
        <v>0.22</v>
      </c>
      <c r="G142">
        <v>0.05</v>
      </c>
      <c r="H142">
        <v>0.18</v>
      </c>
      <c r="I142">
        <v>0.36</v>
      </c>
      <c r="J142">
        <v>0.19</v>
      </c>
      <c r="K142">
        <v>0.28000000000000003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87</v>
      </c>
      <c r="E143">
        <v>0.23</v>
      </c>
      <c r="F143">
        <v>0.22</v>
      </c>
      <c r="G143">
        <v>0.06</v>
      </c>
      <c r="H143">
        <v>0.16</v>
      </c>
      <c r="I143">
        <v>0.38</v>
      </c>
      <c r="J143">
        <v>0.17</v>
      </c>
      <c r="K143">
        <v>0.26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61</v>
      </c>
      <c r="E144">
        <v>0.23</v>
      </c>
      <c r="F144">
        <v>0.22</v>
      </c>
      <c r="G144">
        <v>0.03</v>
      </c>
      <c r="H144">
        <v>0.2</v>
      </c>
      <c r="I144">
        <v>0.3</v>
      </c>
      <c r="J144">
        <v>0.21</v>
      </c>
      <c r="K144">
        <v>0.25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56</v>
      </c>
      <c r="E145">
        <v>0.22</v>
      </c>
      <c r="F145">
        <v>0.22</v>
      </c>
      <c r="G145">
        <v>0.03</v>
      </c>
      <c r="H145">
        <v>0.19</v>
      </c>
      <c r="I145">
        <v>0.28000000000000003</v>
      </c>
      <c r="J145">
        <v>0.2</v>
      </c>
      <c r="K145">
        <v>0.25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61</v>
      </c>
      <c r="E146">
        <v>0.23</v>
      </c>
      <c r="F146">
        <v>0.23</v>
      </c>
      <c r="G146">
        <v>0.03</v>
      </c>
      <c r="H146">
        <v>0.18</v>
      </c>
      <c r="I146">
        <v>0.3</v>
      </c>
      <c r="J146">
        <v>0.19</v>
      </c>
      <c r="K146">
        <v>0.25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56</v>
      </c>
      <c r="E147">
        <v>0.23</v>
      </c>
      <c r="F147">
        <v>0.22</v>
      </c>
      <c r="G147">
        <v>0.04</v>
      </c>
      <c r="H147">
        <v>0.18</v>
      </c>
      <c r="I147">
        <v>0.32</v>
      </c>
      <c r="J147">
        <v>0.19</v>
      </c>
      <c r="K147">
        <v>0.26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61</v>
      </c>
      <c r="E148">
        <v>0.23</v>
      </c>
      <c r="F148">
        <v>0.22</v>
      </c>
      <c r="G148">
        <v>0.04</v>
      </c>
      <c r="H148">
        <v>0.18</v>
      </c>
      <c r="I148">
        <v>0.33</v>
      </c>
      <c r="J148">
        <v>0.2</v>
      </c>
      <c r="K148">
        <v>0.26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56</v>
      </c>
      <c r="E149">
        <v>0.23</v>
      </c>
      <c r="F149">
        <v>0.22</v>
      </c>
      <c r="G149">
        <v>0.04</v>
      </c>
      <c r="H149">
        <v>0.18</v>
      </c>
      <c r="I149">
        <v>0.35</v>
      </c>
      <c r="J149">
        <v>0.2</v>
      </c>
      <c r="K149">
        <v>0.25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61</v>
      </c>
      <c r="E150">
        <v>0.22</v>
      </c>
      <c r="F150">
        <v>0.22</v>
      </c>
      <c r="G150">
        <v>0.04</v>
      </c>
      <c r="H150">
        <v>0.17</v>
      </c>
      <c r="I150">
        <v>0.36</v>
      </c>
      <c r="J150">
        <v>0.2</v>
      </c>
      <c r="K150">
        <v>0.25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59</v>
      </c>
      <c r="E151">
        <v>0.77</v>
      </c>
      <c r="F151">
        <v>0.78</v>
      </c>
      <c r="G151">
        <v>0.03</v>
      </c>
      <c r="H151">
        <v>0.7</v>
      </c>
      <c r="I151">
        <v>0.79</v>
      </c>
      <c r="J151">
        <v>0.75</v>
      </c>
      <c r="K151">
        <v>0.79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59</v>
      </c>
      <c r="E152">
        <v>0.76</v>
      </c>
      <c r="F152">
        <v>0.77</v>
      </c>
      <c r="G152">
        <v>0.04</v>
      </c>
      <c r="H152">
        <v>0.68</v>
      </c>
      <c r="I152">
        <v>0.8</v>
      </c>
      <c r="J152">
        <v>0.72</v>
      </c>
      <c r="K152">
        <v>0.79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59</v>
      </c>
      <c r="E153">
        <v>0.73</v>
      </c>
      <c r="F153">
        <v>0.74</v>
      </c>
      <c r="G153">
        <v>0.05</v>
      </c>
      <c r="H153">
        <v>0.59</v>
      </c>
      <c r="I153">
        <v>0.78</v>
      </c>
      <c r="J153">
        <v>0.7</v>
      </c>
      <c r="K153">
        <v>0.77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59</v>
      </c>
      <c r="E154">
        <v>0.68</v>
      </c>
      <c r="F154">
        <v>0.7</v>
      </c>
      <c r="G154">
        <v>0.06</v>
      </c>
      <c r="H154">
        <v>0.56000000000000005</v>
      </c>
      <c r="I154">
        <v>0.76</v>
      </c>
      <c r="J154">
        <v>0.66</v>
      </c>
      <c r="K154">
        <v>0.73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59</v>
      </c>
      <c r="E155">
        <v>0.64</v>
      </c>
      <c r="F155">
        <v>0.65</v>
      </c>
      <c r="G155">
        <v>0.05</v>
      </c>
      <c r="H155">
        <v>0.51</v>
      </c>
      <c r="I155">
        <v>0.71</v>
      </c>
      <c r="J155">
        <v>0.62</v>
      </c>
      <c r="K155">
        <v>0.68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59</v>
      </c>
      <c r="E156">
        <v>0.61</v>
      </c>
      <c r="F156">
        <v>0.61</v>
      </c>
      <c r="G156">
        <v>0.05</v>
      </c>
      <c r="H156">
        <v>0.48</v>
      </c>
      <c r="I156">
        <v>0.68</v>
      </c>
      <c r="J156">
        <v>0.57999999999999996</v>
      </c>
      <c r="K156">
        <v>0.64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59</v>
      </c>
      <c r="E157">
        <v>0.56999999999999995</v>
      </c>
      <c r="F157">
        <v>0.56999999999999995</v>
      </c>
      <c r="G157">
        <v>0.05</v>
      </c>
      <c r="H157">
        <v>0.47</v>
      </c>
      <c r="I157">
        <v>0.67</v>
      </c>
      <c r="J157">
        <v>0.55000000000000004</v>
      </c>
      <c r="K157">
        <v>0.59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96</v>
      </c>
      <c r="E158">
        <v>0.77</v>
      </c>
      <c r="F158">
        <v>0.78</v>
      </c>
      <c r="G158">
        <v>0.03</v>
      </c>
      <c r="H158">
        <v>0.7</v>
      </c>
      <c r="I158">
        <v>0.8</v>
      </c>
      <c r="J158">
        <v>0.75</v>
      </c>
      <c r="K158">
        <v>0.79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85</v>
      </c>
      <c r="E159">
        <v>0.76</v>
      </c>
      <c r="F159">
        <v>0.76</v>
      </c>
      <c r="G159">
        <v>0.03</v>
      </c>
      <c r="H159">
        <v>0.68</v>
      </c>
      <c r="I159">
        <v>0.8</v>
      </c>
      <c r="J159">
        <v>0.73</v>
      </c>
      <c r="K159">
        <v>0.77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96</v>
      </c>
      <c r="E160">
        <v>0.74</v>
      </c>
      <c r="F160">
        <v>0.75</v>
      </c>
      <c r="G160">
        <v>0.04</v>
      </c>
      <c r="H160">
        <v>0.64</v>
      </c>
      <c r="I160">
        <v>0.79</v>
      </c>
      <c r="J160">
        <v>0.72</v>
      </c>
      <c r="K160">
        <v>0.77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85</v>
      </c>
      <c r="E161">
        <v>0.7</v>
      </c>
      <c r="F161">
        <v>0.71</v>
      </c>
      <c r="G161">
        <v>0.04</v>
      </c>
      <c r="H161">
        <v>0.57999999999999996</v>
      </c>
      <c r="I161">
        <v>0.76</v>
      </c>
      <c r="J161">
        <v>0.68</v>
      </c>
      <c r="K161">
        <v>0.73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96</v>
      </c>
      <c r="E162">
        <v>0.66</v>
      </c>
      <c r="F162">
        <v>0.67</v>
      </c>
      <c r="G162">
        <v>0.05</v>
      </c>
      <c r="H162">
        <v>0.53</v>
      </c>
      <c r="I162">
        <v>0.75</v>
      </c>
      <c r="J162">
        <v>0.64</v>
      </c>
      <c r="K162">
        <v>0.69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85</v>
      </c>
      <c r="E163">
        <v>0.63</v>
      </c>
      <c r="F163">
        <v>0.63</v>
      </c>
      <c r="G163">
        <v>0.05</v>
      </c>
      <c r="H163">
        <v>0.48</v>
      </c>
      <c r="I163">
        <v>0.75</v>
      </c>
      <c r="J163">
        <v>0.6</v>
      </c>
      <c r="K163">
        <v>0.65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96</v>
      </c>
      <c r="E164">
        <v>0.59</v>
      </c>
      <c r="F164">
        <v>0.57999999999999996</v>
      </c>
      <c r="G164">
        <v>0.06</v>
      </c>
      <c r="H164">
        <v>0.43</v>
      </c>
      <c r="I164">
        <v>0.77</v>
      </c>
      <c r="J164">
        <v>0.56000000000000005</v>
      </c>
      <c r="K164">
        <v>0.62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208</v>
      </c>
      <c r="E165">
        <v>0.76</v>
      </c>
      <c r="F165">
        <v>0.76</v>
      </c>
      <c r="G165">
        <v>0.03</v>
      </c>
      <c r="H165">
        <v>0.69</v>
      </c>
      <c r="I165">
        <v>0.8</v>
      </c>
      <c r="J165">
        <v>0.74</v>
      </c>
      <c r="K165">
        <v>0.79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185</v>
      </c>
      <c r="E166">
        <v>0.76</v>
      </c>
      <c r="F166">
        <v>0.77</v>
      </c>
      <c r="G166">
        <v>0.03</v>
      </c>
      <c r="H166">
        <v>0.68</v>
      </c>
      <c r="I166">
        <v>0.8</v>
      </c>
      <c r="J166">
        <v>0.73</v>
      </c>
      <c r="K166">
        <v>0.79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208</v>
      </c>
      <c r="E167">
        <v>0.74</v>
      </c>
      <c r="F167">
        <v>0.75</v>
      </c>
      <c r="G167">
        <v>0.04</v>
      </c>
      <c r="H167">
        <v>0.63</v>
      </c>
      <c r="I167">
        <v>0.79</v>
      </c>
      <c r="J167">
        <v>0.73</v>
      </c>
      <c r="K167">
        <v>0.77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185</v>
      </c>
      <c r="E168">
        <v>0.71</v>
      </c>
      <c r="F168">
        <v>0.71</v>
      </c>
      <c r="G168">
        <v>0.04</v>
      </c>
      <c r="H168">
        <v>0.56999999999999995</v>
      </c>
      <c r="I168">
        <v>0.78</v>
      </c>
      <c r="J168">
        <v>0.69</v>
      </c>
      <c r="K168">
        <v>0.74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208</v>
      </c>
      <c r="E169">
        <v>0.68</v>
      </c>
      <c r="F169">
        <v>0.69</v>
      </c>
      <c r="G169">
        <v>0.05</v>
      </c>
      <c r="H169">
        <v>0.51</v>
      </c>
      <c r="I169">
        <v>0.77</v>
      </c>
      <c r="J169">
        <v>0.66</v>
      </c>
      <c r="K169">
        <v>0.72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185</v>
      </c>
      <c r="E170">
        <v>0.64</v>
      </c>
      <c r="F170">
        <v>0.64</v>
      </c>
      <c r="G170">
        <v>0.05</v>
      </c>
      <c r="H170">
        <v>0.48</v>
      </c>
      <c r="I170">
        <v>0.77</v>
      </c>
      <c r="J170">
        <v>0.6</v>
      </c>
      <c r="K170">
        <v>0.67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208</v>
      </c>
      <c r="E171">
        <v>0.61</v>
      </c>
      <c r="F171">
        <v>0.6</v>
      </c>
      <c r="G171">
        <v>0.06</v>
      </c>
      <c r="H171">
        <v>0.46</v>
      </c>
      <c r="I171">
        <v>0.8</v>
      </c>
      <c r="J171">
        <v>0.56999999999999995</v>
      </c>
      <c r="K171">
        <v>0.64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87</v>
      </c>
      <c r="E172">
        <v>0.76</v>
      </c>
      <c r="F172">
        <v>0.76</v>
      </c>
      <c r="G172">
        <v>0.02</v>
      </c>
      <c r="H172">
        <v>0.72</v>
      </c>
      <c r="I172">
        <v>0.79</v>
      </c>
      <c r="J172">
        <v>0.75</v>
      </c>
      <c r="K172">
        <v>0.78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81</v>
      </c>
      <c r="E173">
        <v>0.75</v>
      </c>
      <c r="F173">
        <v>0.75</v>
      </c>
      <c r="G173">
        <v>0.02</v>
      </c>
      <c r="H173">
        <v>0.7</v>
      </c>
      <c r="I173">
        <v>0.79</v>
      </c>
      <c r="J173">
        <v>0.73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87</v>
      </c>
      <c r="E174">
        <v>0.74</v>
      </c>
      <c r="F174">
        <v>0.75</v>
      </c>
      <c r="G174">
        <v>0.03</v>
      </c>
      <c r="H174">
        <v>0.68</v>
      </c>
      <c r="I174">
        <v>0.79</v>
      </c>
      <c r="J174">
        <v>0.72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81</v>
      </c>
      <c r="E175">
        <v>0.72</v>
      </c>
      <c r="F175">
        <v>0.71</v>
      </c>
      <c r="G175">
        <v>0.03</v>
      </c>
      <c r="H175">
        <v>0.66</v>
      </c>
      <c r="I175">
        <v>0.76</v>
      </c>
      <c r="J175">
        <v>0.7</v>
      </c>
      <c r="K175">
        <v>0.74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87</v>
      </c>
      <c r="E176">
        <v>0.7</v>
      </c>
      <c r="F176">
        <v>0.7</v>
      </c>
      <c r="G176">
        <v>0.04</v>
      </c>
      <c r="H176">
        <v>0.62</v>
      </c>
      <c r="I176">
        <v>0.77</v>
      </c>
      <c r="J176">
        <v>0.68</v>
      </c>
      <c r="K176">
        <v>0.74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81</v>
      </c>
      <c r="E177">
        <v>0.67</v>
      </c>
      <c r="F177">
        <v>0.66</v>
      </c>
      <c r="G177">
        <v>0.06</v>
      </c>
      <c r="H177">
        <v>0.57999999999999996</v>
      </c>
      <c r="I177">
        <v>0.78</v>
      </c>
      <c r="J177">
        <v>0.63</v>
      </c>
      <c r="K177">
        <v>0.72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87</v>
      </c>
      <c r="E178">
        <v>0.65</v>
      </c>
      <c r="F178">
        <v>0.64</v>
      </c>
      <c r="G178">
        <v>7.0000000000000007E-2</v>
      </c>
      <c r="H178">
        <v>0.54</v>
      </c>
      <c r="I178">
        <v>0.79</v>
      </c>
      <c r="J178">
        <v>0.59</v>
      </c>
      <c r="K178">
        <v>0.71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0.76</v>
      </c>
      <c r="F179">
        <v>0.77</v>
      </c>
      <c r="G179">
        <v>0.03</v>
      </c>
      <c r="H179">
        <v>0.69</v>
      </c>
      <c r="I179">
        <v>0.79</v>
      </c>
      <c r="J179">
        <v>0.73</v>
      </c>
      <c r="K179">
        <v>0.79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0.76</v>
      </c>
      <c r="F180">
        <v>0.77</v>
      </c>
      <c r="G180">
        <v>0.03</v>
      </c>
      <c r="H180">
        <v>0.68</v>
      </c>
      <c r="I180">
        <v>0.8</v>
      </c>
      <c r="J180">
        <v>0.73</v>
      </c>
      <c r="K180">
        <v>0.79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0.75</v>
      </c>
      <c r="F181">
        <v>0.75</v>
      </c>
      <c r="G181">
        <v>0.04</v>
      </c>
      <c r="H181">
        <v>0.66</v>
      </c>
      <c r="I181">
        <v>0.8</v>
      </c>
      <c r="J181">
        <v>0.73</v>
      </c>
      <c r="K181">
        <v>0.78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0.73</v>
      </c>
      <c r="F182">
        <v>0.74</v>
      </c>
      <c r="G182">
        <v>0.04</v>
      </c>
      <c r="H182">
        <v>0.63</v>
      </c>
      <c r="I182">
        <v>0.79</v>
      </c>
      <c r="J182">
        <v>0.71</v>
      </c>
      <c r="K182">
        <v>0.76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0.71</v>
      </c>
      <c r="F183">
        <v>0.73</v>
      </c>
      <c r="G183">
        <v>0.04</v>
      </c>
      <c r="H183">
        <v>0.57999999999999996</v>
      </c>
      <c r="I183">
        <v>0.78</v>
      </c>
      <c r="J183">
        <v>0.68</v>
      </c>
      <c r="K183">
        <v>0.75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0.69</v>
      </c>
      <c r="F184">
        <v>0.69</v>
      </c>
      <c r="G184">
        <v>0.05</v>
      </c>
      <c r="H184">
        <v>0.54</v>
      </c>
      <c r="I184">
        <v>0.77</v>
      </c>
      <c r="J184">
        <v>0.66</v>
      </c>
      <c r="K184">
        <v>0.74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0.68</v>
      </c>
      <c r="F185">
        <v>0.66</v>
      </c>
      <c r="G185">
        <v>0.06</v>
      </c>
      <c r="H185">
        <v>0.52</v>
      </c>
      <c r="I185">
        <v>0.76</v>
      </c>
      <c r="J185">
        <v>0.64</v>
      </c>
      <c r="K185">
        <v>0.73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0.02</v>
      </c>
      <c r="F187">
        <v>0.02</v>
      </c>
      <c r="G187">
        <v>0.01</v>
      </c>
      <c r="H187">
        <v>0</v>
      </c>
      <c r="I187">
        <v>0.05</v>
      </c>
      <c r="J187">
        <v>0.01</v>
      </c>
      <c r="K187">
        <v>0.03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0.05</v>
      </c>
      <c r="F188">
        <v>0.04</v>
      </c>
      <c r="G188">
        <v>0.02</v>
      </c>
      <c r="H188">
        <v>0</v>
      </c>
      <c r="I188">
        <v>0.11</v>
      </c>
      <c r="J188">
        <v>0.03</v>
      </c>
      <c r="K188">
        <v>0.06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0.08</v>
      </c>
      <c r="F189">
        <v>0.08</v>
      </c>
      <c r="G189">
        <v>0.03</v>
      </c>
      <c r="H189">
        <v>0</v>
      </c>
      <c r="I189">
        <v>0.15</v>
      </c>
      <c r="J189">
        <v>0.06</v>
      </c>
      <c r="K189">
        <v>0.1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0.11</v>
      </c>
      <c r="F190">
        <v>0.11</v>
      </c>
      <c r="G190">
        <v>0.04</v>
      </c>
      <c r="H190">
        <v>0.01</v>
      </c>
      <c r="I190">
        <v>0.21</v>
      </c>
      <c r="J190">
        <v>0.09</v>
      </c>
      <c r="K190">
        <v>0.13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0.14000000000000001</v>
      </c>
      <c r="F191">
        <v>0.14000000000000001</v>
      </c>
      <c r="G191">
        <v>0.06</v>
      </c>
      <c r="H191">
        <v>0.02</v>
      </c>
      <c r="I191">
        <v>0.25</v>
      </c>
      <c r="J191">
        <v>0.09</v>
      </c>
      <c r="K191">
        <v>0.18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0.15</v>
      </c>
      <c r="F192">
        <v>0.16</v>
      </c>
      <c r="G192">
        <v>0.06</v>
      </c>
      <c r="H192">
        <v>0.02</v>
      </c>
      <c r="I192">
        <v>0.27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0.02</v>
      </c>
      <c r="F194">
        <v>0.02</v>
      </c>
      <c r="G194">
        <v>0.01</v>
      </c>
      <c r="H194">
        <v>0</v>
      </c>
      <c r="I194">
        <v>0.04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0.04</v>
      </c>
      <c r="F195">
        <v>0.04</v>
      </c>
      <c r="G195">
        <v>0.02</v>
      </c>
      <c r="H195">
        <v>0</v>
      </c>
      <c r="I195">
        <v>0.08</v>
      </c>
      <c r="J195">
        <v>0.03</v>
      </c>
      <c r="K195">
        <v>0.05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7.0000000000000007E-2</v>
      </c>
      <c r="F196">
        <v>0.06</v>
      </c>
      <c r="G196">
        <v>0.03</v>
      </c>
      <c r="H196">
        <v>0</v>
      </c>
      <c r="I196">
        <v>0.14000000000000001</v>
      </c>
      <c r="J196">
        <v>0.04</v>
      </c>
      <c r="K196">
        <v>0.09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0.12</v>
      </c>
      <c r="F197">
        <v>0.11</v>
      </c>
      <c r="G197">
        <v>7.0000000000000007E-2</v>
      </c>
      <c r="H197">
        <v>0</v>
      </c>
      <c r="I197">
        <v>0.26</v>
      </c>
      <c r="J197">
        <v>0.08</v>
      </c>
      <c r="K197">
        <v>0.15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0.13</v>
      </c>
      <c r="F198">
        <v>0.14000000000000001</v>
      </c>
      <c r="G198">
        <v>7.0000000000000007E-2</v>
      </c>
      <c r="H198">
        <v>0</v>
      </c>
      <c r="I198">
        <v>0.25</v>
      </c>
      <c r="J198">
        <v>0.06</v>
      </c>
      <c r="K198">
        <v>0.19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0.17</v>
      </c>
      <c r="F199">
        <v>0.16</v>
      </c>
      <c r="G199">
        <v>0.09</v>
      </c>
      <c r="H199">
        <v>0</v>
      </c>
      <c r="I199">
        <v>0.31</v>
      </c>
      <c r="J199">
        <v>0.09</v>
      </c>
      <c r="K199">
        <v>0.26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233</v>
      </c>
      <c r="E200">
        <v>0.01</v>
      </c>
      <c r="F200">
        <v>0</v>
      </c>
      <c r="G200">
        <v>0.01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210</v>
      </c>
      <c r="E201">
        <v>0.02</v>
      </c>
      <c r="F201">
        <v>0.02</v>
      </c>
      <c r="G201">
        <v>0.01</v>
      </c>
      <c r="H201">
        <v>0</v>
      </c>
      <c r="I201">
        <v>0.06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233</v>
      </c>
      <c r="E202">
        <v>0.03</v>
      </c>
      <c r="F202">
        <v>0.03</v>
      </c>
      <c r="G202">
        <v>0.02</v>
      </c>
      <c r="H202">
        <v>0</v>
      </c>
      <c r="I202">
        <v>0.11</v>
      </c>
      <c r="J202">
        <v>0.01</v>
      </c>
      <c r="K202">
        <v>0.04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210</v>
      </c>
      <c r="E203">
        <v>0.06</v>
      </c>
      <c r="F203">
        <v>0.06</v>
      </c>
      <c r="G203">
        <v>0.03</v>
      </c>
      <c r="H203">
        <v>0</v>
      </c>
      <c r="I203">
        <v>0.16</v>
      </c>
      <c r="J203">
        <v>0.03</v>
      </c>
      <c r="K203">
        <v>0.08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233</v>
      </c>
      <c r="E204">
        <v>0.08</v>
      </c>
      <c r="F204">
        <v>0.09</v>
      </c>
      <c r="G204">
        <v>0.05</v>
      </c>
      <c r="H204">
        <v>0</v>
      </c>
      <c r="I204">
        <v>0.24</v>
      </c>
      <c r="J204">
        <v>0.03</v>
      </c>
      <c r="K204">
        <v>0.1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210</v>
      </c>
      <c r="E205">
        <v>0.12</v>
      </c>
      <c r="F205">
        <v>0.12</v>
      </c>
      <c r="G205">
        <v>7.0000000000000007E-2</v>
      </c>
      <c r="H205">
        <v>0</v>
      </c>
      <c r="I205">
        <v>0.25</v>
      </c>
      <c r="J205">
        <v>0.06</v>
      </c>
      <c r="K205">
        <v>0.16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233</v>
      </c>
      <c r="E206">
        <v>0.13</v>
      </c>
      <c r="F206">
        <v>0.14000000000000001</v>
      </c>
      <c r="G206">
        <v>0.09</v>
      </c>
      <c r="H206">
        <v>0</v>
      </c>
      <c r="I206">
        <v>0.32</v>
      </c>
      <c r="J206">
        <v>0.05</v>
      </c>
      <c r="K206">
        <v>0.2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87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81</v>
      </c>
      <c r="E208">
        <v>0.01</v>
      </c>
      <c r="F208">
        <v>0.01</v>
      </c>
      <c r="G208">
        <v>0.01</v>
      </c>
      <c r="H208">
        <v>0</v>
      </c>
      <c r="I208">
        <v>0.03</v>
      </c>
      <c r="J208">
        <v>0.01</v>
      </c>
      <c r="K208">
        <v>0.02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87</v>
      </c>
      <c r="E209">
        <v>0.02</v>
      </c>
      <c r="F209">
        <v>0.02</v>
      </c>
      <c r="G209">
        <v>0.01</v>
      </c>
      <c r="H209">
        <v>0</v>
      </c>
      <c r="I209">
        <v>0.05</v>
      </c>
      <c r="J209">
        <v>0</v>
      </c>
      <c r="K209">
        <v>0.03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81</v>
      </c>
      <c r="E210">
        <v>0.04</v>
      </c>
      <c r="F210">
        <v>0.03</v>
      </c>
      <c r="G210">
        <v>0.03</v>
      </c>
      <c r="H210">
        <v>0</v>
      </c>
      <c r="I210">
        <v>0.1</v>
      </c>
      <c r="J210">
        <v>0.01</v>
      </c>
      <c r="K210">
        <v>0.06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87</v>
      </c>
      <c r="E211">
        <v>0.06</v>
      </c>
      <c r="F211">
        <v>0.04</v>
      </c>
      <c r="G211">
        <v>0.05</v>
      </c>
      <c r="H211">
        <v>0</v>
      </c>
      <c r="I211">
        <v>0.16</v>
      </c>
      <c r="J211">
        <v>0.01</v>
      </c>
      <c r="K211">
        <v>0.1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81</v>
      </c>
      <c r="E212">
        <v>0.09</v>
      </c>
      <c r="F212">
        <v>0.06</v>
      </c>
      <c r="G212">
        <v>0.08</v>
      </c>
      <c r="H212">
        <v>0</v>
      </c>
      <c r="I212">
        <v>0.25</v>
      </c>
      <c r="J212">
        <v>0.03</v>
      </c>
      <c r="K212">
        <v>0.17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87</v>
      </c>
      <c r="E213">
        <v>0.12</v>
      </c>
      <c r="F213">
        <v>0.06</v>
      </c>
      <c r="G213">
        <v>0.11</v>
      </c>
      <c r="H213">
        <v>0</v>
      </c>
      <c r="I213">
        <v>0.3</v>
      </c>
      <c r="J213">
        <v>0.03</v>
      </c>
      <c r="K213">
        <v>0.24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0.05</v>
      </c>
      <c r="J215">
        <v>0.01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0.02</v>
      </c>
      <c r="F216">
        <v>0.03</v>
      </c>
      <c r="G216">
        <v>0.02</v>
      </c>
      <c r="H216">
        <v>0</v>
      </c>
      <c r="I216">
        <v>0.09</v>
      </c>
      <c r="J216">
        <v>0.01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0.04</v>
      </c>
      <c r="F217">
        <v>0.03</v>
      </c>
      <c r="G217">
        <v>0.03</v>
      </c>
      <c r="H217">
        <v>0</v>
      </c>
      <c r="I217">
        <v>0.11</v>
      </c>
      <c r="J217">
        <v>0.02</v>
      </c>
      <c r="K217">
        <v>0.06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0.05</v>
      </c>
      <c r="F218">
        <v>0.04</v>
      </c>
      <c r="G218">
        <v>0.04</v>
      </c>
      <c r="H218">
        <v>0</v>
      </c>
      <c r="I218">
        <v>0.16</v>
      </c>
      <c r="J218">
        <v>0.02</v>
      </c>
      <c r="K218">
        <v>0.09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0.08</v>
      </c>
      <c r="F219">
        <v>7.0000000000000007E-2</v>
      </c>
      <c r="G219">
        <v>0.05</v>
      </c>
      <c r="H219">
        <v>0</v>
      </c>
      <c r="I219">
        <v>0.22</v>
      </c>
      <c r="J219">
        <v>0.04</v>
      </c>
      <c r="K219">
        <v>0.12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0.09</v>
      </c>
      <c r="F220">
        <v>0.08</v>
      </c>
      <c r="G220">
        <v>7.0000000000000007E-2</v>
      </c>
      <c r="H220">
        <v>0</v>
      </c>
      <c r="I220">
        <v>0.25</v>
      </c>
      <c r="J220">
        <v>0.04</v>
      </c>
      <c r="K220">
        <v>0.16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37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2.2799999999999998</v>
      </c>
      <c r="F222">
        <v>2.25</v>
      </c>
      <c r="G222">
        <v>0.78</v>
      </c>
      <c r="H222">
        <v>0</v>
      </c>
      <c r="I222">
        <v>4.4000000000000004</v>
      </c>
      <c r="J222">
        <v>1.89</v>
      </c>
      <c r="K222">
        <v>2.48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2.73</v>
      </c>
      <c r="F223">
        <v>2.75</v>
      </c>
      <c r="G223">
        <v>1.06</v>
      </c>
      <c r="H223">
        <v>0</v>
      </c>
      <c r="I223">
        <v>5.28</v>
      </c>
      <c r="J223">
        <v>2.02</v>
      </c>
      <c r="K223">
        <v>3.12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3.16</v>
      </c>
      <c r="F224">
        <v>3.15</v>
      </c>
      <c r="G224">
        <v>1.43</v>
      </c>
      <c r="H224">
        <v>0</v>
      </c>
      <c r="I224">
        <v>6.61</v>
      </c>
      <c r="J224">
        <v>2.2999999999999998</v>
      </c>
      <c r="K224">
        <v>3.62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3.35</v>
      </c>
      <c r="F225">
        <v>3.46</v>
      </c>
      <c r="G225">
        <v>1.71</v>
      </c>
      <c r="H225">
        <v>0</v>
      </c>
      <c r="I225">
        <v>7.25</v>
      </c>
      <c r="J225">
        <v>2.5099999999999998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3.51</v>
      </c>
      <c r="F226">
        <v>3.7</v>
      </c>
      <c r="G226">
        <v>1.75</v>
      </c>
      <c r="H226">
        <v>0</v>
      </c>
      <c r="I226">
        <v>8.64</v>
      </c>
      <c r="J226">
        <v>2.81</v>
      </c>
      <c r="K226">
        <v>4.3099999999999996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3.42</v>
      </c>
      <c r="F227">
        <v>3.43</v>
      </c>
      <c r="G227">
        <v>1.75</v>
      </c>
      <c r="H227">
        <v>0</v>
      </c>
      <c r="I227">
        <v>9.25</v>
      </c>
      <c r="J227">
        <v>2.88</v>
      </c>
      <c r="K227">
        <v>3.96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1.74</v>
      </c>
      <c r="F229">
        <v>1.56</v>
      </c>
      <c r="G229">
        <v>0.71</v>
      </c>
      <c r="H229">
        <v>1.07</v>
      </c>
      <c r="I229">
        <v>4.54</v>
      </c>
      <c r="J229">
        <v>1.38</v>
      </c>
      <c r="K229">
        <v>1.63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1.78</v>
      </c>
      <c r="F230">
        <v>1.55</v>
      </c>
      <c r="G230">
        <v>0.7</v>
      </c>
      <c r="H230">
        <v>1.05</v>
      </c>
      <c r="I230">
        <v>4.74</v>
      </c>
      <c r="J230">
        <v>1.39</v>
      </c>
      <c r="K230">
        <v>1.86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2.88</v>
      </c>
      <c r="F231">
        <v>2.11</v>
      </c>
      <c r="G231">
        <v>2.27</v>
      </c>
      <c r="H231">
        <v>1.05</v>
      </c>
      <c r="I231">
        <v>11.15</v>
      </c>
      <c r="J231">
        <v>1.84</v>
      </c>
      <c r="K231">
        <v>2.93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3.85</v>
      </c>
      <c r="F232">
        <v>2.5099999999999998</v>
      </c>
      <c r="G232">
        <v>4.1399999999999997</v>
      </c>
      <c r="H232">
        <v>1.04</v>
      </c>
      <c r="I232">
        <v>18.670000000000002</v>
      </c>
      <c r="J232">
        <v>1.96</v>
      </c>
      <c r="K232">
        <v>3.23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3.55</v>
      </c>
      <c r="F233">
        <v>3.04</v>
      </c>
      <c r="G233">
        <v>2.48</v>
      </c>
      <c r="H233">
        <v>1.1000000000000001</v>
      </c>
      <c r="I233">
        <v>16.170000000000002</v>
      </c>
      <c r="J233">
        <v>2.2999999999999998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3.45</v>
      </c>
      <c r="F234">
        <v>3.23</v>
      </c>
      <c r="G234">
        <v>1.45</v>
      </c>
      <c r="H234">
        <v>0</v>
      </c>
      <c r="I234">
        <v>7.07</v>
      </c>
      <c r="J234">
        <v>2.4500000000000002</v>
      </c>
      <c r="K234">
        <v>4.18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112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1.65</v>
      </c>
      <c r="F236">
        <v>1.52</v>
      </c>
      <c r="G236">
        <v>0.63</v>
      </c>
      <c r="H236">
        <v>0</v>
      </c>
      <c r="I236">
        <v>4.5999999999999996</v>
      </c>
      <c r="J236">
        <v>1.37</v>
      </c>
      <c r="K236">
        <v>1.8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1.84</v>
      </c>
      <c r="F237">
        <v>1.64</v>
      </c>
      <c r="G237">
        <v>0.62</v>
      </c>
      <c r="H237">
        <v>0</v>
      </c>
      <c r="I237">
        <v>4.75</v>
      </c>
      <c r="J237">
        <v>1.51</v>
      </c>
      <c r="K237">
        <v>2.13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2.16</v>
      </c>
      <c r="F238">
        <v>2.0299999999999998</v>
      </c>
      <c r="G238">
        <v>0.92</v>
      </c>
      <c r="H238">
        <v>0</v>
      </c>
      <c r="I238">
        <v>6.96</v>
      </c>
      <c r="J238">
        <v>1.57</v>
      </c>
      <c r="K238">
        <v>2.4700000000000002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2.54</v>
      </c>
      <c r="F239">
        <v>2.36</v>
      </c>
      <c r="G239">
        <v>1.3</v>
      </c>
      <c r="H239">
        <v>0</v>
      </c>
      <c r="I239">
        <v>8.61</v>
      </c>
      <c r="J239">
        <v>1.74</v>
      </c>
      <c r="K239">
        <v>2.88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2.86</v>
      </c>
      <c r="F240">
        <v>2.64</v>
      </c>
      <c r="G240">
        <v>1.43</v>
      </c>
      <c r="H240">
        <v>0</v>
      </c>
      <c r="I240">
        <v>8.27</v>
      </c>
      <c r="J240">
        <v>1.93</v>
      </c>
      <c r="K240">
        <v>3.28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3.03</v>
      </c>
      <c r="F241">
        <v>2.84</v>
      </c>
      <c r="G241">
        <v>1.39</v>
      </c>
      <c r="H241">
        <v>0</v>
      </c>
      <c r="I241">
        <v>8.52</v>
      </c>
      <c r="J241">
        <v>2.0699999999999998</v>
      </c>
      <c r="K241">
        <v>3.52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30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30</v>
      </c>
      <c r="E243">
        <v>1.43</v>
      </c>
      <c r="F243">
        <v>1.41</v>
      </c>
      <c r="G243">
        <v>0.32</v>
      </c>
      <c r="H243">
        <v>1.02</v>
      </c>
      <c r="I243">
        <v>2.2599999999999998</v>
      </c>
      <c r="J243">
        <v>1.25</v>
      </c>
      <c r="K243">
        <v>1.47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30</v>
      </c>
      <c r="E244">
        <v>1.65</v>
      </c>
      <c r="F244">
        <v>1.62</v>
      </c>
      <c r="G244">
        <v>0.38</v>
      </c>
      <c r="H244">
        <v>1.01</v>
      </c>
      <c r="I244">
        <v>2.16</v>
      </c>
      <c r="J244">
        <v>1.51</v>
      </c>
      <c r="K244">
        <v>2.0299999999999998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30</v>
      </c>
      <c r="E245">
        <v>1.83</v>
      </c>
      <c r="F245">
        <v>1.69</v>
      </c>
      <c r="G245">
        <v>0.67</v>
      </c>
      <c r="H245">
        <v>0.84</v>
      </c>
      <c r="I245">
        <v>3.4</v>
      </c>
      <c r="J245">
        <v>1.45</v>
      </c>
      <c r="K245">
        <v>2.02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30</v>
      </c>
      <c r="E246">
        <v>2.25</v>
      </c>
      <c r="F246">
        <v>1.97</v>
      </c>
      <c r="G246">
        <v>1.08</v>
      </c>
      <c r="H246">
        <v>0.95</v>
      </c>
      <c r="I246">
        <v>5.54</v>
      </c>
      <c r="J246">
        <v>1.45</v>
      </c>
      <c r="K246">
        <v>2.25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30</v>
      </c>
      <c r="E247">
        <v>2.61</v>
      </c>
      <c r="F247">
        <v>2.21</v>
      </c>
      <c r="G247">
        <v>1.45</v>
      </c>
      <c r="H247">
        <v>0.93</v>
      </c>
      <c r="I247">
        <v>6.91</v>
      </c>
      <c r="J247">
        <v>1.71</v>
      </c>
      <c r="K247">
        <v>2.56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30</v>
      </c>
      <c r="E248">
        <v>2.68</v>
      </c>
      <c r="F248">
        <v>2.4300000000000002</v>
      </c>
      <c r="G248">
        <v>1.27</v>
      </c>
      <c r="H248">
        <v>0.92</v>
      </c>
      <c r="I248">
        <v>5.85</v>
      </c>
      <c r="J248">
        <v>1.77</v>
      </c>
      <c r="K248">
        <v>2.85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45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45</v>
      </c>
      <c r="E250">
        <v>1.1200000000000001</v>
      </c>
      <c r="F250">
        <v>1.1200000000000001</v>
      </c>
      <c r="G250">
        <v>0.21</v>
      </c>
      <c r="H250">
        <v>0.8</v>
      </c>
      <c r="I250">
        <v>2.2599999999999998</v>
      </c>
      <c r="J250">
        <v>1.02</v>
      </c>
      <c r="K250">
        <v>1.18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45</v>
      </c>
      <c r="E251">
        <v>1.1499999999999999</v>
      </c>
      <c r="F251">
        <v>1.1000000000000001</v>
      </c>
      <c r="G251">
        <v>0.2</v>
      </c>
      <c r="H251">
        <v>0.94</v>
      </c>
      <c r="I251">
        <v>2.16</v>
      </c>
      <c r="J251">
        <v>1.04</v>
      </c>
      <c r="K251">
        <v>1.25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45</v>
      </c>
      <c r="E252">
        <v>1.21</v>
      </c>
      <c r="F252">
        <v>1.1100000000000001</v>
      </c>
      <c r="G252">
        <v>0.28000000000000003</v>
      </c>
      <c r="H252">
        <v>0.95</v>
      </c>
      <c r="I252">
        <v>2.5</v>
      </c>
      <c r="J252">
        <v>1.05</v>
      </c>
      <c r="K252">
        <v>1.3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45</v>
      </c>
      <c r="E253">
        <v>1.3</v>
      </c>
      <c r="F253">
        <v>1.17</v>
      </c>
      <c r="G253">
        <v>0.38</v>
      </c>
      <c r="H253">
        <v>1.03</v>
      </c>
      <c r="I253">
        <v>2.95</v>
      </c>
      <c r="J253">
        <v>1.0900000000000001</v>
      </c>
      <c r="K253">
        <v>1.32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45</v>
      </c>
      <c r="E254">
        <v>1.38</v>
      </c>
      <c r="F254">
        <v>1.1499999999999999</v>
      </c>
      <c r="G254">
        <v>0.56999999999999995</v>
      </c>
      <c r="H254">
        <v>0.99</v>
      </c>
      <c r="I254">
        <v>3.67</v>
      </c>
      <c r="J254">
        <v>1.1100000000000001</v>
      </c>
      <c r="K254">
        <v>1.39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45</v>
      </c>
      <c r="E255">
        <v>1.42</v>
      </c>
      <c r="F255">
        <v>1.26</v>
      </c>
      <c r="G255">
        <v>0.52</v>
      </c>
      <c r="H255">
        <v>1.07</v>
      </c>
      <c r="I255">
        <v>3.6</v>
      </c>
      <c r="J255">
        <v>1.1599999999999999</v>
      </c>
      <c r="K255">
        <v>1.4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</v>
      </c>
      <c r="F257">
        <v>1.42</v>
      </c>
      <c r="G257">
        <v>0.76</v>
      </c>
      <c r="H257">
        <v>0</v>
      </c>
      <c r="I257">
        <v>3.48</v>
      </c>
      <c r="J257">
        <v>0.9</v>
      </c>
      <c r="K257">
        <v>2.0499999999999998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1.99</v>
      </c>
      <c r="F258">
        <v>1.85</v>
      </c>
      <c r="G258">
        <v>0.91</v>
      </c>
      <c r="H258">
        <v>0</v>
      </c>
      <c r="I258">
        <v>4.79</v>
      </c>
      <c r="J258">
        <v>1.31</v>
      </c>
      <c r="K258">
        <v>2.4300000000000002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2.39</v>
      </c>
      <c r="F259">
        <v>1.87</v>
      </c>
      <c r="G259">
        <v>1.52</v>
      </c>
      <c r="H259">
        <v>0</v>
      </c>
      <c r="I259">
        <v>5.71</v>
      </c>
      <c r="J259">
        <v>1.37</v>
      </c>
      <c r="K259">
        <v>2.9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2.9</v>
      </c>
      <c r="F260">
        <v>2.13</v>
      </c>
      <c r="G260">
        <v>2.15</v>
      </c>
      <c r="H260">
        <v>-0.41</v>
      </c>
      <c r="I260">
        <v>7.39</v>
      </c>
      <c r="J260">
        <v>1.56</v>
      </c>
      <c r="K260">
        <v>3.34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2.2999999999999998</v>
      </c>
      <c r="F261">
        <v>2.11</v>
      </c>
      <c r="G261">
        <v>6.44</v>
      </c>
      <c r="H261">
        <v>-37.81</v>
      </c>
      <c r="I261">
        <v>9.43</v>
      </c>
      <c r="J261">
        <v>1.49</v>
      </c>
      <c r="K261">
        <v>2.99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2.12</v>
      </c>
      <c r="F262">
        <v>1.92</v>
      </c>
      <c r="G262">
        <v>6.13</v>
      </c>
      <c r="H262">
        <v>-28.12</v>
      </c>
      <c r="I262">
        <v>10.3</v>
      </c>
      <c r="J262">
        <v>1.17</v>
      </c>
      <c r="K262">
        <v>3.16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1.18</v>
      </c>
      <c r="F264">
        <v>1.21</v>
      </c>
      <c r="G264">
        <v>0.46</v>
      </c>
      <c r="H264">
        <v>0.62</v>
      </c>
      <c r="I264">
        <v>2.82</v>
      </c>
      <c r="J264">
        <v>0.8</v>
      </c>
      <c r="K264">
        <v>1.38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1.77</v>
      </c>
      <c r="F265">
        <v>1.24</v>
      </c>
      <c r="G265">
        <v>1.57</v>
      </c>
      <c r="H265">
        <v>0.78</v>
      </c>
      <c r="I265">
        <v>8.74</v>
      </c>
      <c r="J265">
        <v>1.1599999999999999</v>
      </c>
      <c r="K265">
        <v>1.52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2.12</v>
      </c>
      <c r="F266">
        <v>1.51</v>
      </c>
      <c r="G266">
        <v>1.47</v>
      </c>
      <c r="H266">
        <v>1.05</v>
      </c>
      <c r="I266">
        <v>7.59</v>
      </c>
      <c r="J266">
        <v>1.25</v>
      </c>
      <c r="K266">
        <v>1.98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2.87</v>
      </c>
      <c r="F267">
        <v>1.76</v>
      </c>
      <c r="G267">
        <v>2.78</v>
      </c>
      <c r="H267">
        <v>0.16</v>
      </c>
      <c r="I267">
        <v>11.99</v>
      </c>
      <c r="J267">
        <v>1.43</v>
      </c>
      <c r="K267">
        <v>2.62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2.13</v>
      </c>
      <c r="F268">
        <v>1.7</v>
      </c>
      <c r="G268">
        <v>1.46</v>
      </c>
      <c r="H268">
        <v>0.13</v>
      </c>
      <c r="I268">
        <v>8.9499999999999993</v>
      </c>
      <c r="J268">
        <v>1.46</v>
      </c>
      <c r="K268">
        <v>2.2000000000000002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2.46</v>
      </c>
      <c r="F269">
        <v>1.67</v>
      </c>
      <c r="G269">
        <v>3.22</v>
      </c>
      <c r="H269">
        <v>-2.91</v>
      </c>
      <c r="I269">
        <v>14.36</v>
      </c>
      <c r="J269">
        <v>1.24</v>
      </c>
      <c r="K269">
        <v>2.1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1.1399999999999999</v>
      </c>
      <c r="F271">
        <v>1.18</v>
      </c>
      <c r="G271">
        <v>0.45</v>
      </c>
      <c r="H271">
        <v>0</v>
      </c>
      <c r="I271">
        <v>2.86</v>
      </c>
      <c r="J271">
        <v>0.68</v>
      </c>
      <c r="K271">
        <v>1.41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1.4</v>
      </c>
      <c r="F272">
        <v>1.26</v>
      </c>
      <c r="G272">
        <v>0.43</v>
      </c>
      <c r="H272">
        <v>0</v>
      </c>
      <c r="I272">
        <v>2.86</v>
      </c>
      <c r="J272">
        <v>1.1399999999999999</v>
      </c>
      <c r="K272">
        <v>1.63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1.62</v>
      </c>
      <c r="F273">
        <v>1.41</v>
      </c>
      <c r="G273">
        <v>0.74</v>
      </c>
      <c r="H273">
        <v>0</v>
      </c>
      <c r="I273">
        <v>5.04</v>
      </c>
      <c r="J273">
        <v>1.0900000000000001</v>
      </c>
      <c r="K273">
        <v>2.0499999999999998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1.84</v>
      </c>
      <c r="F274">
        <v>1.54</v>
      </c>
      <c r="G274">
        <v>0.88</v>
      </c>
      <c r="H274">
        <v>0</v>
      </c>
      <c r="I274">
        <v>4.58</v>
      </c>
      <c r="J274">
        <v>1.22</v>
      </c>
      <c r="K274">
        <v>2.3199999999999998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2.14</v>
      </c>
      <c r="F275">
        <v>1.71</v>
      </c>
      <c r="G275">
        <v>1.08</v>
      </c>
      <c r="H275">
        <v>-0.62</v>
      </c>
      <c r="I275">
        <v>5.16</v>
      </c>
      <c r="J275">
        <v>1.43</v>
      </c>
      <c r="K275">
        <v>2.8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1.95</v>
      </c>
      <c r="F276">
        <v>1.7</v>
      </c>
      <c r="G276">
        <v>2.5099999999999998</v>
      </c>
      <c r="H276">
        <v>-26.27</v>
      </c>
      <c r="I276">
        <v>5.75</v>
      </c>
      <c r="J276">
        <v>1.41</v>
      </c>
      <c r="K276">
        <v>2.5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1.35</v>
      </c>
      <c r="F278">
        <v>1.3</v>
      </c>
      <c r="G278">
        <v>0.14000000000000001</v>
      </c>
      <c r="H278">
        <v>1.01</v>
      </c>
      <c r="I278">
        <v>1.56</v>
      </c>
      <c r="J278">
        <v>1.29</v>
      </c>
      <c r="K278">
        <v>1.41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1.44</v>
      </c>
      <c r="F279">
        <v>1.39</v>
      </c>
      <c r="G279">
        <v>0.27</v>
      </c>
      <c r="H279">
        <v>1</v>
      </c>
      <c r="I279">
        <v>2.2000000000000002</v>
      </c>
      <c r="J279">
        <v>1.24</v>
      </c>
      <c r="K279">
        <v>1.52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1.53</v>
      </c>
      <c r="F280">
        <v>1.52</v>
      </c>
      <c r="G280">
        <v>0.18</v>
      </c>
      <c r="H280">
        <v>1.02</v>
      </c>
      <c r="I280">
        <v>1.98</v>
      </c>
      <c r="J280">
        <v>1.42</v>
      </c>
      <c r="K280">
        <v>1.6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1.66</v>
      </c>
      <c r="F281">
        <v>1.55</v>
      </c>
      <c r="G281">
        <v>0.32</v>
      </c>
      <c r="H281">
        <v>1.02</v>
      </c>
      <c r="I281">
        <v>2.5499999999999998</v>
      </c>
      <c r="J281">
        <v>1.44</v>
      </c>
      <c r="K281">
        <v>1.87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1.97</v>
      </c>
      <c r="F282">
        <v>1.89</v>
      </c>
      <c r="G282">
        <v>0.34</v>
      </c>
      <c r="H282">
        <v>1.04</v>
      </c>
      <c r="I282">
        <v>2.87</v>
      </c>
      <c r="J282">
        <v>1.69</v>
      </c>
      <c r="K282">
        <v>2.17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1.97</v>
      </c>
      <c r="F283">
        <v>1.83</v>
      </c>
      <c r="G283">
        <v>0.46</v>
      </c>
      <c r="H283">
        <v>0.96</v>
      </c>
      <c r="I283">
        <v>3.16</v>
      </c>
      <c r="J283">
        <v>1.62</v>
      </c>
      <c r="K283">
        <v>2.35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0.86</v>
      </c>
      <c r="F285">
        <v>1.01</v>
      </c>
      <c r="G285">
        <v>0.33</v>
      </c>
      <c r="H285">
        <v>0.42</v>
      </c>
      <c r="I285">
        <v>1.56</v>
      </c>
      <c r="J285">
        <v>0.49</v>
      </c>
      <c r="K285">
        <v>1.08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1.07</v>
      </c>
      <c r="F286">
        <v>1.03</v>
      </c>
      <c r="G286">
        <v>0.16</v>
      </c>
      <c r="H286">
        <v>0.82</v>
      </c>
      <c r="I286">
        <v>1.47</v>
      </c>
      <c r="J286">
        <v>0.94</v>
      </c>
      <c r="K286">
        <v>1.1399999999999999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1.03</v>
      </c>
      <c r="F287">
        <v>1</v>
      </c>
      <c r="G287">
        <v>0.26</v>
      </c>
      <c r="H287">
        <v>0.7</v>
      </c>
      <c r="I287">
        <v>1.65</v>
      </c>
      <c r="J287">
        <v>0.81</v>
      </c>
      <c r="K287">
        <v>1.19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1.04</v>
      </c>
      <c r="G288">
        <v>0.25</v>
      </c>
      <c r="H288">
        <v>0.73</v>
      </c>
      <c r="I288">
        <v>1.71</v>
      </c>
      <c r="J288">
        <v>0.93</v>
      </c>
      <c r="K288">
        <v>1.22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1.21</v>
      </c>
      <c r="F289">
        <v>1.17</v>
      </c>
      <c r="G289">
        <v>0.22</v>
      </c>
      <c r="H289">
        <v>0.9</v>
      </c>
      <c r="I289">
        <v>1.81</v>
      </c>
      <c r="J289">
        <v>1.03</v>
      </c>
      <c r="K289">
        <v>1.37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1.25</v>
      </c>
      <c r="F290">
        <v>1.22</v>
      </c>
      <c r="G290">
        <v>0.27</v>
      </c>
      <c r="H290">
        <v>0.92</v>
      </c>
      <c r="I290">
        <v>1.97</v>
      </c>
      <c r="J290">
        <v>1.03</v>
      </c>
      <c r="K290">
        <v>1.43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4.66</v>
      </c>
      <c r="F292">
        <v>4.62</v>
      </c>
      <c r="G292">
        <v>3.26</v>
      </c>
      <c r="H292">
        <v>0</v>
      </c>
      <c r="I292">
        <v>14.32</v>
      </c>
      <c r="J292">
        <v>2.0499999999999998</v>
      </c>
      <c r="K292">
        <v>5.86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7.01</v>
      </c>
      <c r="F293">
        <v>7.6</v>
      </c>
      <c r="G293">
        <v>5.27</v>
      </c>
      <c r="H293">
        <v>0</v>
      </c>
      <c r="I293">
        <v>22.56</v>
      </c>
      <c r="J293">
        <v>2.94</v>
      </c>
      <c r="K293">
        <v>7.95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10.25</v>
      </c>
      <c r="F294">
        <v>11.8</v>
      </c>
      <c r="G294">
        <v>7.06</v>
      </c>
      <c r="H294">
        <v>0</v>
      </c>
      <c r="I294">
        <v>27.5</v>
      </c>
      <c r="J294">
        <v>4.17</v>
      </c>
      <c r="K294">
        <v>14.14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13.73</v>
      </c>
      <c r="F295">
        <v>15.04</v>
      </c>
      <c r="G295">
        <v>8.98</v>
      </c>
      <c r="H295">
        <v>0</v>
      </c>
      <c r="I295">
        <v>32.64</v>
      </c>
      <c r="J295">
        <v>4.49</v>
      </c>
      <c r="K295">
        <v>19.87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16.2</v>
      </c>
      <c r="F296">
        <v>17.579999999999998</v>
      </c>
      <c r="G296">
        <v>11.84</v>
      </c>
      <c r="H296">
        <v>0</v>
      </c>
      <c r="I296">
        <v>39.76</v>
      </c>
      <c r="J296">
        <v>3.7</v>
      </c>
      <c r="K296">
        <v>24.78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17.71</v>
      </c>
      <c r="F297">
        <v>19.32</v>
      </c>
      <c r="G297">
        <v>13.83</v>
      </c>
      <c r="H297">
        <v>0</v>
      </c>
      <c r="I297">
        <v>42.86</v>
      </c>
      <c r="J297">
        <v>2.92</v>
      </c>
      <c r="K297">
        <v>28.86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2.66</v>
      </c>
      <c r="F299">
        <v>2.08</v>
      </c>
      <c r="G299">
        <v>1.3</v>
      </c>
      <c r="H299">
        <v>1.95</v>
      </c>
      <c r="I299">
        <v>6.19</v>
      </c>
      <c r="J299">
        <v>2.04</v>
      </c>
      <c r="K299">
        <v>2.73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2.65</v>
      </c>
      <c r="F300">
        <v>2.19</v>
      </c>
      <c r="G300">
        <v>1.08</v>
      </c>
      <c r="H300">
        <v>1.93</v>
      </c>
      <c r="I300">
        <v>6.22</v>
      </c>
      <c r="J300">
        <v>1.97</v>
      </c>
      <c r="K300">
        <v>2.81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5.01</v>
      </c>
      <c r="F301">
        <v>3.5</v>
      </c>
      <c r="G301">
        <v>3.36</v>
      </c>
      <c r="H301">
        <v>2.91</v>
      </c>
      <c r="I301">
        <v>14.8</v>
      </c>
      <c r="J301">
        <v>3.03</v>
      </c>
      <c r="K301">
        <v>4.92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7.09</v>
      </c>
      <c r="F302">
        <v>3.87</v>
      </c>
      <c r="G302">
        <v>6.86</v>
      </c>
      <c r="H302">
        <v>3.51</v>
      </c>
      <c r="I302">
        <v>28.51</v>
      </c>
      <c r="J302">
        <v>3.67</v>
      </c>
      <c r="K302">
        <v>6.19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5.47</v>
      </c>
      <c r="F303">
        <v>3.47</v>
      </c>
      <c r="G303">
        <v>5.7</v>
      </c>
      <c r="H303">
        <v>2.73</v>
      </c>
      <c r="I303">
        <v>24.57</v>
      </c>
      <c r="J303">
        <v>2.77</v>
      </c>
      <c r="K303">
        <v>4.62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3.77</v>
      </c>
      <c r="F304">
        <v>2.56</v>
      </c>
      <c r="G304">
        <v>2.0299999999999998</v>
      </c>
      <c r="H304">
        <v>1.79</v>
      </c>
      <c r="I304">
        <v>8.4</v>
      </c>
      <c r="J304">
        <v>2.33</v>
      </c>
      <c r="K304">
        <v>5.25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3.01</v>
      </c>
      <c r="F306">
        <v>2.74</v>
      </c>
      <c r="G306">
        <v>1.33</v>
      </c>
      <c r="H306">
        <v>0</v>
      </c>
      <c r="I306">
        <v>7.19</v>
      </c>
      <c r="J306">
        <v>2.0299999999999998</v>
      </c>
      <c r="K306">
        <v>3.44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3.82</v>
      </c>
      <c r="F307">
        <v>2.82</v>
      </c>
      <c r="G307">
        <v>2.33</v>
      </c>
      <c r="H307">
        <v>0</v>
      </c>
      <c r="I307">
        <v>11.08</v>
      </c>
      <c r="J307">
        <v>1.97</v>
      </c>
      <c r="K307">
        <v>6.06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5.33</v>
      </c>
      <c r="F308">
        <v>3.63</v>
      </c>
      <c r="G308">
        <v>3.18</v>
      </c>
      <c r="H308">
        <v>0</v>
      </c>
      <c r="I308">
        <v>14.44</v>
      </c>
      <c r="J308">
        <v>2.74</v>
      </c>
      <c r="K308">
        <v>7.77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7.1</v>
      </c>
      <c r="F309">
        <v>4.08</v>
      </c>
      <c r="G309">
        <v>4.87</v>
      </c>
      <c r="H309">
        <v>0</v>
      </c>
      <c r="I309">
        <v>19.670000000000002</v>
      </c>
      <c r="J309">
        <v>3.04</v>
      </c>
      <c r="K309">
        <v>10.43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7.87</v>
      </c>
      <c r="F310">
        <v>3.76</v>
      </c>
      <c r="G310">
        <v>6.33</v>
      </c>
      <c r="H310">
        <v>0</v>
      </c>
      <c r="I310">
        <v>22.2</v>
      </c>
      <c r="J310">
        <v>2.36</v>
      </c>
      <c r="K310">
        <v>12.7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8.52</v>
      </c>
      <c r="F311">
        <v>3.96</v>
      </c>
      <c r="G311">
        <v>7.58</v>
      </c>
      <c r="H311">
        <v>0</v>
      </c>
      <c r="I311">
        <v>27.22</v>
      </c>
      <c r="J311">
        <v>1.87</v>
      </c>
      <c r="K311">
        <v>13.98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2.84</v>
      </c>
      <c r="F313">
        <v>2.85</v>
      </c>
      <c r="G313">
        <v>1.01</v>
      </c>
      <c r="H313">
        <v>1.32</v>
      </c>
      <c r="I313">
        <v>4.88</v>
      </c>
      <c r="J313">
        <v>1.95</v>
      </c>
      <c r="K313">
        <v>3.37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3.7</v>
      </c>
      <c r="F314">
        <v>3.47</v>
      </c>
      <c r="G314">
        <v>1.56</v>
      </c>
      <c r="H314">
        <v>1.81</v>
      </c>
      <c r="I314">
        <v>6.76</v>
      </c>
      <c r="J314">
        <v>2.67</v>
      </c>
      <c r="K314">
        <v>4.0999999999999996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4.17</v>
      </c>
      <c r="F315">
        <v>4.28</v>
      </c>
      <c r="G315">
        <v>1.3</v>
      </c>
      <c r="H315">
        <v>2.09</v>
      </c>
      <c r="I315">
        <v>6.61</v>
      </c>
      <c r="J315">
        <v>3.22</v>
      </c>
      <c r="K315">
        <v>4.8899999999999997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5.51</v>
      </c>
      <c r="F316">
        <v>5.61</v>
      </c>
      <c r="G316">
        <v>2.21</v>
      </c>
      <c r="H316">
        <v>2.21</v>
      </c>
      <c r="I316">
        <v>12.07</v>
      </c>
      <c r="J316">
        <v>4.8899999999999997</v>
      </c>
      <c r="K316">
        <v>6.72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6.27</v>
      </c>
      <c r="F317">
        <v>6.66</v>
      </c>
      <c r="G317">
        <v>3.09</v>
      </c>
      <c r="H317">
        <v>1.69</v>
      </c>
      <c r="I317">
        <v>14.6</v>
      </c>
      <c r="J317">
        <v>5.17</v>
      </c>
      <c r="K317">
        <v>7.96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6.38</v>
      </c>
      <c r="F318">
        <v>7.26</v>
      </c>
      <c r="G318">
        <v>3.28</v>
      </c>
      <c r="H318">
        <v>1.1499999999999999</v>
      </c>
      <c r="I318">
        <v>11.22</v>
      </c>
      <c r="J318">
        <v>4.68</v>
      </c>
      <c r="K318">
        <v>8.56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17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17</v>
      </c>
      <c r="E320">
        <v>1.62</v>
      </c>
      <c r="F320">
        <v>1.05</v>
      </c>
      <c r="G320">
        <v>1.1299999999999999</v>
      </c>
      <c r="H320">
        <v>1.03</v>
      </c>
      <c r="I320">
        <v>4.88</v>
      </c>
      <c r="J320">
        <v>1.04</v>
      </c>
      <c r="K320">
        <v>2.0299999999999998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17</v>
      </c>
      <c r="E321">
        <v>1.56</v>
      </c>
      <c r="F321">
        <v>1.1100000000000001</v>
      </c>
      <c r="G321">
        <v>0.93</v>
      </c>
      <c r="H321">
        <v>1.07</v>
      </c>
      <c r="I321">
        <v>3.92</v>
      </c>
      <c r="J321">
        <v>1.0900000000000001</v>
      </c>
      <c r="K321">
        <v>1.76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17</v>
      </c>
      <c r="E322">
        <v>1.62</v>
      </c>
      <c r="F322">
        <v>1.1399999999999999</v>
      </c>
      <c r="G322">
        <v>0.92</v>
      </c>
      <c r="H322">
        <v>1.1000000000000001</v>
      </c>
      <c r="I322">
        <v>3.85</v>
      </c>
      <c r="J322">
        <v>1.1299999999999999</v>
      </c>
      <c r="K322">
        <v>2.0099999999999998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17</v>
      </c>
      <c r="E323">
        <v>1.71</v>
      </c>
      <c r="F323">
        <v>1.2</v>
      </c>
      <c r="G323">
        <v>0.97</v>
      </c>
      <c r="H323">
        <v>1.1200000000000001</v>
      </c>
      <c r="I323">
        <v>3.95</v>
      </c>
      <c r="J323">
        <v>1.1399999999999999</v>
      </c>
      <c r="K323">
        <v>2.23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17</v>
      </c>
      <c r="E324">
        <v>1.6</v>
      </c>
      <c r="F324">
        <v>1.27</v>
      </c>
      <c r="G324">
        <v>0.93</v>
      </c>
      <c r="H324">
        <v>1.1000000000000001</v>
      </c>
      <c r="I324">
        <v>4.04</v>
      </c>
      <c r="J324">
        <v>1.1599999999999999</v>
      </c>
      <c r="K324">
        <v>1.53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17</v>
      </c>
      <c r="E325">
        <v>1.53</v>
      </c>
      <c r="F325">
        <v>1.2</v>
      </c>
      <c r="G325">
        <v>0.98</v>
      </c>
      <c r="H325">
        <v>0.97</v>
      </c>
      <c r="I325">
        <v>4.1399999999999997</v>
      </c>
      <c r="J325">
        <v>1.08</v>
      </c>
      <c r="K325">
        <v>1.35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1.06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1.0900000000000001</v>
      </c>
      <c r="F328">
        <v>1.0900000000000001</v>
      </c>
      <c r="G328">
        <v>0.01</v>
      </c>
      <c r="H328">
        <v>1.08</v>
      </c>
      <c r="I328">
        <v>1.1000000000000001</v>
      </c>
      <c r="J328">
        <v>1.0900000000000001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1.1499999999999999</v>
      </c>
      <c r="F329">
        <v>1.1499999999999999</v>
      </c>
      <c r="G329">
        <v>0.01</v>
      </c>
      <c r="H329">
        <v>1.1299999999999999</v>
      </c>
      <c r="I329">
        <v>1.1599999999999999</v>
      </c>
      <c r="J329">
        <v>1.1399999999999999</v>
      </c>
      <c r="K329">
        <v>1.1499999999999999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1.19</v>
      </c>
      <c r="F330">
        <v>1.19</v>
      </c>
      <c r="G330">
        <v>0.01</v>
      </c>
      <c r="H330">
        <v>1.18</v>
      </c>
      <c r="I330">
        <v>1.21</v>
      </c>
      <c r="J330">
        <v>1.19</v>
      </c>
      <c r="K330">
        <v>1.2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1.18</v>
      </c>
      <c r="F331">
        <v>1.17</v>
      </c>
      <c r="G331">
        <v>0.04</v>
      </c>
      <c r="H331">
        <v>1.1299999999999999</v>
      </c>
      <c r="I331">
        <v>1.22</v>
      </c>
      <c r="J331">
        <v>1.1499999999999999</v>
      </c>
      <c r="K331">
        <v>1.21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1.1499999999999999</v>
      </c>
      <c r="F332">
        <v>1.1399999999999999</v>
      </c>
      <c r="G332">
        <v>7.0000000000000007E-2</v>
      </c>
      <c r="H332">
        <v>1.08</v>
      </c>
      <c r="I332">
        <v>1.28</v>
      </c>
      <c r="J332">
        <v>1.1000000000000001</v>
      </c>
      <c r="K332">
        <v>1.1599999999999999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1.0900000000000001</v>
      </c>
      <c r="F335">
        <v>1.1000000000000001</v>
      </c>
      <c r="G335">
        <v>0.01</v>
      </c>
      <c r="H335">
        <v>1.07</v>
      </c>
      <c r="I335">
        <v>1.1000000000000001</v>
      </c>
      <c r="J335">
        <v>1.08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1.1299999999999999</v>
      </c>
      <c r="F336">
        <v>1.1399999999999999</v>
      </c>
      <c r="G336">
        <v>0.03</v>
      </c>
      <c r="H336">
        <v>1.08</v>
      </c>
      <c r="I336">
        <v>1.1599999999999999</v>
      </c>
      <c r="J336">
        <v>1.1299999999999999</v>
      </c>
      <c r="K336">
        <v>1.1499999999999999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1.19</v>
      </c>
      <c r="F337">
        <v>1.19</v>
      </c>
      <c r="G337">
        <v>0.03</v>
      </c>
      <c r="H337">
        <v>1.1399999999999999</v>
      </c>
      <c r="I337">
        <v>1.22</v>
      </c>
      <c r="J337">
        <v>1.18</v>
      </c>
      <c r="K337">
        <v>1.2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1.24</v>
      </c>
      <c r="F338">
        <v>1.24</v>
      </c>
      <c r="G338">
        <v>0.03</v>
      </c>
      <c r="H338">
        <v>1.19</v>
      </c>
      <c r="I338">
        <v>1.27</v>
      </c>
      <c r="J338">
        <v>1.23</v>
      </c>
      <c r="K338">
        <v>1.26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1.29</v>
      </c>
      <c r="F339">
        <v>1.3</v>
      </c>
      <c r="G339">
        <v>0.03</v>
      </c>
      <c r="H339">
        <v>1.25</v>
      </c>
      <c r="I339">
        <v>1.33</v>
      </c>
      <c r="J339">
        <v>1.27</v>
      </c>
      <c r="K339">
        <v>1.32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1.05</v>
      </c>
      <c r="F341">
        <v>1.05</v>
      </c>
      <c r="G341">
        <v>0.06</v>
      </c>
      <c r="H341">
        <v>0.99</v>
      </c>
      <c r="I341">
        <v>1.21</v>
      </c>
      <c r="J341">
        <v>1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1.1399999999999999</v>
      </c>
      <c r="F342">
        <v>1.1000000000000001</v>
      </c>
      <c r="G342">
        <v>0.11</v>
      </c>
      <c r="H342">
        <v>1.03</v>
      </c>
      <c r="I342">
        <v>1.43</v>
      </c>
      <c r="J342">
        <v>1.07</v>
      </c>
      <c r="K342">
        <v>1.18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1.35</v>
      </c>
      <c r="F343">
        <v>1.23</v>
      </c>
      <c r="G343">
        <v>0.28000000000000003</v>
      </c>
      <c r="H343">
        <v>1.05</v>
      </c>
      <c r="I343">
        <v>1.8</v>
      </c>
      <c r="J343">
        <v>1.1299999999999999</v>
      </c>
      <c r="K343">
        <v>1.64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1.72</v>
      </c>
      <c r="F344">
        <v>1.46</v>
      </c>
      <c r="G344">
        <v>0.66</v>
      </c>
      <c r="H344">
        <v>1.05</v>
      </c>
      <c r="I344">
        <v>2.86</v>
      </c>
      <c r="J344">
        <v>1.1299999999999999</v>
      </c>
      <c r="K344">
        <v>2.31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2.02</v>
      </c>
      <c r="F345">
        <v>1.7</v>
      </c>
      <c r="G345">
        <v>0.97</v>
      </c>
      <c r="H345">
        <v>1.03</v>
      </c>
      <c r="I345">
        <v>3.6</v>
      </c>
      <c r="J345">
        <v>1.1499999999999999</v>
      </c>
      <c r="K345">
        <v>2.95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2.2999999999999998</v>
      </c>
      <c r="F346">
        <v>1.93</v>
      </c>
      <c r="G346">
        <v>1.26</v>
      </c>
      <c r="H346">
        <v>1.03</v>
      </c>
      <c r="I346">
        <v>4.26</v>
      </c>
      <c r="J346">
        <v>1.1100000000000001</v>
      </c>
      <c r="K346">
        <v>3.58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9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9</v>
      </c>
      <c r="E348">
        <v>1.1100000000000001</v>
      </c>
      <c r="F348">
        <v>1.21</v>
      </c>
      <c r="G348">
        <v>0.11</v>
      </c>
      <c r="H348">
        <v>0.98</v>
      </c>
      <c r="I348">
        <v>1.21</v>
      </c>
      <c r="J348">
        <v>1</v>
      </c>
      <c r="K348">
        <v>1.21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9</v>
      </c>
      <c r="E349">
        <v>1.1299999999999999</v>
      </c>
      <c r="F349">
        <v>1.21</v>
      </c>
      <c r="G349">
        <v>0.1</v>
      </c>
      <c r="H349">
        <v>0.99</v>
      </c>
      <c r="I349">
        <v>1.21</v>
      </c>
      <c r="J349">
        <v>1.03</v>
      </c>
      <c r="K349">
        <v>1.21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9</v>
      </c>
      <c r="E350">
        <v>1.1200000000000001</v>
      </c>
      <c r="F350">
        <v>1.08</v>
      </c>
      <c r="G350">
        <v>0.16</v>
      </c>
      <c r="H350">
        <v>1</v>
      </c>
      <c r="I350">
        <v>1.5</v>
      </c>
      <c r="J350">
        <v>1.02</v>
      </c>
      <c r="K350">
        <v>1.1499999999999999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9</v>
      </c>
      <c r="E351">
        <v>1.31</v>
      </c>
      <c r="F351">
        <v>1.2</v>
      </c>
      <c r="G351">
        <v>0.3</v>
      </c>
      <c r="H351">
        <v>1.02</v>
      </c>
      <c r="I351">
        <v>1.97</v>
      </c>
      <c r="J351">
        <v>1.1100000000000001</v>
      </c>
      <c r="K351">
        <v>1.45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9</v>
      </c>
      <c r="E352">
        <v>1.8</v>
      </c>
      <c r="F352">
        <v>1.75</v>
      </c>
      <c r="G352">
        <v>0.46</v>
      </c>
      <c r="H352">
        <v>1.27</v>
      </c>
      <c r="I352">
        <v>2.81</v>
      </c>
      <c r="J352">
        <v>1.51</v>
      </c>
      <c r="K352">
        <v>1.97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9</v>
      </c>
      <c r="E353">
        <v>2.25</v>
      </c>
      <c r="F353">
        <v>2.27</v>
      </c>
      <c r="G353">
        <v>0.55000000000000004</v>
      </c>
      <c r="H353">
        <v>1.6</v>
      </c>
      <c r="I353">
        <v>3.49</v>
      </c>
      <c r="J353">
        <v>1.92</v>
      </c>
      <c r="K353">
        <v>2.41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7</v>
      </c>
      <c r="E355">
        <v>1.05</v>
      </c>
      <c r="F355">
        <v>1.05</v>
      </c>
      <c r="G355">
        <v>0.1</v>
      </c>
      <c r="H355">
        <v>0.94</v>
      </c>
      <c r="I355">
        <v>1.21</v>
      </c>
      <c r="J355">
        <v>0.99</v>
      </c>
      <c r="K355">
        <v>1.0900000000000001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7</v>
      </c>
      <c r="E356">
        <v>1.06</v>
      </c>
      <c r="F356">
        <v>1.08</v>
      </c>
      <c r="G356">
        <v>0.08</v>
      </c>
      <c r="H356">
        <v>0.97</v>
      </c>
      <c r="I356">
        <v>1.21</v>
      </c>
      <c r="J356">
        <v>0.99</v>
      </c>
      <c r="K356">
        <v>1.08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7</v>
      </c>
      <c r="E357">
        <v>1.1000000000000001</v>
      </c>
      <c r="F357">
        <v>1.06</v>
      </c>
      <c r="G357">
        <v>0.09</v>
      </c>
      <c r="H357">
        <v>1.03</v>
      </c>
      <c r="I357">
        <v>1.26</v>
      </c>
      <c r="J357">
        <v>1.04</v>
      </c>
      <c r="K357">
        <v>1.1499999999999999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7</v>
      </c>
      <c r="E358">
        <v>1.07</v>
      </c>
      <c r="F358">
        <v>1.04</v>
      </c>
      <c r="G358">
        <v>0.12</v>
      </c>
      <c r="H358">
        <v>0.95</v>
      </c>
      <c r="I358">
        <v>1.32</v>
      </c>
      <c r="J358">
        <v>1.03</v>
      </c>
      <c r="K358">
        <v>1.07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7</v>
      </c>
      <c r="E359">
        <v>1.08</v>
      </c>
      <c r="F359">
        <v>1.07</v>
      </c>
      <c r="G359">
        <v>0.09</v>
      </c>
      <c r="H359">
        <v>0.98</v>
      </c>
      <c r="I359">
        <v>1.26</v>
      </c>
      <c r="J359">
        <v>1.04</v>
      </c>
      <c r="K359">
        <v>1.07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7</v>
      </c>
      <c r="E360">
        <v>1.1399999999999999</v>
      </c>
      <c r="F360">
        <v>1.2</v>
      </c>
      <c r="G360">
        <v>0.1</v>
      </c>
      <c r="H360">
        <v>1.03</v>
      </c>
      <c r="I360">
        <v>1.23</v>
      </c>
      <c r="J360">
        <v>1.04</v>
      </c>
      <c r="K360">
        <v>1.23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4" x14ac:dyDescent="0.45">
      <c r="A10" t="str">
        <f>IFERROR(Veda!D5,"ts_12t")</f>
        <v>ts_annual</v>
      </c>
      <c r="B10" s="15"/>
      <c r="C10" s="15" t="s">
        <v>180</v>
      </c>
      <c r="D10" t="s">
        <v>132</v>
      </c>
    </row>
    <row r="11" spans="1:4" x14ac:dyDescent="0.45">
      <c r="B11" s="15"/>
      <c r="C11" s="15" t="s">
        <v>155</v>
      </c>
      <c r="D11" t="s">
        <v>181</v>
      </c>
    </row>
    <row r="12" spans="1:4" x14ac:dyDescent="0.45">
      <c r="B12" s="15"/>
      <c r="C12" s="15" t="s">
        <v>158</v>
      </c>
      <c r="D12" t="s">
        <v>182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83570-93D0-4B6A-8ED9-C53611A01364}">
  <dimension ref="A9:G11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</row>
    <row r="11" spans="1:7" x14ac:dyDescent="0.45">
      <c r="A11" t="str">
        <f>IFERROR(IF(Veda!D5=A10,"ok","x"),"")</f>
        <v>ok</v>
      </c>
      <c r="C11" t="s">
        <v>151</v>
      </c>
      <c r="D11" t="s">
        <v>152</v>
      </c>
      <c r="E11" t="s">
        <v>153</v>
      </c>
      <c r="F11" t="s">
        <v>151</v>
      </c>
      <c r="G11" t="s">
        <v>152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B4206-C99A-4931-A373-42B4846377F7}">
  <dimension ref="A9:AN12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162</v>
      </c>
      <c r="L10" t="s">
        <v>30</v>
      </c>
      <c r="N10" t="s">
        <v>13</v>
      </c>
      <c r="O10" t="s">
        <v>122</v>
      </c>
      <c r="P10" t="s">
        <v>162</v>
      </c>
      <c r="Q10" t="s">
        <v>30</v>
      </c>
      <c r="S10" t="s">
        <v>13</v>
      </c>
      <c r="T10" t="s">
        <v>122</v>
      </c>
      <c r="U10" t="s">
        <v>162</v>
      </c>
      <c r="V10" t="s">
        <v>30</v>
      </c>
      <c r="X10" t="s">
        <v>179</v>
      </c>
      <c r="Y10" t="s">
        <v>162</v>
      </c>
      <c r="Z10" t="s">
        <v>122</v>
      </c>
      <c r="AA10" t="s">
        <v>13</v>
      </c>
      <c r="AC10" t="s">
        <v>13</v>
      </c>
      <c r="AD10" t="s">
        <v>122</v>
      </c>
      <c r="AE10" t="s">
        <v>162</v>
      </c>
      <c r="AG10" t="s">
        <v>13</v>
      </c>
      <c r="AH10" t="s">
        <v>122</v>
      </c>
      <c r="AI10" t="s">
        <v>183</v>
      </c>
      <c r="AK10" t="s">
        <v>47</v>
      </c>
      <c r="AL10" t="s">
        <v>122</v>
      </c>
      <c r="AM10" t="s">
        <v>184</v>
      </c>
      <c r="AN10" t="s">
        <v>185</v>
      </c>
    </row>
    <row r="11" spans="1:40" x14ac:dyDescent="0.45">
      <c r="A11" t="str">
        <f>IFERROR(IF(Veda!D5=A10,"ok","x"),"")</f>
        <v>x</v>
      </c>
      <c r="C11" t="s">
        <v>154</v>
      </c>
      <c r="D11" t="s">
        <v>152</v>
      </c>
      <c r="E11" t="s">
        <v>155</v>
      </c>
      <c r="F11" t="s">
        <v>156</v>
      </c>
      <c r="G11" t="s">
        <v>152</v>
      </c>
      <c r="I11" t="s">
        <v>163</v>
      </c>
      <c r="J11" t="s">
        <v>164</v>
      </c>
      <c r="K11">
        <v>0.19920951000000001</v>
      </c>
      <c r="L11" t="s">
        <v>165</v>
      </c>
      <c r="N11" t="s">
        <v>177</v>
      </c>
      <c r="O11" t="s">
        <v>164</v>
      </c>
      <c r="P11">
        <v>0.200657</v>
      </c>
      <c r="Q11" t="s">
        <v>165</v>
      </c>
      <c r="S11" t="s">
        <v>178</v>
      </c>
      <c r="T11" t="s">
        <v>164</v>
      </c>
      <c r="U11">
        <v>0.200657</v>
      </c>
      <c r="V11" t="s">
        <v>165</v>
      </c>
      <c r="X11">
        <v>0.11426940639269406</v>
      </c>
      <c r="Y11">
        <v>0.16087081189037786</v>
      </c>
      <c r="Z11" t="s">
        <v>164</v>
      </c>
      <c r="AA11" t="s">
        <v>25</v>
      </c>
      <c r="AC11" t="s">
        <v>22</v>
      </c>
      <c r="AD11" t="s">
        <v>164</v>
      </c>
      <c r="AE11">
        <v>0.10030944466357393</v>
      </c>
      <c r="AG11" t="s">
        <v>97</v>
      </c>
      <c r="AH11" t="s">
        <v>164</v>
      </c>
      <c r="AI11">
        <v>0.25656967857718604</v>
      </c>
      <c r="AK11">
        <v>2020</v>
      </c>
      <c r="AL11" t="s">
        <v>154</v>
      </c>
      <c r="AM11">
        <v>0.49042260735809107</v>
      </c>
      <c r="AN11" t="s">
        <v>186</v>
      </c>
    </row>
    <row r="12" spans="1:40" x14ac:dyDescent="0.45">
      <c r="C12" t="s">
        <v>157</v>
      </c>
      <c r="E12" t="s">
        <v>158</v>
      </c>
      <c r="G12" t="s">
        <v>152</v>
      </c>
      <c r="I12" t="s">
        <v>163</v>
      </c>
      <c r="J12" t="s">
        <v>166</v>
      </c>
      <c r="K12">
        <v>0</v>
      </c>
      <c r="L12" t="s">
        <v>165</v>
      </c>
      <c r="N12" t="s">
        <v>177</v>
      </c>
      <c r="O12" t="s">
        <v>166</v>
      </c>
      <c r="P12">
        <v>0.117669</v>
      </c>
      <c r="Q12" t="s">
        <v>165</v>
      </c>
      <c r="S12" t="s">
        <v>178</v>
      </c>
      <c r="T12" t="s">
        <v>166</v>
      </c>
      <c r="U12">
        <v>0.117669</v>
      </c>
      <c r="V12" t="s">
        <v>165</v>
      </c>
      <c r="X12">
        <v>0.11426940639269406</v>
      </c>
      <c r="Y12">
        <v>5.2547713165767528E-2</v>
      </c>
      <c r="Z12" t="s">
        <v>166</v>
      </c>
      <c r="AA12" t="s">
        <v>25</v>
      </c>
      <c r="AC12" t="s">
        <v>22</v>
      </c>
      <c r="AD12" t="s">
        <v>166</v>
      </c>
      <c r="AE12">
        <v>0.11295486563312698</v>
      </c>
      <c r="AG12" t="s">
        <v>97</v>
      </c>
      <c r="AH12" t="s">
        <v>166</v>
      </c>
      <c r="AI12">
        <v>0.10503115550536624</v>
      </c>
      <c r="AK12">
        <v>2020</v>
      </c>
      <c r="AL12" t="s">
        <v>157</v>
      </c>
      <c r="AM12">
        <v>0.51621819766981047</v>
      </c>
      <c r="AN12" t="s">
        <v>186</v>
      </c>
    </row>
    <row r="13" spans="1:40" x14ac:dyDescent="0.45">
      <c r="C13" t="s">
        <v>159</v>
      </c>
      <c r="E13" t="s">
        <v>160</v>
      </c>
      <c r="G13" t="s">
        <v>152</v>
      </c>
      <c r="I13" t="s">
        <v>163</v>
      </c>
      <c r="J13" t="s">
        <v>167</v>
      </c>
      <c r="K13">
        <v>1.029101E-2</v>
      </c>
      <c r="L13" t="s">
        <v>165</v>
      </c>
      <c r="N13" t="s">
        <v>177</v>
      </c>
      <c r="O13" t="s">
        <v>167</v>
      </c>
      <c r="P13">
        <v>2.4916999999999998E-2</v>
      </c>
      <c r="Q13" t="s">
        <v>165</v>
      </c>
      <c r="S13" t="s">
        <v>178</v>
      </c>
      <c r="T13" t="s">
        <v>167</v>
      </c>
      <c r="U13">
        <v>2.4916999999999998E-2</v>
      </c>
      <c r="V13" t="s">
        <v>165</v>
      </c>
      <c r="X13">
        <v>2.0776255707762557E-2</v>
      </c>
      <c r="Y13">
        <v>3.5896543437005365E-2</v>
      </c>
      <c r="Z13" t="s">
        <v>167</v>
      </c>
      <c r="AA13" t="s">
        <v>25</v>
      </c>
      <c r="AC13" t="s">
        <v>22</v>
      </c>
      <c r="AD13" t="s">
        <v>167</v>
      </c>
      <c r="AE13">
        <v>2.1265880778781391E-2</v>
      </c>
      <c r="AG13" t="s">
        <v>97</v>
      </c>
      <c r="AH13" t="s">
        <v>167</v>
      </c>
      <c r="AI13">
        <v>8.0686853304429595E-2</v>
      </c>
      <c r="AK13">
        <v>2020</v>
      </c>
      <c r="AL13" t="s">
        <v>159</v>
      </c>
      <c r="AM13">
        <v>0.49614313727216941</v>
      </c>
      <c r="AN13" t="s">
        <v>186</v>
      </c>
    </row>
    <row r="14" spans="1:40" x14ac:dyDescent="0.45">
      <c r="C14" t="s">
        <v>161</v>
      </c>
      <c r="I14" t="s">
        <v>163</v>
      </c>
      <c r="J14" t="s">
        <v>168</v>
      </c>
      <c r="K14">
        <v>0.26490973000000001</v>
      </c>
      <c r="L14" t="s">
        <v>165</v>
      </c>
      <c r="N14" t="s">
        <v>177</v>
      </c>
      <c r="O14" t="s">
        <v>168</v>
      </c>
      <c r="P14">
        <v>0.19239400000000001</v>
      </c>
      <c r="Q14" t="s">
        <v>165</v>
      </c>
      <c r="S14" t="s">
        <v>178</v>
      </c>
      <c r="T14" t="s">
        <v>168</v>
      </c>
      <c r="U14">
        <v>0.19239400000000001</v>
      </c>
      <c r="V14" t="s">
        <v>165</v>
      </c>
      <c r="X14">
        <v>0.11552511415525114</v>
      </c>
      <c r="Y14">
        <v>0.16263862301005233</v>
      </c>
      <c r="Z14" t="s">
        <v>168</v>
      </c>
      <c r="AA14" t="s">
        <v>25</v>
      </c>
      <c r="AC14" t="s">
        <v>22</v>
      </c>
      <c r="AD14" t="s">
        <v>168</v>
      </c>
      <c r="AE14">
        <v>0.10784430711013002</v>
      </c>
      <c r="AG14" t="s">
        <v>97</v>
      </c>
      <c r="AH14" t="s">
        <v>168</v>
      </c>
      <c r="AI14">
        <v>0.22019254395507759</v>
      </c>
      <c r="AK14">
        <v>2020</v>
      </c>
      <c r="AL14" t="s">
        <v>161</v>
      </c>
      <c r="AM14">
        <v>0.63794264990038052</v>
      </c>
      <c r="AN14" t="s">
        <v>186</v>
      </c>
    </row>
    <row r="15" spans="1:40" x14ac:dyDescent="0.45">
      <c r="I15" t="s">
        <v>163</v>
      </c>
      <c r="J15" t="s">
        <v>169</v>
      </c>
      <c r="K15">
        <v>3.8156499999999999E-3</v>
      </c>
      <c r="L15" t="s">
        <v>165</v>
      </c>
      <c r="N15" t="s">
        <v>177</v>
      </c>
      <c r="O15" t="s">
        <v>169</v>
      </c>
      <c r="P15">
        <v>8.1670999999999994E-2</v>
      </c>
      <c r="Q15" t="s">
        <v>165</v>
      </c>
      <c r="S15" t="s">
        <v>178</v>
      </c>
      <c r="T15" t="s">
        <v>169</v>
      </c>
      <c r="U15">
        <v>8.1670999999999994E-2</v>
      </c>
      <c r="V15" t="s">
        <v>165</v>
      </c>
      <c r="X15">
        <v>0.11552511415525114</v>
      </c>
      <c r="Y15">
        <v>5.3125160563193538E-2</v>
      </c>
      <c r="Z15" t="s">
        <v>169</v>
      </c>
      <c r="AA15" t="s">
        <v>25</v>
      </c>
      <c r="AC15" t="s">
        <v>22</v>
      </c>
      <c r="AD15" t="s">
        <v>169</v>
      </c>
      <c r="AE15">
        <v>0.11787285981505899</v>
      </c>
      <c r="AG15" t="s">
        <v>97</v>
      </c>
      <c r="AH15" t="s">
        <v>169</v>
      </c>
      <c r="AI15">
        <v>0.21411832676373521</v>
      </c>
      <c r="AK15">
        <v>2021</v>
      </c>
      <c r="AL15" t="s">
        <v>154</v>
      </c>
      <c r="AM15">
        <v>0.46089200763955601</v>
      </c>
      <c r="AN15" t="s">
        <v>186</v>
      </c>
    </row>
    <row r="16" spans="1:40" x14ac:dyDescent="0.45">
      <c r="I16" t="s">
        <v>163</v>
      </c>
      <c r="J16" t="s">
        <v>170</v>
      </c>
      <c r="K16">
        <v>3.300732E-2</v>
      </c>
      <c r="L16" t="s">
        <v>165</v>
      </c>
      <c r="N16" t="s">
        <v>177</v>
      </c>
      <c r="O16" t="s">
        <v>170</v>
      </c>
      <c r="P16">
        <v>3.7407000000000003E-2</v>
      </c>
      <c r="Q16" t="s">
        <v>165</v>
      </c>
      <c r="S16" t="s">
        <v>178</v>
      </c>
      <c r="T16" t="s">
        <v>170</v>
      </c>
      <c r="U16">
        <v>3.7407000000000003E-2</v>
      </c>
      <c r="V16" t="s">
        <v>165</v>
      </c>
      <c r="X16">
        <v>2.1004566210045664E-2</v>
      </c>
      <c r="Y16">
        <v>3.6291010947302131E-2</v>
      </c>
      <c r="Z16" t="s">
        <v>170</v>
      </c>
      <c r="AA16" t="s">
        <v>25</v>
      </c>
      <c r="AC16" t="s">
        <v>22</v>
      </c>
      <c r="AD16" t="s">
        <v>170</v>
      </c>
      <c r="AE16">
        <v>2.1968507336232016E-2</v>
      </c>
      <c r="AG16" t="s">
        <v>97</v>
      </c>
      <c r="AH16" t="s">
        <v>170</v>
      </c>
      <c r="AI16">
        <v>8.4335810073230544E-2</v>
      </c>
      <c r="AK16">
        <v>2021</v>
      </c>
      <c r="AL16" t="s">
        <v>157</v>
      </c>
      <c r="AM16">
        <v>0.51455496214581797</v>
      </c>
      <c r="AN16" t="s">
        <v>186</v>
      </c>
    </row>
    <row r="17" spans="9:40" x14ac:dyDescent="0.45">
      <c r="I17" t="s">
        <v>163</v>
      </c>
      <c r="J17" t="s">
        <v>171</v>
      </c>
      <c r="K17">
        <v>0.26352609999999999</v>
      </c>
      <c r="L17" t="s">
        <v>165</v>
      </c>
      <c r="N17" t="s">
        <v>177</v>
      </c>
      <c r="O17" t="s">
        <v>171</v>
      </c>
      <c r="P17">
        <v>6.9731000000000001E-2</v>
      </c>
      <c r="Q17" t="s">
        <v>165</v>
      </c>
      <c r="S17" t="s">
        <v>178</v>
      </c>
      <c r="T17" t="s">
        <v>171</v>
      </c>
      <c r="U17">
        <v>6.9731000000000001E-2</v>
      </c>
      <c r="V17" t="s">
        <v>165</v>
      </c>
      <c r="X17">
        <v>0.11552511415525114</v>
      </c>
      <c r="Y17">
        <v>0.16263862301005233</v>
      </c>
      <c r="Z17" t="s">
        <v>171</v>
      </c>
      <c r="AA17" t="s">
        <v>25</v>
      </c>
      <c r="AC17" t="s">
        <v>22</v>
      </c>
      <c r="AD17" t="s">
        <v>171</v>
      </c>
      <c r="AE17">
        <v>9.4385747789951943E-2</v>
      </c>
      <c r="AG17" t="s">
        <v>97</v>
      </c>
      <c r="AH17" t="s">
        <v>171</v>
      </c>
      <c r="AI17">
        <v>0.29195838694717335</v>
      </c>
      <c r="AK17">
        <v>2021</v>
      </c>
      <c r="AL17" t="s">
        <v>159</v>
      </c>
      <c r="AM17">
        <v>0.46784501503405512</v>
      </c>
      <c r="AN17" t="s">
        <v>186</v>
      </c>
    </row>
    <row r="18" spans="9:40" x14ac:dyDescent="0.45">
      <c r="I18" t="s">
        <v>163</v>
      </c>
      <c r="J18" t="s">
        <v>172</v>
      </c>
      <c r="K18">
        <v>1.041858E-2</v>
      </c>
      <c r="L18" t="s">
        <v>165</v>
      </c>
      <c r="N18" t="s">
        <v>177</v>
      </c>
      <c r="O18" t="s">
        <v>172</v>
      </c>
      <c r="P18">
        <v>2.2343000000000002E-2</v>
      </c>
      <c r="Q18" t="s">
        <v>165</v>
      </c>
      <c r="S18" t="s">
        <v>178</v>
      </c>
      <c r="T18" t="s">
        <v>172</v>
      </c>
      <c r="U18">
        <v>2.2343000000000002E-2</v>
      </c>
      <c r="V18" t="s">
        <v>165</v>
      </c>
      <c r="X18">
        <v>0.11552511415525114</v>
      </c>
      <c r="Y18">
        <v>5.3125160563193538E-2</v>
      </c>
      <c r="Z18" t="s">
        <v>172</v>
      </c>
      <c r="AA18" t="s">
        <v>25</v>
      </c>
      <c r="AC18" t="s">
        <v>22</v>
      </c>
      <c r="AD18" t="s">
        <v>172</v>
      </c>
      <c r="AE18">
        <v>0.11440847065254503</v>
      </c>
      <c r="AG18" t="s">
        <v>97</v>
      </c>
      <c r="AH18" t="s">
        <v>172</v>
      </c>
      <c r="AI18">
        <v>0.14638340080931589</v>
      </c>
      <c r="AK18">
        <v>2021</v>
      </c>
      <c r="AL18" t="s">
        <v>161</v>
      </c>
      <c r="AM18">
        <v>0.635020503846914</v>
      </c>
      <c r="AN18" t="s">
        <v>186</v>
      </c>
    </row>
    <row r="19" spans="9:40" x14ac:dyDescent="0.45">
      <c r="I19" t="s">
        <v>163</v>
      </c>
      <c r="J19" t="s">
        <v>173</v>
      </c>
      <c r="K19">
        <v>3.9512899999999997E-2</v>
      </c>
      <c r="L19" t="s">
        <v>165</v>
      </c>
      <c r="N19" t="s">
        <v>177</v>
      </c>
      <c r="O19" t="s">
        <v>173</v>
      </c>
      <c r="P19">
        <v>1.2697999999999999E-2</v>
      </c>
      <c r="Q19" t="s">
        <v>165</v>
      </c>
      <c r="S19" t="s">
        <v>178</v>
      </c>
      <c r="T19" t="s">
        <v>173</v>
      </c>
      <c r="U19">
        <v>1.2697999999999999E-2</v>
      </c>
      <c r="V19" t="s">
        <v>165</v>
      </c>
      <c r="X19">
        <v>2.1004566210045664E-2</v>
      </c>
      <c r="Y19">
        <v>3.6291010947302131E-2</v>
      </c>
      <c r="Z19" t="s">
        <v>173</v>
      </c>
      <c r="AA19" t="s">
        <v>25</v>
      </c>
      <c r="AC19" t="s">
        <v>22</v>
      </c>
      <c r="AD19" t="s">
        <v>173</v>
      </c>
      <c r="AE19">
        <v>2.2226989298843567E-2</v>
      </c>
      <c r="AG19" t="s">
        <v>97</v>
      </c>
      <c r="AH19" t="s">
        <v>173</v>
      </c>
      <c r="AI19">
        <v>9.6986347987696009E-2</v>
      </c>
      <c r="AK19">
        <v>2022</v>
      </c>
      <c r="AL19" t="s">
        <v>154</v>
      </c>
      <c r="AM19">
        <v>0.49169860750974426</v>
      </c>
      <c r="AN19" t="s">
        <v>186</v>
      </c>
    </row>
    <row r="20" spans="9:40" x14ac:dyDescent="0.45">
      <c r="I20" t="s">
        <v>163</v>
      </c>
      <c r="J20" t="s">
        <v>174</v>
      </c>
      <c r="K20">
        <v>0.17145305</v>
      </c>
      <c r="L20" t="s">
        <v>165</v>
      </c>
      <c r="N20" t="s">
        <v>177</v>
      </c>
      <c r="O20" t="s">
        <v>174</v>
      </c>
      <c r="P20">
        <v>0.138825</v>
      </c>
      <c r="Q20" t="s">
        <v>165</v>
      </c>
      <c r="S20" t="s">
        <v>178</v>
      </c>
      <c r="T20" t="s">
        <v>174</v>
      </c>
      <c r="U20">
        <v>0.138825</v>
      </c>
      <c r="V20" t="s">
        <v>165</v>
      </c>
      <c r="X20">
        <v>0.11301369863013698</v>
      </c>
      <c r="Y20">
        <v>0.15910300077070333</v>
      </c>
      <c r="Z20" t="s">
        <v>174</v>
      </c>
      <c r="AA20" t="s">
        <v>25</v>
      </c>
      <c r="AC20" t="s">
        <v>22</v>
      </c>
      <c r="AD20" t="s">
        <v>174</v>
      </c>
      <c r="AE20">
        <v>0.12510577796748265</v>
      </c>
      <c r="AG20" t="s">
        <v>97</v>
      </c>
      <c r="AH20" t="s">
        <v>174</v>
      </c>
      <c r="AI20">
        <v>0.19092644554537874</v>
      </c>
      <c r="AK20">
        <v>2022</v>
      </c>
      <c r="AL20" t="s">
        <v>157</v>
      </c>
      <c r="AM20">
        <v>0.52308911728258822</v>
      </c>
      <c r="AN20" t="s">
        <v>186</v>
      </c>
    </row>
    <row r="21" spans="9:40" x14ac:dyDescent="0.45">
      <c r="I21" t="s">
        <v>163</v>
      </c>
      <c r="J21" t="s">
        <v>175</v>
      </c>
      <c r="K21">
        <v>0</v>
      </c>
      <c r="L21" t="s">
        <v>165</v>
      </c>
      <c r="N21" t="s">
        <v>177</v>
      </c>
      <c r="O21" t="s">
        <v>175</v>
      </c>
      <c r="P21">
        <v>8.0945000000000003E-2</v>
      </c>
      <c r="Q21" t="s">
        <v>165</v>
      </c>
      <c r="S21" t="s">
        <v>178</v>
      </c>
      <c r="T21" t="s">
        <v>175</v>
      </c>
      <c r="U21">
        <v>8.0945000000000003E-2</v>
      </c>
      <c r="V21" t="s">
        <v>165</v>
      </c>
      <c r="X21">
        <v>0.11301369863013698</v>
      </c>
      <c r="Y21">
        <v>5.197026576834151E-2</v>
      </c>
      <c r="Z21" t="s">
        <v>175</v>
      </c>
      <c r="AA21" t="s">
        <v>25</v>
      </c>
      <c r="AC21" t="s">
        <v>22</v>
      </c>
      <c r="AD21" t="s">
        <v>175</v>
      </c>
      <c r="AE21">
        <v>0.13685059747371653</v>
      </c>
      <c r="AG21" t="s">
        <v>97</v>
      </c>
      <c r="AH21" t="s">
        <v>175</v>
      </c>
      <c r="AI21">
        <v>0.11646776947628701</v>
      </c>
      <c r="AK21">
        <v>2022</v>
      </c>
      <c r="AL21" t="s">
        <v>159</v>
      </c>
      <c r="AM21">
        <v>0.50482952430981742</v>
      </c>
      <c r="AN21" t="s">
        <v>186</v>
      </c>
    </row>
    <row r="22" spans="9:40" x14ac:dyDescent="0.45">
      <c r="I22" t="s">
        <v>163</v>
      </c>
      <c r="J22" t="s">
        <v>176</v>
      </c>
      <c r="K22">
        <v>3.8563099999999999E-3</v>
      </c>
      <c r="L22" t="s">
        <v>165</v>
      </c>
      <c r="N22" t="s">
        <v>177</v>
      </c>
      <c r="O22" t="s">
        <v>176</v>
      </c>
      <c r="P22">
        <v>1.7953E-2</v>
      </c>
      <c r="Q22" t="s">
        <v>165</v>
      </c>
      <c r="S22" t="s">
        <v>178</v>
      </c>
      <c r="T22" t="s">
        <v>176</v>
      </c>
      <c r="U22">
        <v>1.7953E-2</v>
      </c>
      <c r="V22" t="s">
        <v>165</v>
      </c>
      <c r="X22">
        <v>2.0547945205479451E-2</v>
      </c>
      <c r="Y22">
        <v>3.5502075926708607E-2</v>
      </c>
      <c r="Z22" t="s">
        <v>176</v>
      </c>
      <c r="AA22" t="s">
        <v>25</v>
      </c>
      <c r="AC22" t="s">
        <v>22</v>
      </c>
      <c r="AD22" t="s">
        <v>176</v>
      </c>
      <c r="AE22">
        <v>2.4806551480557E-2</v>
      </c>
      <c r="AG22" t="s">
        <v>97</v>
      </c>
      <c r="AH22" t="s">
        <v>176</v>
      </c>
      <c r="AI22">
        <v>7.3879390364300912E-2</v>
      </c>
      <c r="AK22">
        <v>2022</v>
      </c>
      <c r="AL22" t="s">
        <v>161</v>
      </c>
      <c r="AM22">
        <v>0.63221619104040383</v>
      </c>
      <c r="AN22" t="s">
        <v>186</v>
      </c>
    </row>
    <row r="23" spans="9:40" x14ac:dyDescent="0.45">
      <c r="AC23" t="s">
        <v>19</v>
      </c>
      <c r="AD23" t="s">
        <v>164</v>
      </c>
      <c r="AE23">
        <v>0.11375164646548658</v>
      </c>
      <c r="AK23">
        <v>2025</v>
      </c>
      <c r="AL23" t="s">
        <v>154</v>
      </c>
      <c r="AM23">
        <v>0.5093333333333333</v>
      </c>
      <c r="AN23" t="s">
        <v>186</v>
      </c>
    </row>
    <row r="24" spans="9:40" x14ac:dyDescent="0.45">
      <c r="AC24" t="s">
        <v>19</v>
      </c>
      <c r="AD24" t="s">
        <v>166</v>
      </c>
      <c r="AE24">
        <v>0.11458687222841431</v>
      </c>
      <c r="AK24">
        <v>2025</v>
      </c>
      <c r="AL24" t="s">
        <v>157</v>
      </c>
      <c r="AM24">
        <v>0.54990000000000006</v>
      </c>
      <c r="AN24" t="s">
        <v>186</v>
      </c>
    </row>
    <row r="25" spans="9:40" x14ac:dyDescent="0.45">
      <c r="AC25" t="s">
        <v>19</v>
      </c>
      <c r="AD25" t="s">
        <v>167</v>
      </c>
      <c r="AE25">
        <v>2.0882102696916163E-2</v>
      </c>
      <c r="AK25">
        <v>2025</v>
      </c>
      <c r="AL25" t="s">
        <v>159</v>
      </c>
      <c r="AM25">
        <v>0.49936666666666668</v>
      </c>
      <c r="AN25" t="s">
        <v>186</v>
      </c>
    </row>
    <row r="26" spans="9:40" x14ac:dyDescent="0.45">
      <c r="AC26" t="s">
        <v>19</v>
      </c>
      <c r="AD26" t="s">
        <v>168</v>
      </c>
      <c r="AE26">
        <v>0.11513727255802124</v>
      </c>
      <c r="AK26">
        <v>2025</v>
      </c>
      <c r="AL26" t="s">
        <v>161</v>
      </c>
      <c r="AM26">
        <v>0.67786666666666662</v>
      </c>
      <c r="AN26" t="s">
        <v>186</v>
      </c>
    </row>
    <row r="27" spans="9:40" x14ac:dyDescent="0.45">
      <c r="AC27" t="s">
        <v>19</v>
      </c>
      <c r="AD27" t="s">
        <v>169</v>
      </c>
      <c r="AE27">
        <v>0.1157996550602885</v>
      </c>
      <c r="AK27">
        <v>2026</v>
      </c>
      <c r="AL27" t="s">
        <v>154</v>
      </c>
      <c r="AM27">
        <v>0.50383333333333324</v>
      </c>
      <c r="AN27" t="s">
        <v>186</v>
      </c>
    </row>
    <row r="28" spans="9:40" x14ac:dyDescent="0.45">
      <c r="AC28" t="s">
        <v>19</v>
      </c>
      <c r="AD28" t="s">
        <v>170</v>
      </c>
      <c r="AE28">
        <v>2.108995657626361E-2</v>
      </c>
      <c r="AK28">
        <v>2026</v>
      </c>
      <c r="AL28" t="s">
        <v>157</v>
      </c>
      <c r="AM28">
        <v>0.52036666666666676</v>
      </c>
      <c r="AN28" t="s">
        <v>186</v>
      </c>
    </row>
    <row r="29" spans="9:40" x14ac:dyDescent="0.45">
      <c r="AC29" t="s">
        <v>19</v>
      </c>
      <c r="AD29" t="s">
        <v>171</v>
      </c>
      <c r="AE29">
        <v>0.1147040272419112</v>
      </c>
      <c r="AK29">
        <v>2026</v>
      </c>
      <c r="AL29" t="s">
        <v>159</v>
      </c>
      <c r="AM29">
        <v>0.50070000000000003</v>
      </c>
      <c r="AN29" t="s">
        <v>186</v>
      </c>
    </row>
    <row r="30" spans="9:40" x14ac:dyDescent="0.45">
      <c r="AC30" t="s">
        <v>19</v>
      </c>
      <c r="AD30" t="s">
        <v>172</v>
      </c>
      <c r="AE30">
        <v>0.11602652129086898</v>
      </c>
      <c r="AK30">
        <v>2026</v>
      </c>
      <c r="AL30" t="s">
        <v>161</v>
      </c>
      <c r="AM30">
        <v>0.64026666666666665</v>
      </c>
      <c r="AN30" t="s">
        <v>186</v>
      </c>
    </row>
    <row r="31" spans="9:40" x14ac:dyDescent="0.45">
      <c r="AC31" t="s">
        <v>19</v>
      </c>
      <c r="AD31" t="s">
        <v>173</v>
      </c>
      <c r="AE31">
        <v>2.1189881578320267E-2</v>
      </c>
      <c r="AK31">
        <v>2027</v>
      </c>
      <c r="AL31" t="s">
        <v>154</v>
      </c>
      <c r="AM31">
        <v>0.51259999999999994</v>
      </c>
      <c r="AN31" t="s">
        <v>186</v>
      </c>
    </row>
    <row r="32" spans="9:40" x14ac:dyDescent="0.45">
      <c r="AC32" t="s">
        <v>19</v>
      </c>
      <c r="AD32" t="s">
        <v>174</v>
      </c>
      <c r="AE32">
        <v>0.11271345139832524</v>
      </c>
      <c r="AK32">
        <v>2027</v>
      </c>
      <c r="AL32" t="s">
        <v>157</v>
      </c>
      <c r="AM32">
        <v>0.53810000000000002</v>
      </c>
      <c r="AN32" t="s">
        <v>186</v>
      </c>
    </row>
    <row r="33" spans="29:40" x14ac:dyDescent="0.45">
      <c r="AC33" t="s">
        <v>19</v>
      </c>
      <c r="AD33" t="s">
        <v>175</v>
      </c>
      <c r="AE33">
        <v>0.11348919274028305</v>
      </c>
      <c r="AK33">
        <v>2027</v>
      </c>
      <c r="AL33" t="s">
        <v>159</v>
      </c>
      <c r="AM33">
        <v>0.5111</v>
      </c>
      <c r="AN33" t="s">
        <v>186</v>
      </c>
    </row>
    <row r="34" spans="29:40" x14ac:dyDescent="0.45">
      <c r="AC34" t="s">
        <v>19</v>
      </c>
      <c r="AD34" t="s">
        <v>176</v>
      </c>
      <c r="AE34">
        <v>2.0629420164900894E-2</v>
      </c>
      <c r="AK34">
        <v>2027</v>
      </c>
      <c r="AL34" t="s">
        <v>161</v>
      </c>
      <c r="AM34">
        <v>0.62116666666666664</v>
      </c>
      <c r="AN34" t="s">
        <v>186</v>
      </c>
    </row>
    <row r="35" spans="29:40" x14ac:dyDescent="0.45">
      <c r="AK35">
        <v>2028</v>
      </c>
      <c r="AL35" t="s">
        <v>154</v>
      </c>
      <c r="AM35">
        <v>0.49720000000000003</v>
      </c>
      <c r="AN35" t="s">
        <v>186</v>
      </c>
    </row>
    <row r="36" spans="29:40" x14ac:dyDescent="0.45">
      <c r="AK36">
        <v>2028</v>
      </c>
      <c r="AL36" t="s">
        <v>157</v>
      </c>
      <c r="AM36">
        <v>0.52859999999999996</v>
      </c>
      <c r="AN36" t="s">
        <v>186</v>
      </c>
    </row>
    <row r="37" spans="29:40" x14ac:dyDescent="0.45">
      <c r="AK37">
        <v>2028</v>
      </c>
      <c r="AL37" t="s">
        <v>159</v>
      </c>
      <c r="AM37">
        <v>0.48740000000000006</v>
      </c>
      <c r="AN37" t="s">
        <v>186</v>
      </c>
    </row>
    <row r="38" spans="29:40" x14ac:dyDescent="0.45">
      <c r="AK38">
        <v>2028</v>
      </c>
      <c r="AL38" t="s">
        <v>161</v>
      </c>
      <c r="AM38">
        <v>0.66526666666666667</v>
      </c>
      <c r="AN38" t="s">
        <v>186</v>
      </c>
    </row>
    <row r="39" spans="29:40" x14ac:dyDescent="0.45">
      <c r="AK39">
        <v>2029</v>
      </c>
      <c r="AL39" t="s">
        <v>154</v>
      </c>
      <c r="AM39">
        <v>0.48833333333333329</v>
      </c>
      <c r="AN39" t="s">
        <v>186</v>
      </c>
    </row>
    <row r="40" spans="29:40" x14ac:dyDescent="0.45">
      <c r="AK40">
        <v>2029</v>
      </c>
      <c r="AL40" t="s">
        <v>157</v>
      </c>
      <c r="AM40">
        <v>0.52766666666666673</v>
      </c>
      <c r="AN40" t="s">
        <v>186</v>
      </c>
    </row>
    <row r="41" spans="29:40" x14ac:dyDescent="0.45">
      <c r="AK41">
        <v>2029</v>
      </c>
      <c r="AL41" t="s">
        <v>159</v>
      </c>
      <c r="AM41">
        <v>0.48249999999999998</v>
      </c>
      <c r="AN41" t="s">
        <v>186</v>
      </c>
    </row>
    <row r="42" spans="29:40" x14ac:dyDescent="0.45">
      <c r="AK42">
        <v>2029</v>
      </c>
      <c r="AL42" t="s">
        <v>161</v>
      </c>
      <c r="AM42">
        <v>0.62413333333333332</v>
      </c>
      <c r="AN42" t="s">
        <v>186</v>
      </c>
    </row>
    <row r="43" spans="29:40" x14ac:dyDescent="0.45">
      <c r="AK43">
        <v>2030</v>
      </c>
      <c r="AL43" t="s">
        <v>154</v>
      </c>
      <c r="AM43">
        <v>0.4976666666666667</v>
      </c>
      <c r="AN43" t="s">
        <v>186</v>
      </c>
    </row>
    <row r="44" spans="29:40" x14ac:dyDescent="0.45">
      <c r="AK44">
        <v>2030</v>
      </c>
      <c r="AL44" t="s">
        <v>157</v>
      </c>
      <c r="AM44">
        <v>0.53023333333333333</v>
      </c>
      <c r="AN44" t="s">
        <v>186</v>
      </c>
    </row>
    <row r="45" spans="29:40" x14ac:dyDescent="0.45">
      <c r="AK45">
        <v>2030</v>
      </c>
      <c r="AL45" t="s">
        <v>159</v>
      </c>
      <c r="AM45">
        <v>0.50186666666666668</v>
      </c>
      <c r="AN45" t="s">
        <v>186</v>
      </c>
    </row>
    <row r="46" spans="29:40" x14ac:dyDescent="0.45">
      <c r="AK46">
        <v>2030</v>
      </c>
      <c r="AL46" t="s">
        <v>161</v>
      </c>
      <c r="AM46">
        <v>0.62036666666666662</v>
      </c>
      <c r="AN46" t="s">
        <v>186</v>
      </c>
    </row>
    <row r="47" spans="29:40" x14ac:dyDescent="0.45">
      <c r="AK47">
        <v>2031</v>
      </c>
      <c r="AL47" t="s">
        <v>154</v>
      </c>
      <c r="AM47">
        <v>0.51933333333333331</v>
      </c>
      <c r="AN47" t="s">
        <v>186</v>
      </c>
    </row>
    <row r="48" spans="29:40" x14ac:dyDescent="0.45">
      <c r="AK48">
        <v>2031</v>
      </c>
      <c r="AL48" t="s">
        <v>157</v>
      </c>
      <c r="AM48">
        <v>0.51183333333333325</v>
      </c>
      <c r="AN48" t="s">
        <v>186</v>
      </c>
    </row>
    <row r="49" spans="37:40" x14ac:dyDescent="0.45">
      <c r="AK49">
        <v>2031</v>
      </c>
      <c r="AL49" t="s">
        <v>159</v>
      </c>
      <c r="AM49">
        <v>0.51250000000000007</v>
      </c>
      <c r="AN49" t="s">
        <v>186</v>
      </c>
    </row>
    <row r="50" spans="37:40" x14ac:dyDescent="0.45">
      <c r="AK50">
        <v>2031</v>
      </c>
      <c r="AL50" t="s">
        <v>161</v>
      </c>
      <c r="AM50">
        <v>0.63473333333333337</v>
      </c>
      <c r="AN50" t="s">
        <v>186</v>
      </c>
    </row>
    <row r="51" spans="37:40" x14ac:dyDescent="0.45">
      <c r="AK51">
        <v>2032</v>
      </c>
      <c r="AL51" t="s">
        <v>154</v>
      </c>
      <c r="AM51">
        <v>0.58953333333333335</v>
      </c>
      <c r="AN51" t="s">
        <v>186</v>
      </c>
    </row>
    <row r="52" spans="37:40" x14ac:dyDescent="0.45">
      <c r="AK52">
        <v>2032</v>
      </c>
      <c r="AL52" t="s">
        <v>157</v>
      </c>
      <c r="AM52">
        <v>0.60726666666666673</v>
      </c>
      <c r="AN52" t="s">
        <v>186</v>
      </c>
    </row>
    <row r="53" spans="37:40" x14ac:dyDescent="0.45">
      <c r="AK53">
        <v>2032</v>
      </c>
      <c r="AL53" t="s">
        <v>159</v>
      </c>
      <c r="AM53">
        <v>0.58026666666666671</v>
      </c>
      <c r="AN53" t="s">
        <v>186</v>
      </c>
    </row>
    <row r="54" spans="37:40" x14ac:dyDescent="0.45">
      <c r="AK54">
        <v>2032</v>
      </c>
      <c r="AL54" t="s">
        <v>161</v>
      </c>
      <c r="AM54">
        <v>0.76016666666666666</v>
      </c>
      <c r="AN54" t="s">
        <v>186</v>
      </c>
    </row>
    <row r="55" spans="37:40" x14ac:dyDescent="0.45">
      <c r="AK55">
        <v>2033</v>
      </c>
      <c r="AL55" t="s">
        <v>154</v>
      </c>
      <c r="AM55">
        <v>0.55746666666666667</v>
      </c>
      <c r="AN55" t="s">
        <v>186</v>
      </c>
    </row>
    <row r="56" spans="37:40" x14ac:dyDescent="0.45">
      <c r="AK56">
        <v>2033</v>
      </c>
      <c r="AL56" t="s">
        <v>157</v>
      </c>
      <c r="AM56">
        <v>0.62480000000000002</v>
      </c>
      <c r="AN56" t="s">
        <v>186</v>
      </c>
    </row>
    <row r="57" spans="37:40" x14ac:dyDescent="0.45">
      <c r="AK57">
        <v>2033</v>
      </c>
      <c r="AL57" t="s">
        <v>159</v>
      </c>
      <c r="AM57">
        <v>0.59450000000000003</v>
      </c>
      <c r="AN57" t="s">
        <v>186</v>
      </c>
    </row>
    <row r="58" spans="37:40" x14ac:dyDescent="0.45">
      <c r="AK58">
        <v>2033</v>
      </c>
      <c r="AL58" t="s">
        <v>161</v>
      </c>
      <c r="AM58">
        <v>0.76363333333333339</v>
      </c>
      <c r="AN58" t="s">
        <v>186</v>
      </c>
    </row>
    <row r="59" spans="37:40" x14ac:dyDescent="0.45">
      <c r="AK59">
        <v>2034</v>
      </c>
      <c r="AL59" t="s">
        <v>154</v>
      </c>
      <c r="AM59">
        <v>0.59556666666666669</v>
      </c>
      <c r="AN59" t="s">
        <v>186</v>
      </c>
    </row>
    <row r="60" spans="37:40" x14ac:dyDescent="0.45">
      <c r="AK60">
        <v>2034</v>
      </c>
      <c r="AL60" t="s">
        <v>157</v>
      </c>
      <c r="AM60">
        <v>0.61760000000000004</v>
      </c>
      <c r="AN60" t="s">
        <v>186</v>
      </c>
    </row>
    <row r="61" spans="37:40" x14ac:dyDescent="0.45">
      <c r="AK61">
        <v>2034</v>
      </c>
      <c r="AL61" t="s">
        <v>159</v>
      </c>
      <c r="AM61">
        <v>0.57440000000000013</v>
      </c>
      <c r="AN61" t="s">
        <v>186</v>
      </c>
    </row>
    <row r="62" spans="37:40" x14ac:dyDescent="0.45">
      <c r="AK62">
        <v>2034</v>
      </c>
      <c r="AL62" t="s">
        <v>161</v>
      </c>
      <c r="AM62">
        <v>0.70313333333333328</v>
      </c>
      <c r="AN62" t="s">
        <v>186</v>
      </c>
    </row>
    <row r="63" spans="37:40" x14ac:dyDescent="0.45">
      <c r="AK63">
        <v>2035</v>
      </c>
      <c r="AL63" t="s">
        <v>154</v>
      </c>
      <c r="AM63">
        <v>0.56920000000000004</v>
      </c>
      <c r="AN63" t="s">
        <v>186</v>
      </c>
    </row>
    <row r="64" spans="37:40" x14ac:dyDescent="0.45">
      <c r="AK64">
        <v>2035</v>
      </c>
      <c r="AL64" t="s">
        <v>157</v>
      </c>
      <c r="AM64">
        <v>0.61719999999999997</v>
      </c>
      <c r="AN64" t="s">
        <v>186</v>
      </c>
    </row>
    <row r="65" spans="37:40" x14ac:dyDescent="0.45">
      <c r="AK65">
        <v>2035</v>
      </c>
      <c r="AL65" t="s">
        <v>159</v>
      </c>
      <c r="AM65">
        <v>0.58686666666666676</v>
      </c>
      <c r="AN65" t="s">
        <v>186</v>
      </c>
    </row>
    <row r="66" spans="37:40" x14ac:dyDescent="0.45">
      <c r="AK66">
        <v>2035</v>
      </c>
      <c r="AL66" t="s">
        <v>161</v>
      </c>
      <c r="AM66">
        <v>0.77506666666666657</v>
      </c>
      <c r="AN66" t="s">
        <v>186</v>
      </c>
    </row>
    <row r="67" spans="37:40" x14ac:dyDescent="0.45">
      <c r="AK67">
        <v>2036</v>
      </c>
      <c r="AL67" t="s">
        <v>154</v>
      </c>
      <c r="AM67">
        <v>0.57373333333333332</v>
      </c>
      <c r="AN67" t="s">
        <v>186</v>
      </c>
    </row>
    <row r="68" spans="37:40" x14ac:dyDescent="0.45">
      <c r="AK68">
        <v>2036</v>
      </c>
      <c r="AL68" t="s">
        <v>157</v>
      </c>
      <c r="AM68">
        <v>0.61019999999999996</v>
      </c>
      <c r="AN68" t="s">
        <v>186</v>
      </c>
    </row>
    <row r="69" spans="37:40" x14ac:dyDescent="0.45">
      <c r="AK69">
        <v>2036</v>
      </c>
      <c r="AL69" t="s">
        <v>159</v>
      </c>
      <c r="AM69">
        <v>0.57503333333333329</v>
      </c>
      <c r="AN69" t="s">
        <v>186</v>
      </c>
    </row>
    <row r="70" spans="37:40" x14ac:dyDescent="0.45">
      <c r="AK70">
        <v>2036</v>
      </c>
      <c r="AL70" t="s">
        <v>161</v>
      </c>
      <c r="AM70">
        <v>0.74766666666666659</v>
      </c>
      <c r="AN70" t="s">
        <v>186</v>
      </c>
    </row>
    <row r="71" spans="37:40" x14ac:dyDescent="0.45">
      <c r="AK71">
        <v>2037</v>
      </c>
      <c r="AL71" t="s">
        <v>154</v>
      </c>
      <c r="AM71">
        <v>0.50843333333333329</v>
      </c>
      <c r="AN71" t="s">
        <v>186</v>
      </c>
    </row>
    <row r="72" spans="37:40" x14ac:dyDescent="0.45">
      <c r="AK72">
        <v>2037</v>
      </c>
      <c r="AL72" t="s">
        <v>157</v>
      </c>
      <c r="AM72">
        <v>0.54723333333333335</v>
      </c>
      <c r="AN72" t="s">
        <v>186</v>
      </c>
    </row>
    <row r="73" spans="37:40" x14ac:dyDescent="0.45">
      <c r="AK73">
        <v>2037</v>
      </c>
      <c r="AL73" t="s">
        <v>159</v>
      </c>
      <c r="AM73">
        <v>0.52106666666666668</v>
      </c>
      <c r="AN73" t="s">
        <v>186</v>
      </c>
    </row>
    <row r="74" spans="37:40" x14ac:dyDescent="0.45">
      <c r="AK74">
        <v>2037</v>
      </c>
      <c r="AL74" t="s">
        <v>161</v>
      </c>
      <c r="AM74">
        <v>0.65613333333333335</v>
      </c>
      <c r="AN74" t="s">
        <v>186</v>
      </c>
    </row>
    <row r="75" spans="37:40" x14ac:dyDescent="0.45">
      <c r="AK75">
        <v>2038</v>
      </c>
      <c r="AL75" t="s">
        <v>154</v>
      </c>
      <c r="AM75">
        <v>0.47879999999999995</v>
      </c>
      <c r="AN75" t="s">
        <v>186</v>
      </c>
    </row>
    <row r="76" spans="37:40" x14ac:dyDescent="0.45">
      <c r="AK76">
        <v>2038</v>
      </c>
      <c r="AL76" t="s">
        <v>157</v>
      </c>
      <c r="AM76">
        <v>0.5369666666666667</v>
      </c>
      <c r="AN76" t="s">
        <v>186</v>
      </c>
    </row>
    <row r="77" spans="37:40" x14ac:dyDescent="0.45">
      <c r="AK77">
        <v>2038</v>
      </c>
      <c r="AL77" t="s">
        <v>159</v>
      </c>
      <c r="AM77">
        <v>0.47143333333333332</v>
      </c>
      <c r="AN77" t="s">
        <v>186</v>
      </c>
    </row>
    <row r="78" spans="37:40" x14ac:dyDescent="0.45">
      <c r="AK78">
        <v>2038</v>
      </c>
      <c r="AL78" t="s">
        <v>161</v>
      </c>
      <c r="AM78">
        <v>0.65783333333333338</v>
      </c>
      <c r="AN78" t="s">
        <v>186</v>
      </c>
    </row>
    <row r="79" spans="37:40" x14ac:dyDescent="0.45">
      <c r="AK79">
        <v>2039</v>
      </c>
      <c r="AL79" t="s">
        <v>154</v>
      </c>
      <c r="AM79">
        <v>0.59353333333333336</v>
      </c>
      <c r="AN79" t="s">
        <v>186</v>
      </c>
    </row>
    <row r="80" spans="37:40" x14ac:dyDescent="0.45">
      <c r="AK80">
        <v>2039</v>
      </c>
      <c r="AL80" t="s">
        <v>157</v>
      </c>
      <c r="AM80">
        <v>0.62299999999999989</v>
      </c>
      <c r="AN80" t="s">
        <v>186</v>
      </c>
    </row>
    <row r="81" spans="37:40" x14ac:dyDescent="0.45">
      <c r="AK81">
        <v>2039</v>
      </c>
      <c r="AL81" t="s">
        <v>159</v>
      </c>
      <c r="AM81">
        <v>0.54759999999999998</v>
      </c>
      <c r="AN81" t="s">
        <v>186</v>
      </c>
    </row>
    <row r="82" spans="37:40" x14ac:dyDescent="0.45">
      <c r="AK82">
        <v>2039</v>
      </c>
      <c r="AL82" t="s">
        <v>161</v>
      </c>
      <c r="AM82">
        <v>0.71843333333333337</v>
      </c>
      <c r="AN82" t="s">
        <v>186</v>
      </c>
    </row>
    <row r="83" spans="37:40" x14ac:dyDescent="0.45">
      <c r="AK83">
        <v>2040</v>
      </c>
      <c r="AL83" t="s">
        <v>154</v>
      </c>
      <c r="AM83">
        <v>0.49069999999999997</v>
      </c>
      <c r="AN83" t="s">
        <v>186</v>
      </c>
    </row>
    <row r="84" spans="37:40" x14ac:dyDescent="0.45">
      <c r="AK84">
        <v>2040</v>
      </c>
      <c r="AL84" t="s">
        <v>157</v>
      </c>
      <c r="AM84">
        <v>0.5252</v>
      </c>
      <c r="AN84" t="s">
        <v>186</v>
      </c>
    </row>
    <row r="85" spans="37:40" x14ac:dyDescent="0.45">
      <c r="AK85">
        <v>2040</v>
      </c>
      <c r="AL85" t="s">
        <v>159</v>
      </c>
      <c r="AM85">
        <v>0.50183333333333335</v>
      </c>
      <c r="AN85" t="s">
        <v>186</v>
      </c>
    </row>
    <row r="86" spans="37:40" x14ac:dyDescent="0.45">
      <c r="AK86">
        <v>2040</v>
      </c>
      <c r="AL86" t="s">
        <v>161</v>
      </c>
      <c r="AM86">
        <v>0.63223333333333331</v>
      </c>
      <c r="AN86" t="s">
        <v>186</v>
      </c>
    </row>
    <row r="87" spans="37:40" x14ac:dyDescent="0.45">
      <c r="AK87">
        <v>2041</v>
      </c>
      <c r="AL87" t="s">
        <v>154</v>
      </c>
      <c r="AM87">
        <v>0.50506666666666666</v>
      </c>
      <c r="AN87" t="s">
        <v>186</v>
      </c>
    </row>
    <row r="88" spans="37:40" x14ac:dyDescent="0.45">
      <c r="AK88">
        <v>2041</v>
      </c>
      <c r="AL88" t="s">
        <v>157</v>
      </c>
      <c r="AM88">
        <v>0.56653333333333333</v>
      </c>
      <c r="AN88" t="s">
        <v>186</v>
      </c>
    </row>
    <row r="89" spans="37:40" x14ac:dyDescent="0.45">
      <c r="AK89">
        <v>2041</v>
      </c>
      <c r="AL89" t="s">
        <v>159</v>
      </c>
      <c r="AM89">
        <v>0.4746333333333333</v>
      </c>
      <c r="AN89" t="s">
        <v>186</v>
      </c>
    </row>
    <row r="90" spans="37:40" x14ac:dyDescent="0.45">
      <c r="AK90">
        <v>2041</v>
      </c>
      <c r="AL90" t="s">
        <v>161</v>
      </c>
      <c r="AM90">
        <v>0.62509999999999999</v>
      </c>
      <c r="AN90" t="s">
        <v>186</v>
      </c>
    </row>
    <row r="91" spans="37:40" x14ac:dyDescent="0.45">
      <c r="AK91">
        <v>2042</v>
      </c>
      <c r="AL91" t="s">
        <v>154</v>
      </c>
      <c r="AM91">
        <v>0.47303333333333325</v>
      </c>
      <c r="AN91" t="s">
        <v>186</v>
      </c>
    </row>
    <row r="92" spans="37:40" x14ac:dyDescent="0.45">
      <c r="AK92">
        <v>2042</v>
      </c>
      <c r="AL92" t="s">
        <v>157</v>
      </c>
      <c r="AM92">
        <v>0.53860000000000008</v>
      </c>
      <c r="AN92" t="s">
        <v>186</v>
      </c>
    </row>
    <row r="93" spans="37:40" x14ac:dyDescent="0.45">
      <c r="AK93">
        <v>2042</v>
      </c>
      <c r="AL93" t="s">
        <v>159</v>
      </c>
      <c r="AM93">
        <v>0.49853333333333333</v>
      </c>
      <c r="AN93" t="s">
        <v>186</v>
      </c>
    </row>
    <row r="94" spans="37:40" x14ac:dyDescent="0.45">
      <c r="AK94">
        <v>2042</v>
      </c>
      <c r="AL94" t="s">
        <v>161</v>
      </c>
      <c r="AM94">
        <v>0.6490999999999999</v>
      </c>
      <c r="AN94" t="s">
        <v>186</v>
      </c>
    </row>
    <row r="95" spans="37:40" x14ac:dyDescent="0.45">
      <c r="AK95">
        <v>2043</v>
      </c>
      <c r="AL95" t="s">
        <v>154</v>
      </c>
      <c r="AM95">
        <v>0.50050000000000006</v>
      </c>
      <c r="AN95" t="s">
        <v>186</v>
      </c>
    </row>
    <row r="96" spans="37:40" x14ac:dyDescent="0.45">
      <c r="AK96">
        <v>2043</v>
      </c>
      <c r="AL96" t="s">
        <v>157</v>
      </c>
      <c r="AM96">
        <v>0.53186666666666671</v>
      </c>
      <c r="AN96" t="s">
        <v>186</v>
      </c>
    </row>
    <row r="97" spans="37:40" x14ac:dyDescent="0.45">
      <c r="AK97">
        <v>2043</v>
      </c>
      <c r="AL97" t="s">
        <v>159</v>
      </c>
      <c r="AM97">
        <v>0.49713333333333337</v>
      </c>
      <c r="AN97" t="s">
        <v>186</v>
      </c>
    </row>
    <row r="98" spans="37:40" x14ac:dyDescent="0.45">
      <c r="AK98">
        <v>2043</v>
      </c>
      <c r="AL98" t="s">
        <v>161</v>
      </c>
      <c r="AM98">
        <v>0.64126666666666665</v>
      </c>
      <c r="AN98" t="s">
        <v>186</v>
      </c>
    </row>
    <row r="99" spans="37:40" x14ac:dyDescent="0.45">
      <c r="AK99">
        <v>2044</v>
      </c>
      <c r="AL99" t="s">
        <v>154</v>
      </c>
      <c r="AM99">
        <v>0.49973333333333336</v>
      </c>
      <c r="AN99" t="s">
        <v>186</v>
      </c>
    </row>
    <row r="100" spans="37:40" x14ac:dyDescent="0.45">
      <c r="AK100">
        <v>2044</v>
      </c>
      <c r="AL100" t="s">
        <v>157</v>
      </c>
      <c r="AM100">
        <v>0.50009999999999999</v>
      </c>
      <c r="AN100" t="s">
        <v>186</v>
      </c>
    </row>
    <row r="101" spans="37:40" x14ac:dyDescent="0.45">
      <c r="AK101">
        <v>2044</v>
      </c>
      <c r="AL101" t="s">
        <v>159</v>
      </c>
      <c r="AM101">
        <v>0.48776666666666663</v>
      </c>
      <c r="AN101" t="s">
        <v>186</v>
      </c>
    </row>
    <row r="102" spans="37:40" x14ac:dyDescent="0.45">
      <c r="AK102">
        <v>2044</v>
      </c>
      <c r="AL102" t="s">
        <v>161</v>
      </c>
      <c r="AM102">
        <v>0.65540000000000009</v>
      </c>
      <c r="AN102" t="s">
        <v>186</v>
      </c>
    </row>
    <row r="103" spans="37:40" x14ac:dyDescent="0.45">
      <c r="AK103">
        <v>2045</v>
      </c>
      <c r="AL103" t="s">
        <v>154</v>
      </c>
      <c r="AM103">
        <v>0.47326666666666667</v>
      </c>
      <c r="AN103" t="s">
        <v>186</v>
      </c>
    </row>
    <row r="104" spans="37:40" x14ac:dyDescent="0.45">
      <c r="AK104">
        <v>2045</v>
      </c>
      <c r="AL104" t="s">
        <v>157</v>
      </c>
      <c r="AM104">
        <v>0.51639999999999997</v>
      </c>
      <c r="AN104" t="s">
        <v>186</v>
      </c>
    </row>
    <row r="105" spans="37:40" x14ac:dyDescent="0.45">
      <c r="AK105">
        <v>2045</v>
      </c>
      <c r="AL105" t="s">
        <v>159</v>
      </c>
      <c r="AM105">
        <v>0.46713333333333334</v>
      </c>
      <c r="AN105" t="s">
        <v>186</v>
      </c>
    </row>
    <row r="106" spans="37:40" x14ac:dyDescent="0.45">
      <c r="AK106">
        <v>2045</v>
      </c>
      <c r="AL106" t="s">
        <v>161</v>
      </c>
      <c r="AM106">
        <v>0.64226666666666665</v>
      </c>
      <c r="AN106" t="s">
        <v>186</v>
      </c>
    </row>
    <row r="107" spans="37:40" x14ac:dyDescent="0.45">
      <c r="AK107">
        <v>2046</v>
      </c>
      <c r="AL107" t="s">
        <v>154</v>
      </c>
      <c r="AM107">
        <v>0.49446666666666667</v>
      </c>
      <c r="AN107" t="s">
        <v>186</v>
      </c>
    </row>
    <row r="108" spans="37:40" x14ac:dyDescent="0.45">
      <c r="AK108">
        <v>2046</v>
      </c>
      <c r="AL108" t="s">
        <v>157</v>
      </c>
      <c r="AM108">
        <v>0.5442999999999999</v>
      </c>
      <c r="AN108" t="s">
        <v>186</v>
      </c>
    </row>
    <row r="109" spans="37:40" x14ac:dyDescent="0.45">
      <c r="AK109">
        <v>2046</v>
      </c>
      <c r="AL109" t="s">
        <v>159</v>
      </c>
      <c r="AM109">
        <v>0.45746666666666663</v>
      </c>
      <c r="AN109" t="s">
        <v>186</v>
      </c>
    </row>
    <row r="110" spans="37:40" x14ac:dyDescent="0.45">
      <c r="AK110">
        <v>2046</v>
      </c>
      <c r="AL110" t="s">
        <v>161</v>
      </c>
      <c r="AM110">
        <v>0.6404333333333333</v>
      </c>
      <c r="AN110" t="s">
        <v>186</v>
      </c>
    </row>
    <row r="111" spans="37:40" x14ac:dyDescent="0.45">
      <c r="AK111">
        <v>2047</v>
      </c>
      <c r="AL111" t="s">
        <v>154</v>
      </c>
      <c r="AM111">
        <v>0.51690000000000003</v>
      </c>
      <c r="AN111" t="s">
        <v>186</v>
      </c>
    </row>
    <row r="112" spans="37:40" x14ac:dyDescent="0.45">
      <c r="AK112">
        <v>2047</v>
      </c>
      <c r="AL112" t="s">
        <v>157</v>
      </c>
      <c r="AM112">
        <v>0.52690000000000003</v>
      </c>
      <c r="AN112" t="s">
        <v>186</v>
      </c>
    </row>
    <row r="113" spans="37:40" x14ac:dyDescent="0.45">
      <c r="AK113">
        <v>2047</v>
      </c>
      <c r="AL113" t="s">
        <v>159</v>
      </c>
      <c r="AM113">
        <v>0.48776666666666668</v>
      </c>
      <c r="AN113" t="s">
        <v>186</v>
      </c>
    </row>
    <row r="114" spans="37:40" x14ac:dyDescent="0.45">
      <c r="AK114">
        <v>2047</v>
      </c>
      <c r="AL114" t="s">
        <v>161</v>
      </c>
      <c r="AM114">
        <v>0.60396666666666665</v>
      </c>
      <c r="AN114" t="s">
        <v>186</v>
      </c>
    </row>
    <row r="115" spans="37:40" x14ac:dyDescent="0.45">
      <c r="AK115">
        <v>2048</v>
      </c>
      <c r="AL115" t="s">
        <v>154</v>
      </c>
      <c r="AM115">
        <v>0.49710000000000004</v>
      </c>
      <c r="AN115" t="s">
        <v>186</v>
      </c>
    </row>
    <row r="116" spans="37:40" x14ac:dyDescent="0.45">
      <c r="AK116">
        <v>2048</v>
      </c>
      <c r="AL116" t="s">
        <v>157</v>
      </c>
      <c r="AM116">
        <v>0.54926666666666668</v>
      </c>
      <c r="AN116" t="s">
        <v>186</v>
      </c>
    </row>
    <row r="117" spans="37:40" x14ac:dyDescent="0.45">
      <c r="AK117">
        <v>2048</v>
      </c>
      <c r="AL117" t="s">
        <v>159</v>
      </c>
      <c r="AM117">
        <v>0.48006666666666664</v>
      </c>
      <c r="AN117" t="s">
        <v>186</v>
      </c>
    </row>
    <row r="118" spans="37:40" x14ac:dyDescent="0.45">
      <c r="AK118">
        <v>2048</v>
      </c>
      <c r="AL118" t="s">
        <v>161</v>
      </c>
      <c r="AM118">
        <v>0.59856666666666669</v>
      </c>
      <c r="AN118" t="s">
        <v>186</v>
      </c>
    </row>
    <row r="119" spans="37:40" x14ac:dyDescent="0.45">
      <c r="AK119">
        <v>2049</v>
      </c>
      <c r="AL119" t="s">
        <v>154</v>
      </c>
      <c r="AM119">
        <v>0.45333333333333337</v>
      </c>
      <c r="AN119" t="s">
        <v>186</v>
      </c>
    </row>
    <row r="120" spans="37:40" x14ac:dyDescent="0.45">
      <c r="AK120">
        <v>2049</v>
      </c>
      <c r="AL120" t="s">
        <v>157</v>
      </c>
      <c r="AM120">
        <v>0.49943333333333334</v>
      </c>
      <c r="AN120" t="s">
        <v>186</v>
      </c>
    </row>
    <row r="121" spans="37:40" x14ac:dyDescent="0.45">
      <c r="AK121">
        <v>2049</v>
      </c>
      <c r="AL121" t="s">
        <v>159</v>
      </c>
      <c r="AM121">
        <v>0.50819999999999999</v>
      </c>
      <c r="AN121" t="s">
        <v>186</v>
      </c>
    </row>
    <row r="122" spans="37:40" x14ac:dyDescent="0.45">
      <c r="AK122">
        <v>2049</v>
      </c>
      <c r="AL122" t="s">
        <v>161</v>
      </c>
      <c r="AM122">
        <v>0.67006666666666659</v>
      </c>
      <c r="AN122" t="s">
        <v>186</v>
      </c>
    </row>
    <row r="123" spans="37:40" x14ac:dyDescent="0.45">
      <c r="AK123">
        <v>2050</v>
      </c>
      <c r="AL123" t="s">
        <v>154</v>
      </c>
      <c r="AM123">
        <v>0.47803333333333331</v>
      </c>
      <c r="AN123" t="s">
        <v>186</v>
      </c>
    </row>
    <row r="124" spans="37:40" x14ac:dyDescent="0.45">
      <c r="AK124">
        <v>2050</v>
      </c>
      <c r="AL124" t="s">
        <v>157</v>
      </c>
      <c r="AM124">
        <v>0.5423</v>
      </c>
      <c r="AN124" t="s">
        <v>186</v>
      </c>
    </row>
    <row r="125" spans="37:40" x14ac:dyDescent="0.45">
      <c r="AK125">
        <v>2050</v>
      </c>
      <c r="AL125" t="s">
        <v>159</v>
      </c>
      <c r="AM125">
        <v>0.47336666666666671</v>
      </c>
      <c r="AN125" t="s">
        <v>186</v>
      </c>
    </row>
    <row r="126" spans="37:40" x14ac:dyDescent="0.45">
      <c r="AK126">
        <v>2050</v>
      </c>
      <c r="AL126" t="s">
        <v>161</v>
      </c>
      <c r="AM126">
        <v>0.63529999999999998</v>
      </c>
      <c r="AN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Veda</vt:lpstr>
      <vt:lpstr>fuel_prices</vt:lpstr>
      <vt:lpstr>iea_data</vt:lpstr>
      <vt:lpstr>ar6_r10</vt:lpstr>
      <vt:lpstr>ev_charging_uc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2025-09-11T12:56:47Z</dcterms:modified>
</cp:coreProperties>
</file>