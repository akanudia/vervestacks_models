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\SuppXLS\"/>
    </mc:Choice>
  </mc:AlternateContent>
  <xr:revisionPtr revIDLastSave="0" documentId="8_{061EEC5B-4A16-4796-9DC0-8E471EBCFB64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annual" sheetId="7" r:id="rId6"/>
    <sheet name="ts_12t" sheetId="8" r:id="rId7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8" l="1"/>
  <c r="AG9" i="8"/>
  <c r="AC9" i="8"/>
  <c r="A10" i="6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<sst xmlns="http://schemas.openxmlformats.org/spreadsheetml/2006/main" count="5036" uniqueCount="262">
  <si>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</si>
  <si>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</si>
  <si>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</si>
  <si>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</si>
  <si>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</si>
  <si>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</si>
  <si>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</si>
  <si>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</si>
  <si>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</si>
  <si>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</si>
  <si>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</si>
  <si>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</si>
  <si>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</si>
  <si>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</si>
  <si>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</si>
  <si>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</si>
  <si>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</si>
  <si>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</si>
  <si>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</si>
  <si>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</si>
  <si>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</si>
  <si>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</si>
  <si>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</si>
  <si>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</si>
  <si>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</si>
  <si>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</si>
  <si>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</si>
  <si>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</si>
  <si>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</si>
  <si>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</si>
  <si>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</si>
  <si>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</si>
  <si>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</si>
  <si>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</si>
  <si>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</si>
  <si>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</si>
  <si>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</si>
  <si>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</si>
  <si>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</si>
  <si>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</si>
  <si>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</si>
  <si>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</si>
  <si>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</si>
  <si>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</si>
  <si>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</si>
  <si>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</si>
  <si>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</si>
  <si>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</si>
  <si>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</si>
  <si>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</si>
  <si>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</si>
  <si>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</si>
  <si>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</si>
  <si>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</si>
  <si>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</si>
  <si>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</si>
  <si>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</si>
  <si>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</si>
  <si>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</si>
  <si>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</si>
  <si>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</si>
  <si>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</si>
  <si>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</si>
  <si>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</si>
  <si>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</si>
  <si>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</si>
  <si>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</si>
  <si>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</si>
  <si>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</si>
  <si>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</si>
  <si>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</si>
  <si>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</si>
  <si>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</si>
  <si>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</si>
  <si>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</si>
  <si>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</si>
  <si>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</si>
  <si>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</si>
  <si>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</si>
  <si>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</si>
  <si>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</si>
  <si>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</si>
  <si>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</si>
  <si>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</si>
  <si>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</si>
  <si>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</si>
  <si>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</si>
  <si>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</si>
  <si>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</si>
  <si>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</si>
  <si>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</si>
  <si>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</si>
  <si>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</si>
  <si>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</si>
  <si>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</si>
  <si>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</si>
  <si>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</si>
  <si>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</si>
  <si>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</si>
  <si>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</si>
  <si>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</si>
  <si>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</si>
  <si>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</si>
  <si>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</si>
  <si>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</si>
  <si>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</si>
  <si>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</si>
  <si>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</si>
  <si>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</si>
  <si>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</si>
  <si>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</si>
  <si>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</si>
  <si>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</si>
  <si>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</si>
  <si>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</si>
  <si>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</si>
  <si>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</si>
  <si>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</si>
  <si>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</si>
  <si>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</si>
  <si>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</si>
  <si>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</si>
  <si>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</si>
  <si>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</si>
  <si>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</si>
  <si>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</si>
  <si>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</si>
  <si>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</si>
  <si>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</si>
  <si>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</si>
  <si>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</si>
  <si>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</si>
  <si>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</si>
  <si>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</si>
  <si>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</si>
  <si>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</si>
  <si>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</si>
  <si>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</si>
  <si>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</si>
  <si>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</si>
  <si>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</si>
  <si>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</si>
  <si>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</si>
  <si>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GBR</t>
  </si>
  <si>
    <t>R10EUROPE</t>
  </si>
  <si>
    <t>NBP gas hub, Drax biomass plants</t>
  </si>
  <si>
    <t>1,2,3,4,5,6,7,8,9,10,11,12,13,14,15,21,22,23,24,25,31,32,33,34,35,36,37,38,39,40,41,42,43,44,45,46,47,48,49,50,56,57,58,59,60,66,67,68,69,70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</si>
  <si>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</si>
  <si>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</si>
  <si>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</si>
  <si>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</si>
  <si>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</si>
  <si>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</si>
  <si>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</si>
  <si>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</si>
  <si>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com_fr</t>
  </si>
  <si>
    <t>elc_spv_001</t>
  </si>
  <si>
    <t>AllSaAllH</t>
  </si>
  <si>
    <t>IMPNRGZ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</si>
  <si>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</si>
  <si>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</si>
  <si>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</si>
  <si>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</si>
  <si>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</si>
  <si>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</si>
  <si>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</si>
  <si>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</si>
  <si>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</si>
  <si>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</si>
  <si>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</si>
  <si>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</si>
  <si>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</si>
  <si>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</si>
  <si>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</si>
  <si>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</si>
  <si>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</si>
  <si>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</si>
  <si>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</si>
  <si>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</si>
  <si>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</si>
  <si>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</si>
  <si>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</si>
  <si>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</si>
  <si>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</si>
  <si>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</si>
  <si>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</si>
  <si>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</si>
  <si>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</si>
  <si>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</si>
  <si>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</si>
  <si>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</si>
  <si>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</si>
  <si>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</si>
  <si>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</si>
  <si>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</si>
  <si>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</si>
  <si>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</si>
  <si>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</si>
  <si>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</si>
  <si>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</si>
  <si>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</si>
  <si>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</si>
  <si>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</si>
  <si>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</si>
  <si>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</si>
  <si>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</si>
  <si>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</si>
  <si>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</si>
  <si>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</si>
  <si>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</si>
  <si>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</si>
  <si>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</si>
  <si>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</si>
  <si>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</si>
  <si>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</si>
  <si>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</si>
  <si>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</si>
  <si>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</si>
  <si>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</si>
  <si>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</si>
  <si>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</si>
  <si>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</si>
  <si>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</si>
  <si>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</si>
  <si>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</si>
  <si>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</si>
  <si>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</si>
  <si>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</si>
  <si>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</si>
  <si>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</si>
  <si>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</si>
  <si>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</si>
  <si>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</si>
  <si>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</si>
  <si>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g_yrfr</t>
  </si>
  <si>
    <t>day_night</t>
  </si>
  <si>
    <t>D</t>
  </si>
  <si>
    <t>N</t>
  </si>
  <si>
    <t>com_pkflx</t>
  </si>
  <si>
    <t>ncap_afs</t>
  </si>
  <si>
    <t>pset_ci</t>
  </si>
  <si>
    <t>hydro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</si>
  <si>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</si>
  <si>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</si>
  <si>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</si>
  <si>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</si>
  <si>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</si>
  <si>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</si>
  <si>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</si>
  <si>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</si>
  <si>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</si>
  <si>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</si>
  <si>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</si>
  <si>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</si>
  <si>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</si>
  <si>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</si>
  <si>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</si>
  <si>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</si>
  <si>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</si>
  <si>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</si>
  <si>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RaD,RaP,FaP,SaP,SaD,WaP,WaD,FaD</t>
  </si>
  <si>
    <t>SaN,WaN,WaP,FaP,SaP,RaN,FaN,RaP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</si>
</sst>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316.74999999999994</c:v>
                </c:pt>
                <c:pt idx="1">
                  <c:v>332.58749999999998</c:v>
                </c:pt>
                <c:pt idx="2">
                  <c:v>370.59749999999991</c:v>
                </c:pt>
                <c:pt idx="3">
                  <c:v>418.10999999999996</c:v>
                </c:pt>
                <c:pt idx="4">
                  <c:v>475.12499999999989</c:v>
                </c:pt>
                <c:pt idx="5">
                  <c:v>532.13999999999987</c:v>
                </c:pt>
                <c:pt idx="6">
                  <c:v>573.31749999999988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316.74999999999994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316.74999999999994</v>
      </c>
      <c r="U14" s="8">
        <f t="shared" ref="U14:Z14" si="3">$S$12*J15</f>
        <v>332.58749999999998</v>
      </c>
      <c r="V14" s="8">
        <f t="shared" si="3"/>
        <v>370.59749999999991</v>
      </c>
      <c r="W14" s="8">
        <f t="shared" si="3"/>
        <v>418.10999999999996</v>
      </c>
      <c r="X14" s="8">
        <f t="shared" si="3"/>
        <v>475.12499999999989</v>
      </c>
      <c r="Y14" s="8">
        <f t="shared" si="3"/>
        <v>532.13999999999987</v>
      </c>
      <c r="Z14" s="8">
        <f t="shared" si="3"/>
        <v>573.31749999999988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3.7059749999999991</v>
      </c>
      <c r="W18" s="6">
        <f t="shared" si="7"/>
        <v>4.1810999999999998</v>
      </c>
      <c r="X18" s="6">
        <f t="shared" si="7"/>
        <v>4.7512499999999989</v>
      </c>
      <c r="Y18" s="6">
        <f t="shared" si="7"/>
        <v>10.642799999999998</v>
      </c>
      <c r="Z18" s="6">
        <f t="shared" si="7"/>
        <v>17.199524999999994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114.02999999999997</v>
      </c>
      <c r="U19" s="6">
        <f t="shared" si="7"/>
        <v>106.428</v>
      </c>
      <c r="V19" s="6">
        <f t="shared" si="7"/>
        <v>114.88522499999998</v>
      </c>
      <c r="W19" s="6">
        <f t="shared" si="7"/>
        <v>121.25189999999998</v>
      </c>
      <c r="X19" s="6">
        <f t="shared" si="7"/>
        <v>137.78624999999997</v>
      </c>
      <c r="Y19" s="6">
        <f t="shared" si="7"/>
        <v>154.32059999999996</v>
      </c>
      <c r="Z19" s="6">
        <f t="shared" si="7"/>
        <v>171.99524999999997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190.04999999999995</v>
      </c>
      <c r="U20" s="6">
        <f t="shared" si="7"/>
        <v>199.55249999999998</v>
      </c>
      <c r="V20" s="6">
        <f t="shared" si="7"/>
        <v>222.35849999999994</v>
      </c>
      <c r="W20" s="6">
        <f t="shared" si="7"/>
        <v>238.32269999999997</v>
      </c>
      <c r="X20" s="6">
        <f t="shared" si="7"/>
        <v>256.56749999999994</v>
      </c>
      <c r="Y20" s="6">
        <f t="shared" si="7"/>
        <v>276.71279999999996</v>
      </c>
      <c r="Z20" s="6">
        <f t="shared" si="7"/>
        <v>303.85827499999994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9.5024999999999977</v>
      </c>
      <c r="U21" s="6">
        <f t="shared" ref="U21:Z21" si="8">T21</f>
        <v>9.5024999999999977</v>
      </c>
      <c r="V21" s="6">
        <f t="shared" si="8"/>
        <v>9.5024999999999977</v>
      </c>
      <c r="W21" s="6">
        <f t="shared" si="8"/>
        <v>9.5024999999999977</v>
      </c>
      <c r="X21" s="6">
        <f t="shared" si="8"/>
        <v>9.5024999999999977</v>
      </c>
      <c r="Y21" s="6">
        <f t="shared" si="8"/>
        <v>9.5024999999999977</v>
      </c>
      <c r="Z21" s="6">
        <f t="shared" si="8"/>
        <v>9.5024999999999977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3.1675000000000182</v>
      </c>
      <c r="U22" s="6">
        <f t="shared" si="9"/>
        <v>17.104499999999973</v>
      </c>
      <c r="V22" s="6">
        <f t="shared" si="9"/>
        <v>23.851274999999987</v>
      </c>
      <c r="W22" s="6">
        <f t="shared" si="9"/>
        <v>49.032900000000041</v>
      </c>
      <c r="X22" s="6">
        <f t="shared" si="9"/>
        <v>71.268750000000011</v>
      </c>
      <c r="Y22" s="6">
        <f t="shared" si="9"/>
        <v>91.60409999999996</v>
      </c>
      <c r="Z22" s="6">
        <f t="shared" si="9"/>
        <v>87.961475000000007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15.45</v>
      </c>
      <c r="S28" t="s">
        <v>32</v>
      </c>
      <c r="T28" s="3">
        <f>Q28</f>
        <v>15.45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-20.79</v>
      </c>
      <c r="S29" t="s">
        <v>35</v>
      </c>
      <c r="T29" s="3">
        <f>-1*Q29</f>
        <v>20.79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33.4</v>
      </c>
      <c r="J45">
        <f t="shared" si="12"/>
        <v>35.738</v>
      </c>
      <c r="K45">
        <f t="shared" si="12"/>
        <v>41.415999999999997</v>
      </c>
      <c r="L45">
        <f t="shared" si="12"/>
        <v>38.409999999999997</v>
      </c>
      <c r="M45">
        <f t="shared" si="12"/>
        <v>41.75</v>
      </c>
      <c r="N45">
        <f t="shared" si="12"/>
        <v>39.077999999999996</v>
      </c>
      <c r="O45">
        <f t="shared" si="12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15.2</v>
      </c>
      <c r="J46">
        <f t="shared" si="12"/>
        <v>15.504</v>
      </c>
      <c r="K46">
        <f t="shared" si="12"/>
        <v>16.111999999999998</v>
      </c>
      <c r="L46">
        <f t="shared" si="12"/>
        <v>16.263999999999999</v>
      </c>
      <c r="M46">
        <f t="shared" si="12"/>
        <v>16.416</v>
      </c>
      <c r="N46">
        <f t="shared" si="12"/>
        <v>16.72</v>
      </c>
      <c r="O46">
        <f t="shared" si="12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53.53</v>
      </c>
      <c r="K47">
        <f t="shared" si="12"/>
        <v>58.830000000000005</v>
      </c>
      <c r="L47">
        <f t="shared" si="12"/>
        <v>53.53</v>
      </c>
      <c r="M47">
        <f t="shared" si="12"/>
        <v>53.53</v>
      </c>
      <c r="N47">
        <f t="shared" si="12"/>
        <v>55.120000000000005</v>
      </c>
      <c r="O47">
        <f t="shared" si="12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30</v>
      </c>
      <c r="O48">
        <f>VLOOKUP($E$5,$AK$9:$AM$15,3,FALSE)*I48</f>
        <v>90</v>
      </c>
      <c r="R48">
        <f>HLOOKUP($G48&amp;"_"&amp;R$44,fuel_prices!$B$10:$I$11,2,FALSE)</f>
        <v>26</v>
      </c>
      <c r="S48">
        <f>HLOOKUP($G48&amp;"_"&amp;S$44,fuel_prices!$B$10:$I$11,2,FALSE)</f>
        <v>34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27.4</v>
      </c>
      <c r="C11">
        <v>39.4</v>
      </c>
      <c r="D11">
        <v>13.7</v>
      </c>
      <c r="E11">
        <v>16.7</v>
      </c>
      <c r="F11">
        <v>48</v>
      </c>
      <c r="G11">
        <v>58</v>
      </c>
      <c r="H11">
        <v>26</v>
      </c>
      <c r="I11">
        <v>34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170.61</v>
      </c>
      <c r="D11">
        <v>206.68</v>
      </c>
      <c r="E11">
        <v>2.7</v>
      </c>
      <c r="F11">
        <v>0</v>
      </c>
      <c r="G11">
        <v>14.31</v>
      </c>
      <c r="H11">
        <v>-0.13</v>
      </c>
      <c r="I11">
        <v>374.38</v>
      </c>
    </row>
    <row r="12" spans="1:9" x14ac:dyDescent="0.45">
      <c r="A12" t="s">
        <v>143</v>
      </c>
      <c r="B12">
        <v>2001</v>
      </c>
      <c r="C12">
        <v>168.83</v>
      </c>
      <c r="D12">
        <v>212.56</v>
      </c>
      <c r="E12">
        <v>2.7</v>
      </c>
      <c r="F12">
        <v>0</v>
      </c>
      <c r="G12">
        <v>10.66</v>
      </c>
      <c r="H12">
        <v>-0.26</v>
      </c>
      <c r="I12">
        <v>382.37</v>
      </c>
    </row>
    <row r="13" spans="1:9" x14ac:dyDescent="0.45">
      <c r="A13" t="s">
        <v>143</v>
      </c>
      <c r="B13">
        <v>2002</v>
      </c>
      <c r="C13">
        <v>169.5</v>
      </c>
      <c r="D13">
        <v>212.3</v>
      </c>
      <c r="E13">
        <v>2.7</v>
      </c>
      <c r="F13">
        <v>0</v>
      </c>
      <c r="G13">
        <v>9.18</v>
      </c>
      <c r="H13">
        <v>-0.77</v>
      </c>
      <c r="I13">
        <v>384.6</v>
      </c>
    </row>
    <row r="14" spans="1:9" x14ac:dyDescent="0.45">
      <c r="A14" t="s">
        <v>143</v>
      </c>
      <c r="B14">
        <v>2003</v>
      </c>
      <c r="C14">
        <v>167.48</v>
      </c>
      <c r="D14">
        <v>218.73</v>
      </c>
      <c r="E14">
        <v>2.7</v>
      </c>
      <c r="F14">
        <v>0</v>
      </c>
      <c r="G14">
        <v>5.12</v>
      </c>
      <c r="H14">
        <v>-2.96</v>
      </c>
      <c r="I14">
        <v>395.46</v>
      </c>
    </row>
    <row r="15" spans="1:9" x14ac:dyDescent="0.45">
      <c r="A15" t="s">
        <v>143</v>
      </c>
      <c r="B15">
        <v>2004</v>
      </c>
      <c r="C15">
        <v>168.49</v>
      </c>
      <c r="D15">
        <v>223.42</v>
      </c>
      <c r="E15">
        <v>4.04</v>
      </c>
      <c r="F15">
        <v>0.02</v>
      </c>
      <c r="G15">
        <v>9.7799999999999994</v>
      </c>
      <c r="H15">
        <v>-2.29</v>
      </c>
      <c r="I15">
        <v>391.28</v>
      </c>
    </row>
    <row r="16" spans="1:9" x14ac:dyDescent="0.45">
      <c r="A16" t="s">
        <v>143</v>
      </c>
      <c r="B16">
        <v>2005</v>
      </c>
      <c r="C16">
        <v>168.44</v>
      </c>
      <c r="D16">
        <v>228.59</v>
      </c>
      <c r="E16">
        <v>4.04</v>
      </c>
      <c r="F16">
        <v>0.02</v>
      </c>
      <c r="G16">
        <v>11.16</v>
      </c>
      <c r="H16">
        <v>-2.84</v>
      </c>
      <c r="I16">
        <v>395.43</v>
      </c>
    </row>
    <row r="17" spans="1:9" x14ac:dyDescent="0.45">
      <c r="A17" t="s">
        <v>143</v>
      </c>
      <c r="B17">
        <v>2006</v>
      </c>
      <c r="C17">
        <v>167.75</v>
      </c>
      <c r="D17">
        <v>226.33</v>
      </c>
      <c r="E17">
        <v>3.98</v>
      </c>
      <c r="F17">
        <v>0.02</v>
      </c>
      <c r="G17">
        <v>10.28</v>
      </c>
      <c r="H17">
        <v>-2.76</v>
      </c>
      <c r="I17">
        <v>393.43</v>
      </c>
    </row>
    <row r="18" spans="1:9" x14ac:dyDescent="0.45">
      <c r="A18" t="s">
        <v>143</v>
      </c>
      <c r="B18">
        <v>2007</v>
      </c>
      <c r="C18">
        <v>166.07</v>
      </c>
      <c r="D18">
        <v>224.9</v>
      </c>
      <c r="E18">
        <v>3.94</v>
      </c>
      <c r="F18">
        <v>0.02</v>
      </c>
      <c r="G18">
        <v>8.61</v>
      </c>
      <c r="H18">
        <v>-3.4</v>
      </c>
      <c r="I18">
        <v>392.97</v>
      </c>
    </row>
    <row r="19" spans="1:9" x14ac:dyDescent="0.45">
      <c r="A19" t="s">
        <v>143</v>
      </c>
      <c r="B19">
        <v>2008</v>
      </c>
      <c r="C19">
        <v>164.47</v>
      </c>
      <c r="D19">
        <v>223.73</v>
      </c>
      <c r="E19">
        <v>3.92</v>
      </c>
      <c r="F19">
        <v>0.02</v>
      </c>
      <c r="G19">
        <v>12.29</v>
      </c>
      <c r="H19">
        <v>-1.27</v>
      </c>
      <c r="I19">
        <v>384.78</v>
      </c>
    </row>
    <row r="20" spans="1:9" x14ac:dyDescent="0.45">
      <c r="A20" t="s">
        <v>143</v>
      </c>
      <c r="B20">
        <v>2009</v>
      </c>
      <c r="C20">
        <v>151.13999999999999</v>
      </c>
      <c r="D20">
        <v>217.97</v>
      </c>
      <c r="E20">
        <v>4.0199999999999996</v>
      </c>
      <c r="F20">
        <v>0.02</v>
      </c>
      <c r="G20">
        <v>6.61</v>
      </c>
      <c r="H20">
        <v>-3.75</v>
      </c>
      <c r="I20">
        <v>373.13</v>
      </c>
    </row>
    <row r="21" spans="1:9" x14ac:dyDescent="0.45">
      <c r="A21" t="s">
        <v>143</v>
      </c>
      <c r="B21">
        <v>2010</v>
      </c>
      <c r="C21">
        <v>155.33000000000001</v>
      </c>
      <c r="D21">
        <v>219.23</v>
      </c>
      <c r="E21">
        <v>4.07</v>
      </c>
      <c r="F21">
        <v>0.02</v>
      </c>
      <c r="G21">
        <v>7.14</v>
      </c>
      <c r="H21">
        <v>-4.4800000000000004</v>
      </c>
      <c r="I21">
        <v>379.64</v>
      </c>
    </row>
    <row r="22" spans="1:9" x14ac:dyDescent="0.45">
      <c r="A22" t="s">
        <v>143</v>
      </c>
      <c r="B22">
        <v>2011</v>
      </c>
      <c r="C22">
        <v>153.38999999999999</v>
      </c>
      <c r="D22">
        <v>210.26</v>
      </c>
      <c r="E22">
        <v>4.21</v>
      </c>
      <c r="F22">
        <v>0.02</v>
      </c>
      <c r="G22">
        <v>8.69</v>
      </c>
      <c r="H22">
        <v>-2.4700000000000002</v>
      </c>
      <c r="I22">
        <v>365.05</v>
      </c>
    </row>
    <row r="23" spans="1:9" x14ac:dyDescent="0.45">
      <c r="A23" t="s">
        <v>143</v>
      </c>
      <c r="B23">
        <v>2012</v>
      </c>
      <c r="C23">
        <v>150.66</v>
      </c>
      <c r="D23">
        <v>214.37</v>
      </c>
      <c r="E23">
        <v>4.4800000000000004</v>
      </c>
      <c r="F23">
        <v>0.03</v>
      </c>
      <c r="G23">
        <v>13.77</v>
      </c>
      <c r="H23">
        <v>-1.91</v>
      </c>
      <c r="I23">
        <v>361.09</v>
      </c>
    </row>
    <row r="24" spans="1:9" x14ac:dyDescent="0.45">
      <c r="A24" t="s">
        <v>143</v>
      </c>
      <c r="B24">
        <v>2013</v>
      </c>
      <c r="C24">
        <v>148.07</v>
      </c>
      <c r="D24">
        <v>213.97</v>
      </c>
      <c r="E24">
        <v>4.3499999999999996</v>
      </c>
      <c r="F24">
        <v>0.03</v>
      </c>
      <c r="G24">
        <v>17.53</v>
      </c>
      <c r="H24">
        <v>-3.1</v>
      </c>
      <c r="I24">
        <v>355.29</v>
      </c>
    </row>
    <row r="25" spans="1:9" x14ac:dyDescent="0.45">
      <c r="A25" t="s">
        <v>143</v>
      </c>
      <c r="B25">
        <v>2014</v>
      </c>
      <c r="C25">
        <v>143.33000000000001</v>
      </c>
      <c r="D25">
        <v>204.32</v>
      </c>
      <c r="E25">
        <v>4.5</v>
      </c>
      <c r="F25">
        <v>7.0000000000000007E-2</v>
      </c>
      <c r="G25">
        <v>23.24</v>
      </c>
      <c r="H25">
        <v>-2.72</v>
      </c>
      <c r="I25">
        <v>334.83</v>
      </c>
    </row>
    <row r="26" spans="1:9" x14ac:dyDescent="0.45">
      <c r="A26" t="s">
        <v>143</v>
      </c>
      <c r="B26">
        <v>2015</v>
      </c>
      <c r="C26">
        <v>143.54</v>
      </c>
      <c r="D26">
        <v>205</v>
      </c>
      <c r="E26">
        <v>4.5199999999999996</v>
      </c>
      <c r="F26">
        <v>0.1</v>
      </c>
      <c r="G26">
        <v>22.96</v>
      </c>
      <c r="H26">
        <v>-1.86</v>
      </c>
      <c r="I26">
        <v>335.3</v>
      </c>
    </row>
    <row r="27" spans="1:9" x14ac:dyDescent="0.45">
      <c r="A27" t="s">
        <v>143</v>
      </c>
      <c r="B27">
        <v>2016</v>
      </c>
      <c r="C27">
        <v>138.74</v>
      </c>
      <c r="D27">
        <v>204.95</v>
      </c>
      <c r="E27">
        <v>4.6900000000000004</v>
      </c>
      <c r="F27">
        <v>0.13</v>
      </c>
      <c r="G27">
        <v>20.02</v>
      </c>
      <c r="H27">
        <v>-2.27</v>
      </c>
      <c r="I27">
        <v>334.29</v>
      </c>
    </row>
    <row r="28" spans="1:9" x14ac:dyDescent="0.45">
      <c r="A28" t="s">
        <v>143</v>
      </c>
      <c r="B28">
        <v>2017</v>
      </c>
      <c r="C28">
        <v>139.43</v>
      </c>
      <c r="D28">
        <v>201.42</v>
      </c>
      <c r="E28">
        <v>4.83</v>
      </c>
      <c r="F28">
        <v>0.18</v>
      </c>
      <c r="G28">
        <v>18.170000000000002</v>
      </c>
      <c r="H28">
        <v>-3.41</v>
      </c>
      <c r="I28">
        <v>334.56</v>
      </c>
    </row>
    <row r="29" spans="1:9" x14ac:dyDescent="0.45">
      <c r="A29" t="s">
        <v>143</v>
      </c>
      <c r="B29">
        <v>2018</v>
      </c>
      <c r="C29">
        <v>137.06</v>
      </c>
      <c r="D29">
        <v>201.42</v>
      </c>
      <c r="E29">
        <v>5.05</v>
      </c>
      <c r="F29">
        <v>0.61</v>
      </c>
      <c r="G29">
        <v>21.33</v>
      </c>
      <c r="H29">
        <v>-2.2200000000000002</v>
      </c>
      <c r="I29">
        <v>329.99</v>
      </c>
    </row>
    <row r="30" spans="1:9" x14ac:dyDescent="0.45">
      <c r="A30" t="s">
        <v>143</v>
      </c>
      <c r="B30">
        <v>2019</v>
      </c>
      <c r="C30">
        <v>136.38999999999999</v>
      </c>
      <c r="D30">
        <v>197.71</v>
      </c>
      <c r="E30">
        <v>5.29</v>
      </c>
      <c r="F30">
        <v>0.85</v>
      </c>
      <c r="G30">
        <v>24.56</v>
      </c>
      <c r="H30">
        <v>-3.39</v>
      </c>
      <c r="I30">
        <v>321.63</v>
      </c>
    </row>
    <row r="31" spans="1:9" x14ac:dyDescent="0.45">
      <c r="A31" t="s">
        <v>143</v>
      </c>
      <c r="B31">
        <v>2020</v>
      </c>
      <c r="C31">
        <v>127.84</v>
      </c>
      <c r="D31">
        <v>190.95</v>
      </c>
      <c r="E31">
        <v>4.8499999999999996</v>
      </c>
      <c r="F31">
        <v>1.1299999999999999</v>
      </c>
      <c r="G31">
        <v>22.39</v>
      </c>
      <c r="H31">
        <v>-4.4800000000000004</v>
      </c>
      <c r="I31">
        <v>308.93</v>
      </c>
    </row>
    <row r="32" spans="1:9" x14ac:dyDescent="0.45">
      <c r="A32" t="s">
        <v>143</v>
      </c>
      <c r="B32">
        <v>2021</v>
      </c>
      <c r="C32">
        <v>128.25</v>
      </c>
      <c r="D32">
        <v>190.44</v>
      </c>
      <c r="E32">
        <v>4.74</v>
      </c>
      <c r="F32">
        <v>2.36</v>
      </c>
      <c r="G32">
        <v>28.74</v>
      </c>
      <c r="H32">
        <v>-4.17</v>
      </c>
      <c r="I32">
        <v>305.92</v>
      </c>
    </row>
    <row r="33" spans="1:9" x14ac:dyDescent="0.45">
      <c r="A33" t="s">
        <v>143</v>
      </c>
      <c r="B33">
        <v>2022</v>
      </c>
      <c r="C33">
        <v>124.91</v>
      </c>
      <c r="D33">
        <v>179.25</v>
      </c>
      <c r="E33">
        <v>4.74</v>
      </c>
      <c r="F33">
        <v>3.7</v>
      </c>
      <c r="G33">
        <v>15.45</v>
      </c>
      <c r="H33">
        <v>-20.79</v>
      </c>
      <c r="I33">
        <v>322.08999999999997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7" x14ac:dyDescent="0.45">
      <c r="A10" t="str">
        <f>IFERROR(Veda!D5,"ts_12t")</f>
        <v>ts_annual</v>
      </c>
      <c r="B10" s="15"/>
      <c r="C10" s="15" t="s">
        <v>235</v>
      </c>
      <c r="D10" t="s">
        <v>106</v>
      </c>
      <c r="F10" t="s">
        <v>235</v>
      </c>
      <c r="G10" t="s">
        <v>131</v>
      </c>
    </row>
    <row r="11" spans="1:7" x14ac:dyDescent="0.45">
      <c r="B11" s="15"/>
      <c r="C11" s="15" t="s">
        <v>236</v>
      </c>
      <c r="D11" t="s">
        <v>157</v>
      </c>
      <c r="F11" t="s">
        <v>236</v>
      </c>
      <c r="G11" t="s">
        <v>260</v>
      </c>
    </row>
    <row r="12" spans="1:7" x14ac:dyDescent="0.45">
      <c r="B12" s="15"/>
      <c r="C12" s="15" t="s">
        <v>237</v>
      </c>
      <c r="D12" t="s">
        <v>157</v>
      </c>
      <c r="F12" t="s">
        <v>237</v>
      </c>
      <c r="G12" t="s">
        <v>261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6EE5-97FE-4EB4-8FE0-85D081BDC9EB}">
  <dimension ref="A9:AN4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155</v>
      </c>
      <c r="L10" t="s">
        <v>30</v>
      </c>
      <c r="N10" t="s">
        <v>13</v>
      </c>
      <c r="O10" t="s">
        <v>121</v>
      </c>
      <c r="P10" t="s">
        <v>155</v>
      </c>
      <c r="Q10" t="s">
        <v>30</v>
      </c>
      <c r="S10" t="s">
        <v>13</v>
      </c>
      <c r="T10" t="s">
        <v>121</v>
      </c>
      <c r="U10" t="s">
        <v>155</v>
      </c>
      <c r="V10" t="s">
        <v>30</v>
      </c>
      <c r="X10" t="s">
        <v>234</v>
      </c>
      <c r="Y10" t="s">
        <v>155</v>
      </c>
      <c r="Z10" t="s">
        <v>121</v>
      </c>
      <c r="AA10" t="s">
        <v>13</v>
      </c>
      <c r="AC10" t="s">
        <v>13</v>
      </c>
      <c r="AD10" t="s">
        <v>121</v>
      </c>
      <c r="AE10" t="s">
        <v>155</v>
      </c>
      <c r="AG10" t="s">
        <v>13</v>
      </c>
      <c r="AH10" t="s">
        <v>121</v>
      </c>
      <c r="AI10" t="s">
        <v>238</v>
      </c>
      <c r="AK10" t="s">
        <v>47</v>
      </c>
      <c r="AL10" t="s">
        <v>121</v>
      </c>
      <c r="AM10" t="s">
        <v>239</v>
      </c>
      <c r="AN10" t="s">
        <v>240</v>
      </c>
    </row>
    <row r="11" spans="1:40" x14ac:dyDescent="0.45">
      <c r="A11" t="str">
        <f>IFERROR(IF(Veda!D5=A10,"ok","x"),"")</f>
        <v>ok</v>
      </c>
      <c r="C11" t="s">
        <v>152</v>
      </c>
      <c r="D11" t="s">
        <v>153</v>
      </c>
      <c r="E11" t="s">
        <v>154</v>
      </c>
      <c r="F11" t="s">
        <v>152</v>
      </c>
      <c r="G11" t="s">
        <v>153</v>
      </c>
      <c r="I11" t="s">
        <v>156</v>
      </c>
      <c r="J11" t="s">
        <v>157</v>
      </c>
      <c r="K11">
        <v>1.0000000000000009</v>
      </c>
      <c r="L11" t="s">
        <v>158</v>
      </c>
      <c r="N11" t="s">
        <v>179</v>
      </c>
      <c r="O11" t="s">
        <v>157</v>
      </c>
      <c r="P11">
        <v>0.99999999999999556</v>
      </c>
      <c r="Q11" t="s">
        <v>158</v>
      </c>
      <c r="S11" t="s">
        <v>200</v>
      </c>
      <c r="T11" t="s">
        <v>157</v>
      </c>
      <c r="U11">
        <v>1.0000000000000022</v>
      </c>
      <c r="V11" t="s">
        <v>158</v>
      </c>
      <c r="X11">
        <v>1</v>
      </c>
      <c r="Y11">
        <v>1.0000000000000002</v>
      </c>
      <c r="Z11" t="s">
        <v>157</v>
      </c>
      <c r="AA11" t="s">
        <v>25</v>
      </c>
      <c r="AC11" t="s">
        <v>22</v>
      </c>
      <c r="AD11" t="s">
        <v>157</v>
      </c>
      <c r="AE11">
        <v>1</v>
      </c>
      <c r="AG11" t="s">
        <v>96</v>
      </c>
      <c r="AH11" t="s">
        <v>157</v>
      </c>
      <c r="AI11">
        <v>0.27574142472851415</v>
      </c>
      <c r="AK11">
        <v>2020</v>
      </c>
      <c r="AL11" t="s">
        <v>152</v>
      </c>
      <c r="AM11">
        <v>0.22381975143097335</v>
      </c>
      <c r="AN11" t="s">
        <v>241</v>
      </c>
    </row>
    <row r="12" spans="1:40" x14ac:dyDescent="0.45">
      <c r="I12" t="s">
        <v>159</v>
      </c>
      <c r="J12" t="s">
        <v>157</v>
      </c>
      <c r="K12">
        <v>0.99999999999999878</v>
      </c>
      <c r="L12" t="s">
        <v>158</v>
      </c>
      <c r="N12" t="s">
        <v>180</v>
      </c>
      <c r="O12" t="s">
        <v>157</v>
      </c>
      <c r="P12">
        <v>0.99999999999999878</v>
      </c>
      <c r="Q12" t="s">
        <v>158</v>
      </c>
      <c r="S12" t="s">
        <v>201</v>
      </c>
      <c r="T12" t="s">
        <v>157</v>
      </c>
      <c r="U12">
        <v>0.99999999999999889</v>
      </c>
      <c r="V12" t="s">
        <v>158</v>
      </c>
      <c r="AC12" t="s">
        <v>19</v>
      </c>
      <c r="AD12" t="s">
        <v>157</v>
      </c>
      <c r="AE12">
        <v>1</v>
      </c>
      <c r="AK12">
        <v>2021</v>
      </c>
      <c r="AL12" t="s">
        <v>152</v>
      </c>
      <c r="AM12">
        <v>0.16795960786239172</v>
      </c>
      <c r="AN12" t="s">
        <v>241</v>
      </c>
    </row>
    <row r="13" spans="1:40" x14ac:dyDescent="0.45">
      <c r="I13" t="s">
        <v>160</v>
      </c>
      <c r="J13" t="s">
        <v>157</v>
      </c>
      <c r="K13">
        <v>0.99999999999999767</v>
      </c>
      <c r="L13" t="s">
        <v>158</v>
      </c>
      <c r="N13" t="s">
        <v>181</v>
      </c>
      <c r="O13" t="s">
        <v>157</v>
      </c>
      <c r="P13">
        <v>1.0000000000000007</v>
      </c>
      <c r="Q13" t="s">
        <v>158</v>
      </c>
      <c r="S13" t="s">
        <v>202</v>
      </c>
      <c r="T13" t="s">
        <v>157</v>
      </c>
      <c r="U13">
        <v>0.99999999999999745</v>
      </c>
      <c r="V13" t="s">
        <v>158</v>
      </c>
      <c r="AK13">
        <v>2022</v>
      </c>
      <c r="AL13" t="s">
        <v>152</v>
      </c>
      <c r="AM13">
        <v>0.17490921549877206</v>
      </c>
      <c r="AN13" t="s">
        <v>241</v>
      </c>
    </row>
    <row r="14" spans="1:40" x14ac:dyDescent="0.45">
      <c r="I14" t="s">
        <v>161</v>
      </c>
      <c r="J14" t="s">
        <v>157</v>
      </c>
      <c r="K14">
        <v>0.99999999999999811</v>
      </c>
      <c r="L14" t="s">
        <v>158</v>
      </c>
      <c r="N14" t="s">
        <v>182</v>
      </c>
      <c r="O14" t="s">
        <v>157</v>
      </c>
      <c r="P14">
        <v>1.0000000000000018</v>
      </c>
      <c r="Q14" t="s">
        <v>158</v>
      </c>
      <c r="S14" t="s">
        <v>203</v>
      </c>
      <c r="T14" t="s">
        <v>157</v>
      </c>
      <c r="U14">
        <v>0.99999999999999878</v>
      </c>
      <c r="V14" t="s">
        <v>158</v>
      </c>
      <c r="AK14">
        <v>2025</v>
      </c>
      <c r="AL14" t="s">
        <v>152</v>
      </c>
      <c r="AM14">
        <v>0.18761666666666665</v>
      </c>
      <c r="AN14" t="s">
        <v>241</v>
      </c>
    </row>
    <row r="15" spans="1:40" x14ac:dyDescent="0.45">
      <c r="I15" t="s">
        <v>162</v>
      </c>
      <c r="J15" t="s">
        <v>157</v>
      </c>
      <c r="K15">
        <v>0.99999999999999789</v>
      </c>
      <c r="L15" t="s">
        <v>158</v>
      </c>
      <c r="N15" t="s">
        <v>183</v>
      </c>
      <c r="O15" t="s">
        <v>157</v>
      </c>
      <c r="P15">
        <v>0.99999999999999656</v>
      </c>
      <c r="Q15" t="s">
        <v>158</v>
      </c>
      <c r="S15" t="s">
        <v>204</v>
      </c>
      <c r="T15" t="s">
        <v>157</v>
      </c>
      <c r="U15">
        <v>1.0000000000000011</v>
      </c>
      <c r="V15" t="s">
        <v>158</v>
      </c>
      <c r="AK15">
        <v>2026</v>
      </c>
      <c r="AL15" t="s">
        <v>152</v>
      </c>
      <c r="AM15">
        <v>0.19192499999999998</v>
      </c>
      <c r="AN15" t="s">
        <v>241</v>
      </c>
    </row>
    <row r="16" spans="1:40" x14ac:dyDescent="0.45">
      <c r="I16" t="s">
        <v>163</v>
      </c>
      <c r="J16" t="s">
        <v>157</v>
      </c>
      <c r="K16">
        <v>1.000000000000002</v>
      </c>
      <c r="L16" t="s">
        <v>158</v>
      </c>
      <c r="N16" t="s">
        <v>184</v>
      </c>
      <c r="O16" t="s">
        <v>157</v>
      </c>
      <c r="P16">
        <v>0.99999999999999745</v>
      </c>
      <c r="Q16" t="s">
        <v>158</v>
      </c>
      <c r="S16" t="s">
        <v>205</v>
      </c>
      <c r="T16" t="s">
        <v>157</v>
      </c>
      <c r="U16">
        <v>1.0000000000000022</v>
      </c>
      <c r="V16" t="s">
        <v>158</v>
      </c>
      <c r="AK16">
        <v>2027</v>
      </c>
      <c r="AL16" t="s">
        <v>152</v>
      </c>
      <c r="AM16">
        <v>0.19139999999999999</v>
      </c>
      <c r="AN16" t="s">
        <v>241</v>
      </c>
    </row>
    <row r="17" spans="9:40" x14ac:dyDescent="0.45">
      <c r="I17" t="s">
        <v>164</v>
      </c>
      <c r="J17" t="s">
        <v>157</v>
      </c>
      <c r="K17">
        <v>0.99999999999999722</v>
      </c>
      <c r="L17" t="s">
        <v>158</v>
      </c>
      <c r="N17" t="s">
        <v>185</v>
      </c>
      <c r="O17" t="s">
        <v>157</v>
      </c>
      <c r="P17">
        <v>1.000000000000004</v>
      </c>
      <c r="Q17" t="s">
        <v>158</v>
      </c>
      <c r="S17" t="s">
        <v>206</v>
      </c>
      <c r="T17" t="s">
        <v>157</v>
      </c>
      <c r="U17">
        <v>1.0000000000000016</v>
      </c>
      <c r="V17" t="s">
        <v>158</v>
      </c>
      <c r="AK17">
        <v>2028</v>
      </c>
      <c r="AL17" t="s">
        <v>152</v>
      </c>
      <c r="AM17">
        <v>0.19297499999999998</v>
      </c>
      <c r="AN17" t="s">
        <v>241</v>
      </c>
    </row>
    <row r="18" spans="9:40" x14ac:dyDescent="0.45">
      <c r="I18" t="s">
        <v>165</v>
      </c>
      <c r="J18" t="s">
        <v>157</v>
      </c>
      <c r="K18">
        <v>1.0000000000000007</v>
      </c>
      <c r="L18" t="s">
        <v>158</v>
      </c>
      <c r="N18" t="s">
        <v>186</v>
      </c>
      <c r="O18" t="s">
        <v>157</v>
      </c>
      <c r="P18">
        <v>1.0000000000000018</v>
      </c>
      <c r="Q18" t="s">
        <v>158</v>
      </c>
      <c r="S18" t="s">
        <v>207</v>
      </c>
      <c r="T18" t="s">
        <v>157</v>
      </c>
      <c r="U18">
        <v>1.000000000000006</v>
      </c>
      <c r="V18" t="s">
        <v>158</v>
      </c>
      <c r="AK18">
        <v>2029</v>
      </c>
      <c r="AL18" t="s">
        <v>152</v>
      </c>
      <c r="AM18">
        <v>0.18370833333333333</v>
      </c>
      <c r="AN18" t="s">
        <v>241</v>
      </c>
    </row>
    <row r="19" spans="9:40" x14ac:dyDescent="0.45">
      <c r="I19" t="s">
        <v>166</v>
      </c>
      <c r="J19" t="s">
        <v>157</v>
      </c>
      <c r="K19">
        <v>0.99999999999999734</v>
      </c>
      <c r="L19" t="s">
        <v>158</v>
      </c>
      <c r="N19" t="s">
        <v>187</v>
      </c>
      <c r="O19" t="s">
        <v>157</v>
      </c>
      <c r="P19">
        <v>1.0000000000000011</v>
      </c>
      <c r="Q19" t="s">
        <v>158</v>
      </c>
      <c r="S19" t="s">
        <v>208</v>
      </c>
      <c r="T19" t="s">
        <v>157</v>
      </c>
      <c r="U19">
        <v>1.0000000000000011</v>
      </c>
      <c r="V19" t="s">
        <v>158</v>
      </c>
      <c r="AK19">
        <v>2030</v>
      </c>
      <c r="AL19" t="s">
        <v>152</v>
      </c>
      <c r="AM19">
        <v>0.19133333333333333</v>
      </c>
      <c r="AN19" t="s">
        <v>241</v>
      </c>
    </row>
    <row r="20" spans="9:40" x14ac:dyDescent="0.45">
      <c r="I20" t="s">
        <v>167</v>
      </c>
      <c r="J20" t="s">
        <v>157</v>
      </c>
      <c r="K20">
        <v>0.99999999999999645</v>
      </c>
      <c r="L20" t="s">
        <v>158</v>
      </c>
      <c r="N20" t="s">
        <v>188</v>
      </c>
      <c r="O20" t="s">
        <v>157</v>
      </c>
      <c r="P20">
        <v>1.000000000000002</v>
      </c>
      <c r="Q20" t="s">
        <v>158</v>
      </c>
      <c r="S20" t="s">
        <v>209</v>
      </c>
      <c r="T20" t="s">
        <v>157</v>
      </c>
      <c r="U20">
        <v>1.0000000000000029</v>
      </c>
      <c r="V20" t="s">
        <v>158</v>
      </c>
      <c r="AK20">
        <v>2031</v>
      </c>
      <c r="AL20" t="s">
        <v>152</v>
      </c>
      <c r="AM20">
        <v>0.1935833333333333</v>
      </c>
      <c r="AN20" t="s">
        <v>241</v>
      </c>
    </row>
    <row r="21" spans="9:40" x14ac:dyDescent="0.45">
      <c r="I21" t="s">
        <v>168</v>
      </c>
      <c r="J21" t="s">
        <v>157</v>
      </c>
      <c r="K21">
        <v>1.0000000000000011</v>
      </c>
      <c r="L21" t="s">
        <v>158</v>
      </c>
      <c r="N21" t="s">
        <v>189</v>
      </c>
      <c r="O21" t="s">
        <v>157</v>
      </c>
      <c r="P21">
        <v>0.99999999999999722</v>
      </c>
      <c r="Q21" t="s">
        <v>158</v>
      </c>
      <c r="S21" t="s">
        <v>210</v>
      </c>
      <c r="T21" t="s">
        <v>157</v>
      </c>
      <c r="U21">
        <v>1.0000000000000022</v>
      </c>
      <c r="V21" t="s">
        <v>158</v>
      </c>
      <c r="AK21">
        <v>2032</v>
      </c>
      <c r="AL21" t="s">
        <v>152</v>
      </c>
      <c r="AM21">
        <v>0.19422500000000001</v>
      </c>
      <c r="AN21" t="s">
        <v>241</v>
      </c>
    </row>
    <row r="22" spans="9:40" x14ac:dyDescent="0.45">
      <c r="I22" t="s">
        <v>169</v>
      </c>
      <c r="J22" t="s">
        <v>157</v>
      </c>
      <c r="K22">
        <v>0.99999999999999833</v>
      </c>
      <c r="L22" t="s">
        <v>158</v>
      </c>
      <c r="N22" t="s">
        <v>190</v>
      </c>
      <c r="O22" t="s">
        <v>157</v>
      </c>
      <c r="P22">
        <v>1.0000000000000007</v>
      </c>
      <c r="Q22" t="s">
        <v>158</v>
      </c>
      <c r="S22" t="s">
        <v>211</v>
      </c>
      <c r="T22" t="s">
        <v>157</v>
      </c>
      <c r="U22">
        <v>0.99999999999999556</v>
      </c>
      <c r="V22" t="s">
        <v>158</v>
      </c>
      <c r="AK22">
        <v>2033</v>
      </c>
      <c r="AL22" t="s">
        <v>152</v>
      </c>
      <c r="AM22">
        <v>0.19018333333333334</v>
      </c>
      <c r="AN22" t="s">
        <v>241</v>
      </c>
    </row>
    <row r="23" spans="9:40" x14ac:dyDescent="0.45">
      <c r="I23" t="s">
        <v>170</v>
      </c>
      <c r="J23" t="s">
        <v>157</v>
      </c>
      <c r="K23">
        <v>0.99999999999999833</v>
      </c>
      <c r="L23" t="s">
        <v>158</v>
      </c>
      <c r="N23" t="s">
        <v>191</v>
      </c>
      <c r="O23" t="s">
        <v>157</v>
      </c>
      <c r="P23">
        <v>1.0000000000000033</v>
      </c>
      <c r="Q23" t="s">
        <v>158</v>
      </c>
      <c r="S23" t="s">
        <v>212</v>
      </c>
      <c r="T23" t="s">
        <v>157</v>
      </c>
      <c r="U23">
        <v>0.999999999999999</v>
      </c>
      <c r="V23" t="s">
        <v>158</v>
      </c>
      <c r="AK23">
        <v>2034</v>
      </c>
      <c r="AL23" t="s">
        <v>152</v>
      </c>
      <c r="AM23">
        <v>0.18642499999999998</v>
      </c>
      <c r="AN23" t="s">
        <v>241</v>
      </c>
    </row>
    <row r="24" spans="9:40" x14ac:dyDescent="0.45">
      <c r="I24" t="s">
        <v>171</v>
      </c>
      <c r="J24" t="s">
        <v>157</v>
      </c>
      <c r="K24">
        <v>0.99999999999999967</v>
      </c>
      <c r="L24" t="s">
        <v>158</v>
      </c>
      <c r="N24" t="s">
        <v>192</v>
      </c>
      <c r="O24" t="s">
        <v>157</v>
      </c>
      <c r="P24">
        <v>0.99999999999999878</v>
      </c>
      <c r="Q24" t="s">
        <v>158</v>
      </c>
      <c r="S24" t="s">
        <v>213</v>
      </c>
      <c r="T24" t="s">
        <v>157</v>
      </c>
      <c r="U24">
        <v>1.0000000000000007</v>
      </c>
      <c r="V24" t="s">
        <v>158</v>
      </c>
      <c r="AK24">
        <v>2035</v>
      </c>
      <c r="AL24" t="s">
        <v>152</v>
      </c>
      <c r="AM24">
        <v>0.18684166666666668</v>
      </c>
      <c r="AN24" t="s">
        <v>241</v>
      </c>
    </row>
    <row r="25" spans="9:40" x14ac:dyDescent="0.45">
      <c r="I25" t="s">
        <v>172</v>
      </c>
      <c r="J25" t="s">
        <v>157</v>
      </c>
      <c r="K25">
        <v>1.0000000000000013</v>
      </c>
      <c r="L25" t="s">
        <v>158</v>
      </c>
      <c r="N25" t="s">
        <v>193</v>
      </c>
      <c r="O25" t="s">
        <v>157</v>
      </c>
      <c r="P25">
        <v>0.99999999999999867</v>
      </c>
      <c r="Q25" t="s">
        <v>158</v>
      </c>
      <c r="S25" t="s">
        <v>214</v>
      </c>
      <c r="T25" t="s">
        <v>157</v>
      </c>
      <c r="U25">
        <v>1.0000000000000031</v>
      </c>
      <c r="V25" t="s">
        <v>158</v>
      </c>
      <c r="AK25">
        <v>2036</v>
      </c>
      <c r="AL25" t="s">
        <v>152</v>
      </c>
      <c r="AM25">
        <v>0.18250833333333336</v>
      </c>
      <c r="AN25" t="s">
        <v>241</v>
      </c>
    </row>
    <row r="26" spans="9:40" x14ac:dyDescent="0.45">
      <c r="I26" t="s">
        <v>173</v>
      </c>
      <c r="J26" t="s">
        <v>157</v>
      </c>
      <c r="K26">
        <v>0.99999999999999933</v>
      </c>
      <c r="L26" t="s">
        <v>158</v>
      </c>
      <c r="N26" t="s">
        <v>194</v>
      </c>
      <c r="O26" t="s">
        <v>157</v>
      </c>
      <c r="P26">
        <v>0.99999999999999711</v>
      </c>
      <c r="Q26" t="s">
        <v>158</v>
      </c>
      <c r="S26" t="s">
        <v>215</v>
      </c>
      <c r="T26" t="s">
        <v>157</v>
      </c>
      <c r="U26">
        <v>1.0000000000000011</v>
      </c>
      <c r="V26" t="s">
        <v>158</v>
      </c>
      <c r="AK26">
        <v>2037</v>
      </c>
      <c r="AL26" t="s">
        <v>152</v>
      </c>
      <c r="AM26">
        <v>0.18601666666666664</v>
      </c>
      <c r="AN26" t="s">
        <v>241</v>
      </c>
    </row>
    <row r="27" spans="9:40" x14ac:dyDescent="0.45">
      <c r="I27" t="s">
        <v>174</v>
      </c>
      <c r="J27" t="s">
        <v>157</v>
      </c>
      <c r="K27">
        <v>1.0000000000000036</v>
      </c>
      <c r="L27" t="s">
        <v>158</v>
      </c>
      <c r="N27" t="s">
        <v>195</v>
      </c>
      <c r="O27" t="s">
        <v>157</v>
      </c>
      <c r="P27">
        <v>1.0000000000000007</v>
      </c>
      <c r="Q27" t="s">
        <v>158</v>
      </c>
      <c r="S27" t="s">
        <v>216</v>
      </c>
      <c r="T27" t="s">
        <v>157</v>
      </c>
      <c r="U27">
        <v>0.99999999999999767</v>
      </c>
      <c r="V27" t="s">
        <v>158</v>
      </c>
      <c r="AK27">
        <v>2038</v>
      </c>
      <c r="AL27" t="s">
        <v>152</v>
      </c>
      <c r="AM27">
        <v>0.16084999999999999</v>
      </c>
      <c r="AN27" t="s">
        <v>241</v>
      </c>
    </row>
    <row r="28" spans="9:40" x14ac:dyDescent="0.45">
      <c r="I28" t="s">
        <v>175</v>
      </c>
      <c r="J28" t="s">
        <v>157</v>
      </c>
      <c r="K28">
        <v>1.0000000000000044</v>
      </c>
      <c r="L28" t="s">
        <v>158</v>
      </c>
      <c r="N28" t="s">
        <v>196</v>
      </c>
      <c r="O28" t="s">
        <v>157</v>
      </c>
      <c r="P28">
        <v>0.99999999999999822</v>
      </c>
      <c r="Q28" t="s">
        <v>158</v>
      </c>
      <c r="S28" t="s">
        <v>217</v>
      </c>
      <c r="T28" t="s">
        <v>157</v>
      </c>
      <c r="U28">
        <v>0.99999999999999756</v>
      </c>
      <c r="V28" t="s">
        <v>158</v>
      </c>
      <c r="AK28">
        <v>2039</v>
      </c>
      <c r="AL28" t="s">
        <v>152</v>
      </c>
      <c r="AM28">
        <v>0.15689999999999998</v>
      </c>
      <c r="AN28" t="s">
        <v>241</v>
      </c>
    </row>
    <row r="29" spans="9:40" x14ac:dyDescent="0.45">
      <c r="I29" t="s">
        <v>176</v>
      </c>
      <c r="J29" t="s">
        <v>157</v>
      </c>
      <c r="K29">
        <v>1.0000000000000007</v>
      </c>
      <c r="L29" t="s">
        <v>158</v>
      </c>
      <c r="N29" t="s">
        <v>197</v>
      </c>
      <c r="O29" t="s">
        <v>157</v>
      </c>
      <c r="P29">
        <v>0.999999999999999</v>
      </c>
      <c r="Q29" t="s">
        <v>158</v>
      </c>
      <c r="S29" t="s">
        <v>218</v>
      </c>
      <c r="T29" t="s">
        <v>157</v>
      </c>
      <c r="U29">
        <v>1.0000000000000002</v>
      </c>
      <c r="V29" t="s">
        <v>158</v>
      </c>
      <c r="AK29">
        <v>2040</v>
      </c>
      <c r="AL29" t="s">
        <v>152</v>
      </c>
      <c r="AM29">
        <v>0.18988333333333332</v>
      </c>
      <c r="AN29" t="s">
        <v>241</v>
      </c>
    </row>
    <row r="30" spans="9:40" x14ac:dyDescent="0.45">
      <c r="I30" t="s">
        <v>177</v>
      </c>
      <c r="J30" t="s">
        <v>157</v>
      </c>
      <c r="K30">
        <v>1.0000000000000024</v>
      </c>
      <c r="L30" t="s">
        <v>158</v>
      </c>
      <c r="N30" t="s">
        <v>198</v>
      </c>
      <c r="O30" t="s">
        <v>157</v>
      </c>
      <c r="P30">
        <v>1</v>
      </c>
      <c r="Q30" t="s">
        <v>158</v>
      </c>
      <c r="S30" t="s">
        <v>219</v>
      </c>
      <c r="T30" t="s">
        <v>157</v>
      </c>
      <c r="U30">
        <v>0.99999999999999745</v>
      </c>
      <c r="V30" t="s">
        <v>158</v>
      </c>
      <c r="AK30">
        <v>2041</v>
      </c>
      <c r="AL30" t="s">
        <v>152</v>
      </c>
      <c r="AM30">
        <v>0.18389166666666668</v>
      </c>
      <c r="AN30" t="s">
        <v>241</v>
      </c>
    </row>
    <row r="31" spans="9:40" x14ac:dyDescent="0.45">
      <c r="I31" t="s">
        <v>178</v>
      </c>
      <c r="J31" t="s">
        <v>157</v>
      </c>
      <c r="K31">
        <v>0.99999999999999822</v>
      </c>
      <c r="L31" t="s">
        <v>158</v>
      </c>
      <c r="N31" t="s">
        <v>199</v>
      </c>
      <c r="O31" t="s">
        <v>157</v>
      </c>
      <c r="P31">
        <v>1.0000000000000024</v>
      </c>
      <c r="Q31" t="s">
        <v>158</v>
      </c>
      <c r="S31" t="s">
        <v>220</v>
      </c>
      <c r="T31" t="s">
        <v>157</v>
      </c>
      <c r="U31">
        <v>1.0000000000000016</v>
      </c>
      <c r="V31" t="s">
        <v>158</v>
      </c>
      <c r="AK31">
        <v>2042</v>
      </c>
      <c r="AL31" t="s">
        <v>152</v>
      </c>
      <c r="AM31">
        <v>0.19510833333333333</v>
      </c>
      <c r="AN31" t="s">
        <v>241</v>
      </c>
    </row>
    <row r="32" spans="9:40" x14ac:dyDescent="0.45">
      <c r="S32" t="s">
        <v>221</v>
      </c>
      <c r="T32" t="s">
        <v>157</v>
      </c>
      <c r="U32">
        <v>0.99999999999999967</v>
      </c>
      <c r="V32" t="s">
        <v>158</v>
      </c>
      <c r="AK32">
        <v>2043</v>
      </c>
      <c r="AL32" t="s">
        <v>152</v>
      </c>
      <c r="AM32">
        <v>0.19500833333333331</v>
      </c>
      <c r="AN32" t="s">
        <v>241</v>
      </c>
    </row>
    <row r="33" spans="19:40" x14ac:dyDescent="0.45">
      <c r="S33" t="s">
        <v>222</v>
      </c>
      <c r="T33" t="s">
        <v>157</v>
      </c>
      <c r="U33">
        <v>1</v>
      </c>
      <c r="V33" t="s">
        <v>158</v>
      </c>
      <c r="AK33">
        <v>2044</v>
      </c>
      <c r="AL33" t="s">
        <v>152</v>
      </c>
      <c r="AM33">
        <v>0.19254166666666669</v>
      </c>
      <c r="AN33" t="s">
        <v>241</v>
      </c>
    </row>
    <row r="34" spans="19:40" x14ac:dyDescent="0.45">
      <c r="S34" t="s">
        <v>223</v>
      </c>
      <c r="T34" t="s">
        <v>157</v>
      </c>
      <c r="U34">
        <v>0.99999999999999933</v>
      </c>
      <c r="V34" t="s">
        <v>158</v>
      </c>
      <c r="AK34">
        <v>2045</v>
      </c>
      <c r="AL34" t="s">
        <v>152</v>
      </c>
      <c r="AM34">
        <v>0.18765000000000001</v>
      </c>
      <c r="AN34" t="s">
        <v>241</v>
      </c>
    </row>
    <row r="35" spans="19:40" x14ac:dyDescent="0.45">
      <c r="S35" t="s">
        <v>224</v>
      </c>
      <c r="T35" t="s">
        <v>157</v>
      </c>
      <c r="U35">
        <v>1</v>
      </c>
      <c r="V35" t="s">
        <v>158</v>
      </c>
      <c r="AK35">
        <v>2046</v>
      </c>
      <c r="AL35" t="s">
        <v>152</v>
      </c>
      <c r="AM35">
        <v>0.18576666666666672</v>
      </c>
      <c r="AN35" t="s">
        <v>241</v>
      </c>
    </row>
    <row r="36" spans="19:40" x14ac:dyDescent="0.45">
      <c r="S36" t="s">
        <v>225</v>
      </c>
      <c r="T36" t="s">
        <v>157</v>
      </c>
      <c r="U36">
        <v>0.99999999999999778</v>
      </c>
      <c r="V36" t="s">
        <v>158</v>
      </c>
      <c r="AK36">
        <v>2047</v>
      </c>
      <c r="AL36" t="s">
        <v>152</v>
      </c>
      <c r="AM36">
        <v>0.18723333333333336</v>
      </c>
      <c r="AN36" t="s">
        <v>241</v>
      </c>
    </row>
    <row r="37" spans="19:40" x14ac:dyDescent="0.45">
      <c r="S37" t="s">
        <v>226</v>
      </c>
      <c r="T37" t="s">
        <v>157</v>
      </c>
      <c r="U37">
        <v>0.99999999999999667</v>
      </c>
      <c r="V37" t="s">
        <v>158</v>
      </c>
      <c r="AK37">
        <v>2048</v>
      </c>
      <c r="AL37" t="s">
        <v>152</v>
      </c>
      <c r="AM37">
        <v>0.19615000000000002</v>
      </c>
      <c r="AN37" t="s">
        <v>241</v>
      </c>
    </row>
    <row r="38" spans="19:40" x14ac:dyDescent="0.45">
      <c r="S38" t="s">
        <v>227</v>
      </c>
      <c r="T38" t="s">
        <v>157</v>
      </c>
      <c r="U38">
        <v>1</v>
      </c>
      <c r="V38" t="s">
        <v>158</v>
      </c>
      <c r="AK38">
        <v>2049</v>
      </c>
      <c r="AL38" t="s">
        <v>152</v>
      </c>
      <c r="AM38">
        <v>0.18586666666666665</v>
      </c>
      <c r="AN38" t="s">
        <v>241</v>
      </c>
    </row>
    <row r="39" spans="19:40" x14ac:dyDescent="0.45">
      <c r="S39" t="s">
        <v>228</v>
      </c>
      <c r="T39" t="s">
        <v>157</v>
      </c>
      <c r="U39">
        <v>0.99999999999999956</v>
      </c>
      <c r="V39" t="s">
        <v>158</v>
      </c>
      <c r="AK39">
        <v>2050</v>
      </c>
      <c r="AL39" t="s">
        <v>152</v>
      </c>
      <c r="AM39">
        <v>0.18270833333333336</v>
      </c>
      <c r="AN39" t="s">
        <v>241</v>
      </c>
    </row>
    <row r="40" spans="19:40" x14ac:dyDescent="0.45">
      <c r="S40" t="s">
        <v>229</v>
      </c>
      <c r="T40" t="s">
        <v>157</v>
      </c>
      <c r="U40">
        <v>1</v>
      </c>
      <c r="V40" t="s">
        <v>158</v>
      </c>
    </row>
    <row r="41" spans="19:40" x14ac:dyDescent="0.45">
      <c r="S41" t="s">
        <v>230</v>
      </c>
      <c r="T41" t="s">
        <v>157</v>
      </c>
      <c r="U41">
        <v>1.0000000000000016</v>
      </c>
      <c r="V41" t="s">
        <v>158</v>
      </c>
    </row>
    <row r="42" spans="19:40" x14ac:dyDescent="0.45">
      <c r="S42" t="s">
        <v>231</v>
      </c>
      <c r="T42" t="s">
        <v>157</v>
      </c>
      <c r="U42">
        <v>0.99999999999999656</v>
      </c>
      <c r="V42" t="s">
        <v>158</v>
      </c>
    </row>
    <row r="43" spans="19:40" x14ac:dyDescent="0.45">
      <c r="S43" t="s">
        <v>232</v>
      </c>
      <c r="T43" t="s">
        <v>157</v>
      </c>
      <c r="U43">
        <v>1</v>
      </c>
      <c r="V43" t="s">
        <v>158</v>
      </c>
    </row>
    <row r="44" spans="19:40" x14ac:dyDescent="0.45">
      <c r="S44" t="s">
        <v>233</v>
      </c>
      <c r="T44" t="s">
        <v>157</v>
      </c>
      <c r="U44">
        <v>0.99999999999999645</v>
      </c>
      <c r="V44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FB69-21D9-4D73-9943-9BCC0CE1B21E}">
  <dimension ref="A9:AN41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155</v>
      </c>
      <c r="L10" t="s">
        <v>30</v>
      </c>
      <c r="N10" t="s">
        <v>13</v>
      </c>
      <c r="O10" t="s">
        <v>121</v>
      </c>
      <c r="P10" t="s">
        <v>155</v>
      </c>
      <c r="Q10" t="s">
        <v>30</v>
      </c>
      <c r="S10" t="s">
        <v>13</v>
      </c>
      <c r="T10" t="s">
        <v>121</v>
      </c>
      <c r="U10" t="s">
        <v>155</v>
      </c>
      <c r="V10" t="s">
        <v>30</v>
      </c>
      <c r="X10" t="s">
        <v>234</v>
      </c>
      <c r="Y10" t="s">
        <v>155</v>
      </c>
      <c r="Z10" t="s">
        <v>121</v>
      </c>
      <c r="AA10" t="s">
        <v>13</v>
      </c>
      <c r="AC10" t="s">
        <v>13</v>
      </c>
      <c r="AD10" t="s">
        <v>121</v>
      </c>
      <c r="AE10" t="s">
        <v>155</v>
      </c>
      <c r="AG10" t="s">
        <v>13</v>
      </c>
      <c r="AH10" t="s">
        <v>121</v>
      </c>
      <c r="AI10" t="s">
        <v>238</v>
      </c>
      <c r="AK10" t="s">
        <v>47</v>
      </c>
      <c r="AL10" t="s">
        <v>121</v>
      </c>
      <c r="AM10" t="s">
        <v>239</v>
      </c>
      <c r="AN10" t="s">
        <v>240</v>
      </c>
    </row>
    <row r="11" spans="1:40" x14ac:dyDescent="0.45">
      <c r="A11" t="str">
        <f>IFERROR(IF(Veda!D5=A10,"ok","x"),"")</f>
        <v>x</v>
      </c>
      <c r="C11" t="s">
        <v>242</v>
      </c>
      <c r="D11" t="s">
        <v>153</v>
      </c>
      <c r="E11" t="s">
        <v>236</v>
      </c>
      <c r="F11" t="s">
        <v>243</v>
      </c>
      <c r="G11" t="s">
        <v>153</v>
      </c>
      <c r="I11" t="s">
        <v>156</v>
      </c>
      <c r="J11" t="s">
        <v>248</v>
      </c>
      <c r="K11">
        <v>0.16303843115963129</v>
      </c>
      <c r="L11" t="s">
        <v>158</v>
      </c>
      <c r="N11" t="s">
        <v>179</v>
      </c>
      <c r="O11" t="s">
        <v>248</v>
      </c>
      <c r="P11">
        <v>0.12909683379135767</v>
      </c>
      <c r="Q11" t="s">
        <v>158</v>
      </c>
      <c r="S11" t="s">
        <v>200</v>
      </c>
      <c r="T11" t="s">
        <v>248</v>
      </c>
      <c r="U11">
        <v>0.11987529079033209</v>
      </c>
      <c r="V11" t="s">
        <v>158</v>
      </c>
      <c r="X11">
        <v>0.11426940639269406</v>
      </c>
      <c r="Y11">
        <v>0.16087081189037786</v>
      </c>
      <c r="Z11" t="s">
        <v>248</v>
      </c>
      <c r="AA11" t="s">
        <v>25</v>
      </c>
      <c r="AC11" t="s">
        <v>22</v>
      </c>
      <c r="AD11" t="s">
        <v>248</v>
      </c>
      <c r="AE11">
        <v>0.12089838316465713</v>
      </c>
      <c r="AG11" t="s">
        <v>96</v>
      </c>
      <c r="AH11" t="s">
        <v>248</v>
      </c>
      <c r="AI11">
        <v>0.21548514076446623</v>
      </c>
      <c r="AK11">
        <v>2020</v>
      </c>
      <c r="AL11" t="s">
        <v>242</v>
      </c>
      <c r="AM11">
        <v>0.2341751089725754</v>
      </c>
      <c r="AN11" t="s">
        <v>241</v>
      </c>
    </row>
    <row r="12" spans="1:40" x14ac:dyDescent="0.45">
      <c r="C12" t="s">
        <v>244</v>
      </c>
      <c r="E12" t="s">
        <v>237</v>
      </c>
      <c r="G12" t="s">
        <v>153</v>
      </c>
      <c r="I12" t="s">
        <v>156</v>
      </c>
      <c r="J12" t="s">
        <v>249</v>
      </c>
      <c r="K12">
        <v>6.9634710720037623E-5</v>
      </c>
      <c r="L12" t="s">
        <v>158</v>
      </c>
      <c r="N12" t="s">
        <v>179</v>
      </c>
      <c r="O12" t="s">
        <v>249</v>
      </c>
      <c r="P12">
        <v>0.12888274038193473</v>
      </c>
      <c r="Q12" t="s">
        <v>158</v>
      </c>
      <c r="S12" t="s">
        <v>200</v>
      </c>
      <c r="T12" t="s">
        <v>249</v>
      </c>
      <c r="U12">
        <v>0.12388092295985015</v>
      </c>
      <c r="V12" t="s">
        <v>158</v>
      </c>
      <c r="X12">
        <v>0.11426940639269406</v>
      </c>
      <c r="Y12">
        <v>5.2547713165767528E-2</v>
      </c>
      <c r="Z12" t="s">
        <v>249</v>
      </c>
      <c r="AA12" t="s">
        <v>25</v>
      </c>
      <c r="AC12" t="s">
        <v>22</v>
      </c>
      <c r="AD12" t="s">
        <v>249</v>
      </c>
      <c r="AE12">
        <v>9.6925036300481479E-2</v>
      </c>
      <c r="AG12" t="s">
        <v>96</v>
      </c>
      <c r="AH12" t="s">
        <v>249</v>
      </c>
      <c r="AI12">
        <v>0.41823679083045895</v>
      </c>
      <c r="AK12">
        <v>2020</v>
      </c>
      <c r="AL12" t="s">
        <v>244</v>
      </c>
      <c r="AM12">
        <v>0.20232893078673012</v>
      </c>
      <c r="AN12" t="s">
        <v>241</v>
      </c>
    </row>
    <row r="13" spans="1:40" x14ac:dyDescent="0.45">
      <c r="C13" t="s">
        <v>245</v>
      </c>
      <c r="E13" t="s">
        <v>246</v>
      </c>
      <c r="G13" t="s">
        <v>153</v>
      </c>
      <c r="I13" t="s">
        <v>156</v>
      </c>
      <c r="J13" t="s">
        <v>250</v>
      </c>
      <c r="K13">
        <v>1.0174185265865608E-2</v>
      </c>
      <c r="L13" t="s">
        <v>158</v>
      </c>
      <c r="N13" t="s">
        <v>179</v>
      </c>
      <c r="O13" t="s">
        <v>250</v>
      </c>
      <c r="P13">
        <v>2.3852166580831214E-2</v>
      </c>
      <c r="Q13" t="s">
        <v>158</v>
      </c>
      <c r="S13" t="s">
        <v>200</v>
      </c>
      <c r="T13" t="s">
        <v>250</v>
      </c>
      <c r="U13">
        <v>2.2742262230169511E-2</v>
      </c>
      <c r="V13" t="s">
        <v>158</v>
      </c>
      <c r="X13">
        <v>2.0776255707762557E-2</v>
      </c>
      <c r="Y13">
        <v>3.5896543437005365E-2</v>
      </c>
      <c r="Z13" t="s">
        <v>250</v>
      </c>
      <c r="AA13" t="s">
        <v>25</v>
      </c>
      <c r="AC13" t="s">
        <v>22</v>
      </c>
      <c r="AD13" t="s">
        <v>250</v>
      </c>
      <c r="AE13">
        <v>2.3274822452414301E-2</v>
      </c>
      <c r="AG13" t="s">
        <v>96</v>
      </c>
      <c r="AH13" t="s">
        <v>250</v>
      </c>
      <c r="AI13">
        <v>0.17346533414660859</v>
      </c>
      <c r="AK13">
        <v>2020</v>
      </c>
      <c r="AL13" t="s">
        <v>245</v>
      </c>
      <c r="AM13">
        <v>0.14047778814312908</v>
      </c>
      <c r="AN13" t="s">
        <v>241</v>
      </c>
    </row>
    <row r="14" spans="1:40" x14ac:dyDescent="0.45">
      <c r="C14" t="s">
        <v>247</v>
      </c>
      <c r="I14" t="s">
        <v>156</v>
      </c>
      <c r="J14" t="s">
        <v>251</v>
      </c>
      <c r="K14">
        <v>0.27729152432523069</v>
      </c>
      <c r="L14" t="s">
        <v>158</v>
      </c>
      <c r="N14" t="s">
        <v>179</v>
      </c>
      <c r="O14" t="s">
        <v>251</v>
      </c>
      <c r="P14">
        <v>0.13233580406555054</v>
      </c>
      <c r="Q14" t="s">
        <v>158</v>
      </c>
      <c r="S14" t="s">
        <v>200</v>
      </c>
      <c r="T14" t="s">
        <v>251</v>
      </c>
      <c r="U14">
        <v>0.11697255578858669</v>
      </c>
      <c r="V14" t="s">
        <v>158</v>
      </c>
      <c r="X14">
        <v>0.11552511415525114</v>
      </c>
      <c r="Y14">
        <v>0.16263862301005233</v>
      </c>
      <c r="Z14" t="s">
        <v>251</v>
      </c>
      <c r="AA14" t="s">
        <v>25</v>
      </c>
      <c r="AC14" t="s">
        <v>22</v>
      </c>
      <c r="AD14" t="s">
        <v>251</v>
      </c>
      <c r="AE14">
        <v>0.13346400598599209</v>
      </c>
      <c r="AG14" t="s">
        <v>96</v>
      </c>
      <c r="AH14" t="s">
        <v>251</v>
      </c>
      <c r="AI14">
        <v>0.15023409881490402</v>
      </c>
      <c r="AK14">
        <v>2020</v>
      </c>
      <c r="AL14" t="s">
        <v>247</v>
      </c>
      <c r="AM14">
        <v>0.31829717782145894</v>
      </c>
      <c r="AN14" t="s">
        <v>241</v>
      </c>
    </row>
    <row r="15" spans="1:40" x14ac:dyDescent="0.45">
      <c r="I15" t="s">
        <v>156</v>
      </c>
      <c r="J15" t="s">
        <v>252</v>
      </c>
      <c r="K15">
        <v>9.0690136485859218E-3</v>
      </c>
      <c r="L15" t="s">
        <v>158</v>
      </c>
      <c r="N15" t="s">
        <v>179</v>
      </c>
      <c r="O15" t="s">
        <v>252</v>
      </c>
      <c r="P15">
        <v>0.11103536111096397</v>
      </c>
      <c r="Q15" t="s">
        <v>158</v>
      </c>
      <c r="S15" t="s">
        <v>200</v>
      </c>
      <c r="T15" t="s">
        <v>252</v>
      </c>
      <c r="U15">
        <v>0.12011077143363799</v>
      </c>
      <c r="V15" t="s">
        <v>158</v>
      </c>
      <c r="X15">
        <v>0.11552511415525114</v>
      </c>
      <c r="Y15">
        <v>5.3125160563193538E-2</v>
      </c>
      <c r="Z15" t="s">
        <v>252</v>
      </c>
      <c r="AA15" t="s">
        <v>25</v>
      </c>
      <c r="AC15" t="s">
        <v>22</v>
      </c>
      <c r="AD15" t="s">
        <v>252</v>
      </c>
      <c r="AE15">
        <v>0.1039981062172623</v>
      </c>
      <c r="AG15" t="s">
        <v>96</v>
      </c>
      <c r="AH15" t="s">
        <v>252</v>
      </c>
      <c r="AI15">
        <v>0.37012989949102004</v>
      </c>
      <c r="AK15">
        <v>2021</v>
      </c>
      <c r="AL15" t="s">
        <v>242</v>
      </c>
      <c r="AM15">
        <v>0.20035133085655987</v>
      </c>
      <c r="AN15" t="s">
        <v>241</v>
      </c>
    </row>
    <row r="16" spans="1:40" x14ac:dyDescent="0.45">
      <c r="I16" t="s">
        <v>156</v>
      </c>
      <c r="J16" t="s">
        <v>253</v>
      </c>
      <c r="K16">
        <v>3.5834569148825046E-2</v>
      </c>
      <c r="L16" t="s">
        <v>158</v>
      </c>
      <c r="N16" t="s">
        <v>179</v>
      </c>
      <c r="O16" t="s">
        <v>253</v>
      </c>
      <c r="P16">
        <v>2.2539997884713576E-2</v>
      </c>
      <c r="Q16" t="s">
        <v>158</v>
      </c>
      <c r="S16" t="s">
        <v>200</v>
      </c>
      <c r="T16" t="s">
        <v>253</v>
      </c>
      <c r="U16">
        <v>2.2379844228497502E-2</v>
      </c>
      <c r="V16" t="s">
        <v>158</v>
      </c>
      <c r="X16">
        <v>2.1004566210045664E-2</v>
      </c>
      <c r="Y16">
        <v>3.6291010947302131E-2</v>
      </c>
      <c r="Z16" t="s">
        <v>253</v>
      </c>
      <c r="AA16" t="s">
        <v>25</v>
      </c>
      <c r="AC16" t="s">
        <v>22</v>
      </c>
      <c r="AD16" t="s">
        <v>253</v>
      </c>
      <c r="AE16">
        <v>2.51473375243037E-2</v>
      </c>
      <c r="AG16" t="s">
        <v>96</v>
      </c>
      <c r="AH16" t="s">
        <v>253</v>
      </c>
      <c r="AI16">
        <v>0.12172630000696993</v>
      </c>
      <c r="AK16">
        <v>2021</v>
      </c>
      <c r="AL16" t="s">
        <v>244</v>
      </c>
      <c r="AM16">
        <v>0.18425775901103628</v>
      </c>
      <c r="AN16" t="s">
        <v>241</v>
      </c>
    </row>
    <row r="17" spans="9:40" x14ac:dyDescent="0.45">
      <c r="I17" t="s">
        <v>156</v>
      </c>
      <c r="J17" t="s">
        <v>254</v>
      </c>
      <c r="K17">
        <v>0.3354851876716381</v>
      </c>
      <c r="L17" t="s">
        <v>158</v>
      </c>
      <c r="N17" t="s">
        <v>179</v>
      </c>
      <c r="O17" t="s">
        <v>254</v>
      </c>
      <c r="P17">
        <v>7.091227091875256E-2</v>
      </c>
      <c r="Q17" t="s">
        <v>158</v>
      </c>
      <c r="S17" t="s">
        <v>200</v>
      </c>
      <c r="T17" t="s">
        <v>254</v>
      </c>
      <c r="U17">
        <v>8.0263458052811945E-2</v>
      </c>
      <c r="V17" t="s">
        <v>158</v>
      </c>
      <c r="X17">
        <v>0.11552511415525114</v>
      </c>
      <c r="Y17">
        <v>0.16263862301005233</v>
      </c>
      <c r="Z17" t="s">
        <v>254</v>
      </c>
      <c r="AA17" t="s">
        <v>25</v>
      </c>
      <c r="AC17" t="s">
        <v>22</v>
      </c>
      <c r="AD17" t="s">
        <v>254</v>
      </c>
      <c r="AE17">
        <v>0.11436681804078906</v>
      </c>
      <c r="AG17" t="s">
        <v>96</v>
      </c>
      <c r="AH17" t="s">
        <v>254</v>
      </c>
      <c r="AI17">
        <v>0.12487158602121728</v>
      </c>
      <c r="AK17">
        <v>2021</v>
      </c>
      <c r="AL17" t="s">
        <v>245</v>
      </c>
      <c r="AM17">
        <v>7.2421073304855837E-2</v>
      </c>
      <c r="AN17" t="s">
        <v>241</v>
      </c>
    </row>
    <row r="18" spans="9:40" x14ac:dyDescent="0.45">
      <c r="I18" t="s">
        <v>156</v>
      </c>
      <c r="J18" t="s">
        <v>255</v>
      </c>
      <c r="K18">
        <v>2.2956965898850466E-2</v>
      </c>
      <c r="L18" t="s">
        <v>158</v>
      </c>
      <c r="N18" t="s">
        <v>179</v>
      </c>
      <c r="O18" t="s">
        <v>255</v>
      </c>
      <c r="P18">
        <v>5.6940210571359201E-2</v>
      </c>
      <c r="Q18" t="s">
        <v>158</v>
      </c>
      <c r="S18" t="s">
        <v>200</v>
      </c>
      <c r="T18" t="s">
        <v>255</v>
      </c>
      <c r="U18">
        <v>9.0837624724919713E-2</v>
      </c>
      <c r="V18" t="s">
        <v>158</v>
      </c>
      <c r="X18">
        <v>0.11552511415525114</v>
      </c>
      <c r="Y18">
        <v>5.3125160563193538E-2</v>
      </c>
      <c r="Z18" t="s">
        <v>255</v>
      </c>
      <c r="AA18" t="s">
        <v>25</v>
      </c>
      <c r="AC18" t="s">
        <v>22</v>
      </c>
      <c r="AD18" t="s">
        <v>255</v>
      </c>
      <c r="AE18">
        <v>9.1069146300056872E-2</v>
      </c>
      <c r="AG18" t="s">
        <v>96</v>
      </c>
      <c r="AH18" t="s">
        <v>255</v>
      </c>
      <c r="AI18">
        <v>0.27966603990125694</v>
      </c>
      <c r="AK18">
        <v>2021</v>
      </c>
      <c r="AL18" t="s">
        <v>247</v>
      </c>
      <c r="AM18">
        <v>0.21480826827711494</v>
      </c>
      <c r="AN18" t="s">
        <v>241</v>
      </c>
    </row>
    <row r="19" spans="9:40" x14ac:dyDescent="0.45">
      <c r="I19" t="s">
        <v>156</v>
      </c>
      <c r="J19" t="s">
        <v>256</v>
      </c>
      <c r="K19">
        <v>4.9599112947264136E-2</v>
      </c>
      <c r="L19" t="s">
        <v>158</v>
      </c>
      <c r="N19" t="s">
        <v>179</v>
      </c>
      <c r="O19" t="s">
        <v>256</v>
      </c>
      <c r="P19">
        <v>1.3253021821133422E-2</v>
      </c>
      <c r="Q19" t="s">
        <v>158</v>
      </c>
      <c r="S19" t="s">
        <v>200</v>
      </c>
      <c r="T19" t="s">
        <v>256</v>
      </c>
      <c r="U19">
        <v>1.6232125363024579E-2</v>
      </c>
      <c r="V19" t="s">
        <v>158</v>
      </c>
      <c r="X19">
        <v>2.1004566210045664E-2</v>
      </c>
      <c r="Y19">
        <v>3.6291010947302131E-2</v>
      </c>
      <c r="Z19" t="s">
        <v>256</v>
      </c>
      <c r="AA19" t="s">
        <v>25</v>
      </c>
      <c r="AC19" t="s">
        <v>22</v>
      </c>
      <c r="AD19" t="s">
        <v>256</v>
      </c>
      <c r="AE19">
        <v>2.1631033853177953E-2</v>
      </c>
      <c r="AG19" t="s">
        <v>96</v>
      </c>
      <c r="AH19" t="s">
        <v>256</v>
      </c>
      <c r="AI19">
        <v>7.5317195713238361E-2</v>
      </c>
      <c r="AK19">
        <v>2022</v>
      </c>
      <c r="AL19" t="s">
        <v>242</v>
      </c>
      <c r="AM19">
        <v>0.1961233585920579</v>
      </c>
      <c r="AN19" t="s">
        <v>241</v>
      </c>
    </row>
    <row r="20" spans="9:40" x14ac:dyDescent="0.45">
      <c r="I20" t="s">
        <v>156</v>
      </c>
      <c r="J20" t="s">
        <v>257</v>
      </c>
      <c r="K20">
        <v>9.4024037104384645E-2</v>
      </c>
      <c r="L20" t="s">
        <v>158</v>
      </c>
      <c r="N20" t="s">
        <v>179</v>
      </c>
      <c r="O20" t="s">
        <v>257</v>
      </c>
      <c r="P20">
        <v>0.14078855660251302</v>
      </c>
      <c r="Q20" t="s">
        <v>158</v>
      </c>
      <c r="S20" t="s">
        <v>200</v>
      </c>
      <c r="T20" t="s">
        <v>257</v>
      </c>
      <c r="U20">
        <v>0.12901066953352527</v>
      </c>
      <c r="V20" t="s">
        <v>158</v>
      </c>
      <c r="X20">
        <v>0.11301369863013698</v>
      </c>
      <c r="Y20">
        <v>0.15910300077070333</v>
      </c>
      <c r="Z20" t="s">
        <v>257</v>
      </c>
      <c r="AA20" t="s">
        <v>25</v>
      </c>
      <c r="AC20" t="s">
        <v>22</v>
      </c>
      <c r="AD20" t="s">
        <v>257</v>
      </c>
      <c r="AE20">
        <v>0.13565882264297821</v>
      </c>
      <c r="AG20" t="s">
        <v>96</v>
      </c>
      <c r="AH20" t="s">
        <v>257</v>
      </c>
      <c r="AI20">
        <v>0.11818163194438291</v>
      </c>
      <c r="AK20">
        <v>2022</v>
      </c>
      <c r="AL20" t="s">
        <v>244</v>
      </c>
      <c r="AM20">
        <v>0.16093571845523527</v>
      </c>
      <c r="AN20" t="s">
        <v>241</v>
      </c>
    </row>
    <row r="21" spans="9:40" x14ac:dyDescent="0.45">
      <c r="I21" t="s">
        <v>156</v>
      </c>
      <c r="J21" t="s">
        <v>258</v>
      </c>
      <c r="K21">
        <v>0</v>
      </c>
      <c r="L21" t="s">
        <v>158</v>
      </c>
      <c r="N21" t="s">
        <v>179</v>
      </c>
      <c r="O21" t="s">
        <v>258</v>
      </c>
      <c r="P21">
        <v>0.14438788949205864</v>
      </c>
      <c r="Q21" t="s">
        <v>158</v>
      </c>
      <c r="S21" t="s">
        <v>200</v>
      </c>
      <c r="T21" t="s">
        <v>258</v>
      </c>
      <c r="U21">
        <v>0.13361151508503999</v>
      </c>
      <c r="V21" t="s">
        <v>158</v>
      </c>
      <c r="X21">
        <v>0.11301369863013698</v>
      </c>
      <c r="Y21">
        <v>5.197026576834151E-2</v>
      </c>
      <c r="Z21" t="s">
        <v>258</v>
      </c>
      <c r="AA21" t="s">
        <v>25</v>
      </c>
      <c r="AC21" t="s">
        <v>22</v>
      </c>
      <c r="AD21" t="s">
        <v>258</v>
      </c>
      <c r="AE21">
        <v>0.10755240683549347</v>
      </c>
      <c r="AG21" t="s">
        <v>96</v>
      </c>
      <c r="AH21" t="s">
        <v>258</v>
      </c>
      <c r="AI21">
        <v>0.32080756939665345</v>
      </c>
      <c r="AK21">
        <v>2022</v>
      </c>
      <c r="AL21" t="s">
        <v>245</v>
      </c>
      <c r="AM21">
        <v>0.10767690654271883</v>
      </c>
      <c r="AN21" t="s">
        <v>241</v>
      </c>
    </row>
    <row r="22" spans="9:40" x14ac:dyDescent="0.45">
      <c r="I22" t="s">
        <v>156</v>
      </c>
      <c r="J22" t="s">
        <v>259</v>
      </c>
      <c r="K22">
        <v>2.457338119004851E-3</v>
      </c>
      <c r="L22" t="s">
        <v>158</v>
      </c>
      <c r="N22" t="s">
        <v>179</v>
      </c>
      <c r="O22" t="s">
        <v>259</v>
      </c>
      <c r="P22">
        <v>2.5975146778826994E-2</v>
      </c>
      <c r="Q22" t="s">
        <v>158</v>
      </c>
      <c r="S22" t="s">
        <v>200</v>
      </c>
      <c r="T22" t="s">
        <v>259</v>
      </c>
      <c r="U22">
        <v>2.408295980960674E-2</v>
      </c>
      <c r="V22" t="s">
        <v>158</v>
      </c>
      <c r="X22">
        <v>2.0547945205479451E-2</v>
      </c>
      <c r="Y22">
        <v>3.5502075926708607E-2</v>
      </c>
      <c r="Z22" t="s">
        <v>259</v>
      </c>
      <c r="AA22" t="s">
        <v>25</v>
      </c>
      <c r="AC22" t="s">
        <v>22</v>
      </c>
      <c r="AD22" t="s">
        <v>259</v>
      </c>
      <c r="AE22">
        <v>2.6014080682393494E-2</v>
      </c>
      <c r="AG22" t="s">
        <v>96</v>
      </c>
      <c r="AH22" t="s">
        <v>259</v>
      </c>
      <c r="AI22">
        <v>7.7059865628238189E-2</v>
      </c>
      <c r="AK22">
        <v>2022</v>
      </c>
      <c r="AL22" t="s">
        <v>247</v>
      </c>
      <c r="AM22">
        <v>0.23490087840507631</v>
      </c>
      <c r="AN22" t="s">
        <v>241</v>
      </c>
    </row>
    <row r="23" spans="9:40" x14ac:dyDescent="0.45">
      <c r="I23" t="s">
        <v>159</v>
      </c>
      <c r="J23" t="s">
        <v>248</v>
      </c>
      <c r="K23">
        <v>0.15777039757550784</v>
      </c>
      <c r="L23" t="s">
        <v>158</v>
      </c>
      <c r="N23" t="s">
        <v>180</v>
      </c>
      <c r="O23" t="s">
        <v>248</v>
      </c>
      <c r="P23">
        <v>0.12294252071897886</v>
      </c>
      <c r="Q23" t="s">
        <v>158</v>
      </c>
      <c r="S23" t="s">
        <v>201</v>
      </c>
      <c r="T23" t="s">
        <v>248</v>
      </c>
      <c r="U23">
        <v>0.1170418624591435</v>
      </c>
      <c r="V23" t="s">
        <v>158</v>
      </c>
      <c r="AC23" t="s">
        <v>19</v>
      </c>
      <c r="AD23" t="s">
        <v>248</v>
      </c>
      <c r="AE23">
        <v>0.11497193289567818</v>
      </c>
      <c r="AK23">
        <v>2025</v>
      </c>
      <c r="AL23" t="s">
        <v>242</v>
      </c>
      <c r="AM23">
        <v>0.20130000000000001</v>
      </c>
      <c r="AN23" t="s">
        <v>241</v>
      </c>
    </row>
    <row r="24" spans="9:40" x14ac:dyDescent="0.45">
      <c r="I24" t="s">
        <v>159</v>
      </c>
      <c r="J24" t="s">
        <v>249</v>
      </c>
      <c r="K24">
        <v>4.8998776683271104E-4</v>
      </c>
      <c r="L24" t="s">
        <v>158</v>
      </c>
      <c r="N24" t="s">
        <v>180</v>
      </c>
      <c r="O24" t="s">
        <v>249</v>
      </c>
      <c r="P24">
        <v>0.12771463006170627</v>
      </c>
      <c r="Q24" t="s">
        <v>158</v>
      </c>
      <c r="S24" t="s">
        <v>201</v>
      </c>
      <c r="T24" t="s">
        <v>249</v>
      </c>
      <c r="U24">
        <v>0.11961975180740445</v>
      </c>
      <c r="V24" t="s">
        <v>158</v>
      </c>
      <c r="AC24" t="s">
        <v>19</v>
      </c>
      <c r="AD24" t="s">
        <v>249</v>
      </c>
      <c r="AE24">
        <v>0.11329267374986508</v>
      </c>
      <c r="AK24">
        <v>2025</v>
      </c>
      <c r="AL24" t="s">
        <v>244</v>
      </c>
      <c r="AM24">
        <v>0.17873333333333333</v>
      </c>
      <c r="AN24" t="s">
        <v>241</v>
      </c>
    </row>
    <row r="25" spans="9:40" x14ac:dyDescent="0.45">
      <c r="I25" t="s">
        <v>159</v>
      </c>
      <c r="J25" t="s">
        <v>250</v>
      </c>
      <c r="K25">
        <v>1.154762730724971E-2</v>
      </c>
      <c r="L25" t="s">
        <v>158</v>
      </c>
      <c r="N25" t="s">
        <v>180</v>
      </c>
      <c r="O25" t="s">
        <v>250</v>
      </c>
      <c r="P25">
        <v>2.2805501172709606E-2</v>
      </c>
      <c r="Q25" t="s">
        <v>158</v>
      </c>
      <c r="S25" t="s">
        <v>201</v>
      </c>
      <c r="T25" t="s">
        <v>250</v>
      </c>
      <c r="U25">
        <v>2.3150726759843553E-2</v>
      </c>
      <c r="V25" t="s">
        <v>158</v>
      </c>
      <c r="AC25" t="s">
        <v>19</v>
      </c>
      <c r="AD25" t="s">
        <v>250</v>
      </c>
      <c r="AE25">
        <v>2.0994579359549712E-2</v>
      </c>
      <c r="AK25">
        <v>2025</v>
      </c>
      <c r="AL25" t="s">
        <v>245</v>
      </c>
      <c r="AM25">
        <v>0.107</v>
      </c>
      <c r="AN25" t="s">
        <v>241</v>
      </c>
    </row>
    <row r="26" spans="9:40" x14ac:dyDescent="0.45">
      <c r="I26" t="s">
        <v>159</v>
      </c>
      <c r="J26" t="s">
        <v>251</v>
      </c>
      <c r="K26">
        <v>0.27267725014714883</v>
      </c>
      <c r="L26" t="s">
        <v>158</v>
      </c>
      <c r="N26" t="s">
        <v>180</v>
      </c>
      <c r="O26" t="s">
        <v>251</v>
      </c>
      <c r="P26">
        <v>0.1256804688780129</v>
      </c>
      <c r="Q26" t="s">
        <v>158</v>
      </c>
      <c r="S26" t="s">
        <v>201</v>
      </c>
      <c r="T26" t="s">
        <v>251</v>
      </c>
      <c r="U26">
        <v>0.10673390078341444</v>
      </c>
      <c r="V26" t="s">
        <v>158</v>
      </c>
      <c r="AC26" t="s">
        <v>19</v>
      </c>
      <c r="AD26" t="s">
        <v>251</v>
      </c>
      <c r="AE26">
        <v>0.11647572288834011</v>
      </c>
      <c r="AK26">
        <v>2025</v>
      </c>
      <c r="AL26" t="s">
        <v>247</v>
      </c>
      <c r="AM26">
        <v>0.26343333333333335</v>
      </c>
      <c r="AN26" t="s">
        <v>241</v>
      </c>
    </row>
    <row r="27" spans="9:40" x14ac:dyDescent="0.45">
      <c r="I27" t="s">
        <v>159</v>
      </c>
      <c r="J27" t="s">
        <v>252</v>
      </c>
      <c r="K27">
        <v>1.0230396055359525E-2</v>
      </c>
      <c r="L27" t="s">
        <v>158</v>
      </c>
      <c r="N27" t="s">
        <v>180</v>
      </c>
      <c r="O27" t="s">
        <v>252</v>
      </c>
      <c r="P27">
        <v>0.12003609109493406</v>
      </c>
      <c r="Q27" t="s">
        <v>158</v>
      </c>
      <c r="S27" t="s">
        <v>201</v>
      </c>
      <c r="T27" t="s">
        <v>252</v>
      </c>
      <c r="U27">
        <v>0.11897085669434304</v>
      </c>
      <c r="V27" t="s">
        <v>158</v>
      </c>
      <c r="AC27" t="s">
        <v>19</v>
      </c>
      <c r="AD27" t="s">
        <v>252</v>
      </c>
      <c r="AE27">
        <v>0.11441172732040408</v>
      </c>
      <c r="AK27">
        <v>2026</v>
      </c>
      <c r="AL27" t="s">
        <v>242</v>
      </c>
      <c r="AM27">
        <v>0.19113333333333329</v>
      </c>
      <c r="AN27" t="s">
        <v>241</v>
      </c>
    </row>
    <row r="28" spans="9:40" x14ac:dyDescent="0.45">
      <c r="I28" t="s">
        <v>159</v>
      </c>
      <c r="J28" t="s">
        <v>253</v>
      </c>
      <c r="K28">
        <v>3.4670165426652445E-2</v>
      </c>
      <c r="L28" t="s">
        <v>158</v>
      </c>
      <c r="N28" t="s">
        <v>180</v>
      </c>
      <c r="O28" t="s">
        <v>253</v>
      </c>
      <c r="P28">
        <v>2.2844565151190512E-2</v>
      </c>
      <c r="Q28" t="s">
        <v>158</v>
      </c>
      <c r="S28" t="s">
        <v>201</v>
      </c>
      <c r="T28" t="s">
        <v>253</v>
      </c>
      <c r="U28">
        <v>2.0666216810434988E-2</v>
      </c>
      <c r="V28" t="s">
        <v>158</v>
      </c>
      <c r="AC28" t="s">
        <v>19</v>
      </c>
      <c r="AD28" t="s">
        <v>253</v>
      </c>
      <c r="AE28">
        <v>2.1239126329853239E-2</v>
      </c>
      <c r="AK28">
        <v>2026</v>
      </c>
      <c r="AL28" t="s">
        <v>244</v>
      </c>
      <c r="AM28">
        <v>0.17753333333333332</v>
      </c>
      <c r="AN28" t="s">
        <v>241</v>
      </c>
    </row>
    <row r="29" spans="9:40" x14ac:dyDescent="0.45">
      <c r="I29" t="s">
        <v>159</v>
      </c>
      <c r="J29" t="s">
        <v>254</v>
      </c>
      <c r="K29">
        <v>0.33523113757314793</v>
      </c>
      <c r="L29" t="s">
        <v>158</v>
      </c>
      <c r="N29" t="s">
        <v>180</v>
      </c>
      <c r="O29" t="s">
        <v>254</v>
      </c>
      <c r="P29">
        <v>7.2838487248673631E-2</v>
      </c>
      <c r="Q29" t="s">
        <v>158</v>
      </c>
      <c r="S29" t="s">
        <v>201</v>
      </c>
      <c r="T29" t="s">
        <v>254</v>
      </c>
      <c r="U29">
        <v>9.0764881562236499E-2</v>
      </c>
      <c r="V29" t="s">
        <v>158</v>
      </c>
      <c r="AC29" t="s">
        <v>19</v>
      </c>
      <c r="AD29" t="s">
        <v>254</v>
      </c>
      <c r="AE29">
        <v>0.11616831838049158</v>
      </c>
      <c r="AK29">
        <v>2026</v>
      </c>
      <c r="AL29" t="s">
        <v>245</v>
      </c>
      <c r="AM29">
        <v>0.1191</v>
      </c>
      <c r="AN29" t="s">
        <v>241</v>
      </c>
    </row>
    <row r="30" spans="9:40" x14ac:dyDescent="0.45">
      <c r="I30" t="s">
        <v>159</v>
      </c>
      <c r="J30" t="s">
        <v>255</v>
      </c>
      <c r="K30">
        <v>2.5333741358787319E-2</v>
      </c>
      <c r="L30" t="s">
        <v>158</v>
      </c>
      <c r="N30" t="s">
        <v>180</v>
      </c>
      <c r="O30" t="s">
        <v>255</v>
      </c>
      <c r="P30">
        <v>7.4039285338910826E-2</v>
      </c>
      <c r="Q30" t="s">
        <v>158</v>
      </c>
      <c r="S30" t="s">
        <v>201</v>
      </c>
      <c r="T30" t="s">
        <v>255</v>
      </c>
      <c r="U30">
        <v>0.10450088696052741</v>
      </c>
      <c r="V30" t="s">
        <v>158</v>
      </c>
      <c r="AC30" t="s">
        <v>19</v>
      </c>
      <c r="AD30" t="s">
        <v>255</v>
      </c>
      <c r="AE30">
        <v>0.11453638819700772</v>
      </c>
      <c r="AK30">
        <v>2026</v>
      </c>
      <c r="AL30" t="s">
        <v>247</v>
      </c>
      <c r="AM30">
        <v>0.27993333333333331</v>
      </c>
      <c r="AN30" t="s">
        <v>241</v>
      </c>
    </row>
    <row r="31" spans="9:40" x14ac:dyDescent="0.45">
      <c r="I31" t="s">
        <v>159</v>
      </c>
      <c r="J31" t="s">
        <v>256</v>
      </c>
      <c r="K31">
        <v>5.0129684065108232E-2</v>
      </c>
      <c r="L31" t="s">
        <v>158</v>
      </c>
      <c r="N31" t="s">
        <v>180</v>
      </c>
      <c r="O31" t="s">
        <v>256</v>
      </c>
      <c r="P31">
        <v>1.3370073013948386E-2</v>
      </c>
      <c r="Q31" t="s">
        <v>158</v>
      </c>
      <c r="S31" t="s">
        <v>201</v>
      </c>
      <c r="T31" t="s">
        <v>256</v>
      </c>
      <c r="U31">
        <v>1.9841493165374802E-2</v>
      </c>
      <c r="V31" t="s">
        <v>158</v>
      </c>
      <c r="AC31" t="s">
        <v>19</v>
      </c>
      <c r="AD31" t="s">
        <v>256</v>
      </c>
      <c r="AE31">
        <v>2.118014639481729E-2</v>
      </c>
      <c r="AK31">
        <v>2027</v>
      </c>
      <c r="AL31" t="s">
        <v>242</v>
      </c>
      <c r="AM31">
        <v>0.19996666666666665</v>
      </c>
      <c r="AN31" t="s">
        <v>241</v>
      </c>
    </row>
    <row r="32" spans="9:40" x14ac:dyDescent="0.45">
      <c r="I32" t="s">
        <v>159</v>
      </c>
      <c r="J32" t="s">
        <v>257</v>
      </c>
      <c r="K32">
        <v>9.8707432988568738E-2</v>
      </c>
      <c r="L32" t="s">
        <v>158</v>
      </c>
      <c r="N32" t="s">
        <v>180</v>
      </c>
      <c r="O32" t="s">
        <v>257</v>
      </c>
      <c r="P32">
        <v>0.13337358206918073</v>
      </c>
      <c r="Q32" t="s">
        <v>158</v>
      </c>
      <c r="S32" t="s">
        <v>201</v>
      </c>
      <c r="T32" t="s">
        <v>257</v>
      </c>
      <c r="U32">
        <v>0.12579364082633621</v>
      </c>
      <c r="V32" t="s">
        <v>158</v>
      </c>
      <c r="AC32" t="s">
        <v>19</v>
      </c>
      <c r="AD32" t="s">
        <v>257</v>
      </c>
      <c r="AE32">
        <v>0.11394334887919887</v>
      </c>
      <c r="AK32">
        <v>2027</v>
      </c>
      <c r="AL32" t="s">
        <v>244</v>
      </c>
      <c r="AM32">
        <v>0.1754</v>
      </c>
      <c r="AN32" t="s">
        <v>241</v>
      </c>
    </row>
    <row r="33" spans="9:40" x14ac:dyDescent="0.45">
      <c r="I33" t="s">
        <v>159</v>
      </c>
      <c r="J33" t="s">
        <v>258</v>
      </c>
      <c r="K33">
        <v>0</v>
      </c>
      <c r="L33" t="s">
        <v>158</v>
      </c>
      <c r="N33" t="s">
        <v>180</v>
      </c>
      <c r="O33" t="s">
        <v>258</v>
      </c>
      <c r="P33">
        <v>0.1398027214249338</v>
      </c>
      <c r="Q33" t="s">
        <v>158</v>
      </c>
      <c r="S33" t="s">
        <v>201</v>
      </c>
      <c r="T33" t="s">
        <v>258</v>
      </c>
      <c r="U33">
        <v>0.12965984421935431</v>
      </c>
      <c r="V33" t="s">
        <v>158</v>
      </c>
      <c r="AC33" t="s">
        <v>19</v>
      </c>
      <c r="AD33" t="s">
        <v>258</v>
      </c>
      <c r="AE33">
        <v>0.11197458097757246</v>
      </c>
      <c r="AK33">
        <v>2027</v>
      </c>
      <c r="AL33" t="s">
        <v>245</v>
      </c>
      <c r="AM33">
        <v>0.11503333333333332</v>
      </c>
      <c r="AN33" t="s">
        <v>241</v>
      </c>
    </row>
    <row r="34" spans="9:40" x14ac:dyDescent="0.45">
      <c r="I34" t="s">
        <v>159</v>
      </c>
      <c r="J34" t="s">
        <v>259</v>
      </c>
      <c r="K34">
        <v>3.2121797356354917E-3</v>
      </c>
      <c r="L34" t="s">
        <v>158</v>
      </c>
      <c r="N34" t="s">
        <v>180</v>
      </c>
      <c r="O34" t="s">
        <v>259</v>
      </c>
      <c r="P34">
        <v>2.4552073826819121E-2</v>
      </c>
      <c r="Q34" t="s">
        <v>158</v>
      </c>
      <c r="S34" t="s">
        <v>201</v>
      </c>
      <c r="T34" t="s">
        <v>259</v>
      </c>
      <c r="U34">
        <v>2.3255937951585631E-2</v>
      </c>
      <c r="V34" t="s">
        <v>158</v>
      </c>
      <c r="AC34" t="s">
        <v>19</v>
      </c>
      <c r="AD34" t="s">
        <v>259</v>
      </c>
      <c r="AE34">
        <v>2.0811454627221709E-2</v>
      </c>
      <c r="AK34">
        <v>2027</v>
      </c>
      <c r="AL34" t="s">
        <v>247</v>
      </c>
      <c r="AM34">
        <v>0.27519999999999994</v>
      </c>
      <c r="AN34" t="s">
        <v>241</v>
      </c>
    </row>
    <row r="35" spans="9:40" x14ac:dyDescent="0.45">
      <c r="I35" t="s">
        <v>160</v>
      </c>
      <c r="J35" t="s">
        <v>248</v>
      </c>
      <c r="K35">
        <v>0.15846955444342575</v>
      </c>
      <c r="L35" t="s">
        <v>158</v>
      </c>
      <c r="N35" t="s">
        <v>181</v>
      </c>
      <c r="O35" t="s">
        <v>248</v>
      </c>
      <c r="P35">
        <v>0.11810909955343322</v>
      </c>
      <c r="Q35" t="s">
        <v>158</v>
      </c>
      <c r="S35" t="s">
        <v>202</v>
      </c>
      <c r="T35" t="s">
        <v>248</v>
      </c>
      <c r="U35">
        <v>0.11727800345506142</v>
      </c>
      <c r="V35" t="s">
        <v>158</v>
      </c>
      <c r="AK35">
        <v>2028</v>
      </c>
      <c r="AL35" t="s">
        <v>242</v>
      </c>
      <c r="AM35">
        <v>0.18940000000000001</v>
      </c>
      <c r="AN35" t="s">
        <v>241</v>
      </c>
    </row>
    <row r="36" spans="9:40" x14ac:dyDescent="0.45">
      <c r="I36" t="s">
        <v>160</v>
      </c>
      <c r="J36" t="s">
        <v>249</v>
      </c>
      <c r="K36">
        <v>4.4766608537034089E-4</v>
      </c>
      <c r="L36" t="s">
        <v>158</v>
      </c>
      <c r="N36" t="s">
        <v>181</v>
      </c>
      <c r="O36" t="s">
        <v>249</v>
      </c>
      <c r="P36">
        <v>0.1146408967087834</v>
      </c>
      <c r="Q36" t="s">
        <v>158</v>
      </c>
      <c r="S36" t="s">
        <v>202</v>
      </c>
      <c r="T36" t="s">
        <v>249</v>
      </c>
      <c r="U36">
        <v>0.11879517099627497</v>
      </c>
      <c r="V36" t="s">
        <v>158</v>
      </c>
      <c r="AK36">
        <v>2028</v>
      </c>
      <c r="AL36" t="s">
        <v>244</v>
      </c>
      <c r="AM36">
        <v>0.18340000000000001</v>
      </c>
      <c r="AN36" t="s">
        <v>241</v>
      </c>
    </row>
    <row r="37" spans="9:40" x14ac:dyDescent="0.45">
      <c r="I37" t="s">
        <v>160</v>
      </c>
      <c r="J37" t="s">
        <v>250</v>
      </c>
      <c r="K37">
        <v>1.0982217298765017E-2</v>
      </c>
      <c r="L37" t="s">
        <v>158</v>
      </c>
      <c r="N37" t="s">
        <v>181</v>
      </c>
      <c r="O37" t="s">
        <v>250</v>
      </c>
      <c r="P37">
        <v>2.2030245457844395E-2</v>
      </c>
      <c r="Q37" t="s">
        <v>158</v>
      </c>
      <c r="S37" t="s">
        <v>202</v>
      </c>
      <c r="T37" t="s">
        <v>250</v>
      </c>
      <c r="U37">
        <v>2.3124786896383281E-2</v>
      </c>
      <c r="V37" t="s">
        <v>158</v>
      </c>
      <c r="AK37">
        <v>2028</v>
      </c>
      <c r="AL37" t="s">
        <v>245</v>
      </c>
      <c r="AM37">
        <v>0.11896666666666667</v>
      </c>
      <c r="AN37" t="s">
        <v>241</v>
      </c>
    </row>
    <row r="38" spans="9:40" x14ac:dyDescent="0.45">
      <c r="I38" t="s">
        <v>160</v>
      </c>
      <c r="J38" t="s">
        <v>251</v>
      </c>
      <c r="K38">
        <v>0.27965591882486601</v>
      </c>
      <c r="L38" t="s">
        <v>158</v>
      </c>
      <c r="N38" t="s">
        <v>181</v>
      </c>
      <c r="O38" t="s">
        <v>251</v>
      </c>
      <c r="P38">
        <v>0.13178374686291111</v>
      </c>
      <c r="Q38" t="s">
        <v>158</v>
      </c>
      <c r="S38" t="s">
        <v>202</v>
      </c>
      <c r="T38" t="s">
        <v>251</v>
      </c>
      <c r="U38">
        <v>0.1160902254991506</v>
      </c>
      <c r="V38" t="s">
        <v>158</v>
      </c>
      <c r="AK38">
        <v>2028</v>
      </c>
      <c r="AL38" t="s">
        <v>247</v>
      </c>
      <c r="AM38">
        <v>0.28013333333333335</v>
      </c>
      <c r="AN38" t="s">
        <v>241</v>
      </c>
    </row>
    <row r="39" spans="9:40" x14ac:dyDescent="0.45">
      <c r="I39" t="s">
        <v>160</v>
      </c>
      <c r="J39" t="s">
        <v>252</v>
      </c>
      <c r="K39">
        <v>1.1611234800903321E-2</v>
      </c>
      <c r="L39" t="s">
        <v>158</v>
      </c>
      <c r="N39" t="s">
        <v>181</v>
      </c>
      <c r="O39" t="s">
        <v>252</v>
      </c>
      <c r="P39">
        <v>0.11825072287280701</v>
      </c>
      <c r="Q39" t="s">
        <v>158</v>
      </c>
      <c r="S39" t="s">
        <v>202</v>
      </c>
      <c r="T39" t="s">
        <v>252</v>
      </c>
      <c r="U39">
        <v>0.12466868567196844</v>
      </c>
      <c r="V39" t="s">
        <v>158</v>
      </c>
      <c r="AK39">
        <v>2029</v>
      </c>
      <c r="AL39" t="s">
        <v>242</v>
      </c>
      <c r="AM39">
        <v>0.20086666666666667</v>
      </c>
      <c r="AN39" t="s">
        <v>241</v>
      </c>
    </row>
    <row r="40" spans="9:40" x14ac:dyDescent="0.45">
      <c r="I40" t="s">
        <v>160</v>
      </c>
      <c r="J40" t="s">
        <v>253</v>
      </c>
      <c r="K40">
        <v>3.6612166784502541E-2</v>
      </c>
      <c r="L40" t="s">
        <v>158</v>
      </c>
      <c r="N40" t="s">
        <v>181</v>
      </c>
      <c r="O40" t="s">
        <v>253</v>
      </c>
      <c r="P40">
        <v>2.3308859916343409E-2</v>
      </c>
      <c r="Q40" t="s">
        <v>158</v>
      </c>
      <c r="S40" t="s">
        <v>202</v>
      </c>
      <c r="T40" t="s">
        <v>253</v>
      </c>
      <c r="U40">
        <v>2.2453407552504898E-2</v>
      </c>
      <c r="V40" t="s">
        <v>158</v>
      </c>
      <c r="AK40">
        <v>2029</v>
      </c>
      <c r="AL40" t="s">
        <v>244</v>
      </c>
      <c r="AM40">
        <v>0.16503333333333334</v>
      </c>
      <c r="AN40" t="s">
        <v>241</v>
      </c>
    </row>
    <row r="41" spans="9:40" x14ac:dyDescent="0.45">
      <c r="I41" t="s">
        <v>160</v>
      </c>
      <c r="J41" t="s">
        <v>254</v>
      </c>
      <c r="K41">
        <v>0.32776568130362099</v>
      </c>
      <c r="L41" t="s">
        <v>158</v>
      </c>
      <c r="N41" t="s">
        <v>181</v>
      </c>
      <c r="O41" t="s">
        <v>254</v>
      </c>
      <c r="P41">
        <v>7.4945317332210118E-2</v>
      </c>
      <c r="Q41" t="s">
        <v>158</v>
      </c>
      <c r="S41" t="s">
        <v>202</v>
      </c>
      <c r="T41" t="s">
        <v>254</v>
      </c>
      <c r="U41">
        <v>8.5941364798383282E-2</v>
      </c>
      <c r="V41" t="s">
        <v>158</v>
      </c>
      <c r="AK41">
        <v>2029</v>
      </c>
      <c r="AL41" t="s">
        <v>245</v>
      </c>
      <c r="AM41">
        <v>0.11203333333333333</v>
      </c>
      <c r="AN41" t="s">
        <v>241</v>
      </c>
    </row>
    <row r="42" spans="9:40" x14ac:dyDescent="0.45">
      <c r="I42" t="s">
        <v>160</v>
      </c>
      <c r="J42" t="s">
        <v>255</v>
      </c>
      <c r="K42">
        <v>2.6710112065688938E-2</v>
      </c>
      <c r="L42" t="s">
        <v>158</v>
      </c>
      <c r="N42" t="s">
        <v>181</v>
      </c>
      <c r="O42" t="s">
        <v>255</v>
      </c>
      <c r="P42">
        <v>7.3644632876680008E-2</v>
      </c>
      <c r="Q42" t="s">
        <v>158</v>
      </c>
      <c r="S42" t="s">
        <v>202</v>
      </c>
      <c r="T42" t="s">
        <v>255</v>
      </c>
      <c r="U42">
        <v>9.4112070046168159E-2</v>
      </c>
      <c r="V42" t="s">
        <v>158</v>
      </c>
      <c r="AK42">
        <v>2029</v>
      </c>
      <c r="AL42" t="s">
        <v>247</v>
      </c>
      <c r="AM42">
        <v>0.25690000000000002</v>
      </c>
      <c r="AN42" t="s">
        <v>241</v>
      </c>
    </row>
    <row r="43" spans="9:40" x14ac:dyDescent="0.45">
      <c r="I43" t="s">
        <v>160</v>
      </c>
      <c r="J43" t="s">
        <v>256</v>
      </c>
      <c r="K43">
        <v>4.819252472675626E-2</v>
      </c>
      <c r="L43" t="s">
        <v>158</v>
      </c>
      <c r="N43" t="s">
        <v>181</v>
      </c>
      <c r="O43" t="s">
        <v>256</v>
      </c>
      <c r="P43">
        <v>1.5538611998469251E-2</v>
      </c>
      <c r="Q43" t="s">
        <v>158</v>
      </c>
      <c r="S43" t="s">
        <v>202</v>
      </c>
      <c r="T43" t="s">
        <v>256</v>
      </c>
      <c r="U43">
        <v>1.7340569144741101E-2</v>
      </c>
      <c r="V43" t="s">
        <v>158</v>
      </c>
      <c r="AK43">
        <v>2030</v>
      </c>
      <c r="AL43" t="s">
        <v>242</v>
      </c>
      <c r="AM43">
        <v>0.2046</v>
      </c>
      <c r="AN43" t="s">
        <v>241</v>
      </c>
    </row>
    <row r="44" spans="9:40" x14ac:dyDescent="0.45">
      <c r="I44" t="s">
        <v>160</v>
      </c>
      <c r="J44" t="s">
        <v>257</v>
      </c>
      <c r="K44">
        <v>9.6328367319190103E-2</v>
      </c>
      <c r="L44" t="s">
        <v>158</v>
      </c>
      <c r="N44" t="s">
        <v>181</v>
      </c>
      <c r="O44" t="s">
        <v>257</v>
      </c>
      <c r="P44">
        <v>0.13798835774817625</v>
      </c>
      <c r="Q44" t="s">
        <v>158</v>
      </c>
      <c r="S44" t="s">
        <v>202</v>
      </c>
      <c r="T44" t="s">
        <v>257</v>
      </c>
      <c r="U44">
        <v>0.12791289960048816</v>
      </c>
      <c r="V44" t="s">
        <v>158</v>
      </c>
      <c r="AK44">
        <v>2030</v>
      </c>
      <c r="AL44" t="s">
        <v>244</v>
      </c>
      <c r="AM44">
        <v>0.18510000000000001</v>
      </c>
      <c r="AN44" t="s">
        <v>241</v>
      </c>
    </row>
    <row r="45" spans="9:40" x14ac:dyDescent="0.45">
      <c r="I45" t="s">
        <v>160</v>
      </c>
      <c r="J45" t="s">
        <v>258</v>
      </c>
      <c r="K45">
        <v>0</v>
      </c>
      <c r="L45" t="s">
        <v>158</v>
      </c>
      <c r="N45" t="s">
        <v>181</v>
      </c>
      <c r="O45" t="s">
        <v>258</v>
      </c>
      <c r="P45">
        <v>0.14450424540280027</v>
      </c>
      <c r="Q45" t="s">
        <v>158</v>
      </c>
      <c r="S45" t="s">
        <v>202</v>
      </c>
      <c r="T45" t="s">
        <v>258</v>
      </c>
      <c r="U45">
        <v>0.12902134953398578</v>
      </c>
      <c r="V45" t="s">
        <v>158</v>
      </c>
      <c r="AK45">
        <v>2030</v>
      </c>
      <c r="AL45" t="s">
        <v>245</v>
      </c>
      <c r="AM45">
        <v>0.11366666666666668</v>
      </c>
      <c r="AN45" t="s">
        <v>241</v>
      </c>
    </row>
    <row r="46" spans="9:40" x14ac:dyDescent="0.45">
      <c r="I46" t="s">
        <v>160</v>
      </c>
      <c r="J46" t="s">
        <v>259</v>
      </c>
      <c r="K46">
        <v>3.2245563469084455E-3</v>
      </c>
      <c r="L46" t="s">
        <v>158</v>
      </c>
      <c r="N46" t="s">
        <v>181</v>
      </c>
      <c r="O46" t="s">
        <v>259</v>
      </c>
      <c r="P46">
        <v>2.5255263269542191E-2</v>
      </c>
      <c r="Q46" t="s">
        <v>158</v>
      </c>
      <c r="S46" t="s">
        <v>202</v>
      </c>
      <c r="T46" t="s">
        <v>259</v>
      </c>
      <c r="U46">
        <v>2.3261466804887367E-2</v>
      </c>
      <c r="V46" t="s">
        <v>158</v>
      </c>
      <c r="AK46">
        <v>2030</v>
      </c>
      <c r="AL46" t="s">
        <v>247</v>
      </c>
      <c r="AM46">
        <v>0.26196666666666668</v>
      </c>
      <c r="AN46" t="s">
        <v>241</v>
      </c>
    </row>
    <row r="47" spans="9:40" x14ac:dyDescent="0.45">
      <c r="I47" t="s">
        <v>161</v>
      </c>
      <c r="J47" t="s">
        <v>248</v>
      </c>
      <c r="K47">
        <v>0.16209963016884063</v>
      </c>
      <c r="L47" t="s">
        <v>158</v>
      </c>
      <c r="N47" t="s">
        <v>182</v>
      </c>
      <c r="O47" t="s">
        <v>248</v>
      </c>
      <c r="P47">
        <v>0.12157380367931445</v>
      </c>
      <c r="Q47" t="s">
        <v>158</v>
      </c>
      <c r="S47" t="s">
        <v>203</v>
      </c>
      <c r="T47" t="s">
        <v>248</v>
      </c>
      <c r="U47">
        <v>0.11777438266901921</v>
      </c>
      <c r="V47" t="s">
        <v>158</v>
      </c>
      <c r="AK47">
        <v>2031</v>
      </c>
      <c r="AL47" t="s">
        <v>242</v>
      </c>
      <c r="AM47">
        <v>0.20199999999999999</v>
      </c>
      <c r="AN47" t="s">
        <v>241</v>
      </c>
    </row>
    <row r="48" spans="9:40" x14ac:dyDescent="0.45">
      <c r="I48" t="s">
        <v>161</v>
      </c>
      <c r="J48" t="s">
        <v>249</v>
      </c>
      <c r="K48">
        <v>2.6438106640998515E-4</v>
      </c>
      <c r="L48" t="s">
        <v>158</v>
      </c>
      <c r="N48" t="s">
        <v>182</v>
      </c>
      <c r="O48" t="s">
        <v>249</v>
      </c>
      <c r="P48">
        <v>0.12846190854592232</v>
      </c>
      <c r="Q48" t="s">
        <v>158</v>
      </c>
      <c r="S48" t="s">
        <v>203</v>
      </c>
      <c r="T48" t="s">
        <v>249</v>
      </c>
      <c r="U48">
        <v>0.11527562751353664</v>
      </c>
      <c r="V48" t="s">
        <v>158</v>
      </c>
      <c r="AK48">
        <v>2031</v>
      </c>
      <c r="AL48" t="s">
        <v>244</v>
      </c>
      <c r="AM48">
        <v>0.18146666666666667</v>
      </c>
      <c r="AN48" t="s">
        <v>241</v>
      </c>
    </row>
    <row r="49" spans="9:40" x14ac:dyDescent="0.45">
      <c r="I49" t="s">
        <v>161</v>
      </c>
      <c r="J49" t="s">
        <v>250</v>
      </c>
      <c r="K49">
        <v>9.9037238625983622E-3</v>
      </c>
      <c r="L49" t="s">
        <v>158</v>
      </c>
      <c r="N49" t="s">
        <v>182</v>
      </c>
      <c r="O49" t="s">
        <v>250</v>
      </c>
      <c r="P49">
        <v>2.286418307495364E-2</v>
      </c>
      <c r="Q49" t="s">
        <v>158</v>
      </c>
      <c r="S49" t="s">
        <v>203</v>
      </c>
      <c r="T49" t="s">
        <v>250</v>
      </c>
      <c r="U49">
        <v>2.1430757804105818E-2</v>
      </c>
      <c r="V49" t="s">
        <v>158</v>
      </c>
      <c r="AK49">
        <v>2031</v>
      </c>
      <c r="AL49" t="s">
        <v>245</v>
      </c>
      <c r="AM49">
        <v>0.11649999999999999</v>
      </c>
      <c r="AN49" t="s">
        <v>241</v>
      </c>
    </row>
    <row r="50" spans="9:40" x14ac:dyDescent="0.45">
      <c r="I50" t="s">
        <v>161</v>
      </c>
      <c r="J50" t="s">
        <v>251</v>
      </c>
      <c r="K50">
        <v>0.2861133249497117</v>
      </c>
      <c r="L50" t="s">
        <v>158</v>
      </c>
      <c r="N50" t="s">
        <v>182</v>
      </c>
      <c r="O50" t="s">
        <v>251</v>
      </c>
      <c r="P50">
        <v>0.12343382250928302</v>
      </c>
      <c r="Q50" t="s">
        <v>158</v>
      </c>
      <c r="S50" t="s">
        <v>203</v>
      </c>
      <c r="T50" t="s">
        <v>251</v>
      </c>
      <c r="U50">
        <v>0.1225941003899272</v>
      </c>
      <c r="V50" t="s">
        <v>158</v>
      </c>
      <c r="AK50">
        <v>2031</v>
      </c>
      <c r="AL50" t="s">
        <v>247</v>
      </c>
      <c r="AM50">
        <v>0.27436666666666665</v>
      </c>
      <c r="AN50" t="s">
        <v>241</v>
      </c>
    </row>
    <row r="51" spans="9:40" x14ac:dyDescent="0.45">
      <c r="I51" t="s">
        <v>161</v>
      </c>
      <c r="J51" t="s">
        <v>252</v>
      </c>
      <c r="K51">
        <v>9.7763801330602342E-3</v>
      </c>
      <c r="L51" t="s">
        <v>158</v>
      </c>
      <c r="N51" t="s">
        <v>182</v>
      </c>
      <c r="O51" t="s">
        <v>252</v>
      </c>
      <c r="P51">
        <v>0.11828361454443903</v>
      </c>
      <c r="Q51" t="s">
        <v>158</v>
      </c>
      <c r="S51" t="s">
        <v>203</v>
      </c>
      <c r="T51" t="s">
        <v>252</v>
      </c>
      <c r="U51">
        <v>0.12432329799925231</v>
      </c>
      <c r="V51" t="s">
        <v>158</v>
      </c>
      <c r="AK51">
        <v>2032</v>
      </c>
      <c r="AL51" t="s">
        <v>242</v>
      </c>
      <c r="AM51">
        <v>0.20550000000000002</v>
      </c>
      <c r="AN51" t="s">
        <v>241</v>
      </c>
    </row>
    <row r="52" spans="9:40" x14ac:dyDescent="0.45">
      <c r="I52" t="s">
        <v>161</v>
      </c>
      <c r="J52" t="s">
        <v>253</v>
      </c>
      <c r="K52">
        <v>3.5891013229813834E-2</v>
      </c>
      <c r="L52" t="s">
        <v>158</v>
      </c>
      <c r="N52" t="s">
        <v>182</v>
      </c>
      <c r="O52" t="s">
        <v>253</v>
      </c>
      <c r="P52">
        <v>2.2549373935584059E-2</v>
      </c>
      <c r="Q52" t="s">
        <v>158</v>
      </c>
      <c r="S52" t="s">
        <v>203</v>
      </c>
      <c r="T52" t="s">
        <v>253</v>
      </c>
      <c r="U52">
        <v>2.130414404205672E-2</v>
      </c>
      <c r="V52" t="s">
        <v>158</v>
      </c>
      <c r="AK52">
        <v>2032</v>
      </c>
      <c r="AL52" t="s">
        <v>244</v>
      </c>
      <c r="AM52">
        <v>0.16743333333333332</v>
      </c>
      <c r="AN52" t="s">
        <v>241</v>
      </c>
    </row>
    <row r="53" spans="9:40" x14ac:dyDescent="0.45">
      <c r="I53" t="s">
        <v>161</v>
      </c>
      <c r="J53" t="s">
        <v>254</v>
      </c>
      <c r="K53">
        <v>0.32512447592239674</v>
      </c>
      <c r="L53" t="s">
        <v>158</v>
      </c>
      <c r="N53" t="s">
        <v>182</v>
      </c>
      <c r="O53" t="s">
        <v>254</v>
      </c>
      <c r="P53">
        <v>7.3834217288133552E-2</v>
      </c>
      <c r="Q53" t="s">
        <v>158</v>
      </c>
      <c r="S53" t="s">
        <v>203</v>
      </c>
      <c r="T53" t="s">
        <v>254</v>
      </c>
      <c r="U53">
        <v>7.6374876279469858E-2</v>
      </c>
      <c r="V53" t="s">
        <v>158</v>
      </c>
      <c r="AK53">
        <v>2032</v>
      </c>
      <c r="AL53" t="s">
        <v>245</v>
      </c>
      <c r="AM53">
        <v>0.11803333333333332</v>
      </c>
      <c r="AN53" t="s">
        <v>241</v>
      </c>
    </row>
    <row r="54" spans="9:40" x14ac:dyDescent="0.45">
      <c r="I54" t="s">
        <v>161</v>
      </c>
      <c r="J54" t="s">
        <v>255</v>
      </c>
      <c r="K54">
        <v>2.3194947040611723E-2</v>
      </c>
      <c r="L54" t="s">
        <v>158</v>
      </c>
      <c r="N54" t="s">
        <v>182</v>
      </c>
      <c r="O54" t="s">
        <v>255</v>
      </c>
      <c r="P54">
        <v>7.7855939563700002E-2</v>
      </c>
      <c r="Q54" t="s">
        <v>158</v>
      </c>
      <c r="S54" t="s">
        <v>203</v>
      </c>
      <c r="T54" t="s">
        <v>255</v>
      </c>
      <c r="U54">
        <v>8.0460680578565841E-2</v>
      </c>
      <c r="V54" t="s">
        <v>158</v>
      </c>
      <c r="AK54">
        <v>2032</v>
      </c>
      <c r="AL54" t="s">
        <v>247</v>
      </c>
      <c r="AM54">
        <v>0.28593333333333332</v>
      </c>
      <c r="AN54" t="s">
        <v>241</v>
      </c>
    </row>
    <row r="55" spans="9:40" x14ac:dyDescent="0.45">
      <c r="I55" t="s">
        <v>161</v>
      </c>
      <c r="J55" t="s">
        <v>256</v>
      </c>
      <c r="K55">
        <v>4.5841041934581356E-2</v>
      </c>
      <c r="L55" t="s">
        <v>158</v>
      </c>
      <c r="N55" t="s">
        <v>182</v>
      </c>
      <c r="O55" t="s">
        <v>256</v>
      </c>
      <c r="P55">
        <v>1.4344838849056997E-2</v>
      </c>
      <c r="Q55" t="s">
        <v>158</v>
      </c>
      <c r="S55" t="s">
        <v>203</v>
      </c>
      <c r="T55" t="s">
        <v>256</v>
      </c>
      <c r="U55">
        <v>1.7454369525414411E-2</v>
      </c>
      <c r="V55" t="s">
        <v>158</v>
      </c>
      <c r="AK55">
        <v>2033</v>
      </c>
      <c r="AL55" t="s">
        <v>242</v>
      </c>
      <c r="AM55">
        <v>0.20603333333333332</v>
      </c>
      <c r="AN55" t="s">
        <v>241</v>
      </c>
    </row>
    <row r="56" spans="9:40" x14ac:dyDescent="0.45">
      <c r="I56" t="s">
        <v>161</v>
      </c>
      <c r="J56" t="s">
        <v>257</v>
      </c>
      <c r="K56">
        <v>9.9004047677510421E-2</v>
      </c>
      <c r="L56" t="s">
        <v>158</v>
      </c>
      <c r="N56" t="s">
        <v>182</v>
      </c>
      <c r="O56" t="s">
        <v>257</v>
      </c>
      <c r="P56">
        <v>0.13235547050034618</v>
      </c>
      <c r="Q56" t="s">
        <v>158</v>
      </c>
      <c r="S56" t="s">
        <v>203</v>
      </c>
      <c r="T56" t="s">
        <v>257</v>
      </c>
      <c r="U56">
        <v>0.13652553402869314</v>
      </c>
      <c r="V56" t="s">
        <v>158</v>
      </c>
      <c r="AK56">
        <v>2033</v>
      </c>
      <c r="AL56" t="s">
        <v>244</v>
      </c>
      <c r="AM56">
        <v>0.1726</v>
      </c>
      <c r="AN56" t="s">
        <v>241</v>
      </c>
    </row>
    <row r="57" spans="9:40" x14ac:dyDescent="0.45">
      <c r="I57" t="s">
        <v>161</v>
      </c>
      <c r="J57" t="s">
        <v>258</v>
      </c>
      <c r="K57">
        <v>0</v>
      </c>
      <c r="L57" t="s">
        <v>158</v>
      </c>
      <c r="N57" t="s">
        <v>182</v>
      </c>
      <c r="O57" t="s">
        <v>258</v>
      </c>
      <c r="P57">
        <v>0.13970524591028274</v>
      </c>
      <c r="Q57" t="s">
        <v>158</v>
      </c>
      <c r="S57" t="s">
        <v>203</v>
      </c>
      <c r="T57" t="s">
        <v>258</v>
      </c>
      <c r="U57">
        <v>0.14077358234803802</v>
      </c>
      <c r="V57" t="s">
        <v>158</v>
      </c>
      <c r="AK57">
        <v>2033</v>
      </c>
      <c r="AL57" t="s">
        <v>245</v>
      </c>
      <c r="AM57">
        <v>0.10816666666666667</v>
      </c>
      <c r="AN57" t="s">
        <v>241</v>
      </c>
    </row>
    <row r="58" spans="9:40" x14ac:dyDescent="0.45">
      <c r="I58" t="s">
        <v>161</v>
      </c>
      <c r="J58" t="s">
        <v>259</v>
      </c>
      <c r="K58">
        <v>2.787034014463138E-3</v>
      </c>
      <c r="L58" t="s">
        <v>158</v>
      </c>
      <c r="N58" t="s">
        <v>182</v>
      </c>
      <c r="O58" t="s">
        <v>259</v>
      </c>
      <c r="P58">
        <v>2.4737581598985665E-2</v>
      </c>
      <c r="Q58" t="s">
        <v>158</v>
      </c>
      <c r="S58" t="s">
        <v>203</v>
      </c>
      <c r="T58" t="s">
        <v>259</v>
      </c>
      <c r="U58">
        <v>2.5708646821919673E-2</v>
      </c>
      <c r="V58" t="s">
        <v>158</v>
      </c>
      <c r="AK58">
        <v>2033</v>
      </c>
      <c r="AL58" t="s">
        <v>247</v>
      </c>
      <c r="AM58">
        <v>0.27393333333333336</v>
      </c>
      <c r="AN58" t="s">
        <v>241</v>
      </c>
    </row>
    <row r="59" spans="9:40" x14ac:dyDescent="0.45">
      <c r="I59" t="s">
        <v>162</v>
      </c>
      <c r="J59" t="s">
        <v>248</v>
      </c>
      <c r="K59">
        <v>0.14810104077169631</v>
      </c>
      <c r="L59" t="s">
        <v>158</v>
      </c>
      <c r="N59" t="s">
        <v>183</v>
      </c>
      <c r="O59" t="s">
        <v>248</v>
      </c>
      <c r="P59">
        <v>0.1151830023153156</v>
      </c>
      <c r="Q59" t="s">
        <v>158</v>
      </c>
      <c r="S59" t="s">
        <v>204</v>
      </c>
      <c r="T59" t="s">
        <v>248</v>
      </c>
      <c r="U59">
        <v>0.12155303114056938</v>
      </c>
      <c r="V59" t="s">
        <v>158</v>
      </c>
      <c r="AK59">
        <v>2034</v>
      </c>
      <c r="AL59" t="s">
        <v>242</v>
      </c>
      <c r="AM59">
        <v>0.20173333333333332</v>
      </c>
      <c r="AN59" t="s">
        <v>241</v>
      </c>
    </row>
    <row r="60" spans="9:40" x14ac:dyDescent="0.45">
      <c r="I60" t="s">
        <v>162</v>
      </c>
      <c r="J60" t="s">
        <v>249</v>
      </c>
      <c r="K60">
        <v>0</v>
      </c>
      <c r="L60" t="s">
        <v>158</v>
      </c>
      <c r="N60" t="s">
        <v>183</v>
      </c>
      <c r="O60" t="s">
        <v>249</v>
      </c>
      <c r="P60">
        <v>0.11968708331262573</v>
      </c>
      <c r="Q60" t="s">
        <v>158</v>
      </c>
      <c r="S60" t="s">
        <v>204</v>
      </c>
      <c r="T60" t="s">
        <v>249</v>
      </c>
      <c r="U60">
        <v>0.12376530892000422</v>
      </c>
      <c r="V60" t="s">
        <v>158</v>
      </c>
      <c r="AK60">
        <v>2034</v>
      </c>
      <c r="AL60" t="s">
        <v>244</v>
      </c>
      <c r="AM60">
        <v>0.16656666666666667</v>
      </c>
      <c r="AN60" t="s">
        <v>241</v>
      </c>
    </row>
    <row r="61" spans="9:40" x14ac:dyDescent="0.45">
      <c r="I61" t="s">
        <v>162</v>
      </c>
      <c r="J61" t="s">
        <v>250</v>
      </c>
      <c r="K61">
        <v>4.7002073268752834E-3</v>
      </c>
      <c r="L61" t="s">
        <v>158</v>
      </c>
      <c r="N61" t="s">
        <v>183</v>
      </c>
      <c r="O61" t="s">
        <v>250</v>
      </c>
      <c r="P61">
        <v>2.2728897069864543E-2</v>
      </c>
      <c r="Q61" t="s">
        <v>158</v>
      </c>
      <c r="S61" t="s">
        <v>204</v>
      </c>
      <c r="T61" t="s">
        <v>250</v>
      </c>
      <c r="U61">
        <v>2.2283287711157805E-2</v>
      </c>
      <c r="V61" t="s">
        <v>158</v>
      </c>
      <c r="AK61">
        <v>2034</v>
      </c>
      <c r="AL61" t="s">
        <v>245</v>
      </c>
      <c r="AM61">
        <v>0.11723333333333334</v>
      </c>
      <c r="AN61" t="s">
        <v>241</v>
      </c>
    </row>
    <row r="62" spans="9:40" x14ac:dyDescent="0.45">
      <c r="I62" t="s">
        <v>162</v>
      </c>
      <c r="J62" t="s">
        <v>251</v>
      </c>
      <c r="K62">
        <v>0.30538052696419477</v>
      </c>
      <c r="L62" t="s">
        <v>158</v>
      </c>
      <c r="N62" t="s">
        <v>183</v>
      </c>
      <c r="O62" t="s">
        <v>251</v>
      </c>
      <c r="P62">
        <v>0.11432073189424904</v>
      </c>
      <c r="Q62" t="s">
        <v>158</v>
      </c>
      <c r="S62" t="s">
        <v>204</v>
      </c>
      <c r="T62" t="s">
        <v>251</v>
      </c>
      <c r="U62">
        <v>0.12349019356802657</v>
      </c>
      <c r="V62" t="s">
        <v>158</v>
      </c>
      <c r="AK62">
        <v>2034</v>
      </c>
      <c r="AL62" t="s">
        <v>247</v>
      </c>
      <c r="AM62">
        <v>0.26016666666666666</v>
      </c>
      <c r="AN62" t="s">
        <v>241</v>
      </c>
    </row>
    <row r="63" spans="9:40" x14ac:dyDescent="0.45">
      <c r="I63" t="s">
        <v>162</v>
      </c>
      <c r="J63" t="s">
        <v>252</v>
      </c>
      <c r="K63">
        <v>8.7404988670666643E-3</v>
      </c>
      <c r="L63" t="s">
        <v>158</v>
      </c>
      <c r="N63" t="s">
        <v>183</v>
      </c>
      <c r="O63" t="s">
        <v>252</v>
      </c>
      <c r="P63">
        <v>0.12117178843171965</v>
      </c>
      <c r="Q63" t="s">
        <v>158</v>
      </c>
      <c r="S63" t="s">
        <v>204</v>
      </c>
      <c r="T63" t="s">
        <v>252</v>
      </c>
      <c r="U63">
        <v>0.1253331352804101</v>
      </c>
      <c r="V63" t="s">
        <v>158</v>
      </c>
      <c r="AK63">
        <v>2035</v>
      </c>
      <c r="AL63" t="s">
        <v>242</v>
      </c>
      <c r="AM63">
        <v>0.18566666666666665</v>
      </c>
      <c r="AN63" t="s">
        <v>241</v>
      </c>
    </row>
    <row r="64" spans="9:40" x14ac:dyDescent="0.45">
      <c r="I64" t="s">
        <v>162</v>
      </c>
      <c r="J64" t="s">
        <v>253</v>
      </c>
      <c r="K64">
        <v>3.1093352445369676E-2</v>
      </c>
      <c r="L64" t="s">
        <v>158</v>
      </c>
      <c r="N64" t="s">
        <v>183</v>
      </c>
      <c r="O64" t="s">
        <v>253</v>
      </c>
      <c r="P64">
        <v>2.140935554061681E-2</v>
      </c>
      <c r="Q64" t="s">
        <v>158</v>
      </c>
      <c r="S64" t="s">
        <v>204</v>
      </c>
      <c r="T64" t="s">
        <v>253</v>
      </c>
      <c r="U64">
        <v>2.1946913230154776E-2</v>
      </c>
      <c r="V64" t="s">
        <v>158</v>
      </c>
      <c r="AK64">
        <v>2035</v>
      </c>
      <c r="AL64" t="s">
        <v>244</v>
      </c>
      <c r="AM64">
        <v>0.17813333333333334</v>
      </c>
      <c r="AN64" t="s">
        <v>241</v>
      </c>
    </row>
    <row r="65" spans="9:40" x14ac:dyDescent="0.45">
      <c r="I65" t="s">
        <v>162</v>
      </c>
      <c r="J65" t="s">
        <v>254</v>
      </c>
      <c r="K65">
        <v>0.34467316323229963</v>
      </c>
      <c r="L65" t="s">
        <v>158</v>
      </c>
      <c r="N65" t="s">
        <v>183</v>
      </c>
      <c r="O65" t="s">
        <v>254</v>
      </c>
      <c r="P65">
        <v>8.8989211177595326E-2</v>
      </c>
      <c r="Q65" t="s">
        <v>158</v>
      </c>
      <c r="S65" t="s">
        <v>204</v>
      </c>
      <c r="T65" t="s">
        <v>254</v>
      </c>
      <c r="U65">
        <v>6.6899912464170763E-2</v>
      </c>
      <c r="V65" t="s">
        <v>158</v>
      </c>
      <c r="AK65">
        <v>2035</v>
      </c>
      <c r="AL65" t="s">
        <v>245</v>
      </c>
      <c r="AM65">
        <v>0.11776666666666664</v>
      </c>
      <c r="AN65" t="s">
        <v>241</v>
      </c>
    </row>
    <row r="66" spans="9:40" x14ac:dyDescent="0.45">
      <c r="I66" t="s">
        <v>162</v>
      </c>
      <c r="J66" t="s">
        <v>255</v>
      </c>
      <c r="K66">
        <v>2.3288975207628793E-2</v>
      </c>
      <c r="L66" t="s">
        <v>158</v>
      </c>
      <c r="N66" t="s">
        <v>183</v>
      </c>
      <c r="O66" t="s">
        <v>255</v>
      </c>
      <c r="P66">
        <v>9.7427601420928309E-2</v>
      </c>
      <c r="Q66" t="s">
        <v>158</v>
      </c>
      <c r="S66" t="s">
        <v>204</v>
      </c>
      <c r="T66" t="s">
        <v>255</v>
      </c>
      <c r="U66">
        <v>6.8960419685394847E-2</v>
      </c>
      <c r="V66" t="s">
        <v>158</v>
      </c>
      <c r="AK66">
        <v>2035</v>
      </c>
      <c r="AL66" t="s">
        <v>247</v>
      </c>
      <c r="AM66">
        <v>0.26579999999999998</v>
      </c>
      <c r="AN66" t="s">
        <v>241</v>
      </c>
    </row>
    <row r="67" spans="9:40" x14ac:dyDescent="0.45">
      <c r="I67" t="s">
        <v>162</v>
      </c>
      <c r="J67" t="s">
        <v>256</v>
      </c>
      <c r="K67">
        <v>4.1195658222027108E-2</v>
      </c>
      <c r="L67" t="s">
        <v>158</v>
      </c>
      <c r="N67" t="s">
        <v>183</v>
      </c>
      <c r="O67" t="s">
        <v>256</v>
      </c>
      <c r="P67">
        <v>1.7913284865426527E-2</v>
      </c>
      <c r="Q67" t="s">
        <v>158</v>
      </c>
      <c r="S67" t="s">
        <v>204</v>
      </c>
      <c r="T67" t="s">
        <v>256</v>
      </c>
      <c r="U67">
        <v>1.2994833895747789E-2</v>
      </c>
      <c r="V67" t="s">
        <v>158</v>
      </c>
      <c r="AK67">
        <v>2036</v>
      </c>
      <c r="AL67" t="s">
        <v>242</v>
      </c>
      <c r="AM67">
        <v>0.18483333333333332</v>
      </c>
      <c r="AN67" t="s">
        <v>241</v>
      </c>
    </row>
    <row r="68" spans="9:40" x14ac:dyDescent="0.45">
      <c r="I68" t="s">
        <v>162</v>
      </c>
      <c r="J68" t="s">
        <v>257</v>
      </c>
      <c r="K68">
        <v>9.2082742091491906E-2</v>
      </c>
      <c r="L68" t="s">
        <v>158</v>
      </c>
      <c r="N68" t="s">
        <v>183</v>
      </c>
      <c r="O68" t="s">
        <v>257</v>
      </c>
      <c r="P68">
        <v>0.12604210532756624</v>
      </c>
      <c r="Q68" t="s">
        <v>158</v>
      </c>
      <c r="S68" t="s">
        <v>204</v>
      </c>
      <c r="T68" t="s">
        <v>257</v>
      </c>
      <c r="U68">
        <v>0.14048867769820228</v>
      </c>
      <c r="V68" t="s">
        <v>158</v>
      </c>
      <c r="AK68">
        <v>2036</v>
      </c>
      <c r="AL68" t="s">
        <v>244</v>
      </c>
      <c r="AM68">
        <v>0.1716</v>
      </c>
      <c r="AN68" t="s">
        <v>241</v>
      </c>
    </row>
    <row r="69" spans="9:40" x14ac:dyDescent="0.45">
      <c r="I69" t="s">
        <v>162</v>
      </c>
      <c r="J69" t="s">
        <v>258</v>
      </c>
      <c r="K69">
        <v>0</v>
      </c>
      <c r="L69" t="s">
        <v>158</v>
      </c>
      <c r="N69" t="s">
        <v>183</v>
      </c>
      <c r="O69" t="s">
        <v>258</v>
      </c>
      <c r="P69">
        <v>0.13182674498015179</v>
      </c>
      <c r="Q69" t="s">
        <v>158</v>
      </c>
      <c r="S69" t="s">
        <v>204</v>
      </c>
      <c r="T69" t="s">
        <v>258</v>
      </c>
      <c r="U69">
        <v>0.14612668053586822</v>
      </c>
      <c r="V69" t="s">
        <v>158</v>
      </c>
      <c r="AK69">
        <v>2036</v>
      </c>
      <c r="AL69" t="s">
        <v>245</v>
      </c>
      <c r="AM69">
        <v>0.11770000000000001</v>
      </c>
      <c r="AN69" t="s">
        <v>241</v>
      </c>
    </row>
    <row r="70" spans="9:40" x14ac:dyDescent="0.45">
      <c r="I70" t="s">
        <v>162</v>
      </c>
      <c r="J70" t="s">
        <v>259</v>
      </c>
      <c r="K70">
        <v>7.4383487134770945E-4</v>
      </c>
      <c r="L70" t="s">
        <v>158</v>
      </c>
      <c r="N70" t="s">
        <v>183</v>
      </c>
      <c r="O70" t="s">
        <v>259</v>
      </c>
      <c r="P70">
        <v>2.3300193663936996E-2</v>
      </c>
      <c r="Q70" t="s">
        <v>158</v>
      </c>
      <c r="S70" t="s">
        <v>204</v>
      </c>
      <c r="T70" t="s">
        <v>259</v>
      </c>
      <c r="U70">
        <v>2.6157605870294417E-2</v>
      </c>
      <c r="V70" t="s">
        <v>158</v>
      </c>
      <c r="AK70">
        <v>2036</v>
      </c>
      <c r="AL70" t="s">
        <v>247</v>
      </c>
      <c r="AM70">
        <v>0.25590000000000002</v>
      </c>
      <c r="AN70" t="s">
        <v>241</v>
      </c>
    </row>
    <row r="71" spans="9:40" x14ac:dyDescent="0.45">
      <c r="I71" t="s">
        <v>163</v>
      </c>
      <c r="J71" t="s">
        <v>248</v>
      </c>
      <c r="K71">
        <v>0.15865340634377104</v>
      </c>
      <c r="L71" t="s">
        <v>158</v>
      </c>
      <c r="N71" t="s">
        <v>184</v>
      </c>
      <c r="O71" t="s">
        <v>248</v>
      </c>
      <c r="P71">
        <v>0.11762325829250647</v>
      </c>
      <c r="Q71" t="s">
        <v>158</v>
      </c>
      <c r="S71" t="s">
        <v>205</v>
      </c>
      <c r="T71" t="s">
        <v>248</v>
      </c>
      <c r="U71">
        <v>0.11613383976136969</v>
      </c>
      <c r="V71" t="s">
        <v>158</v>
      </c>
      <c r="AK71">
        <v>2037</v>
      </c>
      <c r="AL71" t="s">
        <v>242</v>
      </c>
      <c r="AM71">
        <v>0.20453333333333334</v>
      </c>
      <c r="AN71" t="s">
        <v>241</v>
      </c>
    </row>
    <row r="72" spans="9:40" x14ac:dyDescent="0.45">
      <c r="I72" t="s">
        <v>163</v>
      </c>
      <c r="J72" t="s">
        <v>249</v>
      </c>
      <c r="K72">
        <v>0</v>
      </c>
      <c r="L72" t="s">
        <v>158</v>
      </c>
      <c r="N72" t="s">
        <v>184</v>
      </c>
      <c r="O72" t="s">
        <v>249</v>
      </c>
      <c r="P72">
        <v>0.12590241608726652</v>
      </c>
      <c r="Q72" t="s">
        <v>158</v>
      </c>
      <c r="S72" t="s">
        <v>205</v>
      </c>
      <c r="T72" t="s">
        <v>249</v>
      </c>
      <c r="U72">
        <v>0.11217194614560909</v>
      </c>
      <c r="V72" t="s">
        <v>158</v>
      </c>
      <c r="AK72">
        <v>2037</v>
      </c>
      <c r="AL72" t="s">
        <v>244</v>
      </c>
      <c r="AM72">
        <v>0.16536666666666669</v>
      </c>
      <c r="AN72" t="s">
        <v>241</v>
      </c>
    </row>
    <row r="73" spans="9:40" x14ac:dyDescent="0.45">
      <c r="I73" t="s">
        <v>163</v>
      </c>
      <c r="J73" t="s">
        <v>250</v>
      </c>
      <c r="K73">
        <v>5.072005811522888E-3</v>
      </c>
      <c r="L73" t="s">
        <v>158</v>
      </c>
      <c r="N73" t="s">
        <v>184</v>
      </c>
      <c r="O73" t="s">
        <v>250</v>
      </c>
      <c r="P73">
        <v>2.2199222290237939E-2</v>
      </c>
      <c r="Q73" t="s">
        <v>158</v>
      </c>
      <c r="S73" t="s">
        <v>205</v>
      </c>
      <c r="T73" t="s">
        <v>250</v>
      </c>
      <c r="U73">
        <v>2.2156097061098629E-2</v>
      </c>
      <c r="V73" t="s">
        <v>158</v>
      </c>
      <c r="AK73">
        <v>2037</v>
      </c>
      <c r="AL73" t="s">
        <v>245</v>
      </c>
      <c r="AM73">
        <v>0.11306666666666666</v>
      </c>
      <c r="AN73" t="s">
        <v>241</v>
      </c>
    </row>
    <row r="74" spans="9:40" x14ac:dyDescent="0.45">
      <c r="I74" t="s">
        <v>163</v>
      </c>
      <c r="J74" t="s">
        <v>251</v>
      </c>
      <c r="K74">
        <v>0.29320296324535178</v>
      </c>
      <c r="L74" t="s">
        <v>158</v>
      </c>
      <c r="N74" t="s">
        <v>184</v>
      </c>
      <c r="O74" t="s">
        <v>251</v>
      </c>
      <c r="P74">
        <v>0.119929228471397</v>
      </c>
      <c r="Q74" t="s">
        <v>158</v>
      </c>
      <c r="S74" t="s">
        <v>205</v>
      </c>
      <c r="T74" t="s">
        <v>251</v>
      </c>
      <c r="U74">
        <v>0.12834781851569313</v>
      </c>
      <c r="V74" t="s">
        <v>158</v>
      </c>
      <c r="AK74">
        <v>2037</v>
      </c>
      <c r="AL74" t="s">
        <v>247</v>
      </c>
      <c r="AM74">
        <v>0.2611</v>
      </c>
      <c r="AN74" t="s">
        <v>241</v>
      </c>
    </row>
    <row r="75" spans="9:40" x14ac:dyDescent="0.45">
      <c r="I75" t="s">
        <v>163</v>
      </c>
      <c r="J75" t="s">
        <v>252</v>
      </c>
      <c r="K75">
        <v>8.766930570797667E-3</v>
      </c>
      <c r="L75" t="s">
        <v>158</v>
      </c>
      <c r="N75" t="s">
        <v>184</v>
      </c>
      <c r="O75" t="s">
        <v>252</v>
      </c>
      <c r="P75">
        <v>0.11928130491039143</v>
      </c>
      <c r="Q75" t="s">
        <v>158</v>
      </c>
      <c r="S75" t="s">
        <v>205</v>
      </c>
      <c r="T75" t="s">
        <v>252</v>
      </c>
      <c r="U75">
        <v>0.12454764825963623</v>
      </c>
      <c r="V75" t="s">
        <v>158</v>
      </c>
      <c r="AK75">
        <v>2038</v>
      </c>
      <c r="AL75" t="s">
        <v>242</v>
      </c>
      <c r="AM75">
        <v>0.17196666666666668</v>
      </c>
      <c r="AN75" t="s">
        <v>241</v>
      </c>
    </row>
    <row r="76" spans="9:40" x14ac:dyDescent="0.45">
      <c r="I76" t="s">
        <v>163</v>
      </c>
      <c r="J76" t="s">
        <v>253</v>
      </c>
      <c r="K76">
        <v>2.8914710115525911E-2</v>
      </c>
      <c r="L76" t="s">
        <v>158</v>
      </c>
      <c r="N76" t="s">
        <v>184</v>
      </c>
      <c r="O76" t="s">
        <v>253</v>
      </c>
      <c r="P76">
        <v>2.1913751282847064E-2</v>
      </c>
      <c r="Q76" t="s">
        <v>158</v>
      </c>
      <c r="S76" t="s">
        <v>205</v>
      </c>
      <c r="T76" t="s">
        <v>253</v>
      </c>
      <c r="U76">
        <v>2.331979590614507E-2</v>
      </c>
      <c r="V76" t="s">
        <v>158</v>
      </c>
      <c r="AK76">
        <v>2038</v>
      </c>
      <c r="AL76" t="s">
        <v>244</v>
      </c>
      <c r="AM76">
        <v>0.13930000000000001</v>
      </c>
      <c r="AN76" t="s">
        <v>241</v>
      </c>
    </row>
    <row r="77" spans="9:40" x14ac:dyDescent="0.45">
      <c r="I77" t="s">
        <v>163</v>
      </c>
      <c r="J77" t="s">
        <v>254</v>
      </c>
      <c r="K77">
        <v>0.34594908299706528</v>
      </c>
      <c r="L77" t="s">
        <v>158</v>
      </c>
      <c r="N77" t="s">
        <v>184</v>
      </c>
      <c r="O77" t="s">
        <v>254</v>
      </c>
      <c r="P77">
        <v>7.6563152686274519E-2</v>
      </c>
      <c r="Q77" t="s">
        <v>158</v>
      </c>
      <c r="S77" t="s">
        <v>205</v>
      </c>
      <c r="T77" t="s">
        <v>254</v>
      </c>
      <c r="U77">
        <v>7.9132516207010908E-2</v>
      </c>
      <c r="V77" t="s">
        <v>158</v>
      </c>
      <c r="AK77">
        <v>2038</v>
      </c>
      <c r="AL77" t="s">
        <v>245</v>
      </c>
      <c r="AM77">
        <v>9.6766666666666667E-2</v>
      </c>
      <c r="AN77" t="s">
        <v>241</v>
      </c>
    </row>
    <row r="78" spans="9:40" x14ac:dyDescent="0.45">
      <c r="I78" t="s">
        <v>163</v>
      </c>
      <c r="J78" t="s">
        <v>255</v>
      </c>
      <c r="K78">
        <v>2.0107022620972942E-2</v>
      </c>
      <c r="L78" t="s">
        <v>158</v>
      </c>
      <c r="N78" t="s">
        <v>184</v>
      </c>
      <c r="O78" t="s">
        <v>255</v>
      </c>
      <c r="P78">
        <v>8.7261151630534564E-2</v>
      </c>
      <c r="Q78" t="s">
        <v>158</v>
      </c>
      <c r="S78" t="s">
        <v>205</v>
      </c>
      <c r="T78" t="s">
        <v>255</v>
      </c>
      <c r="U78">
        <v>8.4036398780190188E-2</v>
      </c>
      <c r="V78" t="s">
        <v>158</v>
      </c>
      <c r="AK78">
        <v>2038</v>
      </c>
      <c r="AL78" t="s">
        <v>247</v>
      </c>
      <c r="AM78">
        <v>0.2353666666666667</v>
      </c>
      <c r="AN78" t="s">
        <v>241</v>
      </c>
    </row>
    <row r="79" spans="9:40" x14ac:dyDescent="0.45">
      <c r="I79" t="s">
        <v>163</v>
      </c>
      <c r="J79" t="s">
        <v>256</v>
      </c>
      <c r="K79">
        <v>4.1078536357642352E-2</v>
      </c>
      <c r="L79" t="s">
        <v>158</v>
      </c>
      <c r="N79" t="s">
        <v>184</v>
      </c>
      <c r="O79" t="s">
        <v>256</v>
      </c>
      <c r="P79">
        <v>1.5357026248074843E-2</v>
      </c>
      <c r="Q79" t="s">
        <v>158</v>
      </c>
      <c r="S79" t="s">
        <v>205</v>
      </c>
      <c r="T79" t="s">
        <v>256</v>
      </c>
      <c r="U79">
        <v>1.6373592418271229E-2</v>
      </c>
      <c r="V79" t="s">
        <v>158</v>
      </c>
      <c r="AK79">
        <v>2039</v>
      </c>
      <c r="AL79" t="s">
        <v>242</v>
      </c>
      <c r="AM79">
        <v>0.1658333333333333</v>
      </c>
      <c r="AN79" t="s">
        <v>241</v>
      </c>
    </row>
    <row r="80" spans="9:40" x14ac:dyDescent="0.45">
      <c r="I80" t="s">
        <v>163</v>
      </c>
      <c r="J80" t="s">
        <v>257</v>
      </c>
      <c r="K80">
        <v>9.7649414453106209E-2</v>
      </c>
      <c r="L80" t="s">
        <v>158</v>
      </c>
      <c r="N80" t="s">
        <v>184</v>
      </c>
      <c r="O80" t="s">
        <v>257</v>
      </c>
      <c r="P80">
        <v>0.13151295544006386</v>
      </c>
      <c r="Q80" t="s">
        <v>158</v>
      </c>
      <c r="S80" t="s">
        <v>205</v>
      </c>
      <c r="T80" t="s">
        <v>257</v>
      </c>
      <c r="U80">
        <v>0.13341735230570273</v>
      </c>
      <c r="V80" t="s">
        <v>158</v>
      </c>
      <c r="AK80">
        <v>2039</v>
      </c>
      <c r="AL80" t="s">
        <v>244</v>
      </c>
      <c r="AM80">
        <v>0.1391</v>
      </c>
      <c r="AN80" t="s">
        <v>241</v>
      </c>
    </row>
    <row r="81" spans="9:40" x14ac:dyDescent="0.45">
      <c r="I81" t="s">
        <v>163</v>
      </c>
      <c r="J81" t="s">
        <v>258</v>
      </c>
      <c r="K81">
        <v>0</v>
      </c>
      <c r="L81" t="s">
        <v>158</v>
      </c>
      <c r="N81" t="s">
        <v>184</v>
      </c>
      <c r="O81" t="s">
        <v>258</v>
      </c>
      <c r="P81">
        <v>0.13802025485690431</v>
      </c>
      <c r="Q81" t="s">
        <v>158</v>
      </c>
      <c r="S81" t="s">
        <v>205</v>
      </c>
      <c r="T81" t="s">
        <v>258</v>
      </c>
      <c r="U81">
        <v>0.13564507829086878</v>
      </c>
      <c r="V81" t="s">
        <v>158</v>
      </c>
      <c r="AK81">
        <v>2039</v>
      </c>
      <c r="AL81" t="s">
        <v>245</v>
      </c>
      <c r="AM81">
        <v>0.1052</v>
      </c>
      <c r="AN81" t="s">
        <v>241</v>
      </c>
    </row>
    <row r="82" spans="9:40" x14ac:dyDescent="0.45">
      <c r="I82" t="s">
        <v>163</v>
      </c>
      <c r="J82" t="s">
        <v>259</v>
      </c>
      <c r="K82">
        <v>6.0592748424605355E-4</v>
      </c>
      <c r="L82" t="s">
        <v>158</v>
      </c>
      <c r="N82" t="s">
        <v>184</v>
      </c>
      <c r="O82" t="s">
        <v>259</v>
      </c>
      <c r="P82">
        <v>2.4436277803498867E-2</v>
      </c>
      <c r="Q82" t="s">
        <v>158</v>
      </c>
      <c r="S82" t="s">
        <v>205</v>
      </c>
      <c r="T82" t="s">
        <v>259</v>
      </c>
      <c r="U82">
        <v>2.4717916348406595E-2</v>
      </c>
      <c r="V82" t="s">
        <v>158</v>
      </c>
      <c r="AK82">
        <v>2039</v>
      </c>
      <c r="AL82" t="s">
        <v>247</v>
      </c>
      <c r="AM82">
        <v>0.21746666666666667</v>
      </c>
      <c r="AN82" t="s">
        <v>241</v>
      </c>
    </row>
    <row r="83" spans="9:40" x14ac:dyDescent="0.45">
      <c r="I83" t="s">
        <v>164</v>
      </c>
      <c r="J83" t="s">
        <v>248</v>
      </c>
      <c r="K83">
        <v>0.15472080600971222</v>
      </c>
      <c r="L83" t="s">
        <v>158</v>
      </c>
      <c r="N83" t="s">
        <v>185</v>
      </c>
      <c r="O83" t="s">
        <v>248</v>
      </c>
      <c r="P83">
        <v>0.11924514052934825</v>
      </c>
      <c r="Q83" t="s">
        <v>158</v>
      </c>
      <c r="S83" t="s">
        <v>206</v>
      </c>
      <c r="T83" t="s">
        <v>248</v>
      </c>
      <c r="U83">
        <v>0.1108159149166533</v>
      </c>
      <c r="V83" t="s">
        <v>158</v>
      </c>
      <c r="AK83">
        <v>2040</v>
      </c>
      <c r="AL83" t="s">
        <v>242</v>
      </c>
      <c r="AM83">
        <v>0.19893333333333332</v>
      </c>
      <c r="AN83" t="s">
        <v>241</v>
      </c>
    </row>
    <row r="84" spans="9:40" x14ac:dyDescent="0.45">
      <c r="I84" t="s">
        <v>164</v>
      </c>
      <c r="J84" t="s">
        <v>249</v>
      </c>
      <c r="K84">
        <v>9.6866628038080914E-4</v>
      </c>
      <c r="L84" t="s">
        <v>158</v>
      </c>
      <c r="N84" t="s">
        <v>185</v>
      </c>
      <c r="O84" t="s">
        <v>249</v>
      </c>
      <c r="P84">
        <v>0.11829872243476579</v>
      </c>
      <c r="Q84" t="s">
        <v>158</v>
      </c>
      <c r="S84" t="s">
        <v>206</v>
      </c>
      <c r="T84" t="s">
        <v>249</v>
      </c>
      <c r="U84">
        <v>0.10668655413821648</v>
      </c>
      <c r="V84" t="s">
        <v>158</v>
      </c>
      <c r="AK84">
        <v>2040</v>
      </c>
      <c r="AL84" t="s">
        <v>244</v>
      </c>
      <c r="AM84">
        <v>0.17653333333333335</v>
      </c>
      <c r="AN84" t="s">
        <v>241</v>
      </c>
    </row>
    <row r="85" spans="9:40" x14ac:dyDescent="0.45">
      <c r="I85" t="s">
        <v>164</v>
      </c>
      <c r="J85" t="s">
        <v>250</v>
      </c>
      <c r="K85">
        <v>1.3376016398361642E-2</v>
      </c>
      <c r="L85" t="s">
        <v>158</v>
      </c>
      <c r="N85" t="s">
        <v>185</v>
      </c>
      <c r="O85" t="s">
        <v>250</v>
      </c>
      <c r="P85">
        <v>2.1795547684046974E-2</v>
      </c>
      <c r="Q85" t="s">
        <v>158</v>
      </c>
      <c r="S85" t="s">
        <v>206</v>
      </c>
      <c r="T85" t="s">
        <v>250</v>
      </c>
      <c r="U85">
        <v>2.050496866497626E-2</v>
      </c>
      <c r="V85" t="s">
        <v>158</v>
      </c>
      <c r="AK85">
        <v>2040</v>
      </c>
      <c r="AL85" t="s">
        <v>245</v>
      </c>
      <c r="AM85">
        <v>0.11263333333333332</v>
      </c>
      <c r="AN85" t="s">
        <v>241</v>
      </c>
    </row>
    <row r="86" spans="9:40" x14ac:dyDescent="0.45">
      <c r="I86" t="s">
        <v>164</v>
      </c>
      <c r="J86" t="s">
        <v>251</v>
      </c>
      <c r="K86">
        <v>0.26914533983357369</v>
      </c>
      <c r="L86" t="s">
        <v>158</v>
      </c>
      <c r="N86" t="s">
        <v>185</v>
      </c>
      <c r="O86" t="s">
        <v>251</v>
      </c>
      <c r="P86">
        <v>0.12436173585587239</v>
      </c>
      <c r="Q86" t="s">
        <v>158</v>
      </c>
      <c r="S86" t="s">
        <v>206</v>
      </c>
      <c r="T86" t="s">
        <v>251</v>
      </c>
      <c r="U86">
        <v>0.12671598247569782</v>
      </c>
      <c r="V86" t="s">
        <v>158</v>
      </c>
      <c r="AK86">
        <v>2040</v>
      </c>
      <c r="AL86" t="s">
        <v>247</v>
      </c>
      <c r="AM86">
        <v>0.27143333333333336</v>
      </c>
      <c r="AN86" t="s">
        <v>241</v>
      </c>
    </row>
    <row r="87" spans="9:40" x14ac:dyDescent="0.45">
      <c r="I87" t="s">
        <v>164</v>
      </c>
      <c r="J87" t="s">
        <v>252</v>
      </c>
      <c r="K87">
        <v>1.1706704720039573E-2</v>
      </c>
      <c r="L87" t="s">
        <v>158</v>
      </c>
      <c r="N87" t="s">
        <v>185</v>
      </c>
      <c r="O87" t="s">
        <v>252</v>
      </c>
      <c r="P87">
        <v>0.12139631489989991</v>
      </c>
      <c r="Q87" t="s">
        <v>158</v>
      </c>
      <c r="S87" t="s">
        <v>206</v>
      </c>
      <c r="T87" t="s">
        <v>252</v>
      </c>
      <c r="U87">
        <v>0.13233008532306367</v>
      </c>
      <c r="V87" t="s">
        <v>158</v>
      </c>
      <c r="AK87">
        <v>2041</v>
      </c>
      <c r="AL87" t="s">
        <v>242</v>
      </c>
      <c r="AM87">
        <v>0.18853333333333333</v>
      </c>
      <c r="AN87" t="s">
        <v>241</v>
      </c>
    </row>
    <row r="88" spans="9:40" x14ac:dyDescent="0.45">
      <c r="I88" t="s">
        <v>164</v>
      </c>
      <c r="J88" t="s">
        <v>253</v>
      </c>
      <c r="K88">
        <v>3.669530078282475E-2</v>
      </c>
      <c r="L88" t="s">
        <v>158</v>
      </c>
      <c r="N88" t="s">
        <v>185</v>
      </c>
      <c r="O88" t="s">
        <v>253</v>
      </c>
      <c r="P88">
        <v>2.1595388425231295E-2</v>
      </c>
      <c r="Q88" t="s">
        <v>158</v>
      </c>
      <c r="S88" t="s">
        <v>206</v>
      </c>
      <c r="T88" t="s">
        <v>253</v>
      </c>
      <c r="U88">
        <v>2.2820691301117257E-2</v>
      </c>
      <c r="V88" t="s">
        <v>158</v>
      </c>
      <c r="AK88">
        <v>2041</v>
      </c>
      <c r="AL88" t="s">
        <v>244</v>
      </c>
      <c r="AM88">
        <v>0.17800000000000002</v>
      </c>
      <c r="AN88" t="s">
        <v>241</v>
      </c>
    </row>
    <row r="89" spans="9:40" x14ac:dyDescent="0.45">
      <c r="I89" t="s">
        <v>164</v>
      </c>
      <c r="J89" t="s">
        <v>254</v>
      </c>
      <c r="K89">
        <v>0.33298587911027222</v>
      </c>
      <c r="L89" t="s">
        <v>158</v>
      </c>
      <c r="N89" t="s">
        <v>185</v>
      </c>
      <c r="O89" t="s">
        <v>254</v>
      </c>
      <c r="P89">
        <v>7.827133102656153E-2</v>
      </c>
      <c r="Q89" t="s">
        <v>158</v>
      </c>
      <c r="S89" t="s">
        <v>206</v>
      </c>
      <c r="T89" t="s">
        <v>254</v>
      </c>
      <c r="U89">
        <v>8.1973671914490204E-2</v>
      </c>
      <c r="V89" t="s">
        <v>158</v>
      </c>
      <c r="AK89">
        <v>2041</v>
      </c>
      <c r="AL89" t="s">
        <v>245</v>
      </c>
      <c r="AM89">
        <v>0.1153</v>
      </c>
      <c r="AN89" t="s">
        <v>241</v>
      </c>
    </row>
    <row r="90" spans="9:40" x14ac:dyDescent="0.45">
      <c r="I90" t="s">
        <v>164</v>
      </c>
      <c r="J90" t="s">
        <v>255</v>
      </c>
      <c r="K90">
        <v>2.7275802100053752E-2</v>
      </c>
      <c r="L90" t="s">
        <v>158</v>
      </c>
      <c r="N90" t="s">
        <v>185</v>
      </c>
      <c r="O90" t="s">
        <v>255</v>
      </c>
      <c r="P90">
        <v>8.2415436554476251E-2</v>
      </c>
      <c r="Q90" t="s">
        <v>158</v>
      </c>
      <c r="S90" t="s">
        <v>206</v>
      </c>
      <c r="T90" t="s">
        <v>255</v>
      </c>
      <c r="U90">
        <v>8.7595576469606695E-2</v>
      </c>
      <c r="V90" t="s">
        <v>158</v>
      </c>
      <c r="AK90">
        <v>2041</v>
      </c>
      <c r="AL90" t="s">
        <v>247</v>
      </c>
      <c r="AM90">
        <v>0.25373333333333337</v>
      </c>
      <c r="AN90" t="s">
        <v>241</v>
      </c>
    </row>
    <row r="91" spans="9:40" x14ac:dyDescent="0.45">
      <c r="I91" t="s">
        <v>164</v>
      </c>
      <c r="J91" t="s">
        <v>256</v>
      </c>
      <c r="K91">
        <v>5.2340479421848607E-2</v>
      </c>
      <c r="L91" t="s">
        <v>158</v>
      </c>
      <c r="N91" t="s">
        <v>185</v>
      </c>
      <c r="O91" t="s">
        <v>256</v>
      </c>
      <c r="P91">
        <v>1.6552262621994766E-2</v>
      </c>
      <c r="Q91" t="s">
        <v>158</v>
      </c>
      <c r="S91" t="s">
        <v>206</v>
      </c>
      <c r="T91" t="s">
        <v>256</v>
      </c>
      <c r="U91">
        <v>1.6887868130841664E-2</v>
      </c>
      <c r="V91" t="s">
        <v>158</v>
      </c>
      <c r="AK91">
        <v>2042</v>
      </c>
      <c r="AL91" t="s">
        <v>242</v>
      </c>
      <c r="AM91">
        <v>0.20320000000000002</v>
      </c>
      <c r="AN91" t="s">
        <v>241</v>
      </c>
    </row>
    <row r="92" spans="9:40" x14ac:dyDescent="0.45">
      <c r="I92" t="s">
        <v>164</v>
      </c>
      <c r="J92" t="s">
        <v>257</v>
      </c>
      <c r="K92">
        <v>9.6988186469168694E-2</v>
      </c>
      <c r="L92" t="s">
        <v>158</v>
      </c>
      <c r="N92" t="s">
        <v>185</v>
      </c>
      <c r="O92" t="s">
        <v>257</v>
      </c>
      <c r="P92">
        <v>0.1328009017261062</v>
      </c>
      <c r="Q92" t="s">
        <v>158</v>
      </c>
      <c r="S92" t="s">
        <v>206</v>
      </c>
      <c r="T92" t="s">
        <v>257</v>
      </c>
      <c r="U92">
        <v>0.13568589493966787</v>
      </c>
      <c r="V92" t="s">
        <v>158</v>
      </c>
      <c r="AK92">
        <v>2042</v>
      </c>
      <c r="AL92" t="s">
        <v>244</v>
      </c>
      <c r="AM92">
        <v>0.18266666666666667</v>
      </c>
      <c r="AN92" t="s">
        <v>241</v>
      </c>
    </row>
    <row r="93" spans="9:40" x14ac:dyDescent="0.45">
      <c r="I93" t="s">
        <v>164</v>
      </c>
      <c r="J93" t="s">
        <v>258</v>
      </c>
      <c r="K93">
        <v>0</v>
      </c>
      <c r="L93" t="s">
        <v>158</v>
      </c>
      <c r="N93" t="s">
        <v>185</v>
      </c>
      <c r="O93" t="s">
        <v>258</v>
      </c>
      <c r="P93">
        <v>0.13847143025323608</v>
      </c>
      <c r="Q93" t="s">
        <v>158</v>
      </c>
      <c r="S93" t="s">
        <v>206</v>
      </c>
      <c r="T93" t="s">
        <v>258</v>
      </c>
      <c r="U93">
        <v>0.13306498585066034</v>
      </c>
      <c r="V93" t="s">
        <v>158</v>
      </c>
      <c r="AK93">
        <v>2042</v>
      </c>
      <c r="AL93" t="s">
        <v>245</v>
      </c>
      <c r="AM93">
        <v>0.11206666666666666</v>
      </c>
      <c r="AN93" t="s">
        <v>241</v>
      </c>
    </row>
    <row r="94" spans="9:40" x14ac:dyDescent="0.45">
      <c r="I94" t="s">
        <v>164</v>
      </c>
      <c r="J94" t="s">
        <v>259</v>
      </c>
      <c r="K94">
        <v>3.7968188737612231E-3</v>
      </c>
      <c r="L94" t="s">
        <v>158</v>
      </c>
      <c r="N94" t="s">
        <v>185</v>
      </c>
      <c r="O94" t="s">
        <v>259</v>
      </c>
      <c r="P94">
        <v>2.4795787988464549E-2</v>
      </c>
      <c r="Q94" t="s">
        <v>158</v>
      </c>
      <c r="S94" t="s">
        <v>206</v>
      </c>
      <c r="T94" t="s">
        <v>259</v>
      </c>
      <c r="U94">
        <v>2.4917805875010052E-2</v>
      </c>
      <c r="V94" t="s">
        <v>158</v>
      </c>
      <c r="AK94">
        <v>2042</v>
      </c>
      <c r="AL94" t="s">
        <v>247</v>
      </c>
      <c r="AM94">
        <v>0.28249999999999997</v>
      </c>
      <c r="AN94" t="s">
        <v>241</v>
      </c>
    </row>
    <row r="95" spans="9:40" x14ac:dyDescent="0.45">
      <c r="I95" t="s">
        <v>165</v>
      </c>
      <c r="J95" t="s">
        <v>248</v>
      </c>
      <c r="K95">
        <v>0.14710237508753693</v>
      </c>
      <c r="L95" t="s">
        <v>158</v>
      </c>
      <c r="N95" t="s">
        <v>186</v>
      </c>
      <c r="O95" t="s">
        <v>248</v>
      </c>
      <c r="P95">
        <v>0.11566875066276013</v>
      </c>
      <c r="Q95" t="s">
        <v>158</v>
      </c>
      <c r="S95" t="s">
        <v>207</v>
      </c>
      <c r="T95" t="s">
        <v>248</v>
      </c>
      <c r="U95">
        <v>0.10570882970093744</v>
      </c>
      <c r="V95" t="s">
        <v>158</v>
      </c>
      <c r="AK95">
        <v>2043</v>
      </c>
      <c r="AL95" t="s">
        <v>242</v>
      </c>
      <c r="AM95">
        <v>0.19153333333333333</v>
      </c>
      <c r="AN95" t="s">
        <v>241</v>
      </c>
    </row>
    <row r="96" spans="9:40" x14ac:dyDescent="0.45">
      <c r="I96" t="s">
        <v>165</v>
      </c>
      <c r="J96" t="s">
        <v>249</v>
      </c>
      <c r="K96">
        <v>7.3991574882289438E-4</v>
      </c>
      <c r="L96" t="s">
        <v>158</v>
      </c>
      <c r="N96" t="s">
        <v>186</v>
      </c>
      <c r="O96" t="s">
        <v>249</v>
      </c>
      <c r="P96">
        <v>0.11245722892338669</v>
      </c>
      <c r="Q96" t="s">
        <v>158</v>
      </c>
      <c r="S96" t="s">
        <v>207</v>
      </c>
      <c r="T96" t="s">
        <v>249</v>
      </c>
      <c r="U96">
        <v>0.10429427957409122</v>
      </c>
      <c r="V96" t="s">
        <v>158</v>
      </c>
      <c r="AK96">
        <v>2043</v>
      </c>
      <c r="AL96" t="s">
        <v>244</v>
      </c>
      <c r="AM96">
        <v>0.18079999999999999</v>
      </c>
      <c r="AN96" t="s">
        <v>241</v>
      </c>
    </row>
    <row r="97" spans="9:40" x14ac:dyDescent="0.45">
      <c r="I97" t="s">
        <v>165</v>
      </c>
      <c r="J97" t="s">
        <v>250</v>
      </c>
      <c r="K97">
        <v>1.2311809713971885E-2</v>
      </c>
      <c r="L97" t="s">
        <v>158</v>
      </c>
      <c r="N97" t="s">
        <v>186</v>
      </c>
      <c r="O97" t="s">
        <v>250</v>
      </c>
      <c r="P97">
        <v>2.1795879699071378E-2</v>
      </c>
      <c r="Q97" t="s">
        <v>158</v>
      </c>
      <c r="S97" t="s">
        <v>207</v>
      </c>
      <c r="T97" t="s">
        <v>250</v>
      </c>
      <c r="U97">
        <v>1.9261417179256935E-2</v>
      </c>
      <c r="V97" t="s">
        <v>158</v>
      </c>
      <c r="AK97">
        <v>2043</v>
      </c>
      <c r="AL97" t="s">
        <v>245</v>
      </c>
      <c r="AM97">
        <v>0.11866666666666666</v>
      </c>
      <c r="AN97" t="s">
        <v>241</v>
      </c>
    </row>
    <row r="98" spans="9:40" x14ac:dyDescent="0.45">
      <c r="I98" t="s">
        <v>165</v>
      </c>
      <c r="J98" t="s">
        <v>251</v>
      </c>
      <c r="K98">
        <v>0.28390929476537097</v>
      </c>
      <c r="L98" t="s">
        <v>158</v>
      </c>
      <c r="N98" t="s">
        <v>186</v>
      </c>
      <c r="O98" t="s">
        <v>251</v>
      </c>
      <c r="P98">
        <v>0.12886634538837272</v>
      </c>
      <c r="Q98" t="s">
        <v>158</v>
      </c>
      <c r="S98" t="s">
        <v>207</v>
      </c>
      <c r="T98" t="s">
        <v>251</v>
      </c>
      <c r="U98">
        <v>0.12964430969561114</v>
      </c>
      <c r="V98" t="s">
        <v>158</v>
      </c>
      <c r="AK98">
        <v>2043</v>
      </c>
      <c r="AL98" t="s">
        <v>247</v>
      </c>
      <c r="AM98">
        <v>0.28903333333333331</v>
      </c>
      <c r="AN98" t="s">
        <v>241</v>
      </c>
    </row>
    <row r="99" spans="9:40" x14ac:dyDescent="0.45">
      <c r="I99" t="s">
        <v>165</v>
      </c>
      <c r="J99" t="s">
        <v>252</v>
      </c>
      <c r="K99">
        <v>1.4168471494135746E-2</v>
      </c>
      <c r="L99" t="s">
        <v>158</v>
      </c>
      <c r="N99" t="s">
        <v>186</v>
      </c>
      <c r="O99" t="s">
        <v>252</v>
      </c>
      <c r="P99">
        <v>0.12373611296718957</v>
      </c>
      <c r="Q99" t="s">
        <v>158</v>
      </c>
      <c r="S99" t="s">
        <v>207</v>
      </c>
      <c r="T99" t="s">
        <v>252</v>
      </c>
      <c r="U99">
        <v>0.13397924405191183</v>
      </c>
      <c r="V99" t="s">
        <v>158</v>
      </c>
      <c r="AK99">
        <v>2044</v>
      </c>
      <c r="AL99" t="s">
        <v>242</v>
      </c>
      <c r="AM99">
        <v>0.19946666666666668</v>
      </c>
      <c r="AN99" t="s">
        <v>241</v>
      </c>
    </row>
    <row r="100" spans="9:40" x14ac:dyDescent="0.45">
      <c r="I100" t="s">
        <v>165</v>
      </c>
      <c r="J100" t="s">
        <v>253</v>
      </c>
      <c r="K100">
        <v>4.2493051407420185E-2</v>
      </c>
      <c r="L100" t="s">
        <v>158</v>
      </c>
      <c r="N100" t="s">
        <v>186</v>
      </c>
      <c r="O100" t="s">
        <v>253</v>
      </c>
      <c r="P100">
        <v>2.3421208489528233E-2</v>
      </c>
      <c r="Q100" t="s">
        <v>158</v>
      </c>
      <c r="S100" t="s">
        <v>207</v>
      </c>
      <c r="T100" t="s">
        <v>253</v>
      </c>
      <c r="U100">
        <v>2.4507629741496516E-2</v>
      </c>
      <c r="V100" t="s">
        <v>158</v>
      </c>
      <c r="AK100">
        <v>2044</v>
      </c>
      <c r="AL100" t="s">
        <v>244</v>
      </c>
      <c r="AM100">
        <v>0.17286666666666664</v>
      </c>
      <c r="AN100" t="s">
        <v>241</v>
      </c>
    </row>
    <row r="101" spans="9:40" x14ac:dyDescent="0.45">
      <c r="I101" t="s">
        <v>165</v>
      </c>
      <c r="J101" t="s">
        <v>254</v>
      </c>
      <c r="K101">
        <v>0.32316304848059019</v>
      </c>
      <c r="L101" t="s">
        <v>158</v>
      </c>
      <c r="N101" t="s">
        <v>186</v>
      </c>
      <c r="O101" t="s">
        <v>254</v>
      </c>
      <c r="P101">
        <v>8.4656053789227942E-2</v>
      </c>
      <c r="Q101" t="s">
        <v>158</v>
      </c>
      <c r="S101" t="s">
        <v>207</v>
      </c>
      <c r="T101" t="s">
        <v>254</v>
      </c>
      <c r="U101">
        <v>8.3596118720592055E-2</v>
      </c>
      <c r="V101" t="s">
        <v>158</v>
      </c>
      <c r="AK101">
        <v>2044</v>
      </c>
      <c r="AL101" t="s">
        <v>245</v>
      </c>
      <c r="AM101">
        <v>0.11823333333333334</v>
      </c>
      <c r="AN101" t="s">
        <v>241</v>
      </c>
    </row>
    <row r="102" spans="9:40" x14ac:dyDescent="0.45">
      <c r="I102" t="s">
        <v>165</v>
      </c>
      <c r="J102" t="s">
        <v>255</v>
      </c>
      <c r="K102">
        <v>2.8412505043488741E-2</v>
      </c>
      <c r="L102" t="s">
        <v>158</v>
      </c>
      <c r="N102" t="s">
        <v>186</v>
      </c>
      <c r="O102" t="s">
        <v>255</v>
      </c>
      <c r="P102">
        <v>8.5444833387871608E-2</v>
      </c>
      <c r="Q102" t="s">
        <v>158</v>
      </c>
      <c r="S102" t="s">
        <v>207</v>
      </c>
      <c r="T102" t="s">
        <v>255</v>
      </c>
      <c r="U102">
        <v>8.70414844852722E-2</v>
      </c>
      <c r="V102" t="s">
        <v>158</v>
      </c>
      <c r="AK102">
        <v>2044</v>
      </c>
      <c r="AL102" t="s">
        <v>247</v>
      </c>
      <c r="AM102">
        <v>0.27960000000000002</v>
      </c>
      <c r="AN102" t="s">
        <v>241</v>
      </c>
    </row>
    <row r="103" spans="9:40" x14ac:dyDescent="0.45">
      <c r="I103" t="s">
        <v>165</v>
      </c>
      <c r="J103" t="s">
        <v>256</v>
      </c>
      <c r="K103">
        <v>5.0972991039970918E-2</v>
      </c>
      <c r="L103" t="s">
        <v>158</v>
      </c>
      <c r="N103" t="s">
        <v>186</v>
      </c>
      <c r="O103" t="s">
        <v>256</v>
      </c>
      <c r="P103">
        <v>1.6906348139925913E-2</v>
      </c>
      <c r="Q103" t="s">
        <v>158</v>
      </c>
      <c r="S103" t="s">
        <v>207</v>
      </c>
      <c r="T103" t="s">
        <v>256</v>
      </c>
      <c r="U103">
        <v>1.619023337270916E-2</v>
      </c>
      <c r="V103" t="s">
        <v>158</v>
      </c>
      <c r="AK103">
        <v>2045</v>
      </c>
      <c r="AL103" t="s">
        <v>242</v>
      </c>
      <c r="AM103">
        <v>0.21163333333333334</v>
      </c>
      <c r="AN103" t="s">
        <v>241</v>
      </c>
    </row>
    <row r="104" spans="9:40" x14ac:dyDescent="0.45">
      <c r="I104" t="s">
        <v>165</v>
      </c>
      <c r="J104" t="s">
        <v>257</v>
      </c>
      <c r="K104">
        <v>9.2075397980192694E-2</v>
      </c>
      <c r="L104" t="s">
        <v>158</v>
      </c>
      <c r="N104" t="s">
        <v>186</v>
      </c>
      <c r="O104" t="s">
        <v>257</v>
      </c>
      <c r="P104">
        <v>0.12959598560658944</v>
      </c>
      <c r="Q104" t="s">
        <v>158</v>
      </c>
      <c r="S104" t="s">
        <v>207</v>
      </c>
      <c r="T104" t="s">
        <v>257</v>
      </c>
      <c r="U104">
        <v>0.13646453041139289</v>
      </c>
      <c r="V104" t="s">
        <v>158</v>
      </c>
      <c r="AK104">
        <v>2045</v>
      </c>
      <c r="AL104" t="s">
        <v>244</v>
      </c>
      <c r="AM104">
        <v>0.17283333333333331</v>
      </c>
      <c r="AN104" t="s">
        <v>241</v>
      </c>
    </row>
    <row r="105" spans="9:40" x14ac:dyDescent="0.45">
      <c r="I105" t="s">
        <v>165</v>
      </c>
      <c r="J105" t="s">
        <v>258</v>
      </c>
      <c r="K105">
        <v>0</v>
      </c>
      <c r="L105" t="s">
        <v>158</v>
      </c>
      <c r="N105" t="s">
        <v>186</v>
      </c>
      <c r="O105" t="s">
        <v>258</v>
      </c>
      <c r="P105">
        <v>0.1335647397934199</v>
      </c>
      <c r="Q105" t="s">
        <v>158</v>
      </c>
      <c r="S105" t="s">
        <v>207</v>
      </c>
      <c r="T105" t="s">
        <v>258</v>
      </c>
      <c r="U105">
        <v>0.13453017299502085</v>
      </c>
      <c r="V105" t="s">
        <v>158</v>
      </c>
      <c r="AK105">
        <v>2045</v>
      </c>
      <c r="AL105" t="s">
        <v>245</v>
      </c>
      <c r="AM105">
        <v>0.11223333333333334</v>
      </c>
      <c r="AN105" t="s">
        <v>241</v>
      </c>
    </row>
    <row r="106" spans="9:40" x14ac:dyDescent="0.45">
      <c r="I106" t="s">
        <v>165</v>
      </c>
      <c r="J106" t="s">
        <v>259</v>
      </c>
      <c r="K106">
        <v>4.6511392384994774E-3</v>
      </c>
      <c r="L106" t="s">
        <v>158</v>
      </c>
      <c r="N106" t="s">
        <v>186</v>
      </c>
      <c r="O106" t="s">
        <v>259</v>
      </c>
      <c r="P106">
        <v>2.388651315265829E-2</v>
      </c>
      <c r="Q106" t="s">
        <v>158</v>
      </c>
      <c r="S106" t="s">
        <v>207</v>
      </c>
      <c r="T106" t="s">
        <v>259</v>
      </c>
      <c r="U106">
        <v>2.4781750071713755E-2</v>
      </c>
      <c r="V106" t="s">
        <v>158</v>
      </c>
      <c r="AK106">
        <v>2045</v>
      </c>
      <c r="AL106" t="s">
        <v>247</v>
      </c>
      <c r="AM106">
        <v>0.25390000000000001</v>
      </c>
      <c r="AN106" t="s">
        <v>241</v>
      </c>
    </row>
    <row r="107" spans="9:40" x14ac:dyDescent="0.45">
      <c r="I107" t="s">
        <v>166</v>
      </c>
      <c r="J107" t="s">
        <v>248</v>
      </c>
      <c r="K107">
        <v>0.14872255071051185</v>
      </c>
      <c r="L107" t="s">
        <v>158</v>
      </c>
      <c r="N107" t="s">
        <v>187</v>
      </c>
      <c r="O107" t="s">
        <v>248</v>
      </c>
      <c r="P107">
        <v>0.11470126412465075</v>
      </c>
      <c r="Q107" t="s">
        <v>158</v>
      </c>
      <c r="S107" t="s">
        <v>208</v>
      </c>
      <c r="T107" t="s">
        <v>248</v>
      </c>
      <c r="U107">
        <v>0.10713930409747596</v>
      </c>
      <c r="V107" t="s">
        <v>158</v>
      </c>
      <c r="AK107">
        <v>2046</v>
      </c>
      <c r="AL107" t="s">
        <v>242</v>
      </c>
      <c r="AM107">
        <v>0.19103333333333331</v>
      </c>
      <c r="AN107" t="s">
        <v>241</v>
      </c>
    </row>
    <row r="108" spans="9:40" x14ac:dyDescent="0.45">
      <c r="I108" t="s">
        <v>166</v>
      </c>
      <c r="J108" t="s">
        <v>249</v>
      </c>
      <c r="K108">
        <v>1.0068865845634727E-3</v>
      </c>
      <c r="L108" t="s">
        <v>158</v>
      </c>
      <c r="N108" t="s">
        <v>187</v>
      </c>
      <c r="O108" t="s">
        <v>249</v>
      </c>
      <c r="P108">
        <v>0.11298351544248721</v>
      </c>
      <c r="Q108" t="s">
        <v>158</v>
      </c>
      <c r="S108" t="s">
        <v>208</v>
      </c>
      <c r="T108" t="s">
        <v>249</v>
      </c>
      <c r="U108">
        <v>0.10965150688929858</v>
      </c>
      <c r="V108" t="s">
        <v>158</v>
      </c>
      <c r="AK108">
        <v>2046</v>
      </c>
      <c r="AL108" t="s">
        <v>244</v>
      </c>
      <c r="AM108">
        <v>0.16890000000000002</v>
      </c>
      <c r="AN108" t="s">
        <v>241</v>
      </c>
    </row>
    <row r="109" spans="9:40" x14ac:dyDescent="0.45">
      <c r="I109" t="s">
        <v>166</v>
      </c>
      <c r="J109" t="s">
        <v>250</v>
      </c>
      <c r="K109">
        <v>1.278995876345925E-2</v>
      </c>
      <c r="L109" t="s">
        <v>158</v>
      </c>
      <c r="N109" t="s">
        <v>187</v>
      </c>
      <c r="O109" t="s">
        <v>250</v>
      </c>
      <c r="P109">
        <v>2.2133137089814996E-2</v>
      </c>
      <c r="Q109" t="s">
        <v>158</v>
      </c>
      <c r="S109" t="s">
        <v>208</v>
      </c>
      <c r="T109" t="s">
        <v>250</v>
      </c>
      <c r="U109">
        <v>2.0759000913871256E-2</v>
      </c>
      <c r="V109" t="s">
        <v>158</v>
      </c>
      <c r="AK109">
        <v>2046</v>
      </c>
      <c r="AL109" t="s">
        <v>245</v>
      </c>
      <c r="AM109">
        <v>0.11973333333333334</v>
      </c>
      <c r="AN109" t="s">
        <v>241</v>
      </c>
    </row>
    <row r="110" spans="9:40" x14ac:dyDescent="0.45">
      <c r="I110" t="s">
        <v>166</v>
      </c>
      <c r="J110" t="s">
        <v>251</v>
      </c>
      <c r="K110">
        <v>0.27889960710441375</v>
      </c>
      <c r="L110" t="s">
        <v>158</v>
      </c>
      <c r="N110" t="s">
        <v>187</v>
      </c>
      <c r="O110" t="s">
        <v>251</v>
      </c>
      <c r="P110">
        <v>0.12552051504482245</v>
      </c>
      <c r="Q110" t="s">
        <v>158</v>
      </c>
      <c r="S110" t="s">
        <v>208</v>
      </c>
      <c r="T110" t="s">
        <v>251</v>
      </c>
      <c r="U110">
        <v>0.12549262802529781</v>
      </c>
      <c r="V110" t="s">
        <v>158</v>
      </c>
      <c r="AK110">
        <v>2046</v>
      </c>
      <c r="AL110" t="s">
        <v>247</v>
      </c>
      <c r="AM110">
        <v>0.26339999999999997</v>
      </c>
      <c r="AN110" t="s">
        <v>241</v>
      </c>
    </row>
    <row r="111" spans="9:40" x14ac:dyDescent="0.45">
      <c r="I111" t="s">
        <v>166</v>
      </c>
      <c r="J111" t="s">
        <v>252</v>
      </c>
      <c r="K111">
        <v>1.3622895640122316E-2</v>
      </c>
      <c r="L111" t="s">
        <v>158</v>
      </c>
      <c r="N111" t="s">
        <v>187</v>
      </c>
      <c r="O111" t="s">
        <v>252</v>
      </c>
      <c r="P111">
        <v>0.12292866805518984</v>
      </c>
      <c r="Q111" t="s">
        <v>158</v>
      </c>
      <c r="S111" t="s">
        <v>208</v>
      </c>
      <c r="T111" t="s">
        <v>252</v>
      </c>
      <c r="U111">
        <v>0.12915403640870474</v>
      </c>
      <c r="V111" t="s">
        <v>158</v>
      </c>
      <c r="AK111">
        <v>2047</v>
      </c>
      <c r="AL111" t="s">
        <v>242</v>
      </c>
      <c r="AM111">
        <v>0.19010000000000002</v>
      </c>
      <c r="AN111" t="s">
        <v>241</v>
      </c>
    </row>
    <row r="112" spans="9:40" x14ac:dyDescent="0.45">
      <c r="I112" t="s">
        <v>166</v>
      </c>
      <c r="J112" t="s">
        <v>253</v>
      </c>
      <c r="K112">
        <v>4.0883606234657935E-2</v>
      </c>
      <c r="L112" t="s">
        <v>158</v>
      </c>
      <c r="N112" t="s">
        <v>187</v>
      </c>
      <c r="O112" t="s">
        <v>253</v>
      </c>
      <c r="P112">
        <v>2.3750576743593561E-2</v>
      </c>
      <c r="Q112" t="s">
        <v>158</v>
      </c>
      <c r="S112" t="s">
        <v>208</v>
      </c>
      <c r="T112" t="s">
        <v>253</v>
      </c>
      <c r="U112">
        <v>2.4340778123668545E-2</v>
      </c>
      <c r="V112" t="s">
        <v>158</v>
      </c>
      <c r="AK112">
        <v>2047</v>
      </c>
      <c r="AL112" t="s">
        <v>244</v>
      </c>
      <c r="AM112">
        <v>0.17289999999999997</v>
      </c>
      <c r="AN112" t="s">
        <v>241</v>
      </c>
    </row>
    <row r="113" spans="9:40" x14ac:dyDescent="0.45">
      <c r="I113" t="s">
        <v>166</v>
      </c>
      <c r="J113" t="s">
        <v>254</v>
      </c>
      <c r="K113">
        <v>0.32455328723144261</v>
      </c>
      <c r="L113" t="s">
        <v>158</v>
      </c>
      <c r="N113" t="s">
        <v>187</v>
      </c>
      <c r="O113" t="s">
        <v>254</v>
      </c>
      <c r="P113">
        <v>8.0744834726887205E-2</v>
      </c>
      <c r="Q113" t="s">
        <v>158</v>
      </c>
      <c r="S113" t="s">
        <v>208</v>
      </c>
      <c r="T113" t="s">
        <v>254</v>
      </c>
      <c r="U113">
        <v>8.7824413222831424E-2</v>
      </c>
      <c r="V113" t="s">
        <v>158</v>
      </c>
      <c r="AK113">
        <v>2047</v>
      </c>
      <c r="AL113" t="s">
        <v>245</v>
      </c>
      <c r="AM113">
        <v>0.10923333333333334</v>
      </c>
      <c r="AN113" t="s">
        <v>241</v>
      </c>
    </row>
    <row r="114" spans="9:40" x14ac:dyDescent="0.45">
      <c r="I114" t="s">
        <v>166</v>
      </c>
      <c r="J114" t="s">
        <v>255</v>
      </c>
      <c r="K114">
        <v>2.7844305441529472E-2</v>
      </c>
      <c r="L114" t="s">
        <v>158</v>
      </c>
      <c r="N114" t="s">
        <v>187</v>
      </c>
      <c r="O114" t="s">
        <v>255</v>
      </c>
      <c r="P114">
        <v>8.6584855659559423E-2</v>
      </c>
      <c r="Q114" t="s">
        <v>158</v>
      </c>
      <c r="S114" t="s">
        <v>208</v>
      </c>
      <c r="T114" t="s">
        <v>255</v>
      </c>
      <c r="U114">
        <v>9.0950849800514849E-2</v>
      </c>
      <c r="V114" t="s">
        <v>158</v>
      </c>
      <c r="AK114">
        <v>2047</v>
      </c>
      <c r="AL114" t="s">
        <v>247</v>
      </c>
      <c r="AM114">
        <v>0.2767</v>
      </c>
      <c r="AN114" t="s">
        <v>241</v>
      </c>
    </row>
    <row r="115" spans="9:40" x14ac:dyDescent="0.45">
      <c r="I115" t="s">
        <v>166</v>
      </c>
      <c r="J115" t="s">
        <v>256</v>
      </c>
      <c r="K115">
        <v>5.0695704063378824E-2</v>
      </c>
      <c r="L115" t="s">
        <v>158</v>
      </c>
      <c r="N115" t="s">
        <v>187</v>
      </c>
      <c r="O115" t="s">
        <v>256</v>
      </c>
      <c r="P115">
        <v>1.6970030154695278E-2</v>
      </c>
      <c r="Q115" t="s">
        <v>158</v>
      </c>
      <c r="S115" t="s">
        <v>208</v>
      </c>
      <c r="T115" t="s">
        <v>256</v>
      </c>
      <c r="U115">
        <v>1.766562992568152E-2</v>
      </c>
      <c r="V115" t="s">
        <v>158</v>
      </c>
      <c r="AK115">
        <v>2048</v>
      </c>
      <c r="AL115" t="s">
        <v>242</v>
      </c>
      <c r="AM115">
        <v>0.2046</v>
      </c>
      <c r="AN115" t="s">
        <v>241</v>
      </c>
    </row>
    <row r="116" spans="9:40" x14ac:dyDescent="0.45">
      <c r="I116" t="s">
        <v>166</v>
      </c>
      <c r="J116" t="s">
        <v>257</v>
      </c>
      <c r="K116">
        <v>9.6724362340272096E-2</v>
      </c>
      <c r="L116" t="s">
        <v>158</v>
      </c>
      <c r="N116" t="s">
        <v>187</v>
      </c>
      <c r="O116" t="s">
        <v>257</v>
      </c>
      <c r="P116">
        <v>0.13193051783395687</v>
      </c>
      <c r="Q116" t="s">
        <v>158</v>
      </c>
      <c r="S116" t="s">
        <v>208</v>
      </c>
      <c r="T116" t="s">
        <v>257</v>
      </c>
      <c r="U116">
        <v>0.13195208218869109</v>
      </c>
      <c r="V116" t="s">
        <v>158</v>
      </c>
      <c r="AK116">
        <v>2048</v>
      </c>
      <c r="AL116" t="s">
        <v>244</v>
      </c>
      <c r="AM116">
        <v>0.17786666666666665</v>
      </c>
      <c r="AN116" t="s">
        <v>241</v>
      </c>
    </row>
    <row r="117" spans="9:40" x14ac:dyDescent="0.45">
      <c r="I117" t="s">
        <v>166</v>
      </c>
      <c r="J117" t="s">
        <v>258</v>
      </c>
      <c r="K117">
        <v>0</v>
      </c>
      <c r="L117" t="s">
        <v>158</v>
      </c>
      <c r="N117" t="s">
        <v>187</v>
      </c>
      <c r="O117" t="s">
        <v>258</v>
      </c>
      <c r="P117">
        <v>0.13740704202776521</v>
      </c>
      <c r="Q117" t="s">
        <v>158</v>
      </c>
      <c r="S117" t="s">
        <v>208</v>
      </c>
      <c r="T117" t="s">
        <v>258</v>
      </c>
      <c r="U117">
        <v>0.13111060309372166</v>
      </c>
      <c r="V117" t="s">
        <v>158</v>
      </c>
      <c r="AK117">
        <v>2048</v>
      </c>
      <c r="AL117" t="s">
        <v>245</v>
      </c>
      <c r="AM117">
        <v>0.12083333333333333</v>
      </c>
      <c r="AN117" t="s">
        <v>241</v>
      </c>
    </row>
    <row r="118" spans="9:40" x14ac:dyDescent="0.45">
      <c r="I118" t="s">
        <v>166</v>
      </c>
      <c r="J118" t="s">
        <v>259</v>
      </c>
      <c r="K118">
        <v>4.2568358856457248E-3</v>
      </c>
      <c r="L118" t="s">
        <v>158</v>
      </c>
      <c r="N118" t="s">
        <v>187</v>
      </c>
      <c r="O118" t="s">
        <v>259</v>
      </c>
      <c r="P118">
        <v>2.4345043096578332E-2</v>
      </c>
      <c r="Q118" t="s">
        <v>158</v>
      </c>
      <c r="S118" t="s">
        <v>208</v>
      </c>
      <c r="T118" t="s">
        <v>259</v>
      </c>
      <c r="U118">
        <v>2.3959167310243633E-2</v>
      </c>
      <c r="V118" t="s">
        <v>158</v>
      </c>
      <c r="AK118">
        <v>2048</v>
      </c>
      <c r="AL118" t="s">
        <v>247</v>
      </c>
      <c r="AM118">
        <v>0.28129999999999999</v>
      </c>
      <c r="AN118" t="s">
        <v>241</v>
      </c>
    </row>
    <row r="119" spans="9:40" x14ac:dyDescent="0.45">
      <c r="I119" t="s">
        <v>167</v>
      </c>
      <c r="J119" t="s">
        <v>248</v>
      </c>
      <c r="K119">
        <v>0.14467544222385006</v>
      </c>
      <c r="L119" t="s">
        <v>158</v>
      </c>
      <c r="N119" t="s">
        <v>188</v>
      </c>
      <c r="O119" t="s">
        <v>248</v>
      </c>
      <c r="P119">
        <v>0.12791802178674666</v>
      </c>
      <c r="Q119" t="s">
        <v>158</v>
      </c>
      <c r="S119" t="s">
        <v>209</v>
      </c>
      <c r="T119" t="s">
        <v>248</v>
      </c>
      <c r="U119">
        <v>0.11990058880707542</v>
      </c>
      <c r="V119" t="s">
        <v>158</v>
      </c>
      <c r="AK119">
        <v>2049</v>
      </c>
      <c r="AL119" t="s">
        <v>242</v>
      </c>
      <c r="AM119">
        <v>0.19246666666666667</v>
      </c>
      <c r="AN119" t="s">
        <v>241</v>
      </c>
    </row>
    <row r="120" spans="9:40" x14ac:dyDescent="0.45">
      <c r="I120" t="s">
        <v>167</v>
      </c>
      <c r="J120" t="s">
        <v>249</v>
      </c>
      <c r="K120">
        <v>8.7695515693283598E-4</v>
      </c>
      <c r="L120" t="s">
        <v>158</v>
      </c>
      <c r="N120" t="s">
        <v>188</v>
      </c>
      <c r="O120" t="s">
        <v>249</v>
      </c>
      <c r="P120">
        <v>0.13020349863783795</v>
      </c>
      <c r="Q120" t="s">
        <v>158</v>
      </c>
      <c r="S120" t="s">
        <v>209</v>
      </c>
      <c r="T120" t="s">
        <v>249</v>
      </c>
      <c r="U120">
        <v>0.11577029276667707</v>
      </c>
      <c r="V120" t="s">
        <v>158</v>
      </c>
      <c r="AK120">
        <v>2049</v>
      </c>
      <c r="AL120" t="s">
        <v>244</v>
      </c>
      <c r="AM120">
        <v>0.16773333333333332</v>
      </c>
      <c r="AN120" t="s">
        <v>241</v>
      </c>
    </row>
    <row r="121" spans="9:40" x14ac:dyDescent="0.45">
      <c r="I121" t="s">
        <v>167</v>
      </c>
      <c r="J121" t="s">
        <v>250</v>
      </c>
      <c r="K121">
        <v>1.1882500371071573E-2</v>
      </c>
      <c r="L121" t="s">
        <v>158</v>
      </c>
      <c r="N121" t="s">
        <v>188</v>
      </c>
      <c r="O121" t="s">
        <v>250</v>
      </c>
      <c r="P121">
        <v>2.3724433629433689E-2</v>
      </c>
      <c r="Q121" t="s">
        <v>158</v>
      </c>
      <c r="S121" t="s">
        <v>209</v>
      </c>
      <c r="T121" t="s">
        <v>250</v>
      </c>
      <c r="U121">
        <v>2.1577970494617765E-2</v>
      </c>
      <c r="V121" t="s">
        <v>158</v>
      </c>
      <c r="AK121">
        <v>2049</v>
      </c>
      <c r="AL121" t="s">
        <v>245</v>
      </c>
      <c r="AM121">
        <v>0.11699999999999999</v>
      </c>
      <c r="AN121" t="s">
        <v>241</v>
      </c>
    </row>
    <row r="122" spans="9:40" x14ac:dyDescent="0.45">
      <c r="I122" t="s">
        <v>167</v>
      </c>
      <c r="J122" t="s">
        <v>251</v>
      </c>
      <c r="K122">
        <v>0.28705031621719107</v>
      </c>
      <c r="L122" t="s">
        <v>158</v>
      </c>
      <c r="N122" t="s">
        <v>188</v>
      </c>
      <c r="O122" t="s">
        <v>251</v>
      </c>
      <c r="P122">
        <v>0.1063899418495792</v>
      </c>
      <c r="Q122" t="s">
        <v>158</v>
      </c>
      <c r="S122" t="s">
        <v>209</v>
      </c>
      <c r="T122" t="s">
        <v>251</v>
      </c>
      <c r="U122">
        <v>0.11725304207107566</v>
      </c>
      <c r="V122" t="s">
        <v>158</v>
      </c>
      <c r="AK122">
        <v>2049</v>
      </c>
      <c r="AL122" t="s">
        <v>247</v>
      </c>
      <c r="AM122">
        <v>0.26626666666666671</v>
      </c>
      <c r="AN122" t="s">
        <v>241</v>
      </c>
    </row>
    <row r="123" spans="9:40" x14ac:dyDescent="0.45">
      <c r="I123" t="s">
        <v>167</v>
      </c>
      <c r="J123" t="s">
        <v>252</v>
      </c>
      <c r="K123">
        <v>1.5816136492744628E-2</v>
      </c>
      <c r="L123" t="s">
        <v>158</v>
      </c>
      <c r="N123" t="s">
        <v>188</v>
      </c>
      <c r="O123" t="s">
        <v>252</v>
      </c>
      <c r="P123">
        <v>0.1075716531097862</v>
      </c>
      <c r="Q123" t="s">
        <v>158</v>
      </c>
      <c r="S123" t="s">
        <v>209</v>
      </c>
      <c r="T123" t="s">
        <v>252</v>
      </c>
      <c r="U123">
        <v>0.11337124427709176</v>
      </c>
      <c r="V123" t="s">
        <v>158</v>
      </c>
      <c r="AK123">
        <v>2050</v>
      </c>
      <c r="AL123" t="s">
        <v>242</v>
      </c>
      <c r="AM123">
        <v>0.1973</v>
      </c>
      <c r="AN123" t="s">
        <v>241</v>
      </c>
    </row>
    <row r="124" spans="9:40" x14ac:dyDescent="0.45">
      <c r="I124" t="s">
        <v>167</v>
      </c>
      <c r="J124" t="s">
        <v>253</v>
      </c>
      <c r="K124">
        <v>4.5884295597572636E-2</v>
      </c>
      <c r="L124" t="s">
        <v>158</v>
      </c>
      <c r="N124" t="s">
        <v>188</v>
      </c>
      <c r="O124" t="s">
        <v>253</v>
      </c>
      <c r="P124">
        <v>2.1485320109324833E-2</v>
      </c>
      <c r="Q124" t="s">
        <v>158</v>
      </c>
      <c r="S124" t="s">
        <v>209</v>
      </c>
      <c r="T124" t="s">
        <v>253</v>
      </c>
      <c r="U124">
        <v>2.1391782755441568E-2</v>
      </c>
      <c r="V124" t="s">
        <v>158</v>
      </c>
      <c r="AK124">
        <v>2050</v>
      </c>
      <c r="AL124" t="s">
        <v>244</v>
      </c>
      <c r="AM124">
        <v>0.16920000000000002</v>
      </c>
      <c r="AN124" t="s">
        <v>241</v>
      </c>
    </row>
    <row r="125" spans="9:40" x14ac:dyDescent="0.45">
      <c r="I125" t="s">
        <v>167</v>
      </c>
      <c r="J125" t="s">
        <v>254</v>
      </c>
      <c r="K125">
        <v>0.31658711190871447</v>
      </c>
      <c r="L125" t="s">
        <v>158</v>
      </c>
      <c r="N125" t="s">
        <v>188</v>
      </c>
      <c r="O125" t="s">
        <v>254</v>
      </c>
      <c r="P125">
        <v>8.7548995577509212E-2</v>
      </c>
      <c r="Q125" t="s">
        <v>158</v>
      </c>
      <c r="S125" t="s">
        <v>209</v>
      </c>
      <c r="T125" t="s">
        <v>254</v>
      </c>
      <c r="U125">
        <v>8.2581258187253911E-2</v>
      </c>
      <c r="V125" t="s">
        <v>158</v>
      </c>
      <c r="AK125">
        <v>2050</v>
      </c>
      <c r="AL125" t="s">
        <v>245</v>
      </c>
      <c r="AM125">
        <v>0.10929999999999999</v>
      </c>
      <c r="AN125" t="s">
        <v>241</v>
      </c>
    </row>
    <row r="126" spans="9:40" x14ac:dyDescent="0.45">
      <c r="I126" t="s">
        <v>167</v>
      </c>
      <c r="J126" t="s">
        <v>255</v>
      </c>
      <c r="K126">
        <v>3.1618150821060016E-2</v>
      </c>
      <c r="L126" t="s">
        <v>158</v>
      </c>
      <c r="N126" t="s">
        <v>188</v>
      </c>
      <c r="O126" t="s">
        <v>255</v>
      </c>
      <c r="P126">
        <v>7.9578079173193983E-2</v>
      </c>
      <c r="Q126" t="s">
        <v>158</v>
      </c>
      <c r="S126" t="s">
        <v>209</v>
      </c>
      <c r="T126" t="s">
        <v>255</v>
      </c>
      <c r="U126">
        <v>8.5924633690748056E-2</v>
      </c>
      <c r="V126" t="s">
        <v>158</v>
      </c>
      <c r="AK126">
        <v>2050</v>
      </c>
      <c r="AL126" t="s">
        <v>247</v>
      </c>
      <c r="AM126">
        <v>0.25503333333333333</v>
      </c>
      <c r="AN126" t="s">
        <v>241</v>
      </c>
    </row>
    <row r="127" spans="9:40" x14ac:dyDescent="0.45">
      <c r="I127" t="s">
        <v>167</v>
      </c>
      <c r="J127" t="s">
        <v>256</v>
      </c>
      <c r="K127">
        <v>5.0488224627019032E-2</v>
      </c>
      <c r="L127" t="s">
        <v>158</v>
      </c>
      <c r="N127" t="s">
        <v>188</v>
      </c>
      <c r="O127" t="s">
        <v>256</v>
      </c>
      <c r="P127">
        <v>1.5482321847822691E-2</v>
      </c>
      <c r="Q127" t="s">
        <v>158</v>
      </c>
      <c r="S127" t="s">
        <v>209</v>
      </c>
      <c r="T127" t="s">
        <v>256</v>
      </c>
      <c r="U127">
        <v>1.5201843714849859E-2</v>
      </c>
      <c r="V127" t="s">
        <v>158</v>
      </c>
    </row>
    <row r="128" spans="9:40" x14ac:dyDescent="0.45">
      <c r="I128" t="s">
        <v>167</v>
      </c>
      <c r="J128" t="s">
        <v>257</v>
      </c>
      <c r="K128">
        <v>9.0323018019537016E-2</v>
      </c>
      <c r="L128" t="s">
        <v>158</v>
      </c>
      <c r="N128" t="s">
        <v>188</v>
      </c>
      <c r="O128" t="s">
        <v>257</v>
      </c>
      <c r="P128">
        <v>0.13574149922554271</v>
      </c>
      <c r="Q128" t="s">
        <v>158</v>
      </c>
      <c r="S128" t="s">
        <v>209</v>
      </c>
      <c r="T128" t="s">
        <v>257</v>
      </c>
      <c r="U128">
        <v>0.13945951453724442</v>
      </c>
      <c r="V128" t="s">
        <v>158</v>
      </c>
    </row>
    <row r="129" spans="9:22" x14ac:dyDescent="0.45">
      <c r="I129" t="s">
        <v>167</v>
      </c>
      <c r="J129" t="s">
        <v>258</v>
      </c>
      <c r="K129">
        <v>0</v>
      </c>
      <c r="L129" t="s">
        <v>158</v>
      </c>
      <c r="N129" t="s">
        <v>188</v>
      </c>
      <c r="O129" t="s">
        <v>258</v>
      </c>
      <c r="P129">
        <v>0.1395150582851617</v>
      </c>
      <c r="Q129" t="s">
        <v>158</v>
      </c>
      <c r="S129" t="s">
        <v>209</v>
      </c>
      <c r="T129" t="s">
        <v>258</v>
      </c>
      <c r="U129">
        <v>0.1414365396472719</v>
      </c>
      <c r="V129" t="s">
        <v>158</v>
      </c>
    </row>
    <row r="130" spans="9:22" x14ac:dyDescent="0.45">
      <c r="I130" t="s">
        <v>167</v>
      </c>
      <c r="J130" t="s">
        <v>259</v>
      </c>
      <c r="K130">
        <v>4.7978485643030509E-3</v>
      </c>
      <c r="L130" t="s">
        <v>158</v>
      </c>
      <c r="N130" t="s">
        <v>188</v>
      </c>
      <c r="O130" t="s">
        <v>259</v>
      </c>
      <c r="P130">
        <v>2.4841176768063074E-2</v>
      </c>
      <c r="Q130" t="s">
        <v>158</v>
      </c>
      <c r="S130" t="s">
        <v>209</v>
      </c>
      <c r="T130" t="s">
        <v>259</v>
      </c>
      <c r="U130">
        <v>2.6131289050655506E-2</v>
      </c>
      <c r="V130" t="s">
        <v>158</v>
      </c>
    </row>
    <row r="131" spans="9:22" x14ac:dyDescent="0.45">
      <c r="I131" t="s">
        <v>168</v>
      </c>
      <c r="J131" t="s">
        <v>248</v>
      </c>
      <c r="K131">
        <v>0.15065306858207425</v>
      </c>
      <c r="L131" t="s">
        <v>158</v>
      </c>
      <c r="N131" t="s">
        <v>189</v>
      </c>
      <c r="O131" t="s">
        <v>248</v>
      </c>
      <c r="P131">
        <v>0.12440380584703875</v>
      </c>
      <c r="Q131" t="s">
        <v>158</v>
      </c>
      <c r="S131" t="s">
        <v>210</v>
      </c>
      <c r="T131" t="s">
        <v>248</v>
      </c>
      <c r="U131">
        <v>0.12328108853454126</v>
      </c>
      <c r="V131" t="s">
        <v>158</v>
      </c>
    </row>
    <row r="132" spans="9:22" x14ac:dyDescent="0.45">
      <c r="I132" t="s">
        <v>168</v>
      </c>
      <c r="J132" t="s">
        <v>249</v>
      </c>
      <c r="K132">
        <v>9.5666010401756596E-4</v>
      </c>
      <c r="L132" t="s">
        <v>158</v>
      </c>
      <c r="N132" t="s">
        <v>189</v>
      </c>
      <c r="O132" t="s">
        <v>249</v>
      </c>
      <c r="P132">
        <v>0.12781041801488693</v>
      </c>
      <c r="Q132" t="s">
        <v>158</v>
      </c>
      <c r="S132" t="s">
        <v>210</v>
      </c>
      <c r="T132" t="s">
        <v>249</v>
      </c>
      <c r="U132">
        <v>0.12031715879006419</v>
      </c>
      <c r="V132" t="s">
        <v>158</v>
      </c>
    </row>
    <row r="133" spans="9:22" x14ac:dyDescent="0.45">
      <c r="I133" t="s">
        <v>168</v>
      </c>
      <c r="J133" t="s">
        <v>250</v>
      </c>
      <c r="K133">
        <v>1.1782923112044711E-2</v>
      </c>
      <c r="L133" t="s">
        <v>158</v>
      </c>
      <c r="N133" t="s">
        <v>189</v>
      </c>
      <c r="O133" t="s">
        <v>250</v>
      </c>
      <c r="P133">
        <v>2.2717394414471199E-2</v>
      </c>
      <c r="Q133" t="s">
        <v>158</v>
      </c>
      <c r="S133" t="s">
        <v>210</v>
      </c>
      <c r="T133" t="s">
        <v>250</v>
      </c>
      <c r="U133">
        <v>2.2461939877339236E-2</v>
      </c>
      <c r="V133" t="s">
        <v>158</v>
      </c>
    </row>
    <row r="134" spans="9:22" x14ac:dyDescent="0.45">
      <c r="I134" t="s">
        <v>168</v>
      </c>
      <c r="J134" t="s">
        <v>251</v>
      </c>
      <c r="K134">
        <v>0.28649583978372917</v>
      </c>
      <c r="L134" t="s">
        <v>158</v>
      </c>
      <c r="N134" t="s">
        <v>189</v>
      </c>
      <c r="O134" t="s">
        <v>251</v>
      </c>
      <c r="P134">
        <v>0.10401968337238561</v>
      </c>
      <c r="Q134" t="s">
        <v>158</v>
      </c>
      <c r="S134" t="s">
        <v>210</v>
      </c>
      <c r="T134" t="s">
        <v>251</v>
      </c>
      <c r="U134">
        <v>0.11820449410414684</v>
      </c>
      <c r="V134" t="s">
        <v>158</v>
      </c>
    </row>
    <row r="135" spans="9:22" x14ac:dyDescent="0.45">
      <c r="I135" t="s">
        <v>168</v>
      </c>
      <c r="J135" t="s">
        <v>252</v>
      </c>
      <c r="K135">
        <v>1.4967666417594477E-2</v>
      </c>
      <c r="L135" t="s">
        <v>158</v>
      </c>
      <c r="N135" t="s">
        <v>189</v>
      </c>
      <c r="O135" t="s">
        <v>252</v>
      </c>
      <c r="P135">
        <v>0.11252744149578331</v>
      </c>
      <c r="Q135" t="s">
        <v>158</v>
      </c>
      <c r="S135" t="s">
        <v>210</v>
      </c>
      <c r="T135" t="s">
        <v>252</v>
      </c>
      <c r="U135">
        <v>0.11910937951331466</v>
      </c>
      <c r="V135" t="s">
        <v>158</v>
      </c>
    </row>
    <row r="136" spans="9:22" x14ac:dyDescent="0.45">
      <c r="I136" t="s">
        <v>168</v>
      </c>
      <c r="J136" t="s">
        <v>253</v>
      </c>
      <c r="K136">
        <v>4.2069749816868784E-2</v>
      </c>
      <c r="L136" t="s">
        <v>158</v>
      </c>
      <c r="N136" t="s">
        <v>189</v>
      </c>
      <c r="O136" t="s">
        <v>253</v>
      </c>
      <c r="P136">
        <v>2.0734372151187515E-2</v>
      </c>
      <c r="Q136" t="s">
        <v>158</v>
      </c>
      <c r="S136" t="s">
        <v>210</v>
      </c>
      <c r="T136" t="s">
        <v>253</v>
      </c>
      <c r="U136">
        <v>2.2300898413262899E-2</v>
      </c>
      <c r="V136" t="s">
        <v>158</v>
      </c>
    </row>
    <row r="137" spans="9:22" x14ac:dyDescent="0.45">
      <c r="I137" t="s">
        <v>168</v>
      </c>
      <c r="J137" t="s">
        <v>254</v>
      </c>
      <c r="K137">
        <v>0.31864212525839525</v>
      </c>
      <c r="L137" t="s">
        <v>158</v>
      </c>
      <c r="N137" t="s">
        <v>189</v>
      </c>
      <c r="O137" t="s">
        <v>254</v>
      </c>
      <c r="P137">
        <v>9.391444552515156E-2</v>
      </c>
      <c r="Q137" t="s">
        <v>158</v>
      </c>
      <c r="S137" t="s">
        <v>210</v>
      </c>
      <c r="T137" t="s">
        <v>254</v>
      </c>
      <c r="U137">
        <v>7.142302676366806E-2</v>
      </c>
      <c r="V137" t="s">
        <v>158</v>
      </c>
    </row>
    <row r="138" spans="9:22" x14ac:dyDescent="0.45">
      <c r="I138" t="s">
        <v>168</v>
      </c>
      <c r="J138" t="s">
        <v>255</v>
      </c>
      <c r="K138">
        <v>3.217023041578234E-2</v>
      </c>
      <c r="L138" t="s">
        <v>158</v>
      </c>
      <c r="N138" t="s">
        <v>189</v>
      </c>
      <c r="O138" t="s">
        <v>255</v>
      </c>
      <c r="P138">
        <v>9.13181805838503E-2</v>
      </c>
      <c r="Q138" t="s">
        <v>158</v>
      </c>
      <c r="S138" t="s">
        <v>210</v>
      </c>
      <c r="T138" t="s">
        <v>255</v>
      </c>
      <c r="U138">
        <v>7.0350051760020599E-2</v>
      </c>
      <c r="V138" t="s">
        <v>158</v>
      </c>
    </row>
    <row r="139" spans="9:22" x14ac:dyDescent="0.45">
      <c r="I139" t="s">
        <v>168</v>
      </c>
      <c r="J139" t="s">
        <v>256</v>
      </c>
      <c r="K139">
        <v>4.9933153596908711E-2</v>
      </c>
      <c r="L139" t="s">
        <v>158</v>
      </c>
      <c r="N139" t="s">
        <v>189</v>
      </c>
      <c r="O139" t="s">
        <v>256</v>
      </c>
      <c r="P139">
        <v>1.6622481957168984E-2</v>
      </c>
      <c r="Q139" t="s">
        <v>158</v>
      </c>
      <c r="S139" t="s">
        <v>210</v>
      </c>
      <c r="T139" t="s">
        <v>256</v>
      </c>
      <c r="U139">
        <v>1.285748091425295E-2</v>
      </c>
      <c r="V139" t="s">
        <v>158</v>
      </c>
    </row>
    <row r="140" spans="9:22" x14ac:dyDescent="0.45">
      <c r="I140" t="s">
        <v>168</v>
      </c>
      <c r="J140" t="s">
        <v>257</v>
      </c>
      <c r="K140">
        <v>8.8717081474990966E-2</v>
      </c>
      <c r="L140" t="s">
        <v>158</v>
      </c>
      <c r="N140" t="s">
        <v>189</v>
      </c>
      <c r="O140" t="s">
        <v>257</v>
      </c>
      <c r="P140">
        <v>0.1305129522108357</v>
      </c>
      <c r="Q140" t="s">
        <v>158</v>
      </c>
      <c r="S140" t="s">
        <v>210</v>
      </c>
      <c r="T140" t="s">
        <v>257</v>
      </c>
      <c r="U140">
        <v>0.1441697412743882</v>
      </c>
      <c r="V140" t="s">
        <v>158</v>
      </c>
    </row>
    <row r="141" spans="9:22" x14ac:dyDescent="0.45">
      <c r="I141" t="s">
        <v>168</v>
      </c>
      <c r="J141" t="s">
        <v>258</v>
      </c>
      <c r="K141">
        <v>0</v>
      </c>
      <c r="L141" t="s">
        <v>158</v>
      </c>
      <c r="N141" t="s">
        <v>189</v>
      </c>
      <c r="O141" t="s">
        <v>258</v>
      </c>
      <c r="P141">
        <v>0.13195708406774012</v>
      </c>
      <c r="Q141" t="s">
        <v>158</v>
      </c>
      <c r="S141" t="s">
        <v>210</v>
      </c>
      <c r="T141" t="s">
        <v>258</v>
      </c>
      <c r="U141">
        <v>0.14857345908465114</v>
      </c>
      <c r="V141" t="s">
        <v>158</v>
      </c>
    </row>
    <row r="142" spans="9:22" x14ac:dyDescent="0.45">
      <c r="I142" t="s">
        <v>168</v>
      </c>
      <c r="J142" t="s">
        <v>259</v>
      </c>
      <c r="K142">
        <v>3.6115014375949421E-3</v>
      </c>
      <c r="L142" t="s">
        <v>158</v>
      </c>
      <c r="N142" t="s">
        <v>189</v>
      </c>
      <c r="O142" t="s">
        <v>259</v>
      </c>
      <c r="P142">
        <v>2.3461740359497232E-2</v>
      </c>
      <c r="Q142" t="s">
        <v>158</v>
      </c>
      <c r="S142" t="s">
        <v>210</v>
      </c>
      <c r="T142" t="s">
        <v>259</v>
      </c>
      <c r="U142">
        <v>2.6951280970352088E-2</v>
      </c>
      <c r="V142" t="s">
        <v>158</v>
      </c>
    </row>
    <row r="143" spans="9:22" x14ac:dyDescent="0.45">
      <c r="I143" t="s">
        <v>169</v>
      </c>
      <c r="J143" t="s">
        <v>248</v>
      </c>
      <c r="K143">
        <v>0.14208173547098957</v>
      </c>
      <c r="L143" t="s">
        <v>158</v>
      </c>
      <c r="N143" t="s">
        <v>190</v>
      </c>
      <c r="O143" t="s">
        <v>248</v>
      </c>
      <c r="P143">
        <v>0.12099344787363504</v>
      </c>
      <c r="Q143" t="s">
        <v>158</v>
      </c>
      <c r="S143" t="s">
        <v>211</v>
      </c>
      <c r="T143" t="s">
        <v>248</v>
      </c>
      <c r="U143">
        <v>0.1246260588670441</v>
      </c>
      <c r="V143" t="s">
        <v>158</v>
      </c>
    </row>
    <row r="144" spans="9:22" x14ac:dyDescent="0.45">
      <c r="I144" t="s">
        <v>169</v>
      </c>
      <c r="J144" t="s">
        <v>249</v>
      </c>
      <c r="K144">
        <v>9.535926440067781E-4</v>
      </c>
      <c r="L144" t="s">
        <v>158</v>
      </c>
      <c r="N144" t="s">
        <v>190</v>
      </c>
      <c r="O144" t="s">
        <v>249</v>
      </c>
      <c r="P144">
        <v>0.1192234440572649</v>
      </c>
      <c r="Q144" t="s">
        <v>158</v>
      </c>
      <c r="S144" t="s">
        <v>211</v>
      </c>
      <c r="T144" t="s">
        <v>249</v>
      </c>
      <c r="U144">
        <v>0.11965112367467803</v>
      </c>
      <c r="V144" t="s">
        <v>158</v>
      </c>
    </row>
    <row r="145" spans="9:22" x14ac:dyDescent="0.45">
      <c r="I145" t="s">
        <v>169</v>
      </c>
      <c r="J145" t="s">
        <v>250</v>
      </c>
      <c r="K145">
        <v>1.1409962314550199E-2</v>
      </c>
      <c r="L145" t="s">
        <v>158</v>
      </c>
      <c r="N145" t="s">
        <v>190</v>
      </c>
      <c r="O145" t="s">
        <v>250</v>
      </c>
      <c r="P145">
        <v>2.2112915286167833E-2</v>
      </c>
      <c r="Q145" t="s">
        <v>158</v>
      </c>
      <c r="S145" t="s">
        <v>211</v>
      </c>
      <c r="T145" t="s">
        <v>250</v>
      </c>
      <c r="U145">
        <v>2.2333729886433323E-2</v>
      </c>
      <c r="V145" t="s">
        <v>158</v>
      </c>
    </row>
    <row r="146" spans="9:22" x14ac:dyDescent="0.45">
      <c r="I146" t="s">
        <v>169</v>
      </c>
      <c r="J146" t="s">
        <v>251</v>
      </c>
      <c r="K146">
        <v>0.29442848888820594</v>
      </c>
      <c r="L146" t="s">
        <v>158</v>
      </c>
      <c r="N146" t="s">
        <v>190</v>
      </c>
      <c r="O146" t="s">
        <v>251</v>
      </c>
      <c r="P146">
        <v>0.10821109272714823</v>
      </c>
      <c r="Q146" t="s">
        <v>158</v>
      </c>
      <c r="S146" t="s">
        <v>211</v>
      </c>
      <c r="T146" t="s">
        <v>251</v>
      </c>
      <c r="U146">
        <v>0.10705394197883858</v>
      </c>
      <c r="V146" t="s">
        <v>158</v>
      </c>
    </row>
    <row r="147" spans="9:22" x14ac:dyDescent="0.45">
      <c r="I147" t="s">
        <v>169</v>
      </c>
      <c r="J147" t="s">
        <v>252</v>
      </c>
      <c r="K147">
        <v>1.5734645478169437E-2</v>
      </c>
      <c r="L147" t="s">
        <v>158</v>
      </c>
      <c r="N147" t="s">
        <v>190</v>
      </c>
      <c r="O147" t="s">
        <v>252</v>
      </c>
      <c r="P147">
        <v>0.10835359286812017</v>
      </c>
      <c r="Q147" t="s">
        <v>158</v>
      </c>
      <c r="S147" t="s">
        <v>211</v>
      </c>
      <c r="T147" t="s">
        <v>252</v>
      </c>
      <c r="U147">
        <v>0.10623115769463232</v>
      </c>
      <c r="V147" t="s">
        <v>158</v>
      </c>
    </row>
    <row r="148" spans="9:22" x14ac:dyDescent="0.45">
      <c r="I148" t="s">
        <v>169</v>
      </c>
      <c r="J148" t="s">
        <v>253</v>
      </c>
      <c r="K148">
        <v>4.3351043352663085E-2</v>
      </c>
      <c r="L148" t="s">
        <v>158</v>
      </c>
      <c r="N148" t="s">
        <v>190</v>
      </c>
      <c r="O148" t="s">
        <v>253</v>
      </c>
      <c r="P148">
        <v>2.085948848199437E-2</v>
      </c>
      <c r="Q148" t="s">
        <v>158</v>
      </c>
      <c r="S148" t="s">
        <v>211</v>
      </c>
      <c r="T148" t="s">
        <v>253</v>
      </c>
      <c r="U148">
        <v>2.0973990732001988E-2</v>
      </c>
      <c r="V148" t="s">
        <v>158</v>
      </c>
    </row>
    <row r="149" spans="9:22" x14ac:dyDescent="0.45">
      <c r="I149" t="s">
        <v>169</v>
      </c>
      <c r="J149" t="s">
        <v>254</v>
      </c>
      <c r="K149">
        <v>0.32148879597026769</v>
      </c>
      <c r="L149" t="s">
        <v>158</v>
      </c>
      <c r="N149" t="s">
        <v>190</v>
      </c>
      <c r="O149" t="s">
        <v>254</v>
      </c>
      <c r="P149">
        <v>9.3150000558914051E-2</v>
      </c>
      <c r="Q149" t="s">
        <v>158</v>
      </c>
      <c r="S149" t="s">
        <v>211</v>
      </c>
      <c r="T149" t="s">
        <v>254</v>
      </c>
      <c r="U149">
        <v>8.6879147243246968E-2</v>
      </c>
      <c r="V149" t="s">
        <v>158</v>
      </c>
    </row>
    <row r="150" spans="9:22" x14ac:dyDescent="0.45">
      <c r="I150" t="s">
        <v>169</v>
      </c>
      <c r="J150" t="s">
        <v>255</v>
      </c>
      <c r="K150">
        <v>3.4225780555658371E-2</v>
      </c>
      <c r="L150" t="s">
        <v>158</v>
      </c>
      <c r="N150" t="s">
        <v>190</v>
      </c>
      <c r="O150" t="s">
        <v>255</v>
      </c>
      <c r="P150">
        <v>9.1324240857810879E-2</v>
      </c>
      <c r="Q150" t="s">
        <v>158</v>
      </c>
      <c r="S150" t="s">
        <v>211</v>
      </c>
      <c r="T150" t="s">
        <v>255</v>
      </c>
      <c r="U150">
        <v>8.103482815476945E-2</v>
      </c>
      <c r="V150" t="s">
        <v>158</v>
      </c>
    </row>
    <row r="151" spans="9:22" x14ac:dyDescent="0.45">
      <c r="I151" t="s">
        <v>169</v>
      </c>
      <c r="J151" t="s">
        <v>256</v>
      </c>
      <c r="K151">
        <v>5.0490730056329806E-2</v>
      </c>
      <c r="L151" t="s">
        <v>158</v>
      </c>
      <c r="N151" t="s">
        <v>190</v>
      </c>
      <c r="O151" t="s">
        <v>256</v>
      </c>
      <c r="P151">
        <v>1.7104885983632204E-2</v>
      </c>
      <c r="Q151" t="s">
        <v>158</v>
      </c>
      <c r="S151" t="s">
        <v>211</v>
      </c>
      <c r="T151" t="s">
        <v>256</v>
      </c>
      <c r="U151">
        <v>1.5429195615616668E-2</v>
      </c>
      <c r="V151" t="s">
        <v>158</v>
      </c>
    </row>
    <row r="152" spans="9:22" x14ac:dyDescent="0.45">
      <c r="I152" t="s">
        <v>169</v>
      </c>
      <c r="J152" t="s">
        <v>257</v>
      </c>
      <c r="K152">
        <v>8.2258209359548584E-2</v>
      </c>
      <c r="L152" t="s">
        <v>158</v>
      </c>
      <c r="N152" t="s">
        <v>190</v>
      </c>
      <c r="O152" t="s">
        <v>257</v>
      </c>
      <c r="P152">
        <v>0.13371835865901993</v>
      </c>
      <c r="Q152" t="s">
        <v>158</v>
      </c>
      <c r="S152" t="s">
        <v>211</v>
      </c>
      <c r="T152" t="s">
        <v>257</v>
      </c>
      <c r="U152">
        <v>0.14104837361262107</v>
      </c>
      <c r="V152" t="s">
        <v>158</v>
      </c>
    </row>
    <row r="153" spans="9:22" x14ac:dyDescent="0.45">
      <c r="I153" t="s">
        <v>169</v>
      </c>
      <c r="J153" t="s">
        <v>258</v>
      </c>
      <c r="K153">
        <v>0</v>
      </c>
      <c r="L153" t="s">
        <v>158</v>
      </c>
      <c r="N153" t="s">
        <v>190</v>
      </c>
      <c r="O153" t="s">
        <v>258</v>
      </c>
      <c r="P153">
        <v>0.13962403803932077</v>
      </c>
      <c r="Q153" t="s">
        <v>158</v>
      </c>
      <c r="S153" t="s">
        <v>211</v>
      </c>
      <c r="T153" t="s">
        <v>258</v>
      </c>
      <c r="U153">
        <v>0.14803935855628012</v>
      </c>
      <c r="V153" t="s">
        <v>158</v>
      </c>
    </row>
    <row r="154" spans="9:22" x14ac:dyDescent="0.45">
      <c r="I154" t="s">
        <v>169</v>
      </c>
      <c r="J154" t="s">
        <v>259</v>
      </c>
      <c r="K154">
        <v>3.5770159096088906E-3</v>
      </c>
      <c r="L154" t="s">
        <v>158</v>
      </c>
      <c r="N154" t="s">
        <v>190</v>
      </c>
      <c r="O154" t="s">
        <v>259</v>
      </c>
      <c r="P154">
        <v>2.5324494606972212E-2</v>
      </c>
      <c r="Q154" t="s">
        <v>158</v>
      </c>
      <c r="S154" t="s">
        <v>211</v>
      </c>
      <c r="T154" t="s">
        <v>259</v>
      </c>
      <c r="U154">
        <v>2.669909398383296E-2</v>
      </c>
      <c r="V154" t="s">
        <v>158</v>
      </c>
    </row>
    <row r="155" spans="9:22" x14ac:dyDescent="0.45">
      <c r="I155" t="s">
        <v>170</v>
      </c>
      <c r="J155" t="s">
        <v>248</v>
      </c>
      <c r="K155">
        <v>0.12187807831125033</v>
      </c>
      <c r="L155" t="s">
        <v>158</v>
      </c>
      <c r="N155" t="s">
        <v>191</v>
      </c>
      <c r="O155" t="s">
        <v>248</v>
      </c>
      <c r="P155">
        <v>0.12350394482556967</v>
      </c>
      <c r="Q155" t="s">
        <v>158</v>
      </c>
      <c r="S155" t="s">
        <v>212</v>
      </c>
      <c r="T155" t="s">
        <v>248</v>
      </c>
      <c r="U155">
        <v>0.12753468096167495</v>
      </c>
      <c r="V155" t="s">
        <v>158</v>
      </c>
    </row>
    <row r="156" spans="9:22" x14ac:dyDescent="0.45">
      <c r="I156" t="s">
        <v>170</v>
      </c>
      <c r="J156" t="s">
        <v>249</v>
      </c>
      <c r="K156">
        <v>9.6079429733545699E-4</v>
      </c>
      <c r="L156" t="s">
        <v>158</v>
      </c>
      <c r="N156" t="s">
        <v>191</v>
      </c>
      <c r="O156" t="s">
        <v>249</v>
      </c>
      <c r="P156">
        <v>0.11688706229261393</v>
      </c>
      <c r="Q156" t="s">
        <v>158</v>
      </c>
      <c r="S156" t="s">
        <v>212</v>
      </c>
      <c r="T156" t="s">
        <v>249</v>
      </c>
      <c r="U156">
        <v>0.13079225882812479</v>
      </c>
      <c r="V156" t="s">
        <v>158</v>
      </c>
    </row>
    <row r="157" spans="9:22" x14ac:dyDescent="0.45">
      <c r="I157" t="s">
        <v>170</v>
      </c>
      <c r="J157" t="s">
        <v>250</v>
      </c>
      <c r="K157">
        <v>1.0502145691835324E-2</v>
      </c>
      <c r="L157" t="s">
        <v>158</v>
      </c>
      <c r="N157" t="s">
        <v>191</v>
      </c>
      <c r="O157" t="s">
        <v>250</v>
      </c>
      <c r="P157">
        <v>2.2233300690728916E-2</v>
      </c>
      <c r="Q157" t="s">
        <v>158</v>
      </c>
      <c r="S157" t="s">
        <v>212</v>
      </c>
      <c r="T157" t="s">
        <v>250</v>
      </c>
      <c r="U157">
        <v>2.4172003501143634E-2</v>
      </c>
      <c r="V157" t="s">
        <v>158</v>
      </c>
    </row>
    <row r="158" spans="9:22" x14ac:dyDescent="0.45">
      <c r="I158" t="s">
        <v>170</v>
      </c>
      <c r="J158" t="s">
        <v>251</v>
      </c>
      <c r="K158">
        <v>0.32949762592903969</v>
      </c>
      <c r="L158" t="s">
        <v>158</v>
      </c>
      <c r="N158" t="s">
        <v>191</v>
      </c>
      <c r="O158" t="s">
        <v>251</v>
      </c>
      <c r="P158">
        <v>0.11221248997207386</v>
      </c>
      <c r="Q158" t="s">
        <v>158</v>
      </c>
      <c r="S158" t="s">
        <v>212</v>
      </c>
      <c r="T158" t="s">
        <v>251</v>
      </c>
      <c r="U158">
        <v>0.12167593689682638</v>
      </c>
      <c r="V158" t="s">
        <v>158</v>
      </c>
    </row>
    <row r="159" spans="9:22" x14ac:dyDescent="0.45">
      <c r="I159" t="s">
        <v>170</v>
      </c>
      <c r="J159" t="s">
        <v>252</v>
      </c>
      <c r="K159">
        <v>1.9160392109126387E-2</v>
      </c>
      <c r="L159" t="s">
        <v>158</v>
      </c>
      <c r="N159" t="s">
        <v>191</v>
      </c>
      <c r="O159" t="s">
        <v>252</v>
      </c>
      <c r="P159">
        <v>0.11024336571384169</v>
      </c>
      <c r="Q159" t="s">
        <v>158</v>
      </c>
      <c r="S159" t="s">
        <v>212</v>
      </c>
      <c r="T159" t="s">
        <v>252</v>
      </c>
      <c r="U159">
        <v>0.11529553665867763</v>
      </c>
      <c r="V159" t="s">
        <v>158</v>
      </c>
    </row>
    <row r="160" spans="9:22" x14ac:dyDescent="0.45">
      <c r="I160" t="s">
        <v>170</v>
      </c>
      <c r="J160" t="s">
        <v>253</v>
      </c>
      <c r="K160">
        <v>4.9922307235970464E-2</v>
      </c>
      <c r="L160" t="s">
        <v>158</v>
      </c>
      <c r="N160" t="s">
        <v>191</v>
      </c>
      <c r="O160" t="s">
        <v>253</v>
      </c>
      <c r="P160">
        <v>2.0775723705071629E-2</v>
      </c>
      <c r="Q160" t="s">
        <v>158</v>
      </c>
      <c r="S160" t="s">
        <v>212</v>
      </c>
      <c r="T160" t="s">
        <v>253</v>
      </c>
      <c r="U160">
        <v>2.1742438752202532E-2</v>
      </c>
      <c r="V160" t="s">
        <v>158</v>
      </c>
    </row>
    <row r="161" spans="9:22" x14ac:dyDescent="0.45">
      <c r="I161" t="s">
        <v>170</v>
      </c>
      <c r="J161" t="s">
        <v>254</v>
      </c>
      <c r="K161">
        <v>0.30923738784171845</v>
      </c>
      <c r="L161" t="s">
        <v>158</v>
      </c>
      <c r="N161" t="s">
        <v>191</v>
      </c>
      <c r="O161" t="s">
        <v>254</v>
      </c>
      <c r="P161">
        <v>8.7977237434118172E-2</v>
      </c>
      <c r="Q161" t="s">
        <v>158</v>
      </c>
      <c r="S161" t="s">
        <v>212</v>
      </c>
      <c r="T161" t="s">
        <v>254</v>
      </c>
      <c r="U161">
        <v>5.9868891904695264E-2</v>
      </c>
      <c r="V161" t="s">
        <v>158</v>
      </c>
    </row>
    <row r="162" spans="9:22" x14ac:dyDescent="0.45">
      <c r="I162" t="s">
        <v>170</v>
      </c>
      <c r="J162" t="s">
        <v>255</v>
      </c>
      <c r="K162">
        <v>3.3600506658184544E-2</v>
      </c>
      <c r="L162" t="s">
        <v>158</v>
      </c>
      <c r="N162" t="s">
        <v>191</v>
      </c>
      <c r="O162" t="s">
        <v>255</v>
      </c>
      <c r="P162">
        <v>8.6803290452057619E-2</v>
      </c>
      <c r="Q162" t="s">
        <v>158</v>
      </c>
      <c r="S162" t="s">
        <v>212</v>
      </c>
      <c r="T162" t="s">
        <v>255</v>
      </c>
      <c r="U162">
        <v>6.0617552236521592E-2</v>
      </c>
      <c r="V162" t="s">
        <v>158</v>
      </c>
    </row>
    <row r="163" spans="9:22" x14ac:dyDescent="0.45">
      <c r="I163" t="s">
        <v>170</v>
      </c>
      <c r="J163" t="s">
        <v>256</v>
      </c>
      <c r="K163">
        <v>5.1783536713301818E-2</v>
      </c>
      <c r="L163" t="s">
        <v>158</v>
      </c>
      <c r="N163" t="s">
        <v>191</v>
      </c>
      <c r="O163" t="s">
        <v>256</v>
      </c>
      <c r="P163">
        <v>1.5684196131339385E-2</v>
      </c>
      <c r="Q163" t="s">
        <v>158</v>
      </c>
      <c r="S163" t="s">
        <v>212</v>
      </c>
      <c r="T163" t="s">
        <v>256</v>
      </c>
      <c r="U163">
        <v>1.3362389484441331E-2</v>
      </c>
      <c r="V163" t="s">
        <v>158</v>
      </c>
    </row>
    <row r="164" spans="9:22" x14ac:dyDescent="0.45">
      <c r="I164" t="s">
        <v>170</v>
      </c>
      <c r="J164" t="s">
        <v>257</v>
      </c>
      <c r="K164">
        <v>7.0549877731814578E-2</v>
      </c>
      <c r="L164" t="s">
        <v>158</v>
      </c>
      <c r="N164" t="s">
        <v>191</v>
      </c>
      <c r="O164" t="s">
        <v>257</v>
      </c>
      <c r="P164">
        <v>0.13609766113757135</v>
      </c>
      <c r="Q164" t="s">
        <v>158</v>
      </c>
      <c r="S164" t="s">
        <v>212</v>
      </c>
      <c r="T164" t="s">
        <v>257</v>
      </c>
      <c r="U164">
        <v>0.14708276655756777</v>
      </c>
      <c r="V164" t="s">
        <v>158</v>
      </c>
    </row>
    <row r="165" spans="9:22" x14ac:dyDescent="0.45">
      <c r="I165" t="s">
        <v>170</v>
      </c>
      <c r="J165" t="s">
        <v>258</v>
      </c>
      <c r="K165">
        <v>0</v>
      </c>
      <c r="L165" t="s">
        <v>158</v>
      </c>
      <c r="N165" t="s">
        <v>191</v>
      </c>
      <c r="O165" t="s">
        <v>258</v>
      </c>
      <c r="P165">
        <v>0.14171691210148724</v>
      </c>
      <c r="Q165" t="s">
        <v>158</v>
      </c>
      <c r="S165" t="s">
        <v>212</v>
      </c>
      <c r="T165" t="s">
        <v>258</v>
      </c>
      <c r="U165">
        <v>0.15115083447856847</v>
      </c>
      <c r="V165" t="s">
        <v>158</v>
      </c>
    </row>
    <row r="166" spans="9:22" x14ac:dyDescent="0.45">
      <c r="I166" t="s">
        <v>170</v>
      </c>
      <c r="J166" t="s">
        <v>259</v>
      </c>
      <c r="K166">
        <v>2.9073474804213106E-3</v>
      </c>
      <c r="L166" t="s">
        <v>158</v>
      </c>
      <c r="N166" t="s">
        <v>191</v>
      </c>
      <c r="O166" t="s">
        <v>259</v>
      </c>
      <c r="P166">
        <v>2.5864815543529953E-2</v>
      </c>
      <c r="Q166" t="s">
        <v>158</v>
      </c>
      <c r="S166" t="s">
        <v>212</v>
      </c>
      <c r="T166" t="s">
        <v>259</v>
      </c>
      <c r="U166">
        <v>2.6704709739554709E-2</v>
      </c>
      <c r="V166" t="s">
        <v>158</v>
      </c>
    </row>
    <row r="167" spans="9:22" x14ac:dyDescent="0.45">
      <c r="I167" t="s">
        <v>171</v>
      </c>
      <c r="J167" t="s">
        <v>248</v>
      </c>
      <c r="K167">
        <v>0.14142468953050311</v>
      </c>
      <c r="L167" t="s">
        <v>158</v>
      </c>
      <c r="N167" t="s">
        <v>192</v>
      </c>
      <c r="O167" t="s">
        <v>248</v>
      </c>
      <c r="P167">
        <v>0.118058534594563</v>
      </c>
      <c r="Q167" t="s">
        <v>158</v>
      </c>
      <c r="S167" t="s">
        <v>213</v>
      </c>
      <c r="T167" t="s">
        <v>248</v>
      </c>
      <c r="U167">
        <v>0.12620772861752733</v>
      </c>
      <c r="V167" t="s">
        <v>158</v>
      </c>
    </row>
    <row r="168" spans="9:22" x14ac:dyDescent="0.45">
      <c r="I168" t="s">
        <v>171</v>
      </c>
      <c r="J168" t="s">
        <v>249</v>
      </c>
      <c r="K168">
        <v>0</v>
      </c>
      <c r="L168" t="s">
        <v>158</v>
      </c>
      <c r="N168" t="s">
        <v>192</v>
      </c>
      <c r="O168" t="s">
        <v>249</v>
      </c>
      <c r="P168">
        <v>0.10874498377022382</v>
      </c>
      <c r="Q168" t="s">
        <v>158</v>
      </c>
      <c r="S168" t="s">
        <v>213</v>
      </c>
      <c r="T168" t="s">
        <v>249</v>
      </c>
      <c r="U168">
        <v>0.1045284374842096</v>
      </c>
      <c r="V168" t="s">
        <v>158</v>
      </c>
    </row>
    <row r="169" spans="9:22" x14ac:dyDescent="0.45">
      <c r="I169" t="s">
        <v>171</v>
      </c>
      <c r="J169" t="s">
        <v>250</v>
      </c>
      <c r="K169">
        <v>4.8828199582769908E-3</v>
      </c>
      <c r="L169" t="s">
        <v>158</v>
      </c>
      <c r="N169" t="s">
        <v>192</v>
      </c>
      <c r="O169" t="s">
        <v>250</v>
      </c>
      <c r="P169">
        <v>1.9531059408440292E-2</v>
      </c>
      <c r="Q169" t="s">
        <v>158</v>
      </c>
      <c r="S169" t="s">
        <v>213</v>
      </c>
      <c r="T169" t="s">
        <v>250</v>
      </c>
      <c r="U169">
        <v>2.0135025031374168E-2</v>
      </c>
      <c r="V169" t="s">
        <v>158</v>
      </c>
    </row>
    <row r="170" spans="9:22" x14ac:dyDescent="0.45">
      <c r="I170" t="s">
        <v>171</v>
      </c>
      <c r="J170" t="s">
        <v>251</v>
      </c>
      <c r="K170">
        <v>0.32986765611610885</v>
      </c>
      <c r="L170" t="s">
        <v>158</v>
      </c>
      <c r="N170" t="s">
        <v>192</v>
      </c>
      <c r="O170" t="s">
        <v>251</v>
      </c>
      <c r="P170">
        <v>0.13556661164025499</v>
      </c>
      <c r="Q170" t="s">
        <v>158</v>
      </c>
      <c r="S170" t="s">
        <v>213</v>
      </c>
      <c r="T170" t="s">
        <v>251</v>
      </c>
      <c r="U170">
        <v>0.13251300531594745</v>
      </c>
      <c r="V170" t="s">
        <v>158</v>
      </c>
    </row>
    <row r="171" spans="9:22" x14ac:dyDescent="0.45">
      <c r="I171" t="s">
        <v>171</v>
      </c>
      <c r="J171" t="s">
        <v>252</v>
      </c>
      <c r="K171">
        <v>1.1937472117788429E-2</v>
      </c>
      <c r="L171" t="s">
        <v>158</v>
      </c>
      <c r="N171" t="s">
        <v>192</v>
      </c>
      <c r="O171" t="s">
        <v>252</v>
      </c>
      <c r="P171">
        <v>0.12366660701125848</v>
      </c>
      <c r="Q171" t="s">
        <v>158</v>
      </c>
      <c r="S171" t="s">
        <v>213</v>
      </c>
      <c r="T171" t="s">
        <v>252</v>
      </c>
      <c r="U171">
        <v>0.11132952989178993</v>
      </c>
      <c r="V171" t="s">
        <v>158</v>
      </c>
    </row>
    <row r="172" spans="9:22" x14ac:dyDescent="0.45">
      <c r="I172" t="s">
        <v>171</v>
      </c>
      <c r="J172" t="s">
        <v>253</v>
      </c>
      <c r="K172">
        <v>3.2276487853649845E-2</v>
      </c>
      <c r="L172" t="s">
        <v>158</v>
      </c>
      <c r="N172" t="s">
        <v>192</v>
      </c>
      <c r="O172" t="s">
        <v>253</v>
      </c>
      <c r="P172">
        <v>2.2954033750538373E-2</v>
      </c>
      <c r="Q172" t="s">
        <v>158</v>
      </c>
      <c r="S172" t="s">
        <v>213</v>
      </c>
      <c r="T172" t="s">
        <v>253</v>
      </c>
      <c r="U172">
        <v>2.3988490240573153E-2</v>
      </c>
      <c r="V172" t="s">
        <v>158</v>
      </c>
    </row>
    <row r="173" spans="9:22" x14ac:dyDescent="0.45">
      <c r="I173" t="s">
        <v>171</v>
      </c>
      <c r="J173" t="s">
        <v>254</v>
      </c>
      <c r="K173">
        <v>0.33143970486845542</v>
      </c>
      <c r="L173" t="s">
        <v>158</v>
      </c>
      <c r="N173" t="s">
        <v>192</v>
      </c>
      <c r="O173" t="s">
        <v>254</v>
      </c>
      <c r="P173">
        <v>7.1384149605091249E-2</v>
      </c>
      <c r="Q173" t="s">
        <v>158</v>
      </c>
      <c r="S173" t="s">
        <v>213</v>
      </c>
      <c r="T173" t="s">
        <v>254</v>
      </c>
      <c r="U173">
        <v>7.0669475949491939E-2</v>
      </c>
      <c r="V173" t="s">
        <v>158</v>
      </c>
    </row>
    <row r="174" spans="9:22" x14ac:dyDescent="0.45">
      <c r="I174" t="s">
        <v>171</v>
      </c>
      <c r="J174" t="s">
        <v>255</v>
      </c>
      <c r="K174">
        <v>2.7286158839738006E-2</v>
      </c>
      <c r="L174" t="s">
        <v>158</v>
      </c>
      <c r="N174" t="s">
        <v>192</v>
      </c>
      <c r="O174" t="s">
        <v>255</v>
      </c>
      <c r="P174">
        <v>6.1059977699113609E-2</v>
      </c>
      <c r="Q174" t="s">
        <v>158</v>
      </c>
      <c r="S174" t="s">
        <v>213</v>
      </c>
      <c r="T174" t="s">
        <v>255</v>
      </c>
      <c r="U174">
        <v>4.6127373493583972E-2</v>
      </c>
      <c r="V174" t="s">
        <v>158</v>
      </c>
    </row>
    <row r="175" spans="9:22" x14ac:dyDescent="0.45">
      <c r="I175" t="s">
        <v>171</v>
      </c>
      <c r="J175" t="s">
        <v>256</v>
      </c>
      <c r="K175">
        <v>4.0509347020990447E-2</v>
      </c>
      <c r="L175" t="s">
        <v>158</v>
      </c>
      <c r="N175" t="s">
        <v>192</v>
      </c>
      <c r="O175" t="s">
        <v>256</v>
      </c>
      <c r="P175">
        <v>1.1659873147354545E-2</v>
      </c>
      <c r="Q175" t="s">
        <v>158</v>
      </c>
      <c r="S175" t="s">
        <v>213</v>
      </c>
      <c r="T175" t="s">
        <v>256</v>
      </c>
      <c r="U175">
        <v>1.1708984818131058E-2</v>
      </c>
      <c r="V175" t="s">
        <v>158</v>
      </c>
    </row>
    <row r="176" spans="9:22" x14ac:dyDescent="0.45">
      <c r="I176" t="s">
        <v>171</v>
      </c>
      <c r="J176" t="s">
        <v>257</v>
      </c>
      <c r="K176">
        <v>8.0075446742639361E-2</v>
      </c>
      <c r="L176" t="s">
        <v>158</v>
      </c>
      <c r="N176" t="s">
        <v>192</v>
      </c>
      <c r="O176" t="s">
        <v>257</v>
      </c>
      <c r="P176">
        <v>0.14832740394727301</v>
      </c>
      <c r="Q176" t="s">
        <v>158</v>
      </c>
      <c r="S176" t="s">
        <v>213</v>
      </c>
      <c r="T176" t="s">
        <v>257</v>
      </c>
      <c r="U176">
        <v>0.15786477177748848</v>
      </c>
      <c r="V176" t="s">
        <v>158</v>
      </c>
    </row>
    <row r="177" spans="9:22" x14ac:dyDescent="0.45">
      <c r="I177" t="s">
        <v>171</v>
      </c>
      <c r="J177" t="s">
        <v>258</v>
      </c>
      <c r="K177">
        <v>0</v>
      </c>
      <c r="L177" t="s">
        <v>158</v>
      </c>
      <c r="N177" t="s">
        <v>192</v>
      </c>
      <c r="O177" t="s">
        <v>258</v>
      </c>
      <c r="P177">
        <v>0.1512417848871184</v>
      </c>
      <c r="Q177" t="s">
        <v>158</v>
      </c>
      <c r="S177" t="s">
        <v>213</v>
      </c>
      <c r="T177" t="s">
        <v>258</v>
      </c>
      <c r="U177">
        <v>0.16509195792783035</v>
      </c>
      <c r="V177" t="s">
        <v>158</v>
      </c>
    </row>
    <row r="178" spans="9:22" x14ac:dyDescent="0.45">
      <c r="I178" t="s">
        <v>171</v>
      </c>
      <c r="J178" t="s">
        <v>259</v>
      </c>
      <c r="K178">
        <v>3.0021695184915192E-4</v>
      </c>
      <c r="L178" t="s">
        <v>158</v>
      </c>
      <c r="N178" t="s">
        <v>192</v>
      </c>
      <c r="O178" t="s">
        <v>259</v>
      </c>
      <c r="P178">
        <v>2.7804980538768984E-2</v>
      </c>
      <c r="Q178" t="s">
        <v>158</v>
      </c>
      <c r="S178" t="s">
        <v>213</v>
      </c>
      <c r="T178" t="s">
        <v>259</v>
      </c>
      <c r="U178">
        <v>2.9835219452053297E-2</v>
      </c>
      <c r="V178" t="s">
        <v>158</v>
      </c>
    </row>
    <row r="179" spans="9:22" x14ac:dyDescent="0.45">
      <c r="I179" t="s">
        <v>172</v>
      </c>
      <c r="J179" t="s">
        <v>248</v>
      </c>
      <c r="K179">
        <v>0.14737260335104638</v>
      </c>
      <c r="L179" t="s">
        <v>158</v>
      </c>
      <c r="N179" t="s">
        <v>193</v>
      </c>
      <c r="O179" t="s">
        <v>248</v>
      </c>
      <c r="P179">
        <v>0.1217623101445672</v>
      </c>
      <c r="Q179" t="s">
        <v>158</v>
      </c>
      <c r="S179" t="s">
        <v>214</v>
      </c>
      <c r="T179" t="s">
        <v>248</v>
      </c>
      <c r="U179">
        <v>0.13048403521125332</v>
      </c>
      <c r="V179" t="s">
        <v>158</v>
      </c>
    </row>
    <row r="180" spans="9:22" x14ac:dyDescent="0.45">
      <c r="I180" t="s">
        <v>172</v>
      </c>
      <c r="J180" t="s">
        <v>249</v>
      </c>
      <c r="K180">
        <v>0</v>
      </c>
      <c r="L180" t="s">
        <v>158</v>
      </c>
      <c r="N180" t="s">
        <v>193</v>
      </c>
      <c r="O180" t="s">
        <v>249</v>
      </c>
      <c r="P180">
        <v>0.12141879473929282</v>
      </c>
      <c r="Q180" t="s">
        <v>158</v>
      </c>
      <c r="S180" t="s">
        <v>214</v>
      </c>
      <c r="T180" t="s">
        <v>249</v>
      </c>
      <c r="U180">
        <v>0.12625451978629834</v>
      </c>
      <c r="V180" t="s">
        <v>158</v>
      </c>
    </row>
    <row r="181" spans="9:22" x14ac:dyDescent="0.45">
      <c r="I181" t="s">
        <v>172</v>
      </c>
      <c r="J181" t="s">
        <v>250</v>
      </c>
      <c r="K181">
        <v>4.6029429496229806E-3</v>
      </c>
      <c r="L181" t="s">
        <v>158</v>
      </c>
      <c r="N181" t="s">
        <v>193</v>
      </c>
      <c r="O181" t="s">
        <v>250</v>
      </c>
      <c r="P181">
        <v>2.2268750193987864E-2</v>
      </c>
      <c r="Q181" t="s">
        <v>158</v>
      </c>
      <c r="S181" t="s">
        <v>214</v>
      </c>
      <c r="T181" t="s">
        <v>250</v>
      </c>
      <c r="U181">
        <v>2.3756342236886375E-2</v>
      </c>
      <c r="V181" t="s">
        <v>158</v>
      </c>
    </row>
    <row r="182" spans="9:22" x14ac:dyDescent="0.45">
      <c r="I182" t="s">
        <v>172</v>
      </c>
      <c r="J182" t="s">
        <v>251</v>
      </c>
      <c r="K182">
        <v>0.33816400868465996</v>
      </c>
      <c r="L182" t="s">
        <v>158</v>
      </c>
      <c r="N182" t="s">
        <v>193</v>
      </c>
      <c r="O182" t="s">
        <v>251</v>
      </c>
      <c r="P182">
        <v>0.12227064210311812</v>
      </c>
      <c r="Q182" t="s">
        <v>158</v>
      </c>
      <c r="S182" t="s">
        <v>214</v>
      </c>
      <c r="T182" t="s">
        <v>251</v>
      </c>
      <c r="U182">
        <v>0.11242192735785868</v>
      </c>
      <c r="V182" t="s">
        <v>158</v>
      </c>
    </row>
    <row r="183" spans="9:22" x14ac:dyDescent="0.45">
      <c r="I183" t="s">
        <v>172</v>
      </c>
      <c r="J183" t="s">
        <v>252</v>
      </c>
      <c r="K183">
        <v>1.2400082444637726E-2</v>
      </c>
      <c r="L183" t="s">
        <v>158</v>
      </c>
      <c r="N183" t="s">
        <v>193</v>
      </c>
      <c r="O183" t="s">
        <v>252</v>
      </c>
      <c r="P183">
        <v>0.12293545277997862</v>
      </c>
      <c r="Q183" t="s">
        <v>158</v>
      </c>
      <c r="S183" t="s">
        <v>214</v>
      </c>
      <c r="T183" t="s">
        <v>252</v>
      </c>
      <c r="U183">
        <v>0.10467461987468665</v>
      </c>
      <c r="V183" t="s">
        <v>158</v>
      </c>
    </row>
    <row r="184" spans="9:22" x14ac:dyDescent="0.45">
      <c r="I184" t="s">
        <v>172</v>
      </c>
      <c r="J184" t="s">
        <v>253</v>
      </c>
      <c r="K184">
        <v>3.2673170160800069E-2</v>
      </c>
      <c r="L184" t="s">
        <v>158</v>
      </c>
      <c r="N184" t="s">
        <v>193</v>
      </c>
      <c r="O184" t="s">
        <v>253</v>
      </c>
      <c r="P184">
        <v>2.228892053578177E-2</v>
      </c>
      <c r="Q184" t="s">
        <v>158</v>
      </c>
      <c r="S184" t="s">
        <v>214</v>
      </c>
      <c r="T184" t="s">
        <v>253</v>
      </c>
      <c r="U184">
        <v>2.0932353543156271E-2</v>
      </c>
      <c r="V184" t="s">
        <v>158</v>
      </c>
    </row>
    <row r="185" spans="9:22" x14ac:dyDescent="0.45">
      <c r="I185" t="s">
        <v>172</v>
      </c>
      <c r="J185" t="s">
        <v>254</v>
      </c>
      <c r="K185">
        <v>0.31610218968491188</v>
      </c>
      <c r="L185" t="s">
        <v>158</v>
      </c>
      <c r="N185" t="s">
        <v>193</v>
      </c>
      <c r="O185" t="s">
        <v>254</v>
      </c>
      <c r="P185">
        <v>7.1859969621011599E-2</v>
      </c>
      <c r="Q185" t="s">
        <v>158</v>
      </c>
      <c r="S185" t="s">
        <v>214</v>
      </c>
      <c r="T185" t="s">
        <v>254</v>
      </c>
      <c r="U185">
        <v>7.70757263804972E-2</v>
      </c>
      <c r="V185" t="s">
        <v>158</v>
      </c>
    </row>
    <row r="186" spans="9:22" x14ac:dyDescent="0.45">
      <c r="I186" t="s">
        <v>172</v>
      </c>
      <c r="J186" t="s">
        <v>255</v>
      </c>
      <c r="K186">
        <v>2.7944763200938402E-2</v>
      </c>
      <c r="L186" t="s">
        <v>158</v>
      </c>
      <c r="N186" t="s">
        <v>193</v>
      </c>
      <c r="O186" t="s">
        <v>255</v>
      </c>
      <c r="P186">
        <v>7.1406166505034743E-2</v>
      </c>
      <c r="Q186" t="s">
        <v>158</v>
      </c>
      <c r="S186" t="s">
        <v>214</v>
      </c>
      <c r="T186" t="s">
        <v>255</v>
      </c>
      <c r="U186">
        <v>5.9310353669648166E-2</v>
      </c>
      <c r="V186" t="s">
        <v>158</v>
      </c>
    </row>
    <row r="187" spans="9:22" x14ac:dyDescent="0.45">
      <c r="I187" t="s">
        <v>172</v>
      </c>
      <c r="J187" t="s">
        <v>256</v>
      </c>
      <c r="K187">
        <v>4.1932229313802645E-2</v>
      </c>
      <c r="L187" t="s">
        <v>158</v>
      </c>
      <c r="N187" t="s">
        <v>193</v>
      </c>
      <c r="O187" t="s">
        <v>256</v>
      </c>
      <c r="P187">
        <v>1.3241918455476927E-2</v>
      </c>
      <c r="Q187" t="s">
        <v>158</v>
      </c>
      <c r="S187" t="s">
        <v>214</v>
      </c>
      <c r="T187" t="s">
        <v>256</v>
      </c>
      <c r="U187">
        <v>1.3619432229044319E-2</v>
      </c>
      <c r="V187" t="s">
        <v>158</v>
      </c>
    </row>
    <row r="188" spans="9:22" x14ac:dyDescent="0.45">
      <c r="I188" t="s">
        <v>172</v>
      </c>
      <c r="J188" t="s">
        <v>257</v>
      </c>
      <c r="K188">
        <v>7.796326141040312E-2</v>
      </c>
      <c r="L188" t="s">
        <v>158</v>
      </c>
      <c r="N188" t="s">
        <v>193</v>
      </c>
      <c r="O188" t="s">
        <v>257</v>
      </c>
      <c r="P188">
        <v>0.1400135870866018</v>
      </c>
      <c r="Q188" t="s">
        <v>158</v>
      </c>
      <c r="S188" t="s">
        <v>214</v>
      </c>
      <c r="T188" t="s">
        <v>257</v>
      </c>
      <c r="U188">
        <v>0.14666272283592688</v>
      </c>
      <c r="V188" t="s">
        <v>158</v>
      </c>
    </row>
    <row r="189" spans="9:22" x14ac:dyDescent="0.45">
      <c r="I189" t="s">
        <v>172</v>
      </c>
      <c r="J189" t="s">
        <v>258</v>
      </c>
      <c r="K189">
        <v>0</v>
      </c>
      <c r="L189" t="s">
        <v>158</v>
      </c>
      <c r="N189" t="s">
        <v>193</v>
      </c>
      <c r="O189" t="s">
        <v>258</v>
      </c>
      <c r="P189">
        <v>0.14450622607405156</v>
      </c>
      <c r="Q189" t="s">
        <v>158</v>
      </c>
      <c r="S189" t="s">
        <v>214</v>
      </c>
      <c r="T189" t="s">
        <v>258</v>
      </c>
      <c r="U189">
        <v>0.15791055022069894</v>
      </c>
      <c r="V189" t="s">
        <v>158</v>
      </c>
    </row>
    <row r="190" spans="9:22" x14ac:dyDescent="0.45">
      <c r="I190" t="s">
        <v>172</v>
      </c>
      <c r="J190" t="s">
        <v>259</v>
      </c>
      <c r="K190">
        <v>8.4474879917818889E-4</v>
      </c>
      <c r="L190" t="s">
        <v>158</v>
      </c>
      <c r="N190" t="s">
        <v>193</v>
      </c>
      <c r="O190" t="s">
        <v>259</v>
      </c>
      <c r="P190">
        <v>2.6027261761095669E-2</v>
      </c>
      <c r="Q190" t="s">
        <v>158</v>
      </c>
      <c r="S190" t="s">
        <v>214</v>
      </c>
      <c r="T190" t="s">
        <v>259</v>
      </c>
      <c r="U190">
        <v>2.6897416654048042E-2</v>
      </c>
      <c r="V190" t="s">
        <v>158</v>
      </c>
    </row>
    <row r="191" spans="9:22" x14ac:dyDescent="0.45">
      <c r="I191" t="s">
        <v>173</v>
      </c>
      <c r="J191" t="s">
        <v>248</v>
      </c>
      <c r="K191">
        <v>0.14237093848524682</v>
      </c>
      <c r="L191" t="s">
        <v>158</v>
      </c>
      <c r="N191" t="s">
        <v>194</v>
      </c>
      <c r="O191" t="s">
        <v>248</v>
      </c>
      <c r="P191">
        <v>0.13111608704519892</v>
      </c>
      <c r="Q191" t="s">
        <v>158</v>
      </c>
      <c r="S191" t="s">
        <v>215</v>
      </c>
      <c r="T191" t="s">
        <v>248</v>
      </c>
      <c r="U191">
        <v>0.11019373818479498</v>
      </c>
      <c r="V191" t="s">
        <v>158</v>
      </c>
    </row>
    <row r="192" spans="9:22" x14ac:dyDescent="0.45">
      <c r="I192" t="s">
        <v>173</v>
      </c>
      <c r="J192" t="s">
        <v>249</v>
      </c>
      <c r="K192">
        <v>0</v>
      </c>
      <c r="L192" t="s">
        <v>158</v>
      </c>
      <c r="N192" t="s">
        <v>194</v>
      </c>
      <c r="O192" t="s">
        <v>249</v>
      </c>
      <c r="P192">
        <v>0.12339316296801889</v>
      </c>
      <c r="Q192" t="s">
        <v>158</v>
      </c>
      <c r="S192" t="s">
        <v>215</v>
      </c>
      <c r="T192" t="s">
        <v>249</v>
      </c>
      <c r="U192">
        <v>0.10823402852502344</v>
      </c>
      <c r="V192" t="s">
        <v>158</v>
      </c>
    </row>
    <row r="193" spans="9:22" x14ac:dyDescent="0.45">
      <c r="I193" t="s">
        <v>173</v>
      </c>
      <c r="J193" t="s">
        <v>250</v>
      </c>
      <c r="K193">
        <v>5.9443552282540347E-3</v>
      </c>
      <c r="L193" t="s">
        <v>158</v>
      </c>
      <c r="N193" t="s">
        <v>194</v>
      </c>
      <c r="O193" t="s">
        <v>250</v>
      </c>
      <c r="P193">
        <v>2.3660840834679779E-2</v>
      </c>
      <c r="Q193" t="s">
        <v>158</v>
      </c>
      <c r="S193" t="s">
        <v>215</v>
      </c>
      <c r="T193" t="s">
        <v>250</v>
      </c>
      <c r="U193">
        <v>2.0502124656681126E-2</v>
      </c>
      <c r="V193" t="s">
        <v>158</v>
      </c>
    </row>
    <row r="194" spans="9:22" x14ac:dyDescent="0.45">
      <c r="I194" t="s">
        <v>173</v>
      </c>
      <c r="J194" t="s">
        <v>251</v>
      </c>
      <c r="K194">
        <v>0.33496511119156397</v>
      </c>
      <c r="L194" t="s">
        <v>158</v>
      </c>
      <c r="N194" t="s">
        <v>194</v>
      </c>
      <c r="O194" t="s">
        <v>251</v>
      </c>
      <c r="P194">
        <v>0.11524161688206445</v>
      </c>
      <c r="Q194" t="s">
        <v>158</v>
      </c>
      <c r="S194" t="s">
        <v>215</v>
      </c>
      <c r="T194" t="s">
        <v>251</v>
      </c>
      <c r="U194">
        <v>0.11248425357659332</v>
      </c>
      <c r="V194" t="s">
        <v>158</v>
      </c>
    </row>
    <row r="195" spans="9:22" x14ac:dyDescent="0.45">
      <c r="I195" t="s">
        <v>173</v>
      </c>
      <c r="J195" t="s">
        <v>252</v>
      </c>
      <c r="K195">
        <v>1.2476606186525805E-2</v>
      </c>
      <c r="L195" t="s">
        <v>158</v>
      </c>
      <c r="N195" t="s">
        <v>194</v>
      </c>
      <c r="O195" t="s">
        <v>252</v>
      </c>
      <c r="P195">
        <v>0.10091838166586617</v>
      </c>
      <c r="Q195" t="s">
        <v>158</v>
      </c>
      <c r="S195" t="s">
        <v>215</v>
      </c>
      <c r="T195" t="s">
        <v>252</v>
      </c>
      <c r="U195">
        <v>0.11397448707174881</v>
      </c>
      <c r="V195" t="s">
        <v>158</v>
      </c>
    </row>
    <row r="196" spans="9:22" x14ac:dyDescent="0.45">
      <c r="I196" t="s">
        <v>173</v>
      </c>
      <c r="J196" t="s">
        <v>253</v>
      </c>
      <c r="K196">
        <v>3.5239172829742503E-2</v>
      </c>
      <c r="L196" t="s">
        <v>158</v>
      </c>
      <c r="N196" t="s">
        <v>194</v>
      </c>
      <c r="O196" t="s">
        <v>253</v>
      </c>
      <c r="P196">
        <v>2.0502014375139554E-2</v>
      </c>
      <c r="Q196" t="s">
        <v>158</v>
      </c>
      <c r="S196" t="s">
        <v>215</v>
      </c>
      <c r="T196" t="s">
        <v>253</v>
      </c>
      <c r="U196">
        <v>1.9589096739579908E-2</v>
      </c>
      <c r="V196" t="s">
        <v>158</v>
      </c>
    </row>
    <row r="197" spans="9:22" x14ac:dyDescent="0.45">
      <c r="I197" t="s">
        <v>173</v>
      </c>
      <c r="J197" t="s">
        <v>254</v>
      </c>
      <c r="K197">
        <v>0.33042006476581809</v>
      </c>
      <c r="L197" t="s">
        <v>158</v>
      </c>
      <c r="N197" t="s">
        <v>194</v>
      </c>
      <c r="O197" t="s">
        <v>254</v>
      </c>
      <c r="P197">
        <v>8.6802776567922346E-2</v>
      </c>
      <c r="Q197" t="s">
        <v>158</v>
      </c>
      <c r="S197" t="s">
        <v>215</v>
      </c>
      <c r="T197" t="s">
        <v>254</v>
      </c>
      <c r="U197">
        <v>0.10194560435918251</v>
      </c>
      <c r="V197" t="s">
        <v>158</v>
      </c>
    </row>
    <row r="198" spans="9:22" x14ac:dyDescent="0.45">
      <c r="I198" t="s">
        <v>173</v>
      </c>
      <c r="J198" t="s">
        <v>255</v>
      </c>
      <c r="K198">
        <v>2.8211352900142764E-2</v>
      </c>
      <c r="L198" t="s">
        <v>158</v>
      </c>
      <c r="N198" t="s">
        <v>194</v>
      </c>
      <c r="O198" t="s">
        <v>255</v>
      </c>
      <c r="P198">
        <v>6.2682105398374349E-2</v>
      </c>
      <c r="Q198" t="s">
        <v>158</v>
      </c>
      <c r="S198" t="s">
        <v>215</v>
      </c>
      <c r="T198" t="s">
        <v>255</v>
      </c>
      <c r="U198">
        <v>0.10375156348134709</v>
      </c>
      <c r="V198" t="s">
        <v>158</v>
      </c>
    </row>
    <row r="199" spans="9:22" x14ac:dyDescent="0.45">
      <c r="I199" t="s">
        <v>173</v>
      </c>
      <c r="J199" t="s">
        <v>256</v>
      </c>
      <c r="K199">
        <v>4.469504821269394E-2</v>
      </c>
      <c r="L199" t="s">
        <v>158</v>
      </c>
      <c r="N199" t="s">
        <v>194</v>
      </c>
      <c r="O199" t="s">
        <v>256</v>
      </c>
      <c r="P199">
        <v>1.396695163620454E-2</v>
      </c>
      <c r="Q199" t="s">
        <v>158</v>
      </c>
      <c r="S199" t="s">
        <v>215</v>
      </c>
      <c r="T199" t="s">
        <v>256</v>
      </c>
      <c r="U199">
        <v>1.8988030714708531E-2</v>
      </c>
      <c r="V199" t="s">
        <v>158</v>
      </c>
    </row>
    <row r="200" spans="9:22" x14ac:dyDescent="0.45">
      <c r="I200" t="s">
        <v>173</v>
      </c>
      <c r="J200" t="s">
        <v>257</v>
      </c>
      <c r="K200">
        <v>6.4948944569358166E-2</v>
      </c>
      <c r="L200" t="s">
        <v>158</v>
      </c>
      <c r="N200" t="s">
        <v>194</v>
      </c>
      <c r="O200" t="s">
        <v>257</v>
      </c>
      <c r="P200">
        <v>0.14287057861403657</v>
      </c>
      <c r="Q200" t="s">
        <v>158</v>
      </c>
      <c r="S200" t="s">
        <v>215</v>
      </c>
      <c r="T200" t="s">
        <v>257</v>
      </c>
      <c r="U200">
        <v>0.13100114202238167</v>
      </c>
      <c r="V200" t="s">
        <v>158</v>
      </c>
    </row>
    <row r="201" spans="9:22" x14ac:dyDescent="0.45">
      <c r="I201" t="s">
        <v>173</v>
      </c>
      <c r="J201" t="s">
        <v>258</v>
      </c>
      <c r="K201">
        <v>0</v>
      </c>
      <c r="L201" t="s">
        <v>158</v>
      </c>
      <c r="N201" t="s">
        <v>194</v>
      </c>
      <c r="O201" t="s">
        <v>258</v>
      </c>
      <c r="P201">
        <v>0.15226089254624303</v>
      </c>
      <c r="Q201" t="s">
        <v>158</v>
      </c>
      <c r="S201" t="s">
        <v>215</v>
      </c>
      <c r="T201" t="s">
        <v>258</v>
      </c>
      <c r="U201">
        <v>0.13411427291242181</v>
      </c>
      <c r="V201" t="s">
        <v>158</v>
      </c>
    </row>
    <row r="202" spans="9:22" x14ac:dyDescent="0.45">
      <c r="I202" t="s">
        <v>173</v>
      </c>
      <c r="J202" t="s">
        <v>259</v>
      </c>
      <c r="K202">
        <v>7.2840563065328936E-4</v>
      </c>
      <c r="L202" t="s">
        <v>158</v>
      </c>
      <c r="N202" t="s">
        <v>194</v>
      </c>
      <c r="O202" t="s">
        <v>259</v>
      </c>
      <c r="P202">
        <v>2.6584591466248544E-2</v>
      </c>
      <c r="Q202" t="s">
        <v>158</v>
      </c>
      <c r="S202" t="s">
        <v>215</v>
      </c>
      <c r="T202" t="s">
        <v>259</v>
      </c>
      <c r="U202">
        <v>2.5221657755537981E-2</v>
      </c>
      <c r="V202" t="s">
        <v>158</v>
      </c>
    </row>
    <row r="203" spans="9:22" x14ac:dyDescent="0.45">
      <c r="I203" t="s">
        <v>174</v>
      </c>
      <c r="J203" t="s">
        <v>248</v>
      </c>
      <c r="K203">
        <v>0.1342684623801236</v>
      </c>
      <c r="L203" t="s">
        <v>158</v>
      </c>
      <c r="N203" t="s">
        <v>195</v>
      </c>
      <c r="O203" t="s">
        <v>248</v>
      </c>
      <c r="P203">
        <v>0.12972937700325282</v>
      </c>
      <c r="Q203" t="s">
        <v>158</v>
      </c>
      <c r="S203" t="s">
        <v>216</v>
      </c>
      <c r="T203" t="s">
        <v>248</v>
      </c>
      <c r="U203">
        <v>0.10850232423845851</v>
      </c>
      <c r="V203" t="s">
        <v>158</v>
      </c>
    </row>
    <row r="204" spans="9:22" x14ac:dyDescent="0.45">
      <c r="I204" t="s">
        <v>174</v>
      </c>
      <c r="J204" t="s">
        <v>249</v>
      </c>
      <c r="K204">
        <v>0</v>
      </c>
      <c r="L204" t="s">
        <v>158</v>
      </c>
      <c r="N204" t="s">
        <v>195</v>
      </c>
      <c r="O204" t="s">
        <v>249</v>
      </c>
      <c r="P204">
        <v>0.11186944889173268</v>
      </c>
      <c r="Q204" t="s">
        <v>158</v>
      </c>
      <c r="S204" t="s">
        <v>216</v>
      </c>
      <c r="T204" t="s">
        <v>249</v>
      </c>
      <c r="U204">
        <v>0.10773615031106856</v>
      </c>
      <c r="V204" t="s">
        <v>158</v>
      </c>
    </row>
    <row r="205" spans="9:22" x14ac:dyDescent="0.45">
      <c r="I205" t="s">
        <v>174</v>
      </c>
      <c r="J205" t="s">
        <v>250</v>
      </c>
      <c r="K205">
        <v>5.5003025887557502E-3</v>
      </c>
      <c r="L205" t="s">
        <v>158</v>
      </c>
      <c r="N205" t="s">
        <v>195</v>
      </c>
      <c r="O205" t="s">
        <v>250</v>
      </c>
      <c r="P205">
        <v>2.1881501728770444E-2</v>
      </c>
      <c r="Q205" t="s">
        <v>158</v>
      </c>
      <c r="S205" t="s">
        <v>216</v>
      </c>
      <c r="T205" t="s">
        <v>250</v>
      </c>
      <c r="U205">
        <v>1.9572183769630689E-2</v>
      </c>
      <c r="V205" t="s">
        <v>158</v>
      </c>
    </row>
    <row r="206" spans="9:22" x14ac:dyDescent="0.45">
      <c r="I206" t="s">
        <v>174</v>
      </c>
      <c r="J206" t="s">
        <v>251</v>
      </c>
      <c r="K206">
        <v>0.35173366501287046</v>
      </c>
      <c r="L206" t="s">
        <v>158</v>
      </c>
      <c r="N206" t="s">
        <v>195</v>
      </c>
      <c r="O206" t="s">
        <v>251</v>
      </c>
      <c r="P206">
        <v>0.12775822264320549</v>
      </c>
      <c r="Q206" t="s">
        <v>158</v>
      </c>
      <c r="S206" t="s">
        <v>216</v>
      </c>
      <c r="T206" t="s">
        <v>251</v>
      </c>
      <c r="U206">
        <v>0.11764127511965955</v>
      </c>
      <c r="V206" t="s">
        <v>158</v>
      </c>
    </row>
    <row r="207" spans="9:22" x14ac:dyDescent="0.45">
      <c r="I207" t="s">
        <v>174</v>
      </c>
      <c r="J207" t="s">
        <v>252</v>
      </c>
      <c r="K207">
        <v>1.3958005213576633E-2</v>
      </c>
      <c r="L207" t="s">
        <v>158</v>
      </c>
      <c r="N207" t="s">
        <v>195</v>
      </c>
      <c r="O207" t="s">
        <v>252</v>
      </c>
      <c r="P207">
        <v>0.1104416847008968</v>
      </c>
      <c r="Q207" t="s">
        <v>158</v>
      </c>
      <c r="S207" t="s">
        <v>216</v>
      </c>
      <c r="T207" t="s">
        <v>252</v>
      </c>
      <c r="U207">
        <v>0.1145683201318461</v>
      </c>
      <c r="V207" t="s">
        <v>158</v>
      </c>
    </row>
    <row r="208" spans="9:22" x14ac:dyDescent="0.45">
      <c r="I208" t="s">
        <v>174</v>
      </c>
      <c r="J208" t="s">
        <v>253</v>
      </c>
      <c r="K208">
        <v>3.6503927883690272E-2</v>
      </c>
      <c r="L208" t="s">
        <v>158</v>
      </c>
      <c r="N208" t="s">
        <v>195</v>
      </c>
      <c r="O208" t="s">
        <v>253</v>
      </c>
      <c r="P208">
        <v>2.2968973238336077E-2</v>
      </c>
      <c r="Q208" t="s">
        <v>158</v>
      </c>
      <c r="S208" t="s">
        <v>216</v>
      </c>
      <c r="T208" t="s">
        <v>253</v>
      </c>
      <c r="U208">
        <v>2.0689310823835086E-2</v>
      </c>
      <c r="V208" t="s">
        <v>158</v>
      </c>
    </row>
    <row r="209" spans="9:22" x14ac:dyDescent="0.45">
      <c r="I209" t="s">
        <v>174</v>
      </c>
      <c r="J209" t="s">
        <v>254</v>
      </c>
      <c r="K209">
        <v>0.31862389007633279</v>
      </c>
      <c r="L209" t="s">
        <v>158</v>
      </c>
      <c r="N209" t="s">
        <v>195</v>
      </c>
      <c r="O209" t="s">
        <v>254</v>
      </c>
      <c r="P209">
        <v>7.8197993134687074E-2</v>
      </c>
      <c r="Q209" t="s">
        <v>158</v>
      </c>
      <c r="S209" t="s">
        <v>216</v>
      </c>
      <c r="T209" t="s">
        <v>254</v>
      </c>
      <c r="U209">
        <v>0.1002648598361269</v>
      </c>
      <c r="V209" t="s">
        <v>158</v>
      </c>
    </row>
    <row r="210" spans="9:22" x14ac:dyDescent="0.45">
      <c r="I210" t="s">
        <v>174</v>
      </c>
      <c r="J210" t="s">
        <v>255</v>
      </c>
      <c r="K210">
        <v>2.6531636099444814E-2</v>
      </c>
      <c r="L210" t="s">
        <v>158</v>
      </c>
      <c r="N210" t="s">
        <v>195</v>
      </c>
      <c r="O210" t="s">
        <v>255</v>
      </c>
      <c r="P210">
        <v>5.4644911072502501E-2</v>
      </c>
      <c r="Q210" t="s">
        <v>158</v>
      </c>
      <c r="S210" t="s">
        <v>216</v>
      </c>
      <c r="T210" t="s">
        <v>255</v>
      </c>
      <c r="U210">
        <v>9.8842054517645592E-2</v>
      </c>
      <c r="V210" t="s">
        <v>158</v>
      </c>
    </row>
    <row r="211" spans="9:22" x14ac:dyDescent="0.45">
      <c r="I211" t="s">
        <v>174</v>
      </c>
      <c r="J211" t="s">
        <v>256</v>
      </c>
      <c r="K211">
        <v>4.1021476813269779E-2</v>
      </c>
      <c r="L211" t="s">
        <v>158</v>
      </c>
      <c r="N211" t="s">
        <v>195</v>
      </c>
      <c r="O211" t="s">
        <v>256</v>
      </c>
      <c r="P211">
        <v>1.2989160201387448E-2</v>
      </c>
      <c r="Q211" t="s">
        <v>158</v>
      </c>
      <c r="S211" t="s">
        <v>216</v>
      </c>
      <c r="T211" t="s">
        <v>256</v>
      </c>
      <c r="U211">
        <v>1.8829437800272315E-2</v>
      </c>
      <c r="V211" t="s">
        <v>158</v>
      </c>
    </row>
    <row r="212" spans="9:22" x14ac:dyDescent="0.45">
      <c r="I212" t="s">
        <v>174</v>
      </c>
      <c r="J212" t="s">
        <v>257</v>
      </c>
      <c r="K212">
        <v>7.1139738732123481E-2</v>
      </c>
      <c r="L212" t="s">
        <v>158</v>
      </c>
      <c r="N212" t="s">
        <v>195</v>
      </c>
      <c r="O212" t="s">
        <v>257</v>
      </c>
      <c r="P212">
        <v>0.14802527172206245</v>
      </c>
      <c r="Q212" t="s">
        <v>158</v>
      </c>
      <c r="S212" t="s">
        <v>216</v>
      </c>
      <c r="T212" t="s">
        <v>257</v>
      </c>
      <c r="U212">
        <v>0.13647495127231998</v>
      </c>
      <c r="V212" t="s">
        <v>158</v>
      </c>
    </row>
    <row r="213" spans="9:22" x14ac:dyDescent="0.45">
      <c r="I213" t="s">
        <v>174</v>
      </c>
      <c r="J213" t="s">
        <v>258</v>
      </c>
      <c r="K213">
        <v>0</v>
      </c>
      <c r="L213" t="s">
        <v>158</v>
      </c>
      <c r="N213" t="s">
        <v>195</v>
      </c>
      <c r="O213" t="s">
        <v>258</v>
      </c>
      <c r="P213">
        <v>0.15375284297125955</v>
      </c>
      <c r="Q213" t="s">
        <v>158</v>
      </c>
      <c r="S213" t="s">
        <v>216</v>
      </c>
      <c r="T213" t="s">
        <v>258</v>
      </c>
      <c r="U213">
        <v>0.13165098796685026</v>
      </c>
      <c r="V213" t="s">
        <v>158</v>
      </c>
    </row>
    <row r="214" spans="9:22" x14ac:dyDescent="0.45">
      <c r="I214" t="s">
        <v>174</v>
      </c>
      <c r="J214" t="s">
        <v>259</v>
      </c>
      <c r="K214">
        <v>7.1889519981588887E-4</v>
      </c>
      <c r="L214" t="s">
        <v>158</v>
      </c>
      <c r="N214" t="s">
        <v>195</v>
      </c>
      <c r="O214" t="s">
        <v>259</v>
      </c>
      <c r="P214">
        <v>2.7740612691907265E-2</v>
      </c>
      <c r="Q214" t="s">
        <v>158</v>
      </c>
      <c r="S214" t="s">
        <v>216</v>
      </c>
      <c r="T214" t="s">
        <v>259</v>
      </c>
      <c r="U214">
        <v>2.5228144212284059E-2</v>
      </c>
      <c r="V214" t="s">
        <v>158</v>
      </c>
    </row>
    <row r="215" spans="9:22" x14ac:dyDescent="0.45">
      <c r="I215" t="s">
        <v>175</v>
      </c>
      <c r="J215" t="s">
        <v>248</v>
      </c>
      <c r="K215">
        <v>0.16066772144782435</v>
      </c>
      <c r="L215" t="s">
        <v>158</v>
      </c>
      <c r="N215" t="s">
        <v>196</v>
      </c>
      <c r="O215" t="s">
        <v>248</v>
      </c>
      <c r="P215">
        <v>0.12790632074402258</v>
      </c>
      <c r="Q215" t="s">
        <v>158</v>
      </c>
      <c r="S215" t="s">
        <v>217</v>
      </c>
      <c r="T215" t="s">
        <v>248</v>
      </c>
      <c r="U215">
        <v>0.11517144555844493</v>
      </c>
      <c r="V215" t="s">
        <v>158</v>
      </c>
    </row>
    <row r="216" spans="9:22" x14ac:dyDescent="0.45">
      <c r="I216" t="s">
        <v>175</v>
      </c>
      <c r="J216" t="s">
        <v>249</v>
      </c>
      <c r="K216">
        <v>0</v>
      </c>
      <c r="L216" t="s">
        <v>158</v>
      </c>
      <c r="N216" t="s">
        <v>196</v>
      </c>
      <c r="O216" t="s">
        <v>249</v>
      </c>
      <c r="P216">
        <v>0.13489680239339746</v>
      </c>
      <c r="Q216" t="s">
        <v>158</v>
      </c>
      <c r="S216" t="s">
        <v>217</v>
      </c>
      <c r="T216" t="s">
        <v>249</v>
      </c>
      <c r="U216">
        <v>0.11286102480355557</v>
      </c>
      <c r="V216" t="s">
        <v>158</v>
      </c>
    </row>
    <row r="217" spans="9:22" x14ac:dyDescent="0.45">
      <c r="I217" t="s">
        <v>175</v>
      </c>
      <c r="J217" t="s">
        <v>250</v>
      </c>
      <c r="K217">
        <v>5.678060593088975E-3</v>
      </c>
      <c r="L217" t="s">
        <v>158</v>
      </c>
      <c r="N217" t="s">
        <v>196</v>
      </c>
      <c r="O217" t="s">
        <v>250</v>
      </c>
      <c r="P217">
        <v>2.4037703398707668E-2</v>
      </c>
      <c r="Q217" t="s">
        <v>158</v>
      </c>
      <c r="S217" t="s">
        <v>217</v>
      </c>
      <c r="T217" t="s">
        <v>250</v>
      </c>
      <c r="U217">
        <v>2.0913248520354359E-2</v>
      </c>
      <c r="V217" t="s">
        <v>158</v>
      </c>
    </row>
    <row r="218" spans="9:22" x14ac:dyDescent="0.45">
      <c r="I218" t="s">
        <v>175</v>
      </c>
      <c r="J218" t="s">
        <v>251</v>
      </c>
      <c r="K218">
        <v>0.30036877990616179</v>
      </c>
      <c r="L218" t="s">
        <v>158</v>
      </c>
      <c r="N218" t="s">
        <v>196</v>
      </c>
      <c r="O218" t="s">
        <v>251</v>
      </c>
      <c r="P218">
        <v>0.11303514429147128</v>
      </c>
      <c r="Q218" t="s">
        <v>158</v>
      </c>
      <c r="S218" t="s">
        <v>217</v>
      </c>
      <c r="T218" t="s">
        <v>251</v>
      </c>
      <c r="U218">
        <v>0.11370172180407129</v>
      </c>
      <c r="V218" t="s">
        <v>158</v>
      </c>
    </row>
    <row r="219" spans="9:22" x14ac:dyDescent="0.45">
      <c r="I219" t="s">
        <v>175</v>
      </c>
      <c r="J219" t="s">
        <v>252</v>
      </c>
      <c r="K219">
        <v>9.7230991257073567E-3</v>
      </c>
      <c r="L219" t="s">
        <v>158</v>
      </c>
      <c r="N219" t="s">
        <v>196</v>
      </c>
      <c r="O219" t="s">
        <v>252</v>
      </c>
      <c r="P219">
        <v>0.11325605338345596</v>
      </c>
      <c r="Q219" t="s">
        <v>158</v>
      </c>
      <c r="S219" t="s">
        <v>217</v>
      </c>
      <c r="T219" t="s">
        <v>252</v>
      </c>
      <c r="U219">
        <v>0.11154011250855612</v>
      </c>
      <c r="V219" t="s">
        <v>158</v>
      </c>
    </row>
    <row r="220" spans="9:22" x14ac:dyDescent="0.45">
      <c r="I220" t="s">
        <v>175</v>
      </c>
      <c r="J220" t="s">
        <v>253</v>
      </c>
      <c r="K220">
        <v>3.2221522706642802E-2</v>
      </c>
      <c r="L220" t="s">
        <v>158</v>
      </c>
      <c r="N220" t="s">
        <v>196</v>
      </c>
      <c r="O220" t="s">
        <v>253</v>
      </c>
      <c r="P220">
        <v>2.0533139568922457E-2</v>
      </c>
      <c r="Q220" t="s">
        <v>158</v>
      </c>
      <c r="S220" t="s">
        <v>217</v>
      </c>
      <c r="T220" t="s">
        <v>253</v>
      </c>
      <c r="U220">
        <v>2.0488977935389233E-2</v>
      </c>
      <c r="V220" t="s">
        <v>158</v>
      </c>
    </row>
    <row r="221" spans="9:22" x14ac:dyDescent="0.45">
      <c r="I221" t="s">
        <v>175</v>
      </c>
      <c r="J221" t="s">
        <v>254</v>
      </c>
      <c r="K221">
        <v>0.33356695344336007</v>
      </c>
      <c r="L221" t="s">
        <v>158</v>
      </c>
      <c r="N221" t="s">
        <v>196</v>
      </c>
      <c r="O221" t="s">
        <v>254</v>
      </c>
      <c r="P221">
        <v>6.3612266786072097E-2</v>
      </c>
      <c r="Q221" t="s">
        <v>158</v>
      </c>
      <c r="S221" t="s">
        <v>217</v>
      </c>
      <c r="T221" t="s">
        <v>254</v>
      </c>
      <c r="U221">
        <v>9.2870061304070994E-2</v>
      </c>
      <c r="V221" t="s">
        <v>158</v>
      </c>
    </row>
    <row r="222" spans="9:22" x14ac:dyDescent="0.45">
      <c r="I222" t="s">
        <v>175</v>
      </c>
      <c r="J222" t="s">
        <v>255</v>
      </c>
      <c r="K222">
        <v>2.6052773866253737E-2</v>
      </c>
      <c r="L222" t="s">
        <v>158</v>
      </c>
      <c r="N222" t="s">
        <v>196</v>
      </c>
      <c r="O222" t="s">
        <v>255</v>
      </c>
      <c r="P222">
        <v>6.1838010475765613E-2</v>
      </c>
      <c r="Q222" t="s">
        <v>158</v>
      </c>
      <c r="S222" t="s">
        <v>217</v>
      </c>
      <c r="T222" t="s">
        <v>255</v>
      </c>
      <c r="U222">
        <v>9.3673346763022525E-2</v>
      </c>
      <c r="V222" t="s">
        <v>158</v>
      </c>
    </row>
    <row r="223" spans="9:22" x14ac:dyDescent="0.45">
      <c r="I223" t="s">
        <v>175</v>
      </c>
      <c r="J223" t="s">
        <v>256</v>
      </c>
      <c r="K223">
        <v>3.9653964850375402E-2</v>
      </c>
      <c r="L223" t="s">
        <v>158</v>
      </c>
      <c r="N223" t="s">
        <v>196</v>
      </c>
      <c r="O223" t="s">
        <v>256</v>
      </c>
      <c r="P223">
        <v>1.3107815797474611E-2</v>
      </c>
      <c r="Q223" t="s">
        <v>158</v>
      </c>
      <c r="S223" t="s">
        <v>217</v>
      </c>
      <c r="T223" t="s">
        <v>256</v>
      </c>
      <c r="U223">
        <v>1.7133123044852139E-2</v>
      </c>
      <c r="V223" t="s">
        <v>158</v>
      </c>
    </row>
    <row r="224" spans="9:22" x14ac:dyDescent="0.45">
      <c r="I224" t="s">
        <v>175</v>
      </c>
      <c r="J224" t="s">
        <v>257</v>
      </c>
      <c r="K224">
        <v>9.0819612157216706E-2</v>
      </c>
      <c r="L224" t="s">
        <v>158</v>
      </c>
      <c r="N224" t="s">
        <v>196</v>
      </c>
      <c r="O224" t="s">
        <v>257</v>
      </c>
      <c r="P224">
        <v>0.14895507078004933</v>
      </c>
      <c r="Q224" t="s">
        <v>158</v>
      </c>
      <c r="S224" t="s">
        <v>217</v>
      </c>
      <c r="T224" t="s">
        <v>257</v>
      </c>
      <c r="U224">
        <v>0.13767113458544919</v>
      </c>
      <c r="V224" t="s">
        <v>158</v>
      </c>
    </row>
    <row r="225" spans="9:22" x14ac:dyDescent="0.45">
      <c r="I225" t="s">
        <v>175</v>
      </c>
      <c r="J225" t="s">
        <v>258</v>
      </c>
      <c r="K225">
        <v>0</v>
      </c>
      <c r="L225" t="s">
        <v>158</v>
      </c>
      <c r="N225" t="s">
        <v>196</v>
      </c>
      <c r="O225" t="s">
        <v>258</v>
      </c>
      <c r="P225">
        <v>0.15235416580306332</v>
      </c>
      <c r="Q225" t="s">
        <v>158</v>
      </c>
      <c r="S225" t="s">
        <v>217</v>
      </c>
      <c r="T225" t="s">
        <v>258</v>
      </c>
      <c r="U225">
        <v>0.13809145360992978</v>
      </c>
      <c r="V225" t="s">
        <v>158</v>
      </c>
    </row>
    <row r="226" spans="9:22" x14ac:dyDescent="0.45">
      <c r="I226" t="s">
        <v>175</v>
      </c>
      <c r="J226" t="s">
        <v>259</v>
      </c>
      <c r="K226">
        <v>1.2475119033733787E-3</v>
      </c>
      <c r="L226" t="s">
        <v>158</v>
      </c>
      <c r="N226" t="s">
        <v>196</v>
      </c>
      <c r="O226" t="s">
        <v>259</v>
      </c>
      <c r="P226">
        <v>2.6467506577595876E-2</v>
      </c>
      <c r="Q226" t="s">
        <v>158</v>
      </c>
      <c r="S226" t="s">
        <v>217</v>
      </c>
      <c r="T226" t="s">
        <v>259</v>
      </c>
      <c r="U226">
        <v>2.5884349562301422E-2</v>
      </c>
      <c r="V226" t="s">
        <v>158</v>
      </c>
    </row>
    <row r="227" spans="9:22" x14ac:dyDescent="0.45">
      <c r="I227" t="s">
        <v>176</v>
      </c>
      <c r="J227" t="s">
        <v>248</v>
      </c>
      <c r="K227">
        <v>0.15937336503399324</v>
      </c>
      <c r="L227" t="s">
        <v>158</v>
      </c>
      <c r="N227" t="s">
        <v>197</v>
      </c>
      <c r="O227" t="s">
        <v>248</v>
      </c>
      <c r="P227">
        <v>0.13098464440289248</v>
      </c>
      <c r="Q227" t="s">
        <v>158</v>
      </c>
      <c r="S227" t="s">
        <v>218</v>
      </c>
      <c r="T227" t="s">
        <v>248</v>
      </c>
      <c r="U227">
        <v>0.11694788433862553</v>
      </c>
      <c r="V227" t="s">
        <v>158</v>
      </c>
    </row>
    <row r="228" spans="9:22" x14ac:dyDescent="0.45">
      <c r="I228" t="s">
        <v>176</v>
      </c>
      <c r="J228" t="s">
        <v>249</v>
      </c>
      <c r="K228">
        <v>0</v>
      </c>
      <c r="L228" t="s">
        <v>158</v>
      </c>
      <c r="N228" t="s">
        <v>197</v>
      </c>
      <c r="O228" t="s">
        <v>249</v>
      </c>
      <c r="P228">
        <v>0.12492297501703298</v>
      </c>
      <c r="Q228" t="s">
        <v>158</v>
      </c>
      <c r="S228" t="s">
        <v>218</v>
      </c>
      <c r="T228" t="s">
        <v>249</v>
      </c>
      <c r="U228">
        <v>0.11530521478881182</v>
      </c>
      <c r="V228" t="s">
        <v>158</v>
      </c>
    </row>
    <row r="229" spans="9:22" x14ac:dyDescent="0.45">
      <c r="I229" t="s">
        <v>176</v>
      </c>
      <c r="J229" t="s">
        <v>250</v>
      </c>
      <c r="K229">
        <v>5.7794834363641273E-3</v>
      </c>
      <c r="L229" t="s">
        <v>158</v>
      </c>
      <c r="N229" t="s">
        <v>197</v>
      </c>
      <c r="O229" t="s">
        <v>250</v>
      </c>
      <c r="P229">
        <v>2.3687668147816532E-2</v>
      </c>
      <c r="Q229" t="s">
        <v>158</v>
      </c>
      <c r="S229" t="s">
        <v>218</v>
      </c>
      <c r="T229" t="s">
        <v>250</v>
      </c>
      <c r="U229">
        <v>2.146953270894357E-2</v>
      </c>
      <c r="V229" t="s">
        <v>158</v>
      </c>
    </row>
    <row r="230" spans="9:22" x14ac:dyDescent="0.45">
      <c r="I230" t="s">
        <v>176</v>
      </c>
      <c r="J230" t="s">
        <v>251</v>
      </c>
      <c r="K230">
        <v>0.30785890700413898</v>
      </c>
      <c r="L230" t="s">
        <v>158</v>
      </c>
      <c r="N230" t="s">
        <v>197</v>
      </c>
      <c r="O230" t="s">
        <v>251</v>
      </c>
      <c r="P230">
        <v>0.126832166192093</v>
      </c>
      <c r="Q230" t="s">
        <v>158</v>
      </c>
      <c r="S230" t="s">
        <v>218</v>
      </c>
      <c r="T230" t="s">
        <v>251</v>
      </c>
      <c r="U230">
        <v>0.10905417048050406</v>
      </c>
      <c r="V230" t="s">
        <v>158</v>
      </c>
    </row>
    <row r="231" spans="9:22" x14ac:dyDescent="0.45">
      <c r="I231" t="s">
        <v>176</v>
      </c>
      <c r="J231" t="s">
        <v>252</v>
      </c>
      <c r="K231">
        <v>8.8641635995066453E-3</v>
      </c>
      <c r="L231" t="s">
        <v>158</v>
      </c>
      <c r="N231" t="s">
        <v>197</v>
      </c>
      <c r="O231" t="s">
        <v>252</v>
      </c>
      <c r="P231">
        <v>0.11391586872714417</v>
      </c>
      <c r="Q231" t="s">
        <v>158</v>
      </c>
      <c r="S231" t="s">
        <v>218</v>
      </c>
      <c r="T231" t="s">
        <v>252</v>
      </c>
      <c r="U231">
        <v>0.10706579027583377</v>
      </c>
      <c r="V231" t="s">
        <v>158</v>
      </c>
    </row>
    <row r="232" spans="9:22" x14ac:dyDescent="0.45">
      <c r="I232" t="s">
        <v>176</v>
      </c>
      <c r="J232" t="s">
        <v>253</v>
      </c>
      <c r="K232">
        <v>3.3767734592256807E-2</v>
      </c>
      <c r="L232" t="s">
        <v>158</v>
      </c>
      <c r="N232" t="s">
        <v>197</v>
      </c>
      <c r="O232" t="s">
        <v>253</v>
      </c>
      <c r="P232">
        <v>2.2659787079649312E-2</v>
      </c>
      <c r="Q232" t="s">
        <v>158</v>
      </c>
      <c r="S232" t="s">
        <v>218</v>
      </c>
      <c r="T232" t="s">
        <v>253</v>
      </c>
      <c r="U232">
        <v>2.0017867258184628E-2</v>
      </c>
      <c r="V232" t="s">
        <v>158</v>
      </c>
    </row>
    <row r="233" spans="9:22" x14ac:dyDescent="0.45">
      <c r="I233" t="s">
        <v>176</v>
      </c>
      <c r="J233" t="s">
        <v>254</v>
      </c>
      <c r="K233">
        <v>0.32749301761718308</v>
      </c>
      <c r="L233" t="s">
        <v>158</v>
      </c>
      <c r="N233" t="s">
        <v>197</v>
      </c>
      <c r="O233" t="s">
        <v>254</v>
      </c>
      <c r="P233">
        <v>6.6927633450300131E-2</v>
      </c>
      <c r="Q233" t="s">
        <v>158</v>
      </c>
      <c r="S233" t="s">
        <v>218</v>
      </c>
      <c r="T233" t="s">
        <v>254</v>
      </c>
      <c r="U233">
        <v>9.147373518642006E-2</v>
      </c>
      <c r="V233" t="s">
        <v>158</v>
      </c>
    </row>
    <row r="234" spans="9:22" x14ac:dyDescent="0.45">
      <c r="I234" t="s">
        <v>176</v>
      </c>
      <c r="J234" t="s">
        <v>255</v>
      </c>
      <c r="K234">
        <v>2.5425889567883792E-2</v>
      </c>
      <c r="L234" t="s">
        <v>158</v>
      </c>
      <c r="N234" t="s">
        <v>197</v>
      </c>
      <c r="O234" t="s">
        <v>255</v>
      </c>
      <c r="P234">
        <v>5.2232692975711287E-2</v>
      </c>
      <c r="Q234" t="s">
        <v>158</v>
      </c>
      <c r="S234" t="s">
        <v>218</v>
      </c>
      <c r="T234" t="s">
        <v>255</v>
      </c>
      <c r="U234">
        <v>9.229662229409849E-2</v>
      </c>
      <c r="V234" t="s">
        <v>158</v>
      </c>
    </row>
    <row r="235" spans="9:22" x14ac:dyDescent="0.45">
      <c r="I235" t="s">
        <v>176</v>
      </c>
      <c r="J235" t="s">
        <v>256</v>
      </c>
      <c r="K235">
        <v>3.9109248190730111E-2</v>
      </c>
      <c r="L235" t="s">
        <v>158</v>
      </c>
      <c r="N235" t="s">
        <v>197</v>
      </c>
      <c r="O235" t="s">
        <v>256</v>
      </c>
      <c r="P235">
        <v>1.3499083677061477E-2</v>
      </c>
      <c r="Q235" t="s">
        <v>158</v>
      </c>
      <c r="S235" t="s">
        <v>218</v>
      </c>
      <c r="T235" t="s">
        <v>256</v>
      </c>
      <c r="U235">
        <v>1.6590137688423084E-2</v>
      </c>
      <c r="V235" t="s">
        <v>158</v>
      </c>
    </row>
    <row r="236" spans="9:22" x14ac:dyDescent="0.45">
      <c r="I236" t="s">
        <v>176</v>
      </c>
      <c r="J236" t="s">
        <v>257</v>
      </c>
      <c r="K236">
        <v>9.0670471801535119E-2</v>
      </c>
      <c r="L236" t="s">
        <v>158</v>
      </c>
      <c r="N236" t="s">
        <v>197</v>
      </c>
      <c r="O236" t="s">
        <v>257</v>
      </c>
      <c r="P236">
        <v>0.14674065208676512</v>
      </c>
      <c r="Q236" t="s">
        <v>158</v>
      </c>
      <c r="S236" t="s">
        <v>218</v>
      </c>
      <c r="T236" t="s">
        <v>257</v>
      </c>
      <c r="U236">
        <v>0.138488696662045</v>
      </c>
      <c r="V236" t="s">
        <v>158</v>
      </c>
    </row>
    <row r="237" spans="9:22" x14ac:dyDescent="0.45">
      <c r="I237" t="s">
        <v>176</v>
      </c>
      <c r="J237" t="s">
        <v>258</v>
      </c>
      <c r="K237">
        <v>0</v>
      </c>
      <c r="L237" t="s">
        <v>158</v>
      </c>
      <c r="N237" t="s">
        <v>197</v>
      </c>
      <c r="O237" t="s">
        <v>258</v>
      </c>
      <c r="P237">
        <v>0.15126535068793395</v>
      </c>
      <c r="Q237" t="s">
        <v>158</v>
      </c>
      <c r="S237" t="s">
        <v>218</v>
      </c>
      <c r="T237" t="s">
        <v>258</v>
      </c>
      <c r="U237">
        <v>0.14504769482176674</v>
      </c>
      <c r="V237" t="s">
        <v>158</v>
      </c>
    </row>
    <row r="238" spans="9:22" x14ac:dyDescent="0.45">
      <c r="I238" t="s">
        <v>176</v>
      </c>
      <c r="J238" t="s">
        <v>259</v>
      </c>
      <c r="K238">
        <v>1.6577191564087471E-3</v>
      </c>
      <c r="L238" t="s">
        <v>158</v>
      </c>
      <c r="N238" t="s">
        <v>197</v>
      </c>
      <c r="O238" t="s">
        <v>259</v>
      </c>
      <c r="P238">
        <v>2.6331477555598573E-2</v>
      </c>
      <c r="Q238" t="s">
        <v>158</v>
      </c>
      <c r="S238" t="s">
        <v>218</v>
      </c>
      <c r="T238" t="s">
        <v>259</v>
      </c>
      <c r="U238">
        <v>2.6242653496343523E-2</v>
      </c>
      <c r="V238" t="s">
        <v>158</v>
      </c>
    </row>
    <row r="239" spans="9:22" x14ac:dyDescent="0.45">
      <c r="I239" t="s">
        <v>177</v>
      </c>
      <c r="J239" t="s">
        <v>248</v>
      </c>
      <c r="K239">
        <v>0.15411013205862978</v>
      </c>
      <c r="L239" t="s">
        <v>158</v>
      </c>
      <c r="N239" t="s">
        <v>198</v>
      </c>
      <c r="O239" t="s">
        <v>248</v>
      </c>
      <c r="P239">
        <v>0.12672733288867871</v>
      </c>
      <c r="Q239" t="s">
        <v>158</v>
      </c>
      <c r="S239" t="s">
        <v>219</v>
      </c>
      <c r="T239" t="s">
        <v>248</v>
      </c>
      <c r="U239">
        <v>0.11197491922944937</v>
      </c>
      <c r="V239" t="s">
        <v>158</v>
      </c>
    </row>
    <row r="240" spans="9:22" x14ac:dyDescent="0.45">
      <c r="I240" t="s">
        <v>177</v>
      </c>
      <c r="J240" t="s">
        <v>249</v>
      </c>
      <c r="K240">
        <v>0</v>
      </c>
      <c r="L240" t="s">
        <v>158</v>
      </c>
      <c r="N240" t="s">
        <v>198</v>
      </c>
      <c r="O240" t="s">
        <v>249</v>
      </c>
      <c r="P240">
        <v>0.12468572221921306</v>
      </c>
      <c r="Q240" t="s">
        <v>158</v>
      </c>
      <c r="S240" t="s">
        <v>219</v>
      </c>
      <c r="T240" t="s">
        <v>249</v>
      </c>
      <c r="U240">
        <v>0.11320497578873892</v>
      </c>
      <c r="V240" t="s">
        <v>158</v>
      </c>
    </row>
    <row r="241" spans="9:22" x14ac:dyDescent="0.45">
      <c r="I241" t="s">
        <v>177</v>
      </c>
      <c r="J241" t="s">
        <v>250</v>
      </c>
      <c r="K241">
        <v>5.278334363436092E-3</v>
      </c>
      <c r="L241" t="s">
        <v>158</v>
      </c>
      <c r="N241" t="s">
        <v>198</v>
      </c>
      <c r="O241" t="s">
        <v>250</v>
      </c>
      <c r="P241">
        <v>2.3061088341625326E-2</v>
      </c>
      <c r="Q241" t="s">
        <v>158</v>
      </c>
      <c r="S241" t="s">
        <v>219</v>
      </c>
      <c r="T241" t="s">
        <v>250</v>
      </c>
      <c r="U241">
        <v>2.0338060159315458E-2</v>
      </c>
      <c r="V241" t="s">
        <v>158</v>
      </c>
    </row>
    <row r="242" spans="9:22" x14ac:dyDescent="0.45">
      <c r="I242" t="s">
        <v>177</v>
      </c>
      <c r="J242" t="s">
        <v>251</v>
      </c>
      <c r="K242">
        <v>0.3173967017908183</v>
      </c>
      <c r="L242" t="s">
        <v>158</v>
      </c>
      <c r="N242" t="s">
        <v>198</v>
      </c>
      <c r="O242" t="s">
        <v>251</v>
      </c>
      <c r="P242">
        <v>0.12843610005454842</v>
      </c>
      <c r="Q242" t="s">
        <v>158</v>
      </c>
      <c r="S242" t="s">
        <v>219</v>
      </c>
      <c r="T242" t="s">
        <v>251</v>
      </c>
      <c r="U242">
        <v>0.11029418185879709</v>
      </c>
      <c r="V242" t="s">
        <v>158</v>
      </c>
    </row>
    <row r="243" spans="9:22" x14ac:dyDescent="0.45">
      <c r="I243" t="s">
        <v>177</v>
      </c>
      <c r="J243" t="s">
        <v>252</v>
      </c>
      <c r="K243">
        <v>1.1192966189798552E-2</v>
      </c>
      <c r="L243" t="s">
        <v>158</v>
      </c>
      <c r="N243" t="s">
        <v>198</v>
      </c>
      <c r="O243" t="s">
        <v>252</v>
      </c>
      <c r="P243">
        <v>0.11697124010790928</v>
      </c>
      <c r="Q243" t="s">
        <v>158</v>
      </c>
      <c r="S243" t="s">
        <v>219</v>
      </c>
      <c r="T243" t="s">
        <v>252</v>
      </c>
      <c r="U243">
        <v>0.10688723320653126</v>
      </c>
      <c r="V243" t="s">
        <v>158</v>
      </c>
    </row>
    <row r="244" spans="9:22" x14ac:dyDescent="0.45">
      <c r="I244" t="s">
        <v>177</v>
      </c>
      <c r="J244" t="s">
        <v>253</v>
      </c>
      <c r="K244">
        <v>3.2794712425852336E-2</v>
      </c>
      <c r="L244" t="s">
        <v>158</v>
      </c>
      <c r="N244" t="s">
        <v>198</v>
      </c>
      <c r="O244" t="s">
        <v>253</v>
      </c>
      <c r="P244">
        <v>2.2428583838722534E-2</v>
      </c>
      <c r="Q244" t="s">
        <v>158</v>
      </c>
      <c r="S244" t="s">
        <v>219</v>
      </c>
      <c r="T244" t="s">
        <v>253</v>
      </c>
      <c r="U244">
        <v>2.0062199055580203E-2</v>
      </c>
      <c r="V244" t="s">
        <v>158</v>
      </c>
    </row>
    <row r="245" spans="9:22" x14ac:dyDescent="0.45">
      <c r="I245" t="s">
        <v>177</v>
      </c>
      <c r="J245" t="s">
        <v>254</v>
      </c>
      <c r="K245">
        <v>0.3320857525726626</v>
      </c>
      <c r="L245" t="s">
        <v>158</v>
      </c>
      <c r="N245" t="s">
        <v>198</v>
      </c>
      <c r="O245" t="s">
        <v>254</v>
      </c>
      <c r="P245">
        <v>7.001875141240553E-2</v>
      </c>
      <c r="Q245" t="s">
        <v>158</v>
      </c>
      <c r="S245" t="s">
        <v>219</v>
      </c>
      <c r="T245" t="s">
        <v>254</v>
      </c>
      <c r="U245">
        <v>9.7321645329513623E-2</v>
      </c>
      <c r="V245" t="s">
        <v>158</v>
      </c>
    </row>
    <row r="246" spans="9:22" x14ac:dyDescent="0.45">
      <c r="I246" t="s">
        <v>177</v>
      </c>
      <c r="J246" t="s">
        <v>255</v>
      </c>
      <c r="K246">
        <v>2.6353285319131683E-2</v>
      </c>
      <c r="L246" t="s">
        <v>158</v>
      </c>
      <c r="N246" t="s">
        <v>198</v>
      </c>
      <c r="O246" t="s">
        <v>255</v>
      </c>
      <c r="P246">
        <v>6.0337653649415325E-2</v>
      </c>
      <c r="Q246" t="s">
        <v>158</v>
      </c>
      <c r="S246" t="s">
        <v>219</v>
      </c>
      <c r="T246" t="s">
        <v>255</v>
      </c>
      <c r="U246">
        <v>9.7224260845721708E-2</v>
      </c>
      <c r="V246" t="s">
        <v>158</v>
      </c>
    </row>
    <row r="247" spans="9:22" x14ac:dyDescent="0.45">
      <c r="I247" t="s">
        <v>177</v>
      </c>
      <c r="J247" t="s">
        <v>256</v>
      </c>
      <c r="K247">
        <v>4.3735943770832661E-2</v>
      </c>
      <c r="L247" t="s">
        <v>158</v>
      </c>
      <c r="N247" t="s">
        <v>198</v>
      </c>
      <c r="O247" t="s">
        <v>256</v>
      </c>
      <c r="P247">
        <v>1.2818511876249643E-2</v>
      </c>
      <c r="Q247" t="s">
        <v>158</v>
      </c>
      <c r="S247" t="s">
        <v>219</v>
      </c>
      <c r="T247" t="s">
        <v>256</v>
      </c>
      <c r="U247">
        <v>1.74509570385116E-2</v>
      </c>
      <c r="V247" t="s">
        <v>158</v>
      </c>
    </row>
    <row r="248" spans="9:22" x14ac:dyDescent="0.45">
      <c r="I248" t="s">
        <v>177</v>
      </c>
      <c r="J248" t="s">
        <v>257</v>
      </c>
      <c r="K248">
        <v>7.6103409109884196E-2</v>
      </c>
      <c r="L248" t="s">
        <v>158</v>
      </c>
      <c r="N248" t="s">
        <v>198</v>
      </c>
      <c r="O248" t="s">
        <v>257</v>
      </c>
      <c r="P248">
        <v>0.14216528069198656</v>
      </c>
      <c r="Q248" t="s">
        <v>158</v>
      </c>
      <c r="S248" t="s">
        <v>219</v>
      </c>
      <c r="T248" t="s">
        <v>257</v>
      </c>
      <c r="U248">
        <v>0.13735740763888599</v>
      </c>
      <c r="V248" t="s">
        <v>158</v>
      </c>
    </row>
    <row r="249" spans="9:22" x14ac:dyDescent="0.45">
      <c r="I249" t="s">
        <v>177</v>
      </c>
      <c r="J249" t="s">
        <v>258</v>
      </c>
      <c r="K249">
        <v>0</v>
      </c>
      <c r="L249" t="s">
        <v>158</v>
      </c>
      <c r="N249" t="s">
        <v>198</v>
      </c>
      <c r="O249" t="s">
        <v>258</v>
      </c>
      <c r="P249">
        <v>0.14580910939486588</v>
      </c>
      <c r="Q249" t="s">
        <v>158</v>
      </c>
      <c r="S249" t="s">
        <v>219</v>
      </c>
      <c r="T249" t="s">
        <v>258</v>
      </c>
      <c r="U249">
        <v>0.14285765747757326</v>
      </c>
      <c r="V249" t="s">
        <v>158</v>
      </c>
    </row>
    <row r="250" spans="9:22" x14ac:dyDescent="0.45">
      <c r="I250" t="s">
        <v>177</v>
      </c>
      <c r="J250" t="s">
        <v>259</v>
      </c>
      <c r="K250">
        <v>9.4876239895627613E-4</v>
      </c>
      <c r="L250" t="s">
        <v>158</v>
      </c>
      <c r="N250" t="s">
        <v>198</v>
      </c>
      <c r="O250" t="s">
        <v>259</v>
      </c>
      <c r="P250">
        <v>2.6540625524379739E-2</v>
      </c>
      <c r="Q250" t="s">
        <v>158</v>
      </c>
      <c r="S250" t="s">
        <v>219</v>
      </c>
      <c r="T250" t="s">
        <v>259</v>
      </c>
      <c r="U250">
        <v>2.5026502371378937E-2</v>
      </c>
      <c r="V250" t="s">
        <v>158</v>
      </c>
    </row>
    <row r="251" spans="9:22" x14ac:dyDescent="0.45">
      <c r="I251" t="s">
        <v>178</v>
      </c>
      <c r="J251" t="s">
        <v>248</v>
      </c>
      <c r="K251">
        <v>0.15162355581336565</v>
      </c>
      <c r="L251" t="s">
        <v>158</v>
      </c>
      <c r="N251" t="s">
        <v>199</v>
      </c>
      <c r="O251" t="s">
        <v>248</v>
      </c>
      <c r="P251">
        <v>0.12899123762321085</v>
      </c>
      <c r="Q251" t="s">
        <v>158</v>
      </c>
      <c r="S251" t="s">
        <v>220</v>
      </c>
      <c r="T251" t="s">
        <v>248</v>
      </c>
      <c r="U251">
        <v>0.11639129716418969</v>
      </c>
      <c r="V251" t="s">
        <v>158</v>
      </c>
    </row>
    <row r="252" spans="9:22" x14ac:dyDescent="0.45">
      <c r="I252" t="s">
        <v>178</v>
      </c>
      <c r="J252" t="s">
        <v>249</v>
      </c>
      <c r="K252">
        <v>0</v>
      </c>
      <c r="L252" t="s">
        <v>158</v>
      </c>
      <c r="N252" t="s">
        <v>199</v>
      </c>
      <c r="O252" t="s">
        <v>249</v>
      </c>
      <c r="P252">
        <v>0.13683073159423939</v>
      </c>
      <c r="Q252" t="s">
        <v>158</v>
      </c>
      <c r="S252" t="s">
        <v>220</v>
      </c>
      <c r="T252" t="s">
        <v>249</v>
      </c>
      <c r="U252">
        <v>0.12154446059704099</v>
      </c>
      <c r="V252" t="s">
        <v>158</v>
      </c>
    </row>
    <row r="253" spans="9:22" x14ac:dyDescent="0.45">
      <c r="I253" t="s">
        <v>178</v>
      </c>
      <c r="J253" t="s">
        <v>250</v>
      </c>
      <c r="K253">
        <v>5.2159522663386233E-3</v>
      </c>
      <c r="L253" t="s">
        <v>158</v>
      </c>
      <c r="N253" t="s">
        <v>199</v>
      </c>
      <c r="O253" t="s">
        <v>250</v>
      </c>
      <c r="P253">
        <v>2.4513799319001273E-2</v>
      </c>
      <c r="Q253" t="s">
        <v>158</v>
      </c>
      <c r="S253" t="s">
        <v>220</v>
      </c>
      <c r="T253" t="s">
        <v>250</v>
      </c>
      <c r="U253">
        <v>2.1613860970451888E-2</v>
      </c>
      <c r="V253" t="s">
        <v>158</v>
      </c>
    </row>
    <row r="254" spans="9:22" x14ac:dyDescent="0.45">
      <c r="I254" t="s">
        <v>178</v>
      </c>
      <c r="J254" t="s">
        <v>251</v>
      </c>
      <c r="K254">
        <v>0.31355987089745463</v>
      </c>
      <c r="L254" t="s">
        <v>158</v>
      </c>
      <c r="N254" t="s">
        <v>199</v>
      </c>
      <c r="O254" t="s">
        <v>251</v>
      </c>
      <c r="P254">
        <v>0.12157756391911276</v>
      </c>
      <c r="Q254" t="s">
        <v>158</v>
      </c>
      <c r="S254" t="s">
        <v>220</v>
      </c>
      <c r="T254" t="s">
        <v>251</v>
      </c>
      <c r="U254">
        <v>0.10442826197203427</v>
      </c>
      <c r="V254" t="s">
        <v>158</v>
      </c>
    </row>
    <row r="255" spans="9:22" x14ac:dyDescent="0.45">
      <c r="I255" t="s">
        <v>178</v>
      </c>
      <c r="J255" t="s">
        <v>252</v>
      </c>
      <c r="K255">
        <v>1.1643557166602215E-2</v>
      </c>
      <c r="L255" t="s">
        <v>158</v>
      </c>
      <c r="N255" t="s">
        <v>199</v>
      </c>
      <c r="O255" t="s">
        <v>252</v>
      </c>
      <c r="P255">
        <v>0.11703780338588607</v>
      </c>
      <c r="Q255" t="s">
        <v>158</v>
      </c>
      <c r="S255" t="s">
        <v>220</v>
      </c>
      <c r="T255" t="s">
        <v>252</v>
      </c>
      <c r="U255">
        <v>0.10628202393677016</v>
      </c>
      <c r="V255" t="s">
        <v>158</v>
      </c>
    </row>
    <row r="256" spans="9:22" x14ac:dyDescent="0.45">
      <c r="I256" t="s">
        <v>178</v>
      </c>
      <c r="J256" t="s">
        <v>253</v>
      </c>
      <c r="K256">
        <v>3.2952324803999476E-2</v>
      </c>
      <c r="L256" t="s">
        <v>158</v>
      </c>
      <c r="N256" t="s">
        <v>199</v>
      </c>
      <c r="O256" t="s">
        <v>253</v>
      </c>
      <c r="P256">
        <v>2.1254203969982201E-2</v>
      </c>
      <c r="Q256" t="s">
        <v>158</v>
      </c>
      <c r="S256" t="s">
        <v>220</v>
      </c>
      <c r="T256" t="s">
        <v>253</v>
      </c>
      <c r="U256">
        <v>2.0623424093292615E-2</v>
      </c>
      <c r="V256" t="s">
        <v>158</v>
      </c>
    </row>
    <row r="257" spans="9:22" x14ac:dyDescent="0.45">
      <c r="I257" t="s">
        <v>178</v>
      </c>
      <c r="J257" t="s">
        <v>254</v>
      </c>
      <c r="K257">
        <v>0.32732199443067811</v>
      </c>
      <c r="L257" t="s">
        <v>158</v>
      </c>
      <c r="N257" t="s">
        <v>199</v>
      </c>
      <c r="O257" t="s">
        <v>254</v>
      </c>
      <c r="P257">
        <v>6.398674235760303E-2</v>
      </c>
      <c r="Q257" t="s">
        <v>158</v>
      </c>
      <c r="S257" t="s">
        <v>220</v>
      </c>
      <c r="T257" t="s">
        <v>254</v>
      </c>
      <c r="U257">
        <v>9.5808195957927278E-2</v>
      </c>
      <c r="V257" t="s">
        <v>158</v>
      </c>
    </row>
    <row r="258" spans="9:22" x14ac:dyDescent="0.45">
      <c r="I258" t="s">
        <v>178</v>
      </c>
      <c r="J258" t="s">
        <v>255</v>
      </c>
      <c r="K258">
        <v>2.6157030539837735E-2</v>
      </c>
      <c r="L258" t="s">
        <v>158</v>
      </c>
      <c r="N258" t="s">
        <v>199</v>
      </c>
      <c r="O258" t="s">
        <v>255</v>
      </c>
      <c r="P258">
        <v>7.0424929975916428E-2</v>
      </c>
      <c r="Q258" t="s">
        <v>158</v>
      </c>
      <c r="S258" t="s">
        <v>220</v>
      </c>
      <c r="T258" t="s">
        <v>255</v>
      </c>
      <c r="U258">
        <v>9.6571670284770789E-2</v>
      </c>
      <c r="V258" t="s">
        <v>158</v>
      </c>
    </row>
    <row r="259" spans="9:22" x14ac:dyDescent="0.45">
      <c r="I259" t="s">
        <v>178</v>
      </c>
      <c r="J259" t="s">
        <v>256</v>
      </c>
      <c r="K259">
        <v>4.2593888242034049E-2</v>
      </c>
      <c r="L259" t="s">
        <v>158</v>
      </c>
      <c r="N259" t="s">
        <v>199</v>
      </c>
      <c r="O259" t="s">
        <v>256</v>
      </c>
      <c r="P259">
        <v>1.3793636940682329E-2</v>
      </c>
      <c r="Q259" t="s">
        <v>158</v>
      </c>
      <c r="S259" t="s">
        <v>220</v>
      </c>
      <c r="T259" t="s">
        <v>256</v>
      </c>
      <c r="U259">
        <v>1.7385347995108592E-2</v>
      </c>
      <c r="V259" t="s">
        <v>158</v>
      </c>
    </row>
    <row r="260" spans="9:22" x14ac:dyDescent="0.45">
      <c r="I260" t="s">
        <v>178</v>
      </c>
      <c r="J260" t="s">
        <v>257</v>
      </c>
      <c r="K260">
        <v>8.8087027449431074E-2</v>
      </c>
      <c r="L260" t="s">
        <v>158</v>
      </c>
      <c r="N260" t="s">
        <v>199</v>
      </c>
      <c r="O260" t="s">
        <v>257</v>
      </c>
      <c r="P260">
        <v>0.13695199203382297</v>
      </c>
      <c r="Q260" t="s">
        <v>158</v>
      </c>
      <c r="S260" t="s">
        <v>220</v>
      </c>
      <c r="T260" t="s">
        <v>257</v>
      </c>
      <c r="U260">
        <v>0.13623455021702408</v>
      </c>
      <c r="V260" t="s">
        <v>158</v>
      </c>
    </row>
    <row r="261" spans="9:22" x14ac:dyDescent="0.45">
      <c r="I261" t="s">
        <v>178</v>
      </c>
      <c r="J261" t="s">
        <v>258</v>
      </c>
      <c r="K261">
        <v>0</v>
      </c>
      <c r="L261" t="s">
        <v>158</v>
      </c>
      <c r="N261" t="s">
        <v>199</v>
      </c>
      <c r="O261" t="s">
        <v>258</v>
      </c>
      <c r="P261">
        <v>0.1393808573611614</v>
      </c>
      <c r="Q261" t="s">
        <v>158</v>
      </c>
      <c r="S261" t="s">
        <v>220</v>
      </c>
      <c r="T261" t="s">
        <v>258</v>
      </c>
      <c r="U261">
        <v>0.13810469895432972</v>
      </c>
      <c r="V261" t="s">
        <v>158</v>
      </c>
    </row>
    <row r="262" spans="9:22" x14ac:dyDescent="0.45">
      <c r="I262" t="s">
        <v>178</v>
      </c>
      <c r="J262" t="s">
        <v>259</v>
      </c>
      <c r="K262">
        <v>8.4479839025665968E-4</v>
      </c>
      <c r="L262" t="s">
        <v>158</v>
      </c>
      <c r="N262" t="s">
        <v>199</v>
      </c>
      <c r="O262" t="s">
        <v>259</v>
      </c>
      <c r="P262">
        <v>2.5256501519383679E-2</v>
      </c>
      <c r="Q262" t="s">
        <v>158</v>
      </c>
      <c r="S262" t="s">
        <v>220</v>
      </c>
      <c r="T262" t="s">
        <v>259</v>
      </c>
      <c r="U262">
        <v>2.5012207857061437E-2</v>
      </c>
      <c r="V262" t="s">
        <v>158</v>
      </c>
    </row>
    <row r="263" spans="9:22" x14ac:dyDescent="0.45">
      <c r="S263" t="s">
        <v>221</v>
      </c>
      <c r="T263" t="s">
        <v>248</v>
      </c>
      <c r="U263">
        <v>0.11716982857771323</v>
      </c>
      <c r="V263" t="s">
        <v>158</v>
      </c>
    </row>
    <row r="264" spans="9:22" x14ac:dyDescent="0.45">
      <c r="S264" t="s">
        <v>221</v>
      </c>
      <c r="T264" t="s">
        <v>249</v>
      </c>
      <c r="U264">
        <v>0.1215946430388659</v>
      </c>
      <c r="V264" t="s">
        <v>158</v>
      </c>
    </row>
    <row r="265" spans="9:22" x14ac:dyDescent="0.45">
      <c r="S265" t="s">
        <v>221</v>
      </c>
      <c r="T265" t="s">
        <v>250</v>
      </c>
      <c r="U265">
        <v>2.1583248128224989E-2</v>
      </c>
      <c r="V265" t="s">
        <v>158</v>
      </c>
    </row>
    <row r="266" spans="9:22" x14ac:dyDescent="0.45">
      <c r="S266" t="s">
        <v>221</v>
      </c>
      <c r="T266" t="s">
        <v>251</v>
      </c>
      <c r="U266">
        <v>0.10348028597009565</v>
      </c>
      <c r="V266" t="s">
        <v>158</v>
      </c>
    </row>
    <row r="267" spans="9:22" x14ac:dyDescent="0.45">
      <c r="S267" t="s">
        <v>221</v>
      </c>
      <c r="T267" t="s">
        <v>252</v>
      </c>
      <c r="U267">
        <v>0.10913170831880696</v>
      </c>
      <c r="V267" t="s">
        <v>158</v>
      </c>
    </row>
    <row r="268" spans="9:22" x14ac:dyDescent="0.45">
      <c r="S268" t="s">
        <v>221</v>
      </c>
      <c r="T268" t="s">
        <v>253</v>
      </c>
      <c r="U268">
        <v>2.0538404040293418E-2</v>
      </c>
      <c r="V268" t="s">
        <v>158</v>
      </c>
    </row>
    <row r="269" spans="9:22" x14ac:dyDescent="0.45">
      <c r="S269" t="s">
        <v>221</v>
      </c>
      <c r="T269" t="s">
        <v>254</v>
      </c>
      <c r="U269">
        <v>9.4290306460762516E-2</v>
      </c>
      <c r="V269" t="s">
        <v>158</v>
      </c>
    </row>
    <row r="270" spans="9:22" x14ac:dyDescent="0.45">
      <c r="S270" t="s">
        <v>221</v>
      </c>
      <c r="T270" t="s">
        <v>255</v>
      </c>
      <c r="U270">
        <v>9.5709042300319652E-2</v>
      </c>
      <c r="V270" t="s">
        <v>158</v>
      </c>
    </row>
    <row r="271" spans="9:22" x14ac:dyDescent="0.45">
      <c r="S271" t="s">
        <v>221</v>
      </c>
      <c r="T271" t="s">
        <v>256</v>
      </c>
      <c r="U271">
        <v>1.7501871629778093E-2</v>
      </c>
      <c r="V271" t="s">
        <v>158</v>
      </c>
    </row>
    <row r="272" spans="9:22" x14ac:dyDescent="0.45">
      <c r="S272" t="s">
        <v>221</v>
      </c>
      <c r="T272" t="s">
        <v>257</v>
      </c>
      <c r="U272">
        <v>0.13755416459411435</v>
      </c>
      <c r="V272" t="s">
        <v>158</v>
      </c>
    </row>
    <row r="273" spans="19:22" x14ac:dyDescent="0.45">
      <c r="S273" t="s">
        <v>221</v>
      </c>
      <c r="T273" t="s">
        <v>258</v>
      </c>
      <c r="U273">
        <v>0.1368256541607073</v>
      </c>
      <c r="V273" t="s">
        <v>158</v>
      </c>
    </row>
    <row r="274" spans="19:22" x14ac:dyDescent="0.45">
      <c r="S274" t="s">
        <v>221</v>
      </c>
      <c r="T274" t="s">
        <v>259</v>
      </c>
      <c r="U274">
        <v>2.4620842780317627E-2</v>
      </c>
      <c r="V274" t="s">
        <v>158</v>
      </c>
    </row>
    <row r="275" spans="19:22" x14ac:dyDescent="0.45">
      <c r="S275" t="s">
        <v>222</v>
      </c>
      <c r="T275" t="s">
        <v>248</v>
      </c>
      <c r="U275">
        <v>0.11559827414610013</v>
      </c>
      <c r="V275" t="s">
        <v>158</v>
      </c>
    </row>
    <row r="276" spans="19:22" x14ac:dyDescent="0.45">
      <c r="S276" t="s">
        <v>222</v>
      </c>
      <c r="T276" t="s">
        <v>249</v>
      </c>
      <c r="U276">
        <v>0.11492917784254422</v>
      </c>
      <c r="V276" t="s">
        <v>158</v>
      </c>
    </row>
    <row r="277" spans="19:22" x14ac:dyDescent="0.45">
      <c r="S277" t="s">
        <v>222</v>
      </c>
      <c r="T277" t="s">
        <v>250</v>
      </c>
      <c r="U277">
        <v>2.0444689231315618E-2</v>
      </c>
      <c r="V277" t="s">
        <v>158</v>
      </c>
    </row>
    <row r="278" spans="19:22" x14ac:dyDescent="0.45">
      <c r="S278" t="s">
        <v>222</v>
      </c>
      <c r="T278" t="s">
        <v>251</v>
      </c>
      <c r="U278">
        <v>0.11015494561586708</v>
      </c>
      <c r="V278" t="s">
        <v>158</v>
      </c>
    </row>
    <row r="279" spans="19:22" x14ac:dyDescent="0.45">
      <c r="S279" t="s">
        <v>222</v>
      </c>
      <c r="T279" t="s">
        <v>252</v>
      </c>
      <c r="U279">
        <v>0.11282614501503564</v>
      </c>
      <c r="V279" t="s">
        <v>158</v>
      </c>
    </row>
    <row r="280" spans="19:22" x14ac:dyDescent="0.45">
      <c r="S280" t="s">
        <v>222</v>
      </c>
      <c r="T280" t="s">
        <v>253</v>
      </c>
      <c r="U280">
        <v>2.0254971602169141E-2</v>
      </c>
      <c r="V280" t="s">
        <v>158</v>
      </c>
    </row>
    <row r="281" spans="19:22" x14ac:dyDescent="0.45">
      <c r="S281" t="s">
        <v>222</v>
      </c>
      <c r="T281" t="s">
        <v>254</v>
      </c>
      <c r="U281">
        <v>9.5374606005606238E-2</v>
      </c>
      <c r="V281" t="s">
        <v>158</v>
      </c>
    </row>
    <row r="282" spans="19:22" x14ac:dyDescent="0.45">
      <c r="S282" t="s">
        <v>222</v>
      </c>
      <c r="T282" t="s">
        <v>255</v>
      </c>
      <c r="U282">
        <v>9.3722148373592926E-2</v>
      </c>
      <c r="V282" t="s">
        <v>158</v>
      </c>
    </row>
    <row r="283" spans="19:22" x14ac:dyDescent="0.45">
      <c r="S283" t="s">
        <v>222</v>
      </c>
      <c r="T283" t="s">
        <v>256</v>
      </c>
      <c r="U283">
        <v>1.7742084000137756E-2</v>
      </c>
      <c r="V283" t="s">
        <v>158</v>
      </c>
    </row>
    <row r="284" spans="19:22" x14ac:dyDescent="0.45">
      <c r="S284" t="s">
        <v>222</v>
      </c>
      <c r="T284" t="s">
        <v>257</v>
      </c>
      <c r="U284">
        <v>0.13570349264090928</v>
      </c>
      <c r="V284" t="s">
        <v>158</v>
      </c>
    </row>
    <row r="285" spans="19:22" x14ac:dyDescent="0.45">
      <c r="S285" t="s">
        <v>222</v>
      </c>
      <c r="T285" t="s">
        <v>258</v>
      </c>
      <c r="U285">
        <v>0.13840821826986144</v>
      </c>
      <c r="V285" t="s">
        <v>158</v>
      </c>
    </row>
    <row r="286" spans="19:22" x14ac:dyDescent="0.45">
      <c r="S286" t="s">
        <v>222</v>
      </c>
      <c r="T286" t="s">
        <v>259</v>
      </c>
      <c r="U286">
        <v>2.4841247256860544E-2</v>
      </c>
      <c r="V286" t="s">
        <v>158</v>
      </c>
    </row>
    <row r="287" spans="19:22" x14ac:dyDescent="0.45">
      <c r="S287" t="s">
        <v>223</v>
      </c>
      <c r="T287" t="s">
        <v>248</v>
      </c>
      <c r="U287">
        <v>0.12109795607831599</v>
      </c>
      <c r="V287" t="s">
        <v>158</v>
      </c>
    </row>
    <row r="288" spans="19:22" x14ac:dyDescent="0.45">
      <c r="S288" t="s">
        <v>223</v>
      </c>
      <c r="T288" t="s">
        <v>249</v>
      </c>
      <c r="U288">
        <v>0.12079242056509801</v>
      </c>
      <c r="V288" t="s">
        <v>158</v>
      </c>
    </row>
    <row r="289" spans="19:22" x14ac:dyDescent="0.45">
      <c r="S289" t="s">
        <v>223</v>
      </c>
      <c r="T289" t="s">
        <v>250</v>
      </c>
      <c r="U289">
        <v>2.1341630206786661E-2</v>
      </c>
      <c r="V289" t="s">
        <v>158</v>
      </c>
    </row>
    <row r="290" spans="19:22" x14ac:dyDescent="0.45">
      <c r="S290" t="s">
        <v>223</v>
      </c>
      <c r="T290" t="s">
        <v>251</v>
      </c>
      <c r="U290">
        <v>0.10593134932290001</v>
      </c>
      <c r="V290" t="s">
        <v>158</v>
      </c>
    </row>
    <row r="291" spans="19:22" x14ac:dyDescent="0.45">
      <c r="S291" t="s">
        <v>223</v>
      </c>
      <c r="T291" t="s">
        <v>252</v>
      </c>
      <c r="U291">
        <v>0.11132444390000484</v>
      </c>
      <c r="V291" t="s">
        <v>158</v>
      </c>
    </row>
    <row r="292" spans="19:22" x14ac:dyDescent="0.45">
      <c r="S292" t="s">
        <v>223</v>
      </c>
      <c r="T292" t="s">
        <v>253</v>
      </c>
      <c r="U292">
        <v>2.0284209851973066E-2</v>
      </c>
      <c r="V292" t="s">
        <v>158</v>
      </c>
    </row>
    <row r="293" spans="19:22" x14ac:dyDescent="0.45">
      <c r="S293" t="s">
        <v>223</v>
      </c>
      <c r="T293" t="s">
        <v>254</v>
      </c>
      <c r="U293">
        <v>9.3240719336852157E-2</v>
      </c>
      <c r="V293" t="s">
        <v>158</v>
      </c>
    </row>
    <row r="294" spans="19:22" x14ac:dyDescent="0.45">
      <c r="S294" t="s">
        <v>223</v>
      </c>
      <c r="T294" t="s">
        <v>255</v>
      </c>
      <c r="U294">
        <v>9.2045248007713382E-2</v>
      </c>
      <c r="V294" t="s">
        <v>158</v>
      </c>
    </row>
    <row r="295" spans="19:22" x14ac:dyDescent="0.45">
      <c r="S295" t="s">
        <v>223</v>
      </c>
      <c r="T295" t="s">
        <v>256</v>
      </c>
      <c r="U295">
        <v>1.7132736977737376E-2</v>
      </c>
      <c r="V295" t="s">
        <v>158</v>
      </c>
    </row>
    <row r="296" spans="19:22" x14ac:dyDescent="0.45">
      <c r="S296" t="s">
        <v>223</v>
      </c>
      <c r="T296" t="s">
        <v>257</v>
      </c>
      <c r="U296">
        <v>0.1353065869215288</v>
      </c>
      <c r="V296" t="s">
        <v>158</v>
      </c>
    </row>
    <row r="297" spans="19:22" x14ac:dyDescent="0.45">
      <c r="S297" t="s">
        <v>223</v>
      </c>
      <c r="T297" t="s">
        <v>258</v>
      </c>
      <c r="U297">
        <v>0.1375748522934144</v>
      </c>
      <c r="V297" t="s">
        <v>158</v>
      </c>
    </row>
    <row r="298" spans="19:22" x14ac:dyDescent="0.45">
      <c r="S298" t="s">
        <v>223</v>
      </c>
      <c r="T298" t="s">
        <v>259</v>
      </c>
      <c r="U298">
        <v>2.392784653767465E-2</v>
      </c>
      <c r="V298" t="s">
        <v>158</v>
      </c>
    </row>
    <row r="299" spans="19:22" x14ac:dyDescent="0.45">
      <c r="S299" t="s">
        <v>224</v>
      </c>
      <c r="T299" t="s">
        <v>248</v>
      </c>
      <c r="U299">
        <v>0.12297513423873921</v>
      </c>
      <c r="V299" t="s">
        <v>158</v>
      </c>
    </row>
    <row r="300" spans="19:22" x14ac:dyDescent="0.45">
      <c r="S300" t="s">
        <v>224</v>
      </c>
      <c r="T300" t="s">
        <v>249</v>
      </c>
      <c r="U300">
        <v>0.12192460936962826</v>
      </c>
      <c r="V300" t="s">
        <v>158</v>
      </c>
    </row>
    <row r="301" spans="19:22" x14ac:dyDescent="0.45">
      <c r="S301" t="s">
        <v>224</v>
      </c>
      <c r="T301" t="s">
        <v>250</v>
      </c>
      <c r="U301">
        <v>2.2104324887738985E-2</v>
      </c>
      <c r="V301" t="s">
        <v>158</v>
      </c>
    </row>
    <row r="302" spans="19:22" x14ac:dyDescent="0.45">
      <c r="S302" t="s">
        <v>224</v>
      </c>
      <c r="T302" t="s">
        <v>251</v>
      </c>
      <c r="U302">
        <v>0.10125334148701251</v>
      </c>
      <c r="V302" t="s">
        <v>158</v>
      </c>
    </row>
    <row r="303" spans="19:22" x14ac:dyDescent="0.45">
      <c r="S303" t="s">
        <v>224</v>
      </c>
      <c r="T303" t="s">
        <v>252</v>
      </c>
      <c r="U303">
        <v>0.11186803606337155</v>
      </c>
      <c r="V303" t="s">
        <v>158</v>
      </c>
    </row>
    <row r="304" spans="19:22" x14ac:dyDescent="0.45">
      <c r="S304" t="s">
        <v>224</v>
      </c>
      <c r="T304" t="s">
        <v>253</v>
      </c>
      <c r="U304">
        <v>1.8857377430723597E-2</v>
      </c>
      <c r="V304" t="s">
        <v>158</v>
      </c>
    </row>
    <row r="305" spans="19:22" x14ac:dyDescent="0.45">
      <c r="S305" t="s">
        <v>224</v>
      </c>
      <c r="T305" t="s">
        <v>254</v>
      </c>
      <c r="U305">
        <v>9.7656150431237987E-2</v>
      </c>
      <c r="V305" t="s">
        <v>158</v>
      </c>
    </row>
    <row r="306" spans="19:22" x14ac:dyDescent="0.45">
      <c r="S306" t="s">
        <v>224</v>
      </c>
      <c r="T306" t="s">
        <v>255</v>
      </c>
      <c r="U306">
        <v>9.3612405291361847E-2</v>
      </c>
      <c r="V306" t="s">
        <v>158</v>
      </c>
    </row>
    <row r="307" spans="19:22" x14ac:dyDescent="0.45">
      <c r="S307" t="s">
        <v>224</v>
      </c>
      <c r="T307" t="s">
        <v>256</v>
      </c>
      <c r="U307">
        <v>1.8170758769316283E-2</v>
      </c>
      <c r="V307" t="s">
        <v>158</v>
      </c>
    </row>
    <row r="308" spans="19:22" x14ac:dyDescent="0.45">
      <c r="S308" t="s">
        <v>224</v>
      </c>
      <c r="T308" t="s">
        <v>257</v>
      </c>
      <c r="U308">
        <v>0.13467134729811264</v>
      </c>
      <c r="V308" t="s">
        <v>158</v>
      </c>
    </row>
    <row r="309" spans="19:22" x14ac:dyDescent="0.45">
      <c r="S309" t="s">
        <v>224</v>
      </c>
      <c r="T309" t="s">
        <v>258</v>
      </c>
      <c r="U309">
        <v>0.13308346536243409</v>
      </c>
      <c r="V309" t="s">
        <v>158</v>
      </c>
    </row>
    <row r="310" spans="19:22" x14ac:dyDescent="0.45">
      <c r="S310" t="s">
        <v>224</v>
      </c>
      <c r="T310" t="s">
        <v>259</v>
      </c>
      <c r="U310">
        <v>2.3823049370323118E-2</v>
      </c>
      <c r="V310" t="s">
        <v>158</v>
      </c>
    </row>
    <row r="311" spans="19:22" x14ac:dyDescent="0.45">
      <c r="S311" t="s">
        <v>225</v>
      </c>
      <c r="T311" t="s">
        <v>248</v>
      </c>
      <c r="U311">
        <v>0.12862203092000649</v>
      </c>
      <c r="V311" t="s">
        <v>158</v>
      </c>
    </row>
    <row r="312" spans="19:22" x14ac:dyDescent="0.45">
      <c r="S312" t="s">
        <v>225</v>
      </c>
      <c r="T312" t="s">
        <v>249</v>
      </c>
      <c r="U312">
        <v>0.13126577742238901</v>
      </c>
      <c r="V312" t="s">
        <v>158</v>
      </c>
    </row>
    <row r="313" spans="19:22" x14ac:dyDescent="0.45">
      <c r="S313" t="s">
        <v>225</v>
      </c>
      <c r="T313" t="s">
        <v>250</v>
      </c>
      <c r="U313">
        <v>2.3742091272042878E-2</v>
      </c>
      <c r="V313" t="s">
        <v>158</v>
      </c>
    </row>
    <row r="314" spans="19:22" x14ac:dyDescent="0.45">
      <c r="S314" t="s">
        <v>225</v>
      </c>
      <c r="T314" t="s">
        <v>251</v>
      </c>
      <c r="U314">
        <v>9.9466865670147009E-2</v>
      </c>
      <c r="V314" t="s">
        <v>158</v>
      </c>
    </row>
    <row r="315" spans="19:22" x14ac:dyDescent="0.45">
      <c r="S315" t="s">
        <v>225</v>
      </c>
      <c r="T315" t="s">
        <v>252</v>
      </c>
      <c r="U315">
        <v>0.10802224678704658</v>
      </c>
      <c r="V315" t="s">
        <v>158</v>
      </c>
    </row>
    <row r="316" spans="19:22" x14ac:dyDescent="0.45">
      <c r="S316" t="s">
        <v>225</v>
      </c>
      <c r="T316" t="s">
        <v>253</v>
      </c>
      <c r="U316">
        <v>1.8186306316846243E-2</v>
      </c>
      <c r="V316" t="s">
        <v>158</v>
      </c>
    </row>
    <row r="317" spans="19:22" x14ac:dyDescent="0.45">
      <c r="S317" t="s">
        <v>225</v>
      </c>
      <c r="T317" t="s">
        <v>254</v>
      </c>
      <c r="U317">
        <v>9.9063628238818174E-2</v>
      </c>
      <c r="V317" t="s">
        <v>158</v>
      </c>
    </row>
    <row r="318" spans="19:22" x14ac:dyDescent="0.45">
      <c r="S318" t="s">
        <v>225</v>
      </c>
      <c r="T318" t="s">
        <v>255</v>
      </c>
      <c r="U318">
        <v>8.9987679724828643E-2</v>
      </c>
      <c r="V318" t="s">
        <v>158</v>
      </c>
    </row>
    <row r="319" spans="19:22" x14ac:dyDescent="0.45">
      <c r="S319" t="s">
        <v>225</v>
      </c>
      <c r="T319" t="s">
        <v>256</v>
      </c>
      <c r="U319">
        <v>1.7531627340496344E-2</v>
      </c>
      <c r="V319" t="s">
        <v>158</v>
      </c>
    </row>
    <row r="320" spans="19:22" x14ac:dyDescent="0.45">
      <c r="S320" t="s">
        <v>225</v>
      </c>
      <c r="T320" t="s">
        <v>257</v>
      </c>
      <c r="U320">
        <v>0.12895784501139304</v>
      </c>
      <c r="V320" t="s">
        <v>158</v>
      </c>
    </row>
    <row r="321" spans="19:22" x14ac:dyDescent="0.45">
      <c r="S321" t="s">
        <v>225</v>
      </c>
      <c r="T321" t="s">
        <v>258</v>
      </c>
      <c r="U321">
        <v>0.13171608804386661</v>
      </c>
      <c r="V321" t="s">
        <v>158</v>
      </c>
    </row>
    <row r="322" spans="19:22" x14ac:dyDescent="0.45">
      <c r="S322" t="s">
        <v>225</v>
      </c>
      <c r="T322" t="s">
        <v>259</v>
      </c>
      <c r="U322">
        <v>2.3437813252116704E-2</v>
      </c>
      <c r="V322" t="s">
        <v>158</v>
      </c>
    </row>
    <row r="323" spans="19:22" x14ac:dyDescent="0.45">
      <c r="S323" t="s">
        <v>226</v>
      </c>
      <c r="T323" t="s">
        <v>248</v>
      </c>
      <c r="U323">
        <v>0.12435251974212996</v>
      </c>
      <c r="V323" t="s">
        <v>158</v>
      </c>
    </row>
    <row r="324" spans="19:22" x14ac:dyDescent="0.45">
      <c r="S324" t="s">
        <v>226</v>
      </c>
      <c r="T324" t="s">
        <v>249</v>
      </c>
      <c r="U324">
        <v>0.1275133536601428</v>
      </c>
      <c r="V324" t="s">
        <v>158</v>
      </c>
    </row>
    <row r="325" spans="19:22" x14ac:dyDescent="0.45">
      <c r="S325" t="s">
        <v>226</v>
      </c>
      <c r="T325" t="s">
        <v>250</v>
      </c>
      <c r="U325">
        <v>2.2623592893374143E-2</v>
      </c>
      <c r="V325" t="s">
        <v>158</v>
      </c>
    </row>
    <row r="326" spans="19:22" x14ac:dyDescent="0.45">
      <c r="S326" t="s">
        <v>226</v>
      </c>
      <c r="T326" t="s">
        <v>251</v>
      </c>
      <c r="U326">
        <v>0.10481423506110704</v>
      </c>
      <c r="V326" t="s">
        <v>158</v>
      </c>
    </row>
    <row r="327" spans="19:22" x14ac:dyDescent="0.45">
      <c r="S327" t="s">
        <v>226</v>
      </c>
      <c r="T327" t="s">
        <v>252</v>
      </c>
      <c r="U327">
        <v>0.11044080066254643</v>
      </c>
      <c r="V327" t="s">
        <v>158</v>
      </c>
    </row>
    <row r="328" spans="19:22" x14ac:dyDescent="0.45">
      <c r="S328" t="s">
        <v>226</v>
      </c>
      <c r="T328" t="s">
        <v>253</v>
      </c>
      <c r="U328">
        <v>1.9272004428519101E-2</v>
      </c>
      <c r="V328" t="s">
        <v>158</v>
      </c>
    </row>
    <row r="329" spans="19:22" x14ac:dyDescent="0.45">
      <c r="S329" t="s">
        <v>226</v>
      </c>
      <c r="T329" t="s">
        <v>254</v>
      </c>
      <c r="U329">
        <v>9.7009405737132237E-2</v>
      </c>
      <c r="V329" t="s">
        <v>158</v>
      </c>
    </row>
    <row r="330" spans="19:22" x14ac:dyDescent="0.45">
      <c r="S330" t="s">
        <v>226</v>
      </c>
      <c r="T330" t="s">
        <v>255</v>
      </c>
      <c r="U330">
        <v>8.816447399288399E-2</v>
      </c>
      <c r="V330" t="s">
        <v>158</v>
      </c>
    </row>
    <row r="331" spans="19:22" x14ac:dyDescent="0.45">
      <c r="S331" t="s">
        <v>226</v>
      </c>
      <c r="T331" t="s">
        <v>256</v>
      </c>
      <c r="U331">
        <v>1.6583941132490253E-2</v>
      </c>
      <c r="V331" t="s">
        <v>158</v>
      </c>
    </row>
    <row r="332" spans="19:22" x14ac:dyDescent="0.45">
      <c r="S332" t="s">
        <v>226</v>
      </c>
      <c r="T332" t="s">
        <v>257</v>
      </c>
      <c r="U332">
        <v>0.13070580742968113</v>
      </c>
      <c r="V332" t="s">
        <v>158</v>
      </c>
    </row>
    <row r="333" spans="19:22" x14ac:dyDescent="0.45">
      <c r="S333" t="s">
        <v>226</v>
      </c>
      <c r="T333" t="s">
        <v>258</v>
      </c>
      <c r="U333">
        <v>0.13549567316823286</v>
      </c>
      <c r="V333" t="s">
        <v>158</v>
      </c>
    </row>
    <row r="334" spans="19:22" x14ac:dyDescent="0.45">
      <c r="S334" t="s">
        <v>226</v>
      </c>
      <c r="T334" t="s">
        <v>259</v>
      </c>
      <c r="U334">
        <v>2.3024192091756754E-2</v>
      </c>
      <c r="V334" t="s">
        <v>158</v>
      </c>
    </row>
    <row r="335" spans="19:22" x14ac:dyDescent="0.45">
      <c r="S335" t="s">
        <v>227</v>
      </c>
      <c r="T335" t="s">
        <v>248</v>
      </c>
      <c r="U335">
        <v>0.12988457265591527</v>
      </c>
      <c r="V335" t="s">
        <v>158</v>
      </c>
    </row>
    <row r="336" spans="19:22" x14ac:dyDescent="0.45">
      <c r="S336" t="s">
        <v>227</v>
      </c>
      <c r="T336" t="s">
        <v>249</v>
      </c>
      <c r="U336">
        <v>0.13150282489084697</v>
      </c>
      <c r="V336" t="s">
        <v>158</v>
      </c>
    </row>
    <row r="337" spans="19:22" x14ac:dyDescent="0.45">
      <c r="S337" t="s">
        <v>227</v>
      </c>
      <c r="T337" t="s">
        <v>250</v>
      </c>
      <c r="U337">
        <v>2.365601410655787E-2</v>
      </c>
      <c r="V337" t="s">
        <v>158</v>
      </c>
    </row>
    <row r="338" spans="19:22" x14ac:dyDescent="0.45">
      <c r="S338" t="s">
        <v>227</v>
      </c>
      <c r="T338" t="s">
        <v>251</v>
      </c>
      <c r="U338">
        <v>0.12098041496118563</v>
      </c>
      <c r="V338" t="s">
        <v>158</v>
      </c>
    </row>
    <row r="339" spans="19:22" x14ac:dyDescent="0.45">
      <c r="S339" t="s">
        <v>227</v>
      </c>
      <c r="T339" t="s">
        <v>252</v>
      </c>
      <c r="U339">
        <v>0.1209000065654091</v>
      </c>
      <c r="V339" t="s">
        <v>158</v>
      </c>
    </row>
    <row r="340" spans="19:22" x14ac:dyDescent="0.45">
      <c r="S340" t="s">
        <v>227</v>
      </c>
      <c r="T340" t="s">
        <v>253</v>
      </c>
      <c r="U340">
        <v>2.2423456459358573E-2</v>
      </c>
      <c r="V340" t="s">
        <v>158</v>
      </c>
    </row>
    <row r="341" spans="19:22" x14ac:dyDescent="0.45">
      <c r="S341" t="s">
        <v>227</v>
      </c>
      <c r="T341" t="s">
        <v>254</v>
      </c>
      <c r="U341">
        <v>6.8530049095890139E-2</v>
      </c>
      <c r="V341" t="s">
        <v>158</v>
      </c>
    </row>
    <row r="342" spans="19:22" x14ac:dyDescent="0.45">
      <c r="S342" t="s">
        <v>227</v>
      </c>
      <c r="T342" t="s">
        <v>255</v>
      </c>
      <c r="U342">
        <v>7.7607385587726591E-2</v>
      </c>
      <c r="V342" t="s">
        <v>158</v>
      </c>
    </row>
    <row r="343" spans="19:22" x14ac:dyDescent="0.45">
      <c r="S343" t="s">
        <v>227</v>
      </c>
      <c r="T343" t="s">
        <v>256</v>
      </c>
      <c r="U343">
        <v>1.2254788767624194E-2</v>
      </c>
      <c r="V343" t="s">
        <v>158</v>
      </c>
    </row>
    <row r="344" spans="19:22" x14ac:dyDescent="0.45">
      <c r="S344" t="s">
        <v>227</v>
      </c>
      <c r="T344" t="s">
        <v>257</v>
      </c>
      <c r="U344">
        <v>0.13132896479348094</v>
      </c>
      <c r="V344" t="s">
        <v>158</v>
      </c>
    </row>
    <row r="345" spans="19:22" x14ac:dyDescent="0.45">
      <c r="S345" t="s">
        <v>227</v>
      </c>
      <c r="T345" t="s">
        <v>258</v>
      </c>
      <c r="U345">
        <v>0.13654230922089108</v>
      </c>
      <c r="V345" t="s">
        <v>158</v>
      </c>
    </row>
    <row r="346" spans="19:22" x14ac:dyDescent="0.45">
      <c r="S346" t="s">
        <v>227</v>
      </c>
      <c r="T346" t="s">
        <v>259</v>
      </c>
      <c r="U346">
        <v>2.438921289511372E-2</v>
      </c>
      <c r="V346" t="s">
        <v>158</v>
      </c>
    </row>
    <row r="347" spans="19:22" x14ac:dyDescent="0.45">
      <c r="S347" t="s">
        <v>228</v>
      </c>
      <c r="T347" t="s">
        <v>248</v>
      </c>
      <c r="U347">
        <v>0.12960841845081442</v>
      </c>
      <c r="V347" t="s">
        <v>158</v>
      </c>
    </row>
    <row r="348" spans="19:22" x14ac:dyDescent="0.45">
      <c r="S348" t="s">
        <v>228</v>
      </c>
      <c r="T348" t="s">
        <v>249</v>
      </c>
      <c r="U348">
        <v>0.13736503514773915</v>
      </c>
      <c r="V348" t="s">
        <v>158</v>
      </c>
    </row>
    <row r="349" spans="19:22" x14ac:dyDescent="0.45">
      <c r="S349" t="s">
        <v>228</v>
      </c>
      <c r="T349" t="s">
        <v>250</v>
      </c>
      <c r="U349">
        <v>2.4747773150062206E-2</v>
      </c>
      <c r="V349" t="s">
        <v>158</v>
      </c>
    </row>
    <row r="350" spans="19:22" x14ac:dyDescent="0.45">
      <c r="S350" t="s">
        <v>228</v>
      </c>
      <c r="T350" t="s">
        <v>251</v>
      </c>
      <c r="U350">
        <v>0.12327203485423921</v>
      </c>
      <c r="V350" t="s">
        <v>158</v>
      </c>
    </row>
    <row r="351" spans="19:22" x14ac:dyDescent="0.45">
      <c r="S351" t="s">
        <v>228</v>
      </c>
      <c r="T351" t="s">
        <v>252</v>
      </c>
      <c r="U351">
        <v>0.11853228950455354</v>
      </c>
      <c r="V351" t="s">
        <v>158</v>
      </c>
    </row>
    <row r="352" spans="19:22" x14ac:dyDescent="0.45">
      <c r="S352" t="s">
        <v>228</v>
      </c>
      <c r="T352" t="s">
        <v>253</v>
      </c>
      <c r="U352">
        <v>2.1272586721833246E-2</v>
      </c>
      <c r="V352" t="s">
        <v>158</v>
      </c>
    </row>
    <row r="353" spans="19:22" x14ac:dyDescent="0.45">
      <c r="S353" t="s">
        <v>228</v>
      </c>
      <c r="T353" t="s">
        <v>254</v>
      </c>
      <c r="U353">
        <v>5.7269613990360221E-2</v>
      </c>
      <c r="V353" t="s">
        <v>158</v>
      </c>
    </row>
    <row r="354" spans="19:22" x14ac:dyDescent="0.45">
      <c r="S354" t="s">
        <v>228</v>
      </c>
      <c r="T354" t="s">
        <v>255</v>
      </c>
      <c r="U354">
        <v>6.421558906057992E-2</v>
      </c>
      <c r="V354" t="s">
        <v>158</v>
      </c>
    </row>
    <row r="355" spans="19:22" x14ac:dyDescent="0.45">
      <c r="S355" t="s">
        <v>228</v>
      </c>
      <c r="T355" t="s">
        <v>256</v>
      </c>
      <c r="U355">
        <v>1.1522034270222954E-2</v>
      </c>
      <c r="V355" t="s">
        <v>158</v>
      </c>
    </row>
    <row r="356" spans="19:22" x14ac:dyDescent="0.45">
      <c r="S356" t="s">
        <v>228</v>
      </c>
      <c r="T356" t="s">
        <v>257</v>
      </c>
      <c r="U356">
        <v>0.14061357682660028</v>
      </c>
      <c r="V356" t="s">
        <v>158</v>
      </c>
    </row>
    <row r="357" spans="19:22" x14ac:dyDescent="0.45">
      <c r="S357" t="s">
        <v>228</v>
      </c>
      <c r="T357" t="s">
        <v>258</v>
      </c>
      <c r="U357">
        <v>0.14544125585212825</v>
      </c>
      <c r="V357" t="s">
        <v>158</v>
      </c>
    </row>
    <row r="358" spans="19:22" x14ac:dyDescent="0.45">
      <c r="S358" t="s">
        <v>228</v>
      </c>
      <c r="T358" t="s">
        <v>259</v>
      </c>
      <c r="U358">
        <v>2.6139792170866188E-2</v>
      </c>
      <c r="V358" t="s">
        <v>158</v>
      </c>
    </row>
    <row r="359" spans="19:22" x14ac:dyDescent="0.45">
      <c r="S359" t="s">
        <v>229</v>
      </c>
      <c r="T359" t="s">
        <v>248</v>
      </c>
      <c r="U359">
        <v>0.12925936177110114</v>
      </c>
      <c r="V359" t="s">
        <v>158</v>
      </c>
    </row>
    <row r="360" spans="19:22" x14ac:dyDescent="0.45">
      <c r="S360" t="s">
        <v>229</v>
      </c>
      <c r="T360" t="s">
        <v>249</v>
      </c>
      <c r="U360">
        <v>0.13671032671371711</v>
      </c>
      <c r="V360" t="s">
        <v>158</v>
      </c>
    </row>
    <row r="361" spans="19:22" x14ac:dyDescent="0.45">
      <c r="S361" t="s">
        <v>229</v>
      </c>
      <c r="T361" t="s">
        <v>250</v>
      </c>
      <c r="U361">
        <v>2.4102271716231857E-2</v>
      </c>
      <c r="V361" t="s">
        <v>158</v>
      </c>
    </row>
    <row r="362" spans="19:22" x14ac:dyDescent="0.45">
      <c r="S362" t="s">
        <v>229</v>
      </c>
      <c r="T362" t="s">
        <v>251</v>
      </c>
      <c r="U362">
        <v>0.12225180961647016</v>
      </c>
      <c r="V362" t="s">
        <v>158</v>
      </c>
    </row>
    <row r="363" spans="19:22" x14ac:dyDescent="0.45">
      <c r="S363" t="s">
        <v>229</v>
      </c>
      <c r="T363" t="s">
        <v>252</v>
      </c>
      <c r="U363">
        <v>0.1198557257480421</v>
      </c>
      <c r="V363" t="s">
        <v>158</v>
      </c>
    </row>
    <row r="364" spans="19:22" x14ac:dyDescent="0.45">
      <c r="S364" t="s">
        <v>229</v>
      </c>
      <c r="T364" t="s">
        <v>253</v>
      </c>
      <c r="U364">
        <v>2.1462272280771751E-2</v>
      </c>
      <c r="V364" t="s">
        <v>158</v>
      </c>
    </row>
    <row r="365" spans="19:22" x14ac:dyDescent="0.45">
      <c r="S365" t="s">
        <v>229</v>
      </c>
      <c r="T365" t="s">
        <v>254</v>
      </c>
      <c r="U365">
        <v>6.6417638208446789E-2</v>
      </c>
      <c r="V365" t="s">
        <v>158</v>
      </c>
    </row>
    <row r="366" spans="19:22" x14ac:dyDescent="0.45">
      <c r="S366" t="s">
        <v>229</v>
      </c>
      <c r="T366" t="s">
        <v>255</v>
      </c>
      <c r="U366">
        <v>7.4290357452133665E-2</v>
      </c>
      <c r="V366" t="s">
        <v>158</v>
      </c>
    </row>
    <row r="367" spans="19:22" x14ac:dyDescent="0.45">
      <c r="S367" t="s">
        <v>229</v>
      </c>
      <c r="T367" t="s">
        <v>256</v>
      </c>
      <c r="U367">
        <v>1.2482157115508007E-2</v>
      </c>
      <c r="V367" t="s">
        <v>158</v>
      </c>
    </row>
    <row r="368" spans="19:22" x14ac:dyDescent="0.45">
      <c r="S368" t="s">
        <v>229</v>
      </c>
      <c r="T368" t="s">
        <v>257</v>
      </c>
      <c r="U368">
        <v>0.13353663613121344</v>
      </c>
      <c r="V368" t="s">
        <v>158</v>
      </c>
    </row>
    <row r="369" spans="19:22" x14ac:dyDescent="0.45">
      <c r="S369" t="s">
        <v>229</v>
      </c>
      <c r="T369" t="s">
        <v>258</v>
      </c>
      <c r="U369">
        <v>0.13531481944721885</v>
      </c>
      <c r="V369" t="s">
        <v>158</v>
      </c>
    </row>
    <row r="370" spans="19:22" x14ac:dyDescent="0.45">
      <c r="S370" t="s">
        <v>229</v>
      </c>
      <c r="T370" t="s">
        <v>259</v>
      </c>
      <c r="U370">
        <v>2.4316623799145204E-2</v>
      </c>
      <c r="V370" t="s">
        <v>158</v>
      </c>
    </row>
    <row r="371" spans="19:22" x14ac:dyDescent="0.45">
      <c r="S371" t="s">
        <v>230</v>
      </c>
      <c r="T371" t="s">
        <v>248</v>
      </c>
      <c r="U371">
        <v>0.12755814831812404</v>
      </c>
      <c r="V371" t="s">
        <v>158</v>
      </c>
    </row>
    <row r="372" spans="19:22" x14ac:dyDescent="0.45">
      <c r="S372" t="s">
        <v>230</v>
      </c>
      <c r="T372" t="s">
        <v>249</v>
      </c>
      <c r="U372">
        <v>0.132965104536867</v>
      </c>
      <c r="V372" t="s">
        <v>158</v>
      </c>
    </row>
    <row r="373" spans="19:22" x14ac:dyDescent="0.45">
      <c r="S373" t="s">
        <v>230</v>
      </c>
      <c r="T373" t="s">
        <v>250</v>
      </c>
      <c r="U373">
        <v>2.3572230057091102E-2</v>
      </c>
      <c r="V373" t="s">
        <v>158</v>
      </c>
    </row>
    <row r="374" spans="19:22" x14ac:dyDescent="0.45">
      <c r="S374" t="s">
        <v>230</v>
      </c>
      <c r="T374" t="s">
        <v>251</v>
      </c>
      <c r="U374">
        <v>0.10317474775659341</v>
      </c>
      <c r="V374" t="s">
        <v>158</v>
      </c>
    </row>
    <row r="375" spans="19:22" x14ac:dyDescent="0.45">
      <c r="S375" t="s">
        <v>230</v>
      </c>
      <c r="T375" t="s">
        <v>252</v>
      </c>
      <c r="U375">
        <v>0.1129832711440332</v>
      </c>
      <c r="V375" t="s">
        <v>158</v>
      </c>
    </row>
    <row r="376" spans="19:22" x14ac:dyDescent="0.45">
      <c r="S376" t="s">
        <v>230</v>
      </c>
      <c r="T376" t="s">
        <v>253</v>
      </c>
      <c r="U376">
        <v>2.0488074566620326E-2</v>
      </c>
      <c r="V376" t="s">
        <v>158</v>
      </c>
    </row>
    <row r="377" spans="19:22" x14ac:dyDescent="0.45">
      <c r="S377" t="s">
        <v>230</v>
      </c>
      <c r="T377" t="s">
        <v>254</v>
      </c>
      <c r="U377">
        <v>8.174741478624388E-2</v>
      </c>
      <c r="V377" t="s">
        <v>158</v>
      </c>
    </row>
    <row r="378" spans="19:22" x14ac:dyDescent="0.45">
      <c r="S378" t="s">
        <v>230</v>
      </c>
      <c r="T378" t="s">
        <v>255</v>
      </c>
      <c r="U378">
        <v>8.0575236124393879E-2</v>
      </c>
      <c r="V378" t="s">
        <v>158</v>
      </c>
    </row>
    <row r="379" spans="19:22" x14ac:dyDescent="0.45">
      <c r="S379" t="s">
        <v>230</v>
      </c>
      <c r="T379" t="s">
        <v>256</v>
      </c>
      <c r="U379">
        <v>1.4656539514301672E-2</v>
      </c>
      <c r="V379" t="s">
        <v>158</v>
      </c>
    </row>
    <row r="380" spans="19:22" x14ac:dyDescent="0.45">
      <c r="S380" t="s">
        <v>230</v>
      </c>
      <c r="T380" t="s">
        <v>257</v>
      </c>
      <c r="U380">
        <v>0.13787596274817918</v>
      </c>
      <c r="V380" t="s">
        <v>158</v>
      </c>
    </row>
    <row r="381" spans="19:22" x14ac:dyDescent="0.45">
      <c r="S381" t="s">
        <v>230</v>
      </c>
      <c r="T381" t="s">
        <v>258</v>
      </c>
      <c r="U381">
        <v>0.13986332005275712</v>
      </c>
      <c r="V381" t="s">
        <v>158</v>
      </c>
    </row>
    <row r="382" spans="19:22" x14ac:dyDescent="0.45">
      <c r="S382" t="s">
        <v>230</v>
      </c>
      <c r="T382" t="s">
        <v>259</v>
      </c>
      <c r="U382">
        <v>2.453995039479678E-2</v>
      </c>
      <c r="V382" t="s">
        <v>158</v>
      </c>
    </row>
    <row r="383" spans="19:22" x14ac:dyDescent="0.45">
      <c r="S383" t="s">
        <v>231</v>
      </c>
      <c r="T383" t="s">
        <v>248</v>
      </c>
      <c r="U383">
        <v>0.12898037998159281</v>
      </c>
      <c r="V383" t="s">
        <v>158</v>
      </c>
    </row>
    <row r="384" spans="19:22" x14ac:dyDescent="0.45">
      <c r="S384" t="s">
        <v>231</v>
      </c>
      <c r="T384" t="s">
        <v>249</v>
      </c>
      <c r="U384">
        <v>0.1355773403937435</v>
      </c>
      <c r="V384" t="s">
        <v>158</v>
      </c>
    </row>
    <row r="385" spans="19:22" x14ac:dyDescent="0.45">
      <c r="S385" t="s">
        <v>231</v>
      </c>
      <c r="T385" t="s">
        <v>250</v>
      </c>
      <c r="U385">
        <v>2.4322943500927313E-2</v>
      </c>
      <c r="V385" t="s">
        <v>158</v>
      </c>
    </row>
    <row r="386" spans="19:22" x14ac:dyDescent="0.45">
      <c r="S386" t="s">
        <v>231</v>
      </c>
      <c r="T386" t="s">
        <v>251</v>
      </c>
      <c r="U386">
        <v>0.11528511139582708</v>
      </c>
      <c r="V386" t="s">
        <v>158</v>
      </c>
    </row>
    <row r="387" spans="19:22" x14ac:dyDescent="0.45">
      <c r="S387" t="s">
        <v>231</v>
      </c>
      <c r="T387" t="s">
        <v>252</v>
      </c>
      <c r="U387">
        <v>0.11813064347486041</v>
      </c>
      <c r="V387" t="s">
        <v>158</v>
      </c>
    </row>
    <row r="388" spans="19:22" x14ac:dyDescent="0.45">
      <c r="S388" t="s">
        <v>231</v>
      </c>
      <c r="T388" t="s">
        <v>253</v>
      </c>
      <c r="U388">
        <v>2.058031354301823E-2</v>
      </c>
      <c r="V388" t="s">
        <v>158</v>
      </c>
    </row>
    <row r="389" spans="19:22" x14ac:dyDescent="0.45">
      <c r="S389" t="s">
        <v>231</v>
      </c>
      <c r="T389" t="s">
        <v>254</v>
      </c>
      <c r="U389">
        <v>6.7340145447622554E-2</v>
      </c>
      <c r="V389" t="s">
        <v>158</v>
      </c>
    </row>
    <row r="390" spans="19:22" x14ac:dyDescent="0.45">
      <c r="S390" t="s">
        <v>231</v>
      </c>
      <c r="T390" t="s">
        <v>255</v>
      </c>
      <c r="U390">
        <v>7.2732266283003083E-2</v>
      </c>
      <c r="V390" t="s">
        <v>158</v>
      </c>
    </row>
    <row r="391" spans="19:22" x14ac:dyDescent="0.45">
      <c r="S391" t="s">
        <v>231</v>
      </c>
      <c r="T391" t="s">
        <v>256</v>
      </c>
      <c r="U391">
        <v>1.3551638037792425E-2</v>
      </c>
      <c r="V391" t="s">
        <v>158</v>
      </c>
    </row>
    <row r="392" spans="19:22" x14ac:dyDescent="0.45">
      <c r="S392" t="s">
        <v>231</v>
      </c>
      <c r="T392" t="s">
        <v>257</v>
      </c>
      <c r="U392">
        <v>0.14013074784540641</v>
      </c>
      <c r="V392" t="s">
        <v>158</v>
      </c>
    </row>
    <row r="393" spans="19:22" x14ac:dyDescent="0.45">
      <c r="S393" t="s">
        <v>231</v>
      </c>
      <c r="T393" t="s">
        <v>258</v>
      </c>
      <c r="U393">
        <v>0.13846248195500466</v>
      </c>
      <c r="V393" t="s">
        <v>158</v>
      </c>
    </row>
    <row r="394" spans="19:22" x14ac:dyDescent="0.45">
      <c r="S394" t="s">
        <v>231</v>
      </c>
      <c r="T394" t="s">
        <v>259</v>
      </c>
      <c r="U394">
        <v>2.4905988141198054E-2</v>
      </c>
      <c r="V394" t="s">
        <v>158</v>
      </c>
    </row>
    <row r="395" spans="19:22" x14ac:dyDescent="0.45">
      <c r="S395" t="s">
        <v>232</v>
      </c>
      <c r="T395" t="s">
        <v>248</v>
      </c>
      <c r="U395">
        <v>0.12700937235318868</v>
      </c>
      <c r="V395" t="s">
        <v>158</v>
      </c>
    </row>
    <row r="396" spans="19:22" x14ac:dyDescent="0.45">
      <c r="S396" t="s">
        <v>232</v>
      </c>
      <c r="T396" t="s">
        <v>249</v>
      </c>
      <c r="U396">
        <v>0.13305493667704887</v>
      </c>
      <c r="V396" t="s">
        <v>158</v>
      </c>
    </row>
    <row r="397" spans="19:22" x14ac:dyDescent="0.45">
      <c r="S397" t="s">
        <v>232</v>
      </c>
      <c r="T397" t="s">
        <v>250</v>
      </c>
      <c r="U397">
        <v>2.3888154179647597E-2</v>
      </c>
      <c r="V397" t="s">
        <v>158</v>
      </c>
    </row>
    <row r="398" spans="19:22" x14ac:dyDescent="0.45">
      <c r="S398" t="s">
        <v>232</v>
      </c>
      <c r="T398" t="s">
        <v>251</v>
      </c>
      <c r="U398">
        <v>0.12130047049269302</v>
      </c>
      <c r="V398" t="s">
        <v>158</v>
      </c>
    </row>
    <row r="399" spans="19:22" x14ac:dyDescent="0.45">
      <c r="S399" t="s">
        <v>232</v>
      </c>
      <c r="T399" t="s">
        <v>252</v>
      </c>
      <c r="U399">
        <v>0.12107174218724302</v>
      </c>
      <c r="V399" t="s">
        <v>158</v>
      </c>
    </row>
    <row r="400" spans="19:22" x14ac:dyDescent="0.45">
      <c r="S400" t="s">
        <v>232</v>
      </c>
      <c r="T400" t="s">
        <v>253</v>
      </c>
      <c r="U400">
        <v>2.094466451062749E-2</v>
      </c>
      <c r="V400" t="s">
        <v>158</v>
      </c>
    </row>
    <row r="401" spans="19:22" x14ac:dyDescent="0.45">
      <c r="S401" t="s">
        <v>232</v>
      </c>
      <c r="T401" t="s">
        <v>254</v>
      </c>
      <c r="U401">
        <v>7.7550065629388557E-2</v>
      </c>
      <c r="V401" t="s">
        <v>158</v>
      </c>
    </row>
    <row r="402" spans="19:22" x14ac:dyDescent="0.45">
      <c r="S402" t="s">
        <v>232</v>
      </c>
      <c r="T402" t="s">
        <v>255</v>
      </c>
      <c r="U402">
        <v>7.3434270919307196E-2</v>
      </c>
      <c r="V402" t="s">
        <v>158</v>
      </c>
    </row>
    <row r="403" spans="19:22" x14ac:dyDescent="0.45">
      <c r="S403" t="s">
        <v>232</v>
      </c>
      <c r="T403" t="s">
        <v>256</v>
      </c>
      <c r="U403">
        <v>1.3647415694218724E-2</v>
      </c>
      <c r="V403" t="s">
        <v>158</v>
      </c>
    </row>
    <row r="404" spans="19:22" x14ac:dyDescent="0.45">
      <c r="S404" t="s">
        <v>232</v>
      </c>
      <c r="T404" t="s">
        <v>257</v>
      </c>
      <c r="U404">
        <v>0.13527595245143173</v>
      </c>
      <c r="V404" t="s">
        <v>158</v>
      </c>
    </row>
    <row r="405" spans="19:22" x14ac:dyDescent="0.45">
      <c r="S405" t="s">
        <v>232</v>
      </c>
      <c r="T405" t="s">
        <v>258</v>
      </c>
      <c r="U405">
        <v>0.12942744214099114</v>
      </c>
      <c r="V405" t="s">
        <v>158</v>
      </c>
    </row>
    <row r="406" spans="19:22" x14ac:dyDescent="0.45">
      <c r="S406" t="s">
        <v>232</v>
      </c>
      <c r="T406" t="s">
        <v>259</v>
      </c>
      <c r="U406">
        <v>2.3395512764214085E-2</v>
      </c>
      <c r="V406" t="s">
        <v>158</v>
      </c>
    </row>
    <row r="407" spans="19:22" x14ac:dyDescent="0.45">
      <c r="S407" t="s">
        <v>233</v>
      </c>
      <c r="T407" t="s">
        <v>248</v>
      </c>
      <c r="U407">
        <v>0.12827651644617194</v>
      </c>
      <c r="V407" t="s">
        <v>158</v>
      </c>
    </row>
    <row r="408" spans="19:22" x14ac:dyDescent="0.45">
      <c r="S408" t="s">
        <v>233</v>
      </c>
      <c r="T408" t="s">
        <v>249</v>
      </c>
      <c r="U408">
        <v>0.13398221097178514</v>
      </c>
      <c r="V408" t="s">
        <v>158</v>
      </c>
    </row>
    <row r="409" spans="19:22" x14ac:dyDescent="0.45">
      <c r="S409" t="s">
        <v>233</v>
      </c>
      <c r="T409" t="s">
        <v>250</v>
      </c>
      <c r="U409">
        <v>2.410471695217508E-2</v>
      </c>
      <c r="V409" t="s">
        <v>158</v>
      </c>
    </row>
    <row r="410" spans="19:22" x14ac:dyDescent="0.45">
      <c r="S410" t="s">
        <v>233</v>
      </c>
      <c r="T410" t="s">
        <v>251</v>
      </c>
      <c r="U410">
        <v>0.11053674470687601</v>
      </c>
      <c r="V410" t="s">
        <v>158</v>
      </c>
    </row>
    <row r="411" spans="19:22" x14ac:dyDescent="0.45">
      <c r="S411" t="s">
        <v>233</v>
      </c>
      <c r="T411" t="s">
        <v>252</v>
      </c>
      <c r="U411">
        <v>0.11584258450754763</v>
      </c>
      <c r="V411" t="s">
        <v>158</v>
      </c>
    </row>
    <row r="412" spans="19:22" x14ac:dyDescent="0.45">
      <c r="S412" t="s">
        <v>233</v>
      </c>
      <c r="T412" t="s">
        <v>253</v>
      </c>
      <c r="U412">
        <v>2.0146384690981223E-2</v>
      </c>
      <c r="V412" t="s">
        <v>158</v>
      </c>
    </row>
    <row r="413" spans="19:22" x14ac:dyDescent="0.45">
      <c r="S413" t="s">
        <v>233</v>
      </c>
      <c r="T413" t="s">
        <v>254</v>
      </c>
      <c r="U413">
        <v>8.3870783675560862E-2</v>
      </c>
      <c r="V413" t="s">
        <v>158</v>
      </c>
    </row>
    <row r="414" spans="19:22" x14ac:dyDescent="0.45">
      <c r="S414" t="s">
        <v>233</v>
      </c>
      <c r="T414" t="s">
        <v>255</v>
      </c>
      <c r="U414">
        <v>7.7131933160519972E-2</v>
      </c>
      <c r="V414" t="s">
        <v>158</v>
      </c>
    </row>
    <row r="415" spans="19:22" x14ac:dyDescent="0.45">
      <c r="S415" t="s">
        <v>233</v>
      </c>
      <c r="T415" t="s">
        <v>256</v>
      </c>
      <c r="U415">
        <v>1.3413942839196018E-2</v>
      </c>
      <c r="V415" t="s">
        <v>158</v>
      </c>
    </row>
    <row r="416" spans="19:22" x14ac:dyDescent="0.45">
      <c r="S416" t="s">
        <v>233</v>
      </c>
      <c r="T416" t="s">
        <v>257</v>
      </c>
      <c r="U416">
        <v>0.13392500883419456</v>
      </c>
      <c r="V416" t="s">
        <v>158</v>
      </c>
    </row>
    <row r="417" spans="19:22" x14ac:dyDescent="0.45">
      <c r="S417" t="s">
        <v>233</v>
      </c>
      <c r="T417" t="s">
        <v>258</v>
      </c>
      <c r="U417">
        <v>0.13532119671421536</v>
      </c>
      <c r="V417" t="s">
        <v>158</v>
      </c>
    </row>
    <row r="418" spans="19:22" x14ac:dyDescent="0.45">
      <c r="S418" t="s">
        <v>233</v>
      </c>
      <c r="T418" t="s">
        <v>259</v>
      </c>
      <c r="U418">
        <v>2.3447976500772644E-2</v>
      </c>
      <c r="V41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Veda</vt:lpstr>
      <vt:lpstr>fuel_prices</vt:lpstr>
      <vt:lpstr>iea_data</vt:lpstr>
      <vt:lpstr>ar6_r10</vt:lpstr>
      <vt:lpstr>ev_charging_uc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2025-11-03T17:45:36Z</dcterms:modified>
</cp:coreProperties>
</file>