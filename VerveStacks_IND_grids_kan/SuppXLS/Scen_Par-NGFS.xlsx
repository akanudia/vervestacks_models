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F254819F-368C-47D0-979B-34F7F259698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<sst xmlns="http://schemas.openxmlformats.org/spreadsheetml/2006/main" count="58627" uniqueCount="92">
  <si>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</si>
  <si>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</si>
  <si>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</si>
  <si>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</si>
  <si>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</si>
  <si>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</si>
  <si>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</si>
  <si>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</si>
  <si>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</si>
  <si>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</si>
  <si>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</si>
  <si>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</si>
  <si>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</si>
  <si>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</si>
  <si>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</si>
  <si>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</si>
  <si>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</si>
  <si>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</si>
  <si>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</si>
  <si>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</si>
  <si>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</si>
  <si>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</si>
  <si>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</si>
  <si>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</si>
  <si>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</si>
  <si>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</si>
  <si>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</si>
  <si>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</si>
  <si>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</si>
  <si>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</si>
  <si>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</si>
  <si>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</si>
  <si>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</si>
  <si>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</si>
  <si>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</si>
  <si>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</si>
  <si>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</si>
  <si>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</si>
  <si>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</si>
  <si>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</si>
  <si>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</si>
  <si>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</si>
  <si>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</si>
  <si>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</si>
  <si>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</si>
  <si>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</si>
  <si>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</si>
  <si>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</si>
  <si>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</si>
  <si>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</si>
  <si>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</si>
  <si>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</si>
  <si>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</si>
  <si>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</si>
  <si>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</si>
  <si>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</si>
  <si>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</si>
  <si>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</si>
  <si>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</si>
  <si>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</si>
  <si>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</si>
  <si>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</si>
  <si>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</si>
  <si>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</si>
  <si>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</si>
  <si>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</si>
  <si>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</si>
  <si>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</si>
  <si>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</si>
  <si>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</si>
  <si>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</si>
  <si>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</si>
  <si>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</si>
  <si>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</si>
  <si>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</si>
  <si>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</si>
  <si>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</si>
  <si>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</si>
  <si>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</si>
  <si>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</si>
  <si>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</si>
  <si>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</si>
  <si>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</si>
  <si>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</si>
  <si>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IND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</si>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</sst>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1849.9</c:v>
                </c:pt>
                <c:pt idx="1">
                  <c:v>2702.3231183875723</c:v>
                </c:pt>
                <c:pt idx="2">
                  <c:v>3908.3999464309632</c:v>
                </c:pt>
                <c:pt idx="3">
                  <c:v>5202.508264139994</c:v>
                </c:pt>
                <c:pt idx="4">
                  <c:v>6108.9187993839569</c:v>
                </c:pt>
                <c:pt idx="5">
                  <c:v>6952.4850910673631</c:v>
                </c:pt>
                <c:pt idx="6">
                  <c:v>8110.4171175393967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1111.1999999999998</c:v>
                </c:pt>
                <c:pt idx="1">
                  <c:v>1254.2814379908896</c:v>
                </c:pt>
                <c:pt idx="2">
                  <c:v>1432.8306705871701</c:v>
                </c:pt>
                <c:pt idx="3">
                  <c:v>1664.2568671003137</c:v>
                </c:pt>
                <c:pt idx="4">
                  <c:v>1833.2788340417014</c:v>
                </c:pt>
                <c:pt idx="5">
                  <c:v>1763.2194039542678</c:v>
                </c:pt>
                <c:pt idx="6">
                  <c:v>1861.5230021068469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1849.9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1849.9</v>
      </c>
      <c r="S12" s="8">
        <f t="shared" ref="S12:X12" si="0">SUM(S17:S20)</f>
        <v>2702.3231183875723</v>
      </c>
      <c r="T12" s="8">
        <f t="shared" si="0"/>
        <v>3908.3999464309632</v>
      </c>
      <c r="U12" s="8">
        <f t="shared" si="0"/>
        <v>5202.508264139994</v>
      </c>
      <c r="V12" s="8">
        <f t="shared" si="0"/>
        <v>6108.9187993839569</v>
      </c>
      <c r="W12" s="8">
        <f t="shared" si="0"/>
        <v>6952.4850910673631</v>
      </c>
      <c r="X12" s="8">
        <f t="shared" si="0"/>
        <v>8110.4171175393967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1.41E-2</v>
      </c>
      <c r="H16" s="10">
        <f>SUMIFS(ngfs_median!$J$2:$J$17119,ngfs_median!$B$2:$B$17119,Veda!$C$5,ngfs_median!$H$2:$H$17119,Veda!$Q16,ngfs_median!$I$2:$I$17119,Veda!H$15)</f>
        <v>0.1081</v>
      </c>
      <c r="I16" s="10">
        <f>SUMIFS(ngfs_median!$J$2:$J$17119,ngfs_median!$B$2:$B$17119,Veda!$C$5,ngfs_median!$H$2:$H$17119,Veda!$Q16,ngfs_median!$I$2:$I$17119,Veda!I$15)</f>
        <v>0.26175000000000004</v>
      </c>
      <c r="J16" s="10">
        <f>SUMIFS(ngfs_median!$J$2:$J$17119,ngfs_median!$B$2:$B$17119,Veda!$C$5,ngfs_median!$H$2:$H$17119,Veda!$Q16,ngfs_median!$I$2:$I$17119,Veda!J$15)</f>
        <v>0.44784999999999997</v>
      </c>
      <c r="K16" s="10">
        <f>SUMIFS(ngfs_median!$J$2:$J$17119,ngfs_median!$B$2:$B$17119,Veda!$C$5,ngfs_median!$H$2:$H$17119,Veda!$Q16,ngfs_median!$I$2:$I$17119,Veda!K$15)</f>
        <v>0.69795000000000007</v>
      </c>
      <c r="L16" s="10">
        <f>SUMIFS(ngfs_median!$J$2:$J$17119,ngfs_median!$B$2:$B$17119,Veda!$C$5,ngfs_median!$H$2:$H$17119,Veda!$Q16,ngfs_median!$I$2:$I$17119,Veda!L$15)</f>
        <v>0.98794999999999999</v>
      </c>
      <c r="M16" s="10">
        <f>SUMIFS(ngfs_median!$J$2:$J$17119,ngfs_median!$B$2:$B$17119,Veda!$C$5,ngfs_median!$H$2:$H$17119,Veda!$Q16,ngfs_median!$I$2:$I$17119,Veda!M$15)</f>
        <v>1.2919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42.680555555555564</v>
      </c>
      <c r="U16" s="6">
        <f t="shared" si="2"/>
        <v>94.375</v>
      </c>
      <c r="V16" s="6">
        <f t="shared" si="2"/>
        <v>163.84722222222226</v>
      </c>
      <c r="W16" s="6">
        <f t="shared" si="2"/>
        <v>244.40277777777777</v>
      </c>
      <c r="X16" s="6">
        <f t="shared" si="2"/>
        <v>328.83333333333331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9.3600000000000003E-2</v>
      </c>
      <c r="H17" s="10">
        <f>SUMIFS(ngfs_median!$J$2:$J$17119,ngfs_median!$B$2:$B$17119,Veda!$C$5,ngfs_median!$H$2:$H$17119,Veda!$Q17,ngfs_median!$I$2:$I$17119,Veda!H$15)</f>
        <v>0.22225</v>
      </c>
      <c r="I17" s="10">
        <f>SUMIFS(ngfs_median!$J$2:$J$17119,ngfs_median!$B$2:$B$17119,Veda!$C$5,ngfs_median!$H$2:$H$17119,Veda!$Q17,ngfs_median!$I$2:$I$17119,Veda!I$15)</f>
        <v>0.57974999999999999</v>
      </c>
      <c r="J17" s="10">
        <f>SUMIFS(ngfs_median!$J$2:$J$17119,ngfs_median!$B$2:$B$17119,Veda!$C$5,ngfs_median!$H$2:$H$17119,Veda!$Q17,ngfs_median!$I$2:$I$17119,Veda!J$15)</f>
        <v>1.0059999999999998</v>
      </c>
      <c r="K17" s="10">
        <f>SUMIFS(ngfs_median!$J$2:$J$17119,ngfs_median!$B$2:$B$17119,Veda!$C$5,ngfs_median!$H$2:$H$17119,Veda!$Q17,ngfs_median!$I$2:$I$17119,Veda!K$15)</f>
        <v>1.5122499999999999</v>
      </c>
      <c r="L17" s="10">
        <f>SUMIFS(ngfs_median!$J$2:$J$17119,ngfs_median!$B$2:$B$17119,Veda!$C$5,ngfs_median!$H$2:$H$17119,Veda!$Q17,ngfs_median!$I$2:$I$17119,Veda!L$15)</f>
        <v>1.9957</v>
      </c>
      <c r="M17" s="10">
        <f>SUMIFS(ngfs_median!$J$2:$J$17119,ngfs_median!$B$2:$B$17119,Veda!$C$5,ngfs_median!$H$2:$H$17119,Veda!$Q17,ngfs_median!$I$2:$I$17119,Veda!M$15)</f>
        <v>2.4522000000000004</v>
      </c>
      <c r="Q17" s="12" t="s">
        <v>10</v>
      </c>
      <c r="R17" s="6">
        <f>$Q$10*G17/SUM($G$17:$G$19)</f>
        <v>38.647971072719969</v>
      </c>
      <c r="S17" s="6">
        <f>R17</f>
        <v>38.647971072719969</v>
      </c>
      <c r="T17" s="6">
        <f t="shared" ref="T17:X17" si="3">S17</f>
        <v>38.647971072719969</v>
      </c>
      <c r="U17" s="6">
        <f t="shared" si="3"/>
        <v>38.647971072719969</v>
      </c>
      <c r="V17" s="6">
        <f t="shared" si="3"/>
        <v>38.647971072719969</v>
      </c>
      <c r="W17" s="6">
        <f t="shared" si="3"/>
        <v>38.647971072719969</v>
      </c>
      <c r="X17" s="6">
        <f t="shared" si="3"/>
        <v>38.647971072719969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1.6696</v>
      </c>
      <c r="H18" s="10">
        <f>SUMIFS(ngfs_median!$J$2:$J$17119,ngfs_median!$B$2:$B$17119,Veda!$C$5,ngfs_median!$H$2:$H$17119,Veda!$Q18,ngfs_median!$I$2:$I$17119,Veda!H$15)</f>
        <v>2.6784499999999998</v>
      </c>
      <c r="I18" s="10">
        <f>SUMIFS(ngfs_median!$J$2:$J$17119,ngfs_median!$B$2:$B$17119,Veda!$C$5,ngfs_median!$H$2:$H$17119,Veda!$Q18,ngfs_median!$I$2:$I$17119,Veda!I$15)</f>
        <v>3.9851999999999999</v>
      </c>
      <c r="J18" s="10">
        <f>SUMIFS(ngfs_median!$J$2:$J$17119,ngfs_median!$B$2:$B$17119,Veda!$C$5,ngfs_median!$H$2:$H$17119,Veda!$Q18,ngfs_median!$I$2:$I$17119,Veda!J$15)</f>
        <v>5.3892000000000007</v>
      </c>
      <c r="K18" s="10">
        <f>SUMIFS(ngfs_median!$J$2:$J$17119,ngfs_median!$B$2:$B$17119,Veda!$C$5,ngfs_median!$H$2:$H$17119,Veda!$Q18,ngfs_median!$I$2:$I$17119,Veda!K$15)</f>
        <v>6.3659499999999998</v>
      </c>
      <c r="L18" s="10">
        <f>SUMIFS(ngfs_median!$J$2:$J$17119,ngfs_median!$B$2:$B$17119,Veda!$C$5,ngfs_median!$H$2:$H$17119,Veda!$Q18,ngfs_median!$I$2:$I$17119,Veda!L$15)</f>
        <v>7.3222000000000005</v>
      </c>
      <c r="M18" s="10">
        <f>SUMIFS(ngfs_median!$J$2:$J$17119,ngfs_median!$B$2:$B$17119,Veda!$C$5,ngfs_median!$H$2:$H$17119,Veda!$Q18,ngfs_median!$I$2:$I$17119,Veda!M$15)</f>
        <v>8.8434500000000007</v>
      </c>
      <c r="Q18" s="12" t="s">
        <v>12</v>
      </c>
      <c r="R18" s="6">
        <f>$Q$10*G18/SUM($G$17:$G$19)</f>
        <v>689.38731306638101</v>
      </c>
      <c r="S18" s="6">
        <f t="shared" ref="S18:X19" si="4">R18*H18/G18</f>
        <v>1105.9472021338333</v>
      </c>
      <c r="T18" s="6">
        <f t="shared" si="4"/>
        <v>1645.5116914423463</v>
      </c>
      <c r="U18" s="6">
        <f t="shared" si="4"/>
        <v>2225.2312575331462</v>
      </c>
      <c r="V18" s="6">
        <f t="shared" si="4"/>
        <v>2628.5368744698899</v>
      </c>
      <c r="W18" s="6">
        <f t="shared" si="4"/>
        <v>3023.37792509263</v>
      </c>
      <c r="X18" s="6">
        <f t="shared" si="4"/>
        <v>3651.5106814427927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2.7170000000000001</v>
      </c>
      <c r="H19" s="10">
        <f>SUMIFS(ngfs_median!$J$2:$J$17119,ngfs_median!$B$2:$B$17119,Veda!$C$5,ngfs_median!$H$2:$H$17119,Veda!$Q19,ngfs_median!$I$2:$I$17119,Veda!H$15)</f>
        <v>3.6439500000000002</v>
      </c>
      <c r="I19" s="10">
        <f>SUMIFS(ngfs_median!$J$2:$J$17119,ngfs_median!$B$2:$B$17119,Veda!$C$5,ngfs_median!$H$2:$H$17119,Veda!$Q19,ngfs_median!$I$2:$I$17119,Veda!I$15)</f>
        <v>4.9006499999999997</v>
      </c>
      <c r="J19" s="10">
        <f>SUMIFS(ngfs_median!$J$2:$J$17119,ngfs_median!$B$2:$B$17119,Veda!$C$5,ngfs_median!$H$2:$H$17119,Veda!$Q19,ngfs_median!$I$2:$I$17119,Veda!J$15)</f>
        <v>6.2045499999999993</v>
      </c>
      <c r="K19" s="10">
        <f>SUMIFS(ngfs_median!$J$2:$J$17119,ngfs_median!$B$2:$B$17119,Veda!$C$5,ngfs_median!$H$2:$H$17119,Veda!$Q19,ngfs_median!$I$2:$I$17119,Veda!K$15)</f>
        <v>6.9167500000000004</v>
      </c>
      <c r="L19" s="10">
        <f>SUMIFS(ngfs_median!$J$2:$J$17119,ngfs_median!$B$2:$B$17119,Veda!$C$5,ngfs_median!$H$2:$H$17119,Veda!$Q19,ngfs_median!$I$2:$I$17119,Veda!L$15)</f>
        <v>7.5200499999999995</v>
      </c>
      <c r="M19" s="10">
        <f>SUMIFS(ngfs_median!$J$2:$J$17119,ngfs_median!$B$2:$B$17119,Veda!$C$5,ngfs_median!$H$2:$H$17119,Veda!$Q19,ngfs_median!$I$2:$I$17119,Veda!M$15)</f>
        <v>8.3466500000000003</v>
      </c>
      <c r="Q19" s="12" t="s">
        <v>13</v>
      </c>
      <c r="R19" s="6">
        <f>$Q$10*G19/SUM($G$17:$G$19)</f>
        <v>1121.8647158608992</v>
      </c>
      <c r="S19" s="6">
        <f t="shared" si="4"/>
        <v>1504.6076302397219</v>
      </c>
      <c r="T19" s="6">
        <f t="shared" si="4"/>
        <v>2023.5061905718496</v>
      </c>
      <c r="U19" s="6">
        <f t="shared" si="4"/>
        <v>2561.8938987098791</v>
      </c>
      <c r="V19" s="6">
        <f t="shared" si="4"/>
        <v>2855.9653196285885</v>
      </c>
      <c r="W19" s="6">
        <f t="shared" si="4"/>
        <v>3105.0713126646133</v>
      </c>
      <c r="X19" s="6">
        <f t="shared" si="4"/>
        <v>3446.3791426722028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53.120314941297266</v>
      </c>
      <c r="T20" s="6">
        <f t="shared" si="5"/>
        <v>200.73409334404712</v>
      </c>
      <c r="U20" s="6">
        <f t="shared" si="5"/>
        <v>376.7351368242488</v>
      </c>
      <c r="V20" s="6">
        <f t="shared" si="5"/>
        <v>585.76863421275834</v>
      </c>
      <c r="W20" s="6">
        <f t="shared" si="5"/>
        <v>785.38788223740016</v>
      </c>
      <c r="X20" s="6">
        <f t="shared" si="5"/>
        <v>973.87932235168091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1111.1999999999998</v>
      </c>
      <c r="D22" s="12" t="s">
        <v>79</v>
      </c>
      <c r="G22" s="8">
        <f>G35/$G$35*$B22</f>
        <v>1111.1999999999998</v>
      </c>
      <c r="H22" s="8">
        <f t="shared" ref="H22:M22" si="6">H35/$G$35*$B22</f>
        <v>1254.2814379908896</v>
      </c>
      <c r="I22" s="8">
        <f t="shared" si="6"/>
        <v>1432.8306705871701</v>
      </c>
      <c r="J22" s="8">
        <f t="shared" si="6"/>
        <v>1664.2568671003137</v>
      </c>
      <c r="K22" s="8">
        <f t="shared" si="6"/>
        <v>1833.2788340417014</v>
      </c>
      <c r="L22" s="8">
        <f t="shared" si="6"/>
        <v>1763.2194039542678</v>
      </c>
      <c r="M22" s="8">
        <f t="shared" si="6"/>
        <v>1861.5230021068469</v>
      </c>
      <c r="Q22" t="s">
        <v>64</v>
      </c>
      <c r="T22" s="8">
        <f>I35*1000</f>
        <v>649726.29999999993</v>
      </c>
      <c r="U22" s="8">
        <f>J35*1000</f>
        <v>754668</v>
      </c>
      <c r="V22" s="8">
        <f>K35*1000</f>
        <v>831312.1</v>
      </c>
      <c r="W22" s="8">
        <f>L35*1000</f>
        <v>799543.2</v>
      </c>
      <c r="X22" s="8">
        <f>M35*1000</f>
        <v>844119.6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7.8</v>
      </c>
      <c r="S26" s="3">
        <f>AVERAGEIFS(historical_data_long!$D$3:$D$9999,historical_data_long!$B$3:$B$9999,"&gt;2017",historical_data_long!$A$3:$A$9999,$O26)</f>
        <v>7.5400000000000009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10.3</v>
      </c>
      <c r="S27" s="3">
        <f>AVERAGEIFS(historical_data_long!$D$3:$D$9999,historical_data_long!$B$3:$B$9999,"&gt;2017",historical_data_long!$A$3:$A$9999,$O27)</f>
        <v>9.4599999999999991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503.88080000000008</v>
      </c>
      <c r="H35" s="11">
        <f>SUMIFS(ngfs_median!$J$2:$J$17119,ngfs_median!$B$2:$B$17119,Veda!$C$5,ngfs_median!$D$2:$D$17119,Veda!$D22,ngfs_median!$I$2:$I$17119,Veda!H$15)</f>
        <v>568.76200000000006</v>
      </c>
      <c r="I35" s="11">
        <f>SUMIFS(ngfs_median!$J$2:$J$17119,ngfs_median!$B$2:$B$17119,Veda!$C$5,ngfs_median!$D$2:$D$17119,Veda!$D22,ngfs_median!$I$2:$I$17119,Veda!I$15)</f>
        <v>649.72629999999992</v>
      </c>
      <c r="J35" s="11">
        <f>SUMIFS(ngfs_median!$J$2:$J$17119,ngfs_median!$B$2:$B$17119,Veda!$C$5,ngfs_median!$D$2:$D$17119,Veda!$D22,ngfs_median!$I$2:$I$17119,Veda!J$15)</f>
        <v>754.66800000000001</v>
      </c>
      <c r="K35" s="11">
        <f>SUMIFS(ngfs_median!$J$2:$J$17119,ngfs_median!$B$2:$B$17119,Veda!$C$5,ngfs_median!$D$2:$D$17119,Veda!$D22,ngfs_median!$I$2:$I$17119,Veda!K$15)</f>
        <v>831.31209999999999</v>
      </c>
      <c r="L35" s="11">
        <f>SUMIFS(ngfs_median!$J$2:$J$17119,ngfs_median!$B$2:$B$17119,Veda!$C$5,ngfs_median!$D$2:$D$17119,Veda!$D22,ngfs_median!$I$2:$I$17119,Veda!L$15)</f>
        <v>799.54319999999996</v>
      </c>
      <c r="M35" s="11">
        <f>SUMIFS(ngfs_median!$J$2:$J$17119,ngfs_median!$B$2:$B$17119,Veda!$C$5,ngfs_median!$D$2:$D$17119,Veda!$D22,ngfs_median!$I$2:$I$17119,Veda!M$15)</f>
        <v>844.11959999999999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1.69</v>
      </c>
    </row>
    <row r="3" spans="1:4" x14ac:dyDescent="0.45">
      <c r="A3" t="s">
        <v>34</v>
      </c>
      <c r="B3">
        <v>2000</v>
      </c>
      <c r="C3" t="s">
        <v>74</v>
      </c>
      <c r="D3">
        <v>390.23</v>
      </c>
    </row>
    <row r="4" spans="1:4" x14ac:dyDescent="0.45">
      <c r="A4" t="s">
        <v>36</v>
      </c>
      <c r="B4">
        <v>2000</v>
      </c>
      <c r="C4" t="s">
        <v>74</v>
      </c>
      <c r="D4">
        <v>55.96</v>
      </c>
    </row>
    <row r="5" spans="1:4" x14ac:dyDescent="0.45">
      <c r="A5" t="s">
        <v>56</v>
      </c>
      <c r="B5">
        <v>2000</v>
      </c>
      <c r="C5" t="s">
        <v>74</v>
      </c>
      <c r="D5">
        <v>76.989999999999995</v>
      </c>
    </row>
    <row r="6" spans="1:4" x14ac:dyDescent="0.45">
      <c r="A6" t="s">
        <v>57</v>
      </c>
      <c r="B6">
        <v>2000</v>
      </c>
      <c r="C6" t="s">
        <v>74</v>
      </c>
      <c r="D6">
        <v>15.77</v>
      </c>
    </row>
    <row r="7" spans="1:4" x14ac:dyDescent="0.45">
      <c r="A7" t="s">
        <v>38</v>
      </c>
      <c r="B7">
        <v>2000</v>
      </c>
      <c r="C7" t="s">
        <v>74</v>
      </c>
      <c r="D7">
        <v>29.16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1.58</v>
      </c>
    </row>
    <row r="10" spans="1:4" x14ac:dyDescent="0.45">
      <c r="A10" t="s">
        <v>32</v>
      </c>
      <c r="B10">
        <v>2001</v>
      </c>
      <c r="C10" t="s">
        <v>74</v>
      </c>
      <c r="D10">
        <v>2.0699999999999998</v>
      </c>
    </row>
    <row r="11" spans="1:4" x14ac:dyDescent="0.45">
      <c r="A11" t="s">
        <v>34</v>
      </c>
      <c r="B11">
        <v>2001</v>
      </c>
      <c r="C11" t="s">
        <v>74</v>
      </c>
      <c r="D11">
        <v>408.29</v>
      </c>
    </row>
    <row r="12" spans="1:4" x14ac:dyDescent="0.45">
      <c r="A12" t="s">
        <v>36</v>
      </c>
      <c r="B12">
        <v>2001</v>
      </c>
      <c r="C12" t="s">
        <v>74</v>
      </c>
      <c r="D12">
        <v>55.93</v>
      </c>
    </row>
    <row r="13" spans="1:4" x14ac:dyDescent="0.45">
      <c r="A13" t="s">
        <v>56</v>
      </c>
      <c r="B13">
        <v>2001</v>
      </c>
      <c r="C13" t="s">
        <v>74</v>
      </c>
      <c r="D13">
        <v>72.02</v>
      </c>
    </row>
    <row r="14" spans="1:4" x14ac:dyDescent="0.45">
      <c r="A14" t="s">
        <v>57</v>
      </c>
      <c r="B14">
        <v>2001</v>
      </c>
      <c r="C14" t="s">
        <v>74</v>
      </c>
      <c r="D14">
        <v>18.89</v>
      </c>
    </row>
    <row r="15" spans="1:4" x14ac:dyDescent="0.45">
      <c r="A15" t="s">
        <v>38</v>
      </c>
      <c r="B15">
        <v>2001</v>
      </c>
      <c r="C15" t="s">
        <v>74</v>
      </c>
      <c r="D15">
        <v>26.79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2.09</v>
      </c>
    </row>
    <row r="18" spans="1:4" x14ac:dyDescent="0.45">
      <c r="A18" t="s">
        <v>32</v>
      </c>
      <c r="B18">
        <v>2002</v>
      </c>
      <c r="C18" t="s">
        <v>74</v>
      </c>
      <c r="D18">
        <v>2.14</v>
      </c>
    </row>
    <row r="19" spans="1:4" x14ac:dyDescent="0.45">
      <c r="A19" t="s">
        <v>34</v>
      </c>
      <c r="B19">
        <v>2002</v>
      </c>
      <c r="C19" t="s">
        <v>74</v>
      </c>
      <c r="D19">
        <v>426.7</v>
      </c>
    </row>
    <row r="20" spans="1:4" x14ac:dyDescent="0.45">
      <c r="A20" t="s">
        <v>36</v>
      </c>
      <c r="B20">
        <v>2002</v>
      </c>
      <c r="C20" t="s">
        <v>74</v>
      </c>
      <c r="D20">
        <v>62.88</v>
      </c>
    </row>
    <row r="21" spans="1:4" x14ac:dyDescent="0.45">
      <c r="A21" t="s">
        <v>56</v>
      </c>
      <c r="B21">
        <v>2002</v>
      </c>
      <c r="C21" t="s">
        <v>74</v>
      </c>
      <c r="D21">
        <v>68.540000000000006</v>
      </c>
    </row>
    <row r="22" spans="1:4" x14ac:dyDescent="0.45">
      <c r="A22" t="s">
        <v>57</v>
      </c>
      <c r="B22">
        <v>2002</v>
      </c>
      <c r="C22" t="s">
        <v>74</v>
      </c>
      <c r="D22">
        <v>19.350000000000001</v>
      </c>
    </row>
    <row r="23" spans="1:4" x14ac:dyDescent="0.45">
      <c r="A23" t="s">
        <v>38</v>
      </c>
      <c r="B23">
        <v>2002</v>
      </c>
      <c r="C23" t="s">
        <v>74</v>
      </c>
      <c r="D23">
        <v>27.93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2.09</v>
      </c>
    </row>
    <row r="26" spans="1:4" x14ac:dyDescent="0.45">
      <c r="A26" t="s">
        <v>32</v>
      </c>
      <c r="B26">
        <v>2003</v>
      </c>
      <c r="C26" t="s">
        <v>74</v>
      </c>
      <c r="D26">
        <v>2.71</v>
      </c>
    </row>
    <row r="27" spans="1:4" x14ac:dyDescent="0.45">
      <c r="A27" t="s">
        <v>34</v>
      </c>
      <c r="B27">
        <v>2003</v>
      </c>
      <c r="C27" t="s">
        <v>74</v>
      </c>
      <c r="D27">
        <v>441.47</v>
      </c>
    </row>
    <row r="28" spans="1:4" x14ac:dyDescent="0.45">
      <c r="A28" t="s">
        <v>36</v>
      </c>
      <c r="B28">
        <v>2003</v>
      </c>
      <c r="C28" t="s">
        <v>74</v>
      </c>
      <c r="D28">
        <v>72.8</v>
      </c>
    </row>
    <row r="29" spans="1:4" x14ac:dyDescent="0.45">
      <c r="A29" t="s">
        <v>56</v>
      </c>
      <c r="B29">
        <v>2003</v>
      </c>
      <c r="C29" t="s">
        <v>74</v>
      </c>
      <c r="D29">
        <v>69.3</v>
      </c>
    </row>
    <row r="30" spans="1:4" x14ac:dyDescent="0.45">
      <c r="A30" t="s">
        <v>57</v>
      </c>
      <c r="B30">
        <v>2003</v>
      </c>
      <c r="C30" t="s">
        <v>74</v>
      </c>
      <c r="D30">
        <v>18.14</v>
      </c>
    </row>
    <row r="31" spans="1:4" x14ac:dyDescent="0.45">
      <c r="A31" t="s">
        <v>38</v>
      </c>
      <c r="B31">
        <v>2003</v>
      </c>
      <c r="C31" t="s">
        <v>74</v>
      </c>
      <c r="D31">
        <v>31.09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2.6</v>
      </c>
    </row>
    <row r="34" spans="1:4" x14ac:dyDescent="0.45">
      <c r="A34" t="s">
        <v>32</v>
      </c>
      <c r="B34">
        <v>2004</v>
      </c>
      <c r="C34" t="s">
        <v>74</v>
      </c>
      <c r="D34">
        <v>3.31</v>
      </c>
    </row>
    <row r="35" spans="1:4" x14ac:dyDescent="0.45">
      <c r="A35" t="s">
        <v>34</v>
      </c>
      <c r="B35">
        <v>2004</v>
      </c>
      <c r="C35" t="s">
        <v>74</v>
      </c>
      <c r="D35">
        <v>463.01</v>
      </c>
    </row>
    <row r="36" spans="1:4" x14ac:dyDescent="0.45">
      <c r="A36" t="s">
        <v>36</v>
      </c>
      <c r="B36">
        <v>2004</v>
      </c>
      <c r="C36" t="s">
        <v>74</v>
      </c>
      <c r="D36">
        <v>76.58</v>
      </c>
    </row>
    <row r="37" spans="1:4" x14ac:dyDescent="0.45">
      <c r="A37" t="s">
        <v>56</v>
      </c>
      <c r="B37">
        <v>2004</v>
      </c>
      <c r="C37" t="s">
        <v>74</v>
      </c>
      <c r="D37">
        <v>100.64</v>
      </c>
    </row>
    <row r="38" spans="1:4" x14ac:dyDescent="0.45">
      <c r="A38" t="s">
        <v>57</v>
      </c>
      <c r="B38">
        <v>2004</v>
      </c>
      <c r="C38" t="s">
        <v>74</v>
      </c>
      <c r="D38">
        <v>21.26</v>
      </c>
    </row>
    <row r="39" spans="1:4" x14ac:dyDescent="0.45">
      <c r="A39" t="s">
        <v>38</v>
      </c>
      <c r="B39">
        <v>2004</v>
      </c>
      <c r="C39" t="s">
        <v>74</v>
      </c>
      <c r="D39">
        <v>28.27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5.23</v>
      </c>
    </row>
    <row r="42" spans="1:4" x14ac:dyDescent="0.45">
      <c r="A42" t="s">
        <v>32</v>
      </c>
      <c r="B42">
        <v>2005</v>
      </c>
      <c r="C42" t="s">
        <v>74</v>
      </c>
      <c r="D42">
        <v>4.04</v>
      </c>
    </row>
    <row r="43" spans="1:4" x14ac:dyDescent="0.45">
      <c r="A43" t="s">
        <v>34</v>
      </c>
      <c r="B43">
        <v>2005</v>
      </c>
      <c r="C43" t="s">
        <v>74</v>
      </c>
      <c r="D43">
        <v>478.48</v>
      </c>
    </row>
    <row r="44" spans="1:4" x14ac:dyDescent="0.45">
      <c r="A44" t="s">
        <v>36</v>
      </c>
      <c r="B44">
        <v>2005</v>
      </c>
      <c r="C44" t="s">
        <v>74</v>
      </c>
      <c r="D44">
        <v>75.47</v>
      </c>
    </row>
    <row r="45" spans="1:4" x14ac:dyDescent="0.45">
      <c r="A45" t="s">
        <v>56</v>
      </c>
      <c r="B45">
        <v>2005</v>
      </c>
      <c r="C45" t="s">
        <v>74</v>
      </c>
      <c r="D45">
        <v>97.42</v>
      </c>
    </row>
    <row r="46" spans="1:4" x14ac:dyDescent="0.45">
      <c r="A46" t="s">
        <v>57</v>
      </c>
      <c r="B46">
        <v>2005</v>
      </c>
      <c r="C46" t="s">
        <v>74</v>
      </c>
      <c r="D46">
        <v>17.73</v>
      </c>
    </row>
    <row r="47" spans="1:4" x14ac:dyDescent="0.45">
      <c r="A47" t="s">
        <v>38</v>
      </c>
      <c r="B47">
        <v>2005</v>
      </c>
      <c r="C47" t="s">
        <v>74</v>
      </c>
      <c r="D47">
        <v>25.37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5.99</v>
      </c>
    </row>
    <row r="50" spans="1:4" x14ac:dyDescent="0.45">
      <c r="A50" t="s">
        <v>32</v>
      </c>
      <c r="B50">
        <v>2006</v>
      </c>
      <c r="C50" t="s">
        <v>74</v>
      </c>
      <c r="D50">
        <v>5.59</v>
      </c>
    </row>
    <row r="51" spans="1:4" x14ac:dyDescent="0.45">
      <c r="A51" t="s">
        <v>34</v>
      </c>
      <c r="B51">
        <v>2006</v>
      </c>
      <c r="C51" t="s">
        <v>74</v>
      </c>
      <c r="D51">
        <v>505.46</v>
      </c>
    </row>
    <row r="52" spans="1:4" x14ac:dyDescent="0.45">
      <c r="A52" t="s">
        <v>36</v>
      </c>
      <c r="B52">
        <v>2006</v>
      </c>
      <c r="C52" t="s">
        <v>74</v>
      </c>
      <c r="D52">
        <v>74.7</v>
      </c>
    </row>
    <row r="53" spans="1:4" x14ac:dyDescent="0.45">
      <c r="A53" t="s">
        <v>56</v>
      </c>
      <c r="B53">
        <v>2006</v>
      </c>
      <c r="C53" t="s">
        <v>74</v>
      </c>
      <c r="D53">
        <v>112.62</v>
      </c>
    </row>
    <row r="54" spans="1:4" x14ac:dyDescent="0.45">
      <c r="A54" t="s">
        <v>57</v>
      </c>
      <c r="B54">
        <v>2006</v>
      </c>
      <c r="C54" t="s">
        <v>74</v>
      </c>
      <c r="D54">
        <v>17.63</v>
      </c>
    </row>
    <row r="55" spans="1:4" x14ac:dyDescent="0.45">
      <c r="A55" t="s">
        <v>38</v>
      </c>
      <c r="B55">
        <v>2006</v>
      </c>
      <c r="C55" t="s">
        <v>74</v>
      </c>
      <c r="D55">
        <v>19.079999999999998</v>
      </c>
    </row>
    <row r="56" spans="1:4" x14ac:dyDescent="0.45">
      <c r="A56" t="s">
        <v>58</v>
      </c>
      <c r="B56">
        <v>2006</v>
      </c>
      <c r="C56" t="s">
        <v>74</v>
      </c>
      <c r="D56">
        <v>0.01</v>
      </c>
    </row>
    <row r="57" spans="1:4" x14ac:dyDescent="0.45">
      <c r="A57" t="s">
        <v>91</v>
      </c>
      <c r="B57">
        <v>2006</v>
      </c>
      <c r="C57" t="s">
        <v>74</v>
      </c>
      <c r="D57">
        <v>9.34</v>
      </c>
    </row>
    <row r="58" spans="1:4" x14ac:dyDescent="0.45">
      <c r="A58" t="s">
        <v>32</v>
      </c>
      <c r="B58">
        <v>2007</v>
      </c>
      <c r="C58" t="s">
        <v>74</v>
      </c>
      <c r="D58">
        <v>7.4</v>
      </c>
    </row>
    <row r="59" spans="1:4" x14ac:dyDescent="0.45">
      <c r="A59" t="s">
        <v>34</v>
      </c>
      <c r="B59">
        <v>2007</v>
      </c>
      <c r="C59" t="s">
        <v>74</v>
      </c>
      <c r="D59">
        <v>533.27</v>
      </c>
    </row>
    <row r="60" spans="1:4" x14ac:dyDescent="0.45">
      <c r="A60" t="s">
        <v>36</v>
      </c>
      <c r="B60">
        <v>2007</v>
      </c>
      <c r="C60" t="s">
        <v>74</v>
      </c>
      <c r="D60">
        <v>90.05</v>
      </c>
    </row>
    <row r="61" spans="1:4" x14ac:dyDescent="0.45">
      <c r="A61" t="s">
        <v>56</v>
      </c>
      <c r="B61">
        <v>2007</v>
      </c>
      <c r="C61" t="s">
        <v>74</v>
      </c>
      <c r="D61">
        <v>122.61</v>
      </c>
    </row>
    <row r="62" spans="1:4" x14ac:dyDescent="0.45">
      <c r="A62" t="s">
        <v>57</v>
      </c>
      <c r="B62">
        <v>2007</v>
      </c>
      <c r="C62" t="s">
        <v>74</v>
      </c>
      <c r="D62">
        <v>17.829999999999998</v>
      </c>
    </row>
    <row r="63" spans="1:4" x14ac:dyDescent="0.45">
      <c r="A63" t="s">
        <v>38</v>
      </c>
      <c r="B63">
        <v>2007</v>
      </c>
      <c r="C63" t="s">
        <v>74</v>
      </c>
      <c r="D63">
        <v>13.36</v>
      </c>
    </row>
    <row r="64" spans="1:4" x14ac:dyDescent="0.45">
      <c r="A64" t="s">
        <v>58</v>
      </c>
      <c r="B64">
        <v>2007</v>
      </c>
      <c r="C64" t="s">
        <v>74</v>
      </c>
      <c r="D64">
        <v>0.06</v>
      </c>
    </row>
    <row r="65" spans="1:4" x14ac:dyDescent="0.45">
      <c r="A65" t="s">
        <v>91</v>
      </c>
      <c r="B65">
        <v>2007</v>
      </c>
      <c r="C65" t="s">
        <v>74</v>
      </c>
      <c r="D65">
        <v>11.68</v>
      </c>
    </row>
    <row r="66" spans="1:4" x14ac:dyDescent="0.45">
      <c r="A66" t="s">
        <v>32</v>
      </c>
      <c r="B66">
        <v>2008</v>
      </c>
      <c r="C66" t="s">
        <v>74</v>
      </c>
      <c r="D66">
        <v>9.3000000000000007</v>
      </c>
    </row>
    <row r="67" spans="1:4" x14ac:dyDescent="0.45">
      <c r="A67" t="s">
        <v>34</v>
      </c>
      <c r="B67">
        <v>2008</v>
      </c>
      <c r="C67" t="s">
        <v>74</v>
      </c>
      <c r="D67">
        <v>573.12</v>
      </c>
    </row>
    <row r="68" spans="1:4" x14ac:dyDescent="0.45">
      <c r="A68" t="s">
        <v>36</v>
      </c>
      <c r="B68">
        <v>2008</v>
      </c>
      <c r="C68" t="s">
        <v>74</v>
      </c>
      <c r="D68">
        <v>85.88</v>
      </c>
    </row>
    <row r="69" spans="1:4" x14ac:dyDescent="0.45">
      <c r="A69" t="s">
        <v>56</v>
      </c>
      <c r="B69">
        <v>2008</v>
      </c>
      <c r="C69" t="s">
        <v>74</v>
      </c>
      <c r="D69">
        <v>115.17</v>
      </c>
    </row>
    <row r="70" spans="1:4" x14ac:dyDescent="0.45">
      <c r="A70" t="s">
        <v>57</v>
      </c>
      <c r="B70">
        <v>2008</v>
      </c>
      <c r="C70" t="s">
        <v>74</v>
      </c>
      <c r="D70">
        <v>15.23</v>
      </c>
    </row>
    <row r="71" spans="1:4" x14ac:dyDescent="0.45">
      <c r="A71" t="s">
        <v>38</v>
      </c>
      <c r="B71">
        <v>2008</v>
      </c>
      <c r="C71" t="s">
        <v>74</v>
      </c>
      <c r="D71">
        <v>15.27</v>
      </c>
    </row>
    <row r="72" spans="1:4" x14ac:dyDescent="0.45">
      <c r="A72" t="s">
        <v>58</v>
      </c>
      <c r="B72">
        <v>2008</v>
      </c>
      <c r="C72" t="s">
        <v>74</v>
      </c>
      <c r="D72">
        <v>0.06</v>
      </c>
    </row>
    <row r="73" spans="1:4" x14ac:dyDescent="0.45">
      <c r="A73" t="s">
        <v>91</v>
      </c>
      <c r="B73">
        <v>2008</v>
      </c>
      <c r="C73" t="s">
        <v>74</v>
      </c>
      <c r="D73">
        <v>14.38</v>
      </c>
    </row>
    <row r="74" spans="1:4" x14ac:dyDescent="0.45">
      <c r="A74" t="s">
        <v>32</v>
      </c>
      <c r="B74">
        <v>2009</v>
      </c>
      <c r="C74" t="s">
        <v>74</v>
      </c>
      <c r="D74">
        <v>11.64</v>
      </c>
    </row>
    <row r="75" spans="1:4" x14ac:dyDescent="0.45">
      <c r="A75" t="s">
        <v>34</v>
      </c>
      <c r="B75">
        <v>2009</v>
      </c>
      <c r="C75" t="s">
        <v>74</v>
      </c>
      <c r="D75">
        <v>611.11</v>
      </c>
    </row>
    <row r="76" spans="1:4" x14ac:dyDescent="0.45">
      <c r="A76" t="s">
        <v>36</v>
      </c>
      <c r="B76">
        <v>2009</v>
      </c>
      <c r="C76" t="s">
        <v>74</v>
      </c>
      <c r="D76">
        <v>104.37</v>
      </c>
    </row>
    <row r="77" spans="1:4" x14ac:dyDescent="0.45">
      <c r="A77" t="s">
        <v>56</v>
      </c>
      <c r="B77">
        <v>2009</v>
      </c>
      <c r="C77" t="s">
        <v>74</v>
      </c>
      <c r="D77">
        <v>106.34</v>
      </c>
    </row>
    <row r="78" spans="1:4" x14ac:dyDescent="0.45">
      <c r="A78" t="s">
        <v>57</v>
      </c>
      <c r="B78">
        <v>2009</v>
      </c>
      <c r="C78" t="s">
        <v>74</v>
      </c>
      <c r="D78">
        <v>16.82</v>
      </c>
    </row>
    <row r="79" spans="1:4" x14ac:dyDescent="0.45">
      <c r="A79" t="s">
        <v>38</v>
      </c>
      <c r="B79">
        <v>2009</v>
      </c>
      <c r="C79" t="s">
        <v>74</v>
      </c>
      <c r="D79">
        <v>13.08</v>
      </c>
    </row>
    <row r="80" spans="1:4" x14ac:dyDescent="0.45">
      <c r="A80" t="s">
        <v>58</v>
      </c>
      <c r="B80">
        <v>2009</v>
      </c>
      <c r="C80" t="s">
        <v>74</v>
      </c>
      <c r="D80">
        <v>0.08</v>
      </c>
    </row>
    <row r="81" spans="1:4" x14ac:dyDescent="0.45">
      <c r="A81" t="s">
        <v>91</v>
      </c>
      <c r="B81">
        <v>2009</v>
      </c>
      <c r="C81" t="s">
        <v>74</v>
      </c>
      <c r="D81">
        <v>16.27</v>
      </c>
    </row>
    <row r="82" spans="1:4" x14ac:dyDescent="0.45">
      <c r="A82" t="s">
        <v>32</v>
      </c>
      <c r="B82">
        <v>2010</v>
      </c>
      <c r="C82" t="s">
        <v>74</v>
      </c>
      <c r="D82">
        <v>14.3</v>
      </c>
    </row>
    <row r="83" spans="1:4" x14ac:dyDescent="0.45">
      <c r="A83" t="s">
        <v>34</v>
      </c>
      <c r="B83">
        <v>2010</v>
      </c>
      <c r="C83" t="s">
        <v>74</v>
      </c>
      <c r="D83">
        <v>642.97</v>
      </c>
    </row>
    <row r="84" spans="1:4" x14ac:dyDescent="0.45">
      <c r="A84" t="s">
        <v>36</v>
      </c>
      <c r="B84">
        <v>2010</v>
      </c>
      <c r="C84" t="s">
        <v>74</v>
      </c>
      <c r="D84">
        <v>118.03</v>
      </c>
    </row>
    <row r="85" spans="1:4" x14ac:dyDescent="0.45">
      <c r="A85" t="s">
        <v>56</v>
      </c>
      <c r="B85">
        <v>2010</v>
      </c>
      <c r="C85" t="s">
        <v>74</v>
      </c>
      <c r="D85">
        <v>108.74</v>
      </c>
    </row>
    <row r="86" spans="1:4" x14ac:dyDescent="0.45">
      <c r="A86" t="s">
        <v>57</v>
      </c>
      <c r="B86">
        <v>2010</v>
      </c>
      <c r="C86" t="s">
        <v>74</v>
      </c>
      <c r="D86">
        <v>23.08</v>
      </c>
    </row>
    <row r="87" spans="1:4" x14ac:dyDescent="0.45">
      <c r="A87" t="s">
        <v>38</v>
      </c>
      <c r="B87">
        <v>2010</v>
      </c>
      <c r="C87" t="s">
        <v>74</v>
      </c>
      <c r="D87">
        <v>10.78</v>
      </c>
    </row>
    <row r="88" spans="1:4" x14ac:dyDescent="0.45">
      <c r="A88" t="s">
        <v>58</v>
      </c>
      <c r="B88">
        <v>2010</v>
      </c>
      <c r="C88" t="s">
        <v>74</v>
      </c>
      <c r="D88">
        <v>0.11</v>
      </c>
    </row>
    <row r="89" spans="1:4" x14ac:dyDescent="0.45">
      <c r="A89" t="s">
        <v>91</v>
      </c>
      <c r="B89">
        <v>2010</v>
      </c>
      <c r="C89" t="s">
        <v>74</v>
      </c>
      <c r="D89">
        <v>19.46</v>
      </c>
    </row>
    <row r="90" spans="1:4" x14ac:dyDescent="0.45">
      <c r="A90" t="s">
        <v>32</v>
      </c>
      <c r="B90">
        <v>2011</v>
      </c>
      <c r="C90" t="s">
        <v>74</v>
      </c>
      <c r="D90">
        <v>17.14</v>
      </c>
    </row>
    <row r="91" spans="1:4" x14ac:dyDescent="0.45">
      <c r="A91" t="s">
        <v>34</v>
      </c>
      <c r="B91">
        <v>2011</v>
      </c>
      <c r="C91" t="s">
        <v>74</v>
      </c>
      <c r="D91">
        <v>701.25</v>
      </c>
    </row>
    <row r="92" spans="1:4" x14ac:dyDescent="0.45">
      <c r="A92" t="s">
        <v>36</v>
      </c>
      <c r="B92">
        <v>2011</v>
      </c>
      <c r="C92" t="s">
        <v>74</v>
      </c>
      <c r="D92">
        <v>117.56</v>
      </c>
    </row>
    <row r="93" spans="1:4" x14ac:dyDescent="0.45">
      <c r="A93" t="s">
        <v>56</v>
      </c>
      <c r="B93">
        <v>2011</v>
      </c>
      <c r="C93" t="s">
        <v>74</v>
      </c>
      <c r="D93">
        <v>131.69999999999999</v>
      </c>
    </row>
    <row r="94" spans="1:4" x14ac:dyDescent="0.45">
      <c r="A94" t="s">
        <v>57</v>
      </c>
      <c r="B94">
        <v>2011</v>
      </c>
      <c r="C94" t="s">
        <v>74</v>
      </c>
      <c r="D94">
        <v>32.22</v>
      </c>
    </row>
    <row r="95" spans="1:4" x14ac:dyDescent="0.45">
      <c r="A95" t="s">
        <v>38</v>
      </c>
      <c r="B95">
        <v>2011</v>
      </c>
      <c r="C95" t="s">
        <v>74</v>
      </c>
      <c r="D95">
        <v>9.35</v>
      </c>
    </row>
    <row r="96" spans="1:4" x14ac:dyDescent="0.45">
      <c r="A96" t="s">
        <v>58</v>
      </c>
      <c r="B96">
        <v>2011</v>
      </c>
      <c r="C96" t="s">
        <v>74</v>
      </c>
      <c r="D96">
        <v>0.83</v>
      </c>
    </row>
    <row r="97" spans="1:4" x14ac:dyDescent="0.45">
      <c r="A97" t="s">
        <v>91</v>
      </c>
      <c r="B97">
        <v>2011</v>
      </c>
      <c r="C97" t="s">
        <v>74</v>
      </c>
      <c r="D97">
        <v>23.95</v>
      </c>
    </row>
    <row r="98" spans="1:4" x14ac:dyDescent="0.45">
      <c r="A98" t="s">
        <v>32</v>
      </c>
      <c r="B98">
        <v>2012</v>
      </c>
      <c r="C98" t="s">
        <v>74</v>
      </c>
      <c r="D98">
        <v>19.940000000000001</v>
      </c>
    </row>
    <row r="99" spans="1:4" x14ac:dyDescent="0.45">
      <c r="A99" t="s">
        <v>34</v>
      </c>
      <c r="B99">
        <v>2012</v>
      </c>
      <c r="C99" t="s">
        <v>74</v>
      </c>
      <c r="D99">
        <v>787.13</v>
      </c>
    </row>
    <row r="100" spans="1:4" x14ac:dyDescent="0.45">
      <c r="A100" t="s">
        <v>36</v>
      </c>
      <c r="B100">
        <v>2012</v>
      </c>
      <c r="C100" t="s">
        <v>74</v>
      </c>
      <c r="D100">
        <v>96.25</v>
      </c>
    </row>
    <row r="101" spans="1:4" x14ac:dyDescent="0.45">
      <c r="A101" t="s">
        <v>56</v>
      </c>
      <c r="B101">
        <v>2012</v>
      </c>
      <c r="C101" t="s">
        <v>74</v>
      </c>
      <c r="D101">
        <v>115.78</v>
      </c>
    </row>
    <row r="102" spans="1:4" x14ac:dyDescent="0.45">
      <c r="A102" t="s">
        <v>57</v>
      </c>
      <c r="B102">
        <v>2012</v>
      </c>
      <c r="C102" t="s">
        <v>74</v>
      </c>
      <c r="D102">
        <v>33.14</v>
      </c>
    </row>
    <row r="103" spans="1:4" x14ac:dyDescent="0.45">
      <c r="A103" t="s">
        <v>38</v>
      </c>
      <c r="B103">
        <v>2012</v>
      </c>
      <c r="C103" t="s">
        <v>74</v>
      </c>
      <c r="D103">
        <v>10.07</v>
      </c>
    </row>
    <row r="104" spans="1:4" x14ac:dyDescent="0.45">
      <c r="A104" t="s">
        <v>58</v>
      </c>
      <c r="B104">
        <v>2012</v>
      </c>
      <c r="C104" t="s">
        <v>74</v>
      </c>
      <c r="D104">
        <v>2.1</v>
      </c>
    </row>
    <row r="105" spans="1:4" x14ac:dyDescent="0.45">
      <c r="A105" t="s">
        <v>91</v>
      </c>
      <c r="B105">
        <v>2012</v>
      </c>
      <c r="C105" t="s">
        <v>74</v>
      </c>
      <c r="D105">
        <v>27.43</v>
      </c>
    </row>
    <row r="106" spans="1:4" x14ac:dyDescent="0.45">
      <c r="A106" t="s">
        <v>32</v>
      </c>
      <c r="B106">
        <v>2013</v>
      </c>
      <c r="C106" t="s">
        <v>74</v>
      </c>
      <c r="D106">
        <v>22.48</v>
      </c>
    </row>
    <row r="107" spans="1:4" x14ac:dyDescent="0.45">
      <c r="A107" t="s">
        <v>34</v>
      </c>
      <c r="B107">
        <v>2013</v>
      </c>
      <c r="C107" t="s">
        <v>74</v>
      </c>
      <c r="D107">
        <v>847.97</v>
      </c>
    </row>
    <row r="108" spans="1:4" x14ac:dyDescent="0.45">
      <c r="A108" t="s">
        <v>36</v>
      </c>
      <c r="B108">
        <v>2013</v>
      </c>
      <c r="C108" t="s">
        <v>74</v>
      </c>
      <c r="D108">
        <v>66.31</v>
      </c>
    </row>
    <row r="109" spans="1:4" x14ac:dyDescent="0.45">
      <c r="A109" t="s">
        <v>56</v>
      </c>
      <c r="B109">
        <v>2013</v>
      </c>
      <c r="C109" t="s">
        <v>74</v>
      </c>
      <c r="D109">
        <v>131.97999999999999</v>
      </c>
    </row>
    <row r="110" spans="1:4" x14ac:dyDescent="0.45">
      <c r="A110" t="s">
        <v>57</v>
      </c>
      <c r="B110">
        <v>2013</v>
      </c>
      <c r="C110" t="s">
        <v>74</v>
      </c>
      <c r="D110">
        <v>33.31</v>
      </c>
    </row>
    <row r="111" spans="1:4" x14ac:dyDescent="0.45">
      <c r="A111" t="s">
        <v>38</v>
      </c>
      <c r="B111">
        <v>2013</v>
      </c>
      <c r="C111" t="s">
        <v>74</v>
      </c>
      <c r="D111">
        <v>10.65</v>
      </c>
    </row>
    <row r="112" spans="1:4" x14ac:dyDescent="0.45">
      <c r="A112" t="s">
        <v>58</v>
      </c>
      <c r="B112">
        <v>2013</v>
      </c>
      <c r="C112" t="s">
        <v>74</v>
      </c>
      <c r="D112">
        <v>3.43</v>
      </c>
    </row>
    <row r="113" spans="1:4" x14ac:dyDescent="0.45">
      <c r="A113" t="s">
        <v>91</v>
      </c>
      <c r="B113">
        <v>2013</v>
      </c>
      <c r="C113" t="s">
        <v>74</v>
      </c>
      <c r="D113">
        <v>30.01</v>
      </c>
    </row>
    <row r="114" spans="1:4" x14ac:dyDescent="0.45">
      <c r="A114" t="s">
        <v>32</v>
      </c>
      <c r="B114">
        <v>2014</v>
      </c>
      <c r="C114" t="s">
        <v>74</v>
      </c>
      <c r="D114">
        <v>24.68</v>
      </c>
    </row>
    <row r="115" spans="1:4" x14ac:dyDescent="0.45">
      <c r="A115" t="s">
        <v>34</v>
      </c>
      <c r="B115">
        <v>2014</v>
      </c>
      <c r="C115" t="s">
        <v>74</v>
      </c>
      <c r="D115">
        <v>949.93</v>
      </c>
    </row>
    <row r="116" spans="1:4" x14ac:dyDescent="0.45">
      <c r="A116" t="s">
        <v>36</v>
      </c>
      <c r="B116">
        <v>2014</v>
      </c>
      <c r="C116" t="s">
        <v>74</v>
      </c>
      <c r="D116">
        <v>64.010000000000005</v>
      </c>
    </row>
    <row r="117" spans="1:4" x14ac:dyDescent="0.45">
      <c r="A117" t="s">
        <v>56</v>
      </c>
      <c r="B117">
        <v>2014</v>
      </c>
      <c r="C117" t="s">
        <v>74</v>
      </c>
      <c r="D117">
        <v>139</v>
      </c>
    </row>
    <row r="118" spans="1:4" x14ac:dyDescent="0.45">
      <c r="A118" t="s">
        <v>57</v>
      </c>
      <c r="B118">
        <v>2014</v>
      </c>
      <c r="C118" t="s">
        <v>74</v>
      </c>
      <c r="D118">
        <v>34.69</v>
      </c>
    </row>
    <row r="119" spans="1:4" x14ac:dyDescent="0.45">
      <c r="A119" t="s">
        <v>38</v>
      </c>
      <c r="B119">
        <v>2014</v>
      </c>
      <c r="C119" t="s">
        <v>74</v>
      </c>
      <c r="D119">
        <v>11.55</v>
      </c>
    </row>
    <row r="120" spans="1:4" x14ac:dyDescent="0.45">
      <c r="A120" t="s">
        <v>58</v>
      </c>
      <c r="B120">
        <v>2014</v>
      </c>
      <c r="C120" t="s">
        <v>74</v>
      </c>
      <c r="D120">
        <v>4.91</v>
      </c>
    </row>
    <row r="121" spans="1:4" x14ac:dyDescent="0.45">
      <c r="A121" t="s">
        <v>91</v>
      </c>
      <c r="B121">
        <v>2014</v>
      </c>
      <c r="C121" t="s">
        <v>74</v>
      </c>
      <c r="D121">
        <v>33.450000000000003</v>
      </c>
    </row>
    <row r="122" spans="1:4" x14ac:dyDescent="0.45">
      <c r="A122" t="s">
        <v>32</v>
      </c>
      <c r="B122">
        <v>2015</v>
      </c>
      <c r="C122" t="s">
        <v>74</v>
      </c>
      <c r="D122">
        <v>30.62</v>
      </c>
    </row>
    <row r="123" spans="1:4" x14ac:dyDescent="0.45">
      <c r="A123" t="s">
        <v>34</v>
      </c>
      <c r="B123">
        <v>2015</v>
      </c>
      <c r="C123" t="s">
        <v>74</v>
      </c>
      <c r="D123">
        <v>1006.55</v>
      </c>
    </row>
    <row r="124" spans="1:4" x14ac:dyDescent="0.45">
      <c r="A124" t="s">
        <v>36</v>
      </c>
      <c r="B124">
        <v>2015</v>
      </c>
      <c r="C124" t="s">
        <v>74</v>
      </c>
      <c r="D124">
        <v>64.77</v>
      </c>
    </row>
    <row r="125" spans="1:4" x14ac:dyDescent="0.45">
      <c r="A125" t="s">
        <v>56</v>
      </c>
      <c r="B125">
        <v>2015</v>
      </c>
      <c r="C125" t="s">
        <v>74</v>
      </c>
      <c r="D125">
        <v>133.28</v>
      </c>
    </row>
    <row r="126" spans="1:4" x14ac:dyDescent="0.45">
      <c r="A126" t="s">
        <v>57</v>
      </c>
      <c r="B126">
        <v>2015</v>
      </c>
      <c r="C126" t="s">
        <v>74</v>
      </c>
      <c r="D126">
        <v>38.31</v>
      </c>
    </row>
    <row r="127" spans="1:4" x14ac:dyDescent="0.45">
      <c r="A127" t="s">
        <v>38</v>
      </c>
      <c r="B127">
        <v>2015</v>
      </c>
      <c r="C127" t="s">
        <v>74</v>
      </c>
      <c r="D127">
        <v>9.26</v>
      </c>
    </row>
    <row r="128" spans="1:4" x14ac:dyDescent="0.45">
      <c r="A128" t="s">
        <v>58</v>
      </c>
      <c r="B128">
        <v>2015</v>
      </c>
      <c r="C128" t="s">
        <v>74</v>
      </c>
      <c r="D128">
        <v>6.57</v>
      </c>
    </row>
    <row r="129" spans="1:4" x14ac:dyDescent="0.45">
      <c r="A129" t="s">
        <v>91</v>
      </c>
      <c r="B129">
        <v>2015</v>
      </c>
      <c r="C129" t="s">
        <v>74</v>
      </c>
      <c r="D129">
        <v>32.74</v>
      </c>
    </row>
    <row r="130" spans="1:4" x14ac:dyDescent="0.45">
      <c r="A130" t="s">
        <v>32</v>
      </c>
      <c r="B130">
        <v>2016</v>
      </c>
      <c r="C130" t="s">
        <v>74</v>
      </c>
      <c r="D130">
        <v>24.82</v>
      </c>
    </row>
    <row r="131" spans="1:4" x14ac:dyDescent="0.45">
      <c r="A131" t="s">
        <v>34</v>
      </c>
      <c r="B131">
        <v>2016</v>
      </c>
      <c r="C131" t="s">
        <v>74</v>
      </c>
      <c r="D131">
        <v>1073.5999999999999</v>
      </c>
    </row>
    <row r="132" spans="1:4" x14ac:dyDescent="0.45">
      <c r="A132" t="s">
        <v>36</v>
      </c>
      <c r="B132">
        <v>2016</v>
      </c>
      <c r="C132" t="s">
        <v>74</v>
      </c>
      <c r="D132">
        <v>72.62</v>
      </c>
    </row>
    <row r="133" spans="1:4" x14ac:dyDescent="0.45">
      <c r="A133" t="s">
        <v>56</v>
      </c>
      <c r="B133">
        <v>2016</v>
      </c>
      <c r="C133" t="s">
        <v>74</v>
      </c>
      <c r="D133">
        <v>128.38</v>
      </c>
    </row>
    <row r="134" spans="1:4" x14ac:dyDescent="0.45">
      <c r="A134" t="s">
        <v>57</v>
      </c>
      <c r="B134">
        <v>2016</v>
      </c>
      <c r="C134" t="s">
        <v>74</v>
      </c>
      <c r="D134">
        <v>37.9</v>
      </c>
    </row>
    <row r="135" spans="1:4" x14ac:dyDescent="0.45">
      <c r="A135" t="s">
        <v>38</v>
      </c>
      <c r="B135">
        <v>2016</v>
      </c>
      <c r="C135" t="s">
        <v>74</v>
      </c>
      <c r="D135">
        <v>9.41</v>
      </c>
    </row>
    <row r="136" spans="1:4" x14ac:dyDescent="0.45">
      <c r="A136" t="s">
        <v>58</v>
      </c>
      <c r="B136">
        <v>2016</v>
      </c>
      <c r="C136" t="s">
        <v>74</v>
      </c>
      <c r="D136">
        <v>11.56</v>
      </c>
    </row>
    <row r="137" spans="1:4" x14ac:dyDescent="0.45">
      <c r="A137" t="s">
        <v>91</v>
      </c>
      <c r="B137">
        <v>2016</v>
      </c>
      <c r="C137" t="s">
        <v>74</v>
      </c>
      <c r="D137">
        <v>43.45</v>
      </c>
    </row>
    <row r="138" spans="1:4" x14ac:dyDescent="0.45">
      <c r="A138" t="s">
        <v>32</v>
      </c>
      <c r="B138">
        <v>2017</v>
      </c>
      <c r="C138" t="s">
        <v>74</v>
      </c>
      <c r="D138">
        <v>24.91</v>
      </c>
    </row>
    <row r="139" spans="1:4" x14ac:dyDescent="0.45">
      <c r="A139" t="s">
        <v>34</v>
      </c>
      <c r="B139">
        <v>2017</v>
      </c>
      <c r="C139" t="s">
        <v>74</v>
      </c>
      <c r="D139">
        <v>1115.24</v>
      </c>
    </row>
    <row r="140" spans="1:4" x14ac:dyDescent="0.45">
      <c r="A140" t="s">
        <v>36</v>
      </c>
      <c r="B140">
        <v>2017</v>
      </c>
      <c r="C140" t="s">
        <v>74</v>
      </c>
      <c r="D140">
        <v>74.989999999999995</v>
      </c>
    </row>
    <row r="141" spans="1:4" x14ac:dyDescent="0.45">
      <c r="A141" t="s">
        <v>56</v>
      </c>
      <c r="B141">
        <v>2017</v>
      </c>
      <c r="C141" t="s">
        <v>74</v>
      </c>
      <c r="D141">
        <v>135.82</v>
      </c>
    </row>
    <row r="142" spans="1:4" x14ac:dyDescent="0.45">
      <c r="A142" t="s">
        <v>57</v>
      </c>
      <c r="B142">
        <v>2017</v>
      </c>
      <c r="C142" t="s">
        <v>74</v>
      </c>
      <c r="D142">
        <v>37.409999999999997</v>
      </c>
    </row>
    <row r="143" spans="1:4" x14ac:dyDescent="0.45">
      <c r="A143" t="s">
        <v>38</v>
      </c>
      <c r="B143">
        <v>2017</v>
      </c>
      <c r="C143" t="s">
        <v>74</v>
      </c>
      <c r="D143">
        <v>8.7899999999999991</v>
      </c>
    </row>
    <row r="144" spans="1:4" x14ac:dyDescent="0.45">
      <c r="A144" t="s">
        <v>58</v>
      </c>
      <c r="B144">
        <v>2017</v>
      </c>
      <c r="C144" t="s">
        <v>74</v>
      </c>
      <c r="D144">
        <v>21.54</v>
      </c>
    </row>
    <row r="145" spans="1:4" x14ac:dyDescent="0.45">
      <c r="A145" t="s">
        <v>91</v>
      </c>
      <c r="B145">
        <v>2017</v>
      </c>
      <c r="C145" t="s">
        <v>74</v>
      </c>
      <c r="D145">
        <v>52.63</v>
      </c>
    </row>
    <row r="146" spans="1:4" x14ac:dyDescent="0.45">
      <c r="A146" t="s">
        <v>32</v>
      </c>
      <c r="B146">
        <v>2018</v>
      </c>
      <c r="C146" t="s">
        <v>74</v>
      </c>
      <c r="D146">
        <v>27.22</v>
      </c>
    </row>
    <row r="147" spans="1:4" x14ac:dyDescent="0.45">
      <c r="A147" t="s">
        <v>34</v>
      </c>
      <c r="B147">
        <v>2018</v>
      </c>
      <c r="C147" t="s">
        <v>74</v>
      </c>
      <c r="D147">
        <v>1198.8599999999999</v>
      </c>
    </row>
    <row r="148" spans="1:4" x14ac:dyDescent="0.45">
      <c r="A148" t="s">
        <v>36</v>
      </c>
      <c r="B148">
        <v>2018</v>
      </c>
      <c r="C148" t="s">
        <v>74</v>
      </c>
      <c r="D148">
        <v>71.260000000000005</v>
      </c>
    </row>
    <row r="149" spans="1:4" x14ac:dyDescent="0.45">
      <c r="A149" t="s">
        <v>56</v>
      </c>
      <c r="B149">
        <v>2018</v>
      </c>
      <c r="C149" t="s">
        <v>74</v>
      </c>
      <c r="D149">
        <v>139.75</v>
      </c>
    </row>
    <row r="150" spans="1:4" x14ac:dyDescent="0.45">
      <c r="A150" t="s">
        <v>57</v>
      </c>
      <c r="B150">
        <v>2018</v>
      </c>
      <c r="C150" t="s">
        <v>74</v>
      </c>
      <c r="D150">
        <v>39.049999999999997</v>
      </c>
    </row>
    <row r="151" spans="1:4" x14ac:dyDescent="0.45">
      <c r="A151" t="s">
        <v>38</v>
      </c>
      <c r="B151">
        <v>2018</v>
      </c>
      <c r="C151" t="s">
        <v>74</v>
      </c>
      <c r="D151">
        <v>6.4</v>
      </c>
    </row>
    <row r="152" spans="1:4" x14ac:dyDescent="0.45">
      <c r="A152" t="s">
        <v>58</v>
      </c>
      <c r="B152">
        <v>2018</v>
      </c>
      <c r="C152" t="s">
        <v>74</v>
      </c>
      <c r="D152">
        <v>36.33</v>
      </c>
    </row>
    <row r="153" spans="1:4" x14ac:dyDescent="0.45">
      <c r="A153" t="s">
        <v>91</v>
      </c>
      <c r="B153">
        <v>2018</v>
      </c>
      <c r="C153" t="s">
        <v>74</v>
      </c>
      <c r="D153">
        <v>60.31</v>
      </c>
    </row>
    <row r="154" spans="1:4" x14ac:dyDescent="0.45">
      <c r="A154" t="s">
        <v>32</v>
      </c>
      <c r="B154">
        <v>2019</v>
      </c>
      <c r="C154" t="s">
        <v>74</v>
      </c>
      <c r="D154">
        <v>31.51</v>
      </c>
    </row>
    <row r="155" spans="1:4" x14ac:dyDescent="0.45">
      <c r="A155" t="s">
        <v>34</v>
      </c>
      <c r="B155">
        <v>2019</v>
      </c>
      <c r="C155" t="s">
        <v>74</v>
      </c>
      <c r="D155">
        <v>1198.76</v>
      </c>
    </row>
    <row r="156" spans="1:4" x14ac:dyDescent="0.45">
      <c r="A156" t="s">
        <v>36</v>
      </c>
      <c r="B156">
        <v>2019</v>
      </c>
      <c r="C156" t="s">
        <v>74</v>
      </c>
      <c r="D156">
        <v>71.95</v>
      </c>
    </row>
    <row r="157" spans="1:4" x14ac:dyDescent="0.45">
      <c r="A157" t="s">
        <v>56</v>
      </c>
      <c r="B157">
        <v>2019</v>
      </c>
      <c r="C157" t="s">
        <v>74</v>
      </c>
      <c r="D157">
        <v>162.07</v>
      </c>
    </row>
    <row r="158" spans="1:4" x14ac:dyDescent="0.45">
      <c r="A158" t="s">
        <v>57</v>
      </c>
      <c r="B158">
        <v>2019</v>
      </c>
      <c r="C158" t="s">
        <v>74</v>
      </c>
      <c r="D158">
        <v>45.16</v>
      </c>
    </row>
    <row r="159" spans="1:4" x14ac:dyDescent="0.45">
      <c r="A159" t="s">
        <v>38</v>
      </c>
      <c r="B159">
        <v>2019</v>
      </c>
      <c r="C159" t="s">
        <v>74</v>
      </c>
      <c r="D159">
        <v>3.07</v>
      </c>
    </row>
    <row r="160" spans="1:4" x14ac:dyDescent="0.45">
      <c r="A160" t="s">
        <v>58</v>
      </c>
      <c r="B160">
        <v>2019</v>
      </c>
      <c r="C160" t="s">
        <v>74</v>
      </c>
      <c r="D160">
        <v>46.27</v>
      </c>
    </row>
    <row r="161" spans="1:4" x14ac:dyDescent="0.45">
      <c r="A161" t="s">
        <v>91</v>
      </c>
      <c r="B161">
        <v>2019</v>
      </c>
      <c r="C161" t="s">
        <v>74</v>
      </c>
      <c r="D161">
        <v>63.31</v>
      </c>
    </row>
    <row r="162" spans="1:4" x14ac:dyDescent="0.45">
      <c r="A162" t="s">
        <v>32</v>
      </c>
      <c r="B162">
        <v>2020</v>
      </c>
      <c r="C162" t="s">
        <v>74</v>
      </c>
      <c r="D162">
        <v>32.86</v>
      </c>
    </row>
    <row r="163" spans="1:4" x14ac:dyDescent="0.45">
      <c r="A163" t="s">
        <v>34</v>
      </c>
      <c r="B163">
        <v>2020</v>
      </c>
      <c r="C163" t="s">
        <v>74</v>
      </c>
      <c r="D163">
        <v>1143.78</v>
      </c>
    </row>
    <row r="164" spans="1:4" x14ac:dyDescent="0.45">
      <c r="A164" t="s">
        <v>36</v>
      </c>
      <c r="B164">
        <v>2020</v>
      </c>
      <c r="C164" t="s">
        <v>74</v>
      </c>
      <c r="D164">
        <v>74.790000000000006</v>
      </c>
    </row>
    <row r="165" spans="1:4" x14ac:dyDescent="0.45">
      <c r="A165" t="s">
        <v>56</v>
      </c>
      <c r="B165">
        <v>2020</v>
      </c>
      <c r="C165" t="s">
        <v>74</v>
      </c>
      <c r="D165">
        <v>163.69999999999999</v>
      </c>
    </row>
    <row r="166" spans="1:4" x14ac:dyDescent="0.45">
      <c r="A166" t="s">
        <v>57</v>
      </c>
      <c r="B166">
        <v>2020</v>
      </c>
      <c r="C166" t="s">
        <v>74</v>
      </c>
      <c r="D166">
        <v>44.61</v>
      </c>
    </row>
    <row r="167" spans="1:4" x14ac:dyDescent="0.45">
      <c r="A167" t="s">
        <v>38</v>
      </c>
      <c r="B167">
        <v>2020</v>
      </c>
      <c r="C167" t="s">
        <v>74</v>
      </c>
      <c r="D167">
        <v>3.09</v>
      </c>
    </row>
    <row r="168" spans="1:4" x14ac:dyDescent="0.45">
      <c r="A168" t="s">
        <v>58</v>
      </c>
      <c r="B168">
        <v>2020</v>
      </c>
      <c r="C168" t="s">
        <v>74</v>
      </c>
      <c r="D168">
        <v>58.68</v>
      </c>
    </row>
    <row r="169" spans="1:4" x14ac:dyDescent="0.45">
      <c r="A169" t="s">
        <v>91</v>
      </c>
      <c r="B169">
        <v>2020</v>
      </c>
      <c r="C169" t="s">
        <v>74</v>
      </c>
      <c r="D169">
        <v>60.43</v>
      </c>
    </row>
    <row r="170" spans="1:4" x14ac:dyDescent="0.45">
      <c r="A170" t="s">
        <v>32</v>
      </c>
      <c r="B170">
        <v>2021</v>
      </c>
      <c r="C170" t="s">
        <v>74</v>
      </c>
      <c r="D170">
        <v>35.5</v>
      </c>
    </row>
    <row r="171" spans="1:4" x14ac:dyDescent="0.45">
      <c r="A171" t="s">
        <v>34</v>
      </c>
      <c r="B171">
        <v>2021</v>
      </c>
      <c r="C171" t="s">
        <v>74</v>
      </c>
      <c r="D171">
        <v>1255.56</v>
      </c>
    </row>
    <row r="172" spans="1:4" x14ac:dyDescent="0.45">
      <c r="A172" t="s">
        <v>36</v>
      </c>
      <c r="B172">
        <v>2021</v>
      </c>
      <c r="C172" t="s">
        <v>74</v>
      </c>
      <c r="D172">
        <v>60.4</v>
      </c>
    </row>
    <row r="173" spans="1:4" x14ac:dyDescent="0.45">
      <c r="A173" t="s">
        <v>56</v>
      </c>
      <c r="B173">
        <v>2021</v>
      </c>
      <c r="C173" t="s">
        <v>74</v>
      </c>
      <c r="D173">
        <v>160.34</v>
      </c>
    </row>
    <row r="174" spans="1:4" x14ac:dyDescent="0.45">
      <c r="A174" t="s">
        <v>57</v>
      </c>
      <c r="B174">
        <v>2021</v>
      </c>
      <c r="C174" t="s">
        <v>74</v>
      </c>
      <c r="D174">
        <v>43.92</v>
      </c>
    </row>
    <row r="175" spans="1:4" x14ac:dyDescent="0.45">
      <c r="A175" t="s">
        <v>38</v>
      </c>
      <c r="B175">
        <v>2021</v>
      </c>
      <c r="C175" t="s">
        <v>74</v>
      </c>
      <c r="D175">
        <v>3.39</v>
      </c>
    </row>
    <row r="176" spans="1:4" x14ac:dyDescent="0.45">
      <c r="A176" t="s">
        <v>58</v>
      </c>
      <c r="B176">
        <v>2021</v>
      </c>
      <c r="C176" t="s">
        <v>74</v>
      </c>
      <c r="D176">
        <v>68.31</v>
      </c>
    </row>
    <row r="177" spans="1:4" x14ac:dyDescent="0.45">
      <c r="A177" t="s">
        <v>91</v>
      </c>
      <c r="B177">
        <v>2021</v>
      </c>
      <c r="C177" t="s">
        <v>74</v>
      </c>
      <c r="D177">
        <v>68.09</v>
      </c>
    </row>
    <row r="178" spans="1:4" x14ac:dyDescent="0.45">
      <c r="A178" t="s">
        <v>32</v>
      </c>
      <c r="B178">
        <v>2022</v>
      </c>
      <c r="C178" t="s">
        <v>74</v>
      </c>
      <c r="D178">
        <v>38.57</v>
      </c>
    </row>
    <row r="179" spans="1:4" x14ac:dyDescent="0.45">
      <c r="A179" t="s">
        <v>34</v>
      </c>
      <c r="B179">
        <v>2022</v>
      </c>
      <c r="C179" t="s">
        <v>74</v>
      </c>
      <c r="D179">
        <v>1354.23</v>
      </c>
    </row>
    <row r="180" spans="1:4" x14ac:dyDescent="0.45">
      <c r="A180" t="s">
        <v>36</v>
      </c>
      <c r="B180">
        <v>2022</v>
      </c>
      <c r="C180" t="s">
        <v>74</v>
      </c>
      <c r="D180">
        <v>46.48</v>
      </c>
    </row>
    <row r="181" spans="1:4" x14ac:dyDescent="0.45">
      <c r="A181" t="s">
        <v>56</v>
      </c>
      <c r="B181">
        <v>2022</v>
      </c>
      <c r="C181" t="s">
        <v>74</v>
      </c>
      <c r="D181">
        <v>174.94</v>
      </c>
    </row>
    <row r="182" spans="1:4" x14ac:dyDescent="0.45">
      <c r="A182" t="s">
        <v>57</v>
      </c>
      <c r="B182">
        <v>2022</v>
      </c>
      <c r="C182" t="s">
        <v>74</v>
      </c>
      <c r="D182">
        <v>46.19</v>
      </c>
    </row>
    <row r="183" spans="1:4" x14ac:dyDescent="0.45">
      <c r="A183" t="s">
        <v>38</v>
      </c>
      <c r="B183">
        <v>2022</v>
      </c>
      <c r="C183" t="s">
        <v>74</v>
      </c>
      <c r="D183">
        <v>3.68</v>
      </c>
    </row>
    <row r="184" spans="1:4" x14ac:dyDescent="0.45">
      <c r="A184" t="s">
        <v>58</v>
      </c>
      <c r="B184">
        <v>2022</v>
      </c>
      <c r="C184" t="s">
        <v>74</v>
      </c>
      <c r="D184">
        <v>95.16</v>
      </c>
    </row>
    <row r="185" spans="1:4" x14ac:dyDescent="0.45">
      <c r="A185" t="s">
        <v>91</v>
      </c>
      <c r="B185">
        <v>2022</v>
      </c>
      <c r="C185" t="s">
        <v>74</v>
      </c>
      <c r="D185">
        <v>70.05</v>
      </c>
    </row>
    <row r="186" spans="1:4" x14ac:dyDescent="0.45">
      <c r="A186" t="s">
        <v>32</v>
      </c>
      <c r="B186">
        <v>2023</v>
      </c>
      <c r="C186" t="s">
        <v>74</v>
      </c>
      <c r="D186">
        <v>37.28</v>
      </c>
    </row>
    <row r="187" spans="1:4" x14ac:dyDescent="0.45">
      <c r="A187" t="s">
        <v>34</v>
      </c>
      <c r="B187">
        <v>2023</v>
      </c>
      <c r="C187" t="s">
        <v>74</v>
      </c>
      <c r="D187">
        <v>1471.28</v>
      </c>
    </row>
    <row r="188" spans="1:4" x14ac:dyDescent="0.45">
      <c r="A188" t="s">
        <v>36</v>
      </c>
      <c r="B188">
        <v>2023</v>
      </c>
      <c r="C188" t="s">
        <v>74</v>
      </c>
      <c r="D188">
        <v>52.61</v>
      </c>
    </row>
    <row r="189" spans="1:4" x14ac:dyDescent="0.45">
      <c r="A189" t="s">
        <v>56</v>
      </c>
      <c r="B189">
        <v>2023</v>
      </c>
      <c r="C189" t="s">
        <v>74</v>
      </c>
      <c r="D189">
        <v>149.16999999999999</v>
      </c>
    </row>
    <row r="190" spans="1:4" x14ac:dyDescent="0.45">
      <c r="A190" t="s">
        <v>57</v>
      </c>
      <c r="B190">
        <v>2023</v>
      </c>
      <c r="C190" t="s">
        <v>74</v>
      </c>
      <c r="D190">
        <v>48.2</v>
      </c>
    </row>
    <row r="191" spans="1:4" x14ac:dyDescent="0.45">
      <c r="A191" t="s">
        <v>38</v>
      </c>
      <c r="B191">
        <v>2023</v>
      </c>
      <c r="C191" t="s">
        <v>74</v>
      </c>
      <c r="D191">
        <v>4.18</v>
      </c>
    </row>
    <row r="192" spans="1:4" x14ac:dyDescent="0.45">
      <c r="A192" t="s">
        <v>58</v>
      </c>
      <c r="B192">
        <v>2023</v>
      </c>
      <c r="C192" t="s">
        <v>74</v>
      </c>
      <c r="D192">
        <v>113.41</v>
      </c>
    </row>
    <row r="193" spans="1:4" x14ac:dyDescent="0.45">
      <c r="A193" t="s">
        <v>91</v>
      </c>
      <c r="B193">
        <v>2023</v>
      </c>
      <c r="C193" t="s">
        <v>74</v>
      </c>
      <c r="D193">
        <v>82.11</v>
      </c>
    </row>
    <row r="194" spans="1:4" x14ac:dyDescent="0.45">
      <c r="A194" t="s">
        <v>32</v>
      </c>
      <c r="B194">
        <v>2000</v>
      </c>
      <c r="C194" t="s">
        <v>75</v>
      </c>
      <c r="D194">
        <v>0.35</v>
      </c>
    </row>
    <row r="195" spans="1:4" x14ac:dyDescent="0.45">
      <c r="A195" t="s">
        <v>34</v>
      </c>
      <c r="B195">
        <v>2000</v>
      </c>
      <c r="C195" t="s">
        <v>75</v>
      </c>
      <c r="D195">
        <v>62.17</v>
      </c>
    </row>
    <row r="196" spans="1:4" x14ac:dyDescent="0.45">
      <c r="A196" t="s">
        <v>36</v>
      </c>
      <c r="B196">
        <v>2000</v>
      </c>
      <c r="C196" t="s">
        <v>75</v>
      </c>
      <c r="D196">
        <v>12.61</v>
      </c>
    </row>
    <row r="197" spans="1:4" x14ac:dyDescent="0.45">
      <c r="A197" t="s">
        <v>56</v>
      </c>
      <c r="B197">
        <v>2000</v>
      </c>
      <c r="C197" t="s">
        <v>75</v>
      </c>
      <c r="D197">
        <v>23.71</v>
      </c>
    </row>
    <row r="198" spans="1:4" x14ac:dyDescent="0.45">
      <c r="A198" t="s">
        <v>57</v>
      </c>
      <c r="B198">
        <v>2000</v>
      </c>
      <c r="C198" t="s">
        <v>75</v>
      </c>
      <c r="D198">
        <v>2.86</v>
      </c>
    </row>
    <row r="199" spans="1:4" x14ac:dyDescent="0.45">
      <c r="A199" t="s">
        <v>38</v>
      </c>
      <c r="B199">
        <v>2000</v>
      </c>
      <c r="C199" t="s">
        <v>75</v>
      </c>
      <c r="D199">
        <v>6.79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0.94</v>
      </c>
    </row>
    <row r="202" spans="1:4" x14ac:dyDescent="0.45">
      <c r="A202" t="s">
        <v>32</v>
      </c>
      <c r="B202">
        <v>2001</v>
      </c>
      <c r="C202" t="s">
        <v>75</v>
      </c>
      <c r="D202">
        <v>0.42</v>
      </c>
    </row>
    <row r="203" spans="1:4" x14ac:dyDescent="0.45">
      <c r="A203" t="s">
        <v>34</v>
      </c>
      <c r="B203">
        <v>2001</v>
      </c>
      <c r="C203" t="s">
        <v>75</v>
      </c>
      <c r="D203">
        <v>63.17</v>
      </c>
    </row>
    <row r="204" spans="1:4" x14ac:dyDescent="0.45">
      <c r="A204" t="s">
        <v>36</v>
      </c>
      <c r="B204">
        <v>2001</v>
      </c>
      <c r="C204" t="s">
        <v>75</v>
      </c>
      <c r="D204">
        <v>13.42</v>
      </c>
    </row>
    <row r="205" spans="1:4" x14ac:dyDescent="0.45">
      <c r="A205" t="s">
        <v>56</v>
      </c>
      <c r="B205">
        <v>2001</v>
      </c>
      <c r="C205" t="s">
        <v>75</v>
      </c>
      <c r="D205">
        <v>24.68</v>
      </c>
    </row>
    <row r="206" spans="1:4" x14ac:dyDescent="0.45">
      <c r="A206" t="s">
        <v>57</v>
      </c>
      <c r="B206">
        <v>2001</v>
      </c>
      <c r="C206" t="s">
        <v>75</v>
      </c>
      <c r="D206">
        <v>2.72</v>
      </c>
    </row>
    <row r="207" spans="1:4" x14ac:dyDescent="0.45">
      <c r="A207" t="s">
        <v>38</v>
      </c>
      <c r="B207">
        <v>2001</v>
      </c>
      <c r="C207" t="s">
        <v>75</v>
      </c>
      <c r="D207">
        <v>7.06</v>
      </c>
    </row>
    <row r="208" spans="1:4" x14ac:dyDescent="0.45">
      <c r="A208" t="s">
        <v>58</v>
      </c>
      <c r="B208">
        <v>2001</v>
      </c>
      <c r="C208" t="s">
        <v>75</v>
      </c>
      <c r="D208">
        <v>0.01</v>
      </c>
    </row>
    <row r="209" spans="1:4" x14ac:dyDescent="0.45">
      <c r="A209" t="s">
        <v>91</v>
      </c>
      <c r="B209">
        <v>2001</v>
      </c>
      <c r="C209" t="s">
        <v>75</v>
      </c>
      <c r="D209">
        <v>1.56</v>
      </c>
    </row>
    <row r="210" spans="1:4" x14ac:dyDescent="0.45">
      <c r="A210" t="s">
        <v>32</v>
      </c>
      <c r="B210">
        <v>2002</v>
      </c>
      <c r="C210" t="s">
        <v>75</v>
      </c>
      <c r="D210">
        <v>0.48</v>
      </c>
    </row>
    <row r="211" spans="1:4" x14ac:dyDescent="0.45">
      <c r="A211" t="s">
        <v>34</v>
      </c>
      <c r="B211">
        <v>2002</v>
      </c>
      <c r="C211" t="s">
        <v>75</v>
      </c>
      <c r="D211">
        <v>64.209999999999994</v>
      </c>
    </row>
    <row r="212" spans="1:4" x14ac:dyDescent="0.45">
      <c r="A212" t="s">
        <v>36</v>
      </c>
      <c r="B212">
        <v>2002</v>
      </c>
      <c r="C212" t="s">
        <v>75</v>
      </c>
      <c r="D212">
        <v>14.03</v>
      </c>
    </row>
    <row r="213" spans="1:4" x14ac:dyDescent="0.45">
      <c r="A213" t="s">
        <v>56</v>
      </c>
      <c r="B213">
        <v>2002</v>
      </c>
      <c r="C213" t="s">
        <v>75</v>
      </c>
      <c r="D213">
        <v>24.73</v>
      </c>
    </row>
    <row r="214" spans="1:4" x14ac:dyDescent="0.45">
      <c r="A214" t="s">
        <v>57</v>
      </c>
      <c r="B214">
        <v>2002</v>
      </c>
      <c r="C214" t="s">
        <v>75</v>
      </c>
      <c r="D214">
        <v>2.72</v>
      </c>
    </row>
    <row r="215" spans="1:4" x14ac:dyDescent="0.45">
      <c r="A215" t="s">
        <v>38</v>
      </c>
      <c r="B215">
        <v>2002</v>
      </c>
      <c r="C215" t="s">
        <v>75</v>
      </c>
      <c r="D215">
        <v>7.43</v>
      </c>
    </row>
    <row r="216" spans="1:4" x14ac:dyDescent="0.45">
      <c r="A216" t="s">
        <v>58</v>
      </c>
      <c r="B216">
        <v>2002</v>
      </c>
      <c r="C216" t="s">
        <v>75</v>
      </c>
      <c r="D216">
        <v>0.01</v>
      </c>
    </row>
    <row r="217" spans="1:4" x14ac:dyDescent="0.45">
      <c r="A217" t="s">
        <v>91</v>
      </c>
      <c r="B217">
        <v>2002</v>
      </c>
      <c r="C217" t="s">
        <v>75</v>
      </c>
      <c r="D217">
        <v>1.61</v>
      </c>
    </row>
    <row r="218" spans="1:4" x14ac:dyDescent="0.45">
      <c r="A218" t="s">
        <v>32</v>
      </c>
      <c r="B218">
        <v>2003</v>
      </c>
      <c r="C218" t="s">
        <v>75</v>
      </c>
      <c r="D218">
        <v>0.61</v>
      </c>
    </row>
    <row r="219" spans="1:4" x14ac:dyDescent="0.45">
      <c r="A219" t="s">
        <v>34</v>
      </c>
      <c r="B219">
        <v>2003</v>
      </c>
      <c r="C219" t="s">
        <v>75</v>
      </c>
      <c r="D219">
        <v>65.83</v>
      </c>
    </row>
    <row r="220" spans="1:4" x14ac:dyDescent="0.45">
      <c r="A220" t="s">
        <v>36</v>
      </c>
      <c r="B220">
        <v>2003</v>
      </c>
      <c r="C220" t="s">
        <v>75</v>
      </c>
      <c r="D220">
        <v>14.38</v>
      </c>
    </row>
    <row r="221" spans="1:4" x14ac:dyDescent="0.45">
      <c r="A221" t="s">
        <v>56</v>
      </c>
      <c r="B221">
        <v>2003</v>
      </c>
      <c r="C221" t="s">
        <v>75</v>
      </c>
      <c r="D221">
        <v>27.18</v>
      </c>
    </row>
    <row r="222" spans="1:4" x14ac:dyDescent="0.45">
      <c r="A222" t="s">
        <v>57</v>
      </c>
      <c r="B222">
        <v>2003</v>
      </c>
      <c r="C222" t="s">
        <v>75</v>
      </c>
      <c r="D222">
        <v>2.72</v>
      </c>
    </row>
    <row r="223" spans="1:4" x14ac:dyDescent="0.45">
      <c r="A223" t="s">
        <v>38</v>
      </c>
      <c r="B223">
        <v>2003</v>
      </c>
      <c r="C223" t="s">
        <v>75</v>
      </c>
      <c r="D223">
        <v>7.8</v>
      </c>
    </row>
    <row r="224" spans="1:4" x14ac:dyDescent="0.45">
      <c r="A224" t="s">
        <v>58</v>
      </c>
      <c r="B224">
        <v>2003</v>
      </c>
      <c r="C224" t="s">
        <v>75</v>
      </c>
      <c r="D224">
        <v>0.01</v>
      </c>
    </row>
    <row r="225" spans="1:4" x14ac:dyDescent="0.45">
      <c r="A225" t="s">
        <v>91</v>
      </c>
      <c r="B225">
        <v>2003</v>
      </c>
      <c r="C225" t="s">
        <v>75</v>
      </c>
      <c r="D225">
        <v>2.46</v>
      </c>
    </row>
    <row r="226" spans="1:4" x14ac:dyDescent="0.45">
      <c r="A226" t="s">
        <v>32</v>
      </c>
      <c r="B226">
        <v>2004</v>
      </c>
      <c r="C226" t="s">
        <v>75</v>
      </c>
      <c r="D226">
        <v>0.75</v>
      </c>
    </row>
    <row r="227" spans="1:4" x14ac:dyDescent="0.45">
      <c r="A227" t="s">
        <v>34</v>
      </c>
      <c r="B227">
        <v>2004</v>
      </c>
      <c r="C227" t="s">
        <v>75</v>
      </c>
      <c r="D227">
        <v>66.319999999999993</v>
      </c>
    </row>
    <row r="228" spans="1:4" x14ac:dyDescent="0.45">
      <c r="A228" t="s">
        <v>36</v>
      </c>
      <c r="B228">
        <v>2004</v>
      </c>
      <c r="C228" t="s">
        <v>75</v>
      </c>
      <c r="D228">
        <v>14.59</v>
      </c>
    </row>
    <row r="229" spans="1:4" x14ac:dyDescent="0.45">
      <c r="A229" t="s">
        <v>56</v>
      </c>
      <c r="B229">
        <v>2004</v>
      </c>
      <c r="C229" t="s">
        <v>75</v>
      </c>
      <c r="D229">
        <v>28.62</v>
      </c>
    </row>
    <row r="230" spans="1:4" x14ac:dyDescent="0.45">
      <c r="A230" t="s">
        <v>57</v>
      </c>
      <c r="B230">
        <v>2004</v>
      </c>
      <c r="C230" t="s">
        <v>75</v>
      </c>
      <c r="D230">
        <v>2.77</v>
      </c>
    </row>
    <row r="231" spans="1:4" x14ac:dyDescent="0.45">
      <c r="A231" t="s">
        <v>38</v>
      </c>
      <c r="B231">
        <v>2004</v>
      </c>
      <c r="C231" t="s">
        <v>75</v>
      </c>
      <c r="D231">
        <v>8.16</v>
      </c>
    </row>
    <row r="232" spans="1:4" x14ac:dyDescent="0.45">
      <c r="A232" t="s">
        <v>58</v>
      </c>
      <c r="B232">
        <v>2004</v>
      </c>
      <c r="C232" t="s">
        <v>75</v>
      </c>
      <c r="D232">
        <v>0.01</v>
      </c>
    </row>
    <row r="233" spans="1:4" x14ac:dyDescent="0.45">
      <c r="A233" t="s">
        <v>91</v>
      </c>
      <c r="B233">
        <v>2004</v>
      </c>
      <c r="C233" t="s">
        <v>75</v>
      </c>
      <c r="D233">
        <v>3.81</v>
      </c>
    </row>
    <row r="234" spans="1:4" x14ac:dyDescent="0.45">
      <c r="A234" t="s">
        <v>32</v>
      </c>
      <c r="B234">
        <v>2005</v>
      </c>
      <c r="C234" t="s">
        <v>75</v>
      </c>
      <c r="D234">
        <v>0.94</v>
      </c>
    </row>
    <row r="235" spans="1:4" x14ac:dyDescent="0.45">
      <c r="A235" t="s">
        <v>34</v>
      </c>
      <c r="B235">
        <v>2005</v>
      </c>
      <c r="C235" t="s">
        <v>75</v>
      </c>
      <c r="D235">
        <v>69.64</v>
      </c>
    </row>
    <row r="236" spans="1:4" x14ac:dyDescent="0.45">
      <c r="A236" t="s">
        <v>36</v>
      </c>
      <c r="B236">
        <v>2005</v>
      </c>
      <c r="C236" t="s">
        <v>75</v>
      </c>
      <c r="D236">
        <v>15.51</v>
      </c>
    </row>
    <row r="237" spans="1:4" x14ac:dyDescent="0.45">
      <c r="A237" t="s">
        <v>56</v>
      </c>
      <c r="B237">
        <v>2005</v>
      </c>
      <c r="C237" t="s">
        <v>75</v>
      </c>
      <c r="D237">
        <v>30.96</v>
      </c>
    </row>
    <row r="238" spans="1:4" x14ac:dyDescent="0.45">
      <c r="A238" t="s">
        <v>57</v>
      </c>
      <c r="B238">
        <v>2005</v>
      </c>
      <c r="C238" t="s">
        <v>75</v>
      </c>
      <c r="D238">
        <v>3.36</v>
      </c>
    </row>
    <row r="239" spans="1:4" x14ac:dyDescent="0.45">
      <c r="A239" t="s">
        <v>38</v>
      </c>
      <c r="B239">
        <v>2005</v>
      </c>
      <c r="C239" t="s">
        <v>75</v>
      </c>
      <c r="D239">
        <v>8.56</v>
      </c>
    </row>
    <row r="240" spans="1:4" x14ac:dyDescent="0.45">
      <c r="A240" t="s">
        <v>58</v>
      </c>
      <c r="B240">
        <v>2005</v>
      </c>
      <c r="C240" t="s">
        <v>75</v>
      </c>
      <c r="D240">
        <v>0.01</v>
      </c>
    </row>
    <row r="241" spans="1:4" x14ac:dyDescent="0.45">
      <c r="A241" t="s">
        <v>91</v>
      </c>
      <c r="B241">
        <v>2005</v>
      </c>
      <c r="C241" t="s">
        <v>75</v>
      </c>
      <c r="D241">
        <v>4.43</v>
      </c>
    </row>
    <row r="242" spans="1:4" x14ac:dyDescent="0.45">
      <c r="A242" t="s">
        <v>32</v>
      </c>
      <c r="B242">
        <v>2006</v>
      </c>
      <c r="C242" t="s">
        <v>75</v>
      </c>
      <c r="D242">
        <v>1.22</v>
      </c>
    </row>
    <row r="243" spans="1:4" x14ac:dyDescent="0.45">
      <c r="A243" t="s">
        <v>34</v>
      </c>
      <c r="B243">
        <v>2006</v>
      </c>
      <c r="C243" t="s">
        <v>75</v>
      </c>
      <c r="D243">
        <v>71.930000000000007</v>
      </c>
    </row>
    <row r="244" spans="1:4" x14ac:dyDescent="0.45">
      <c r="A244" t="s">
        <v>36</v>
      </c>
      <c r="B244">
        <v>2006</v>
      </c>
      <c r="C244" t="s">
        <v>75</v>
      </c>
      <c r="D244">
        <v>16.64</v>
      </c>
    </row>
    <row r="245" spans="1:4" x14ac:dyDescent="0.45">
      <c r="A245" t="s">
        <v>56</v>
      </c>
      <c r="B245">
        <v>2006</v>
      </c>
      <c r="C245" t="s">
        <v>75</v>
      </c>
      <c r="D245">
        <v>33.04</v>
      </c>
    </row>
    <row r="246" spans="1:4" x14ac:dyDescent="0.45">
      <c r="A246" t="s">
        <v>57</v>
      </c>
      <c r="B246">
        <v>2006</v>
      </c>
      <c r="C246" t="s">
        <v>75</v>
      </c>
      <c r="D246">
        <v>3.9</v>
      </c>
    </row>
    <row r="247" spans="1:4" x14ac:dyDescent="0.45">
      <c r="A247" t="s">
        <v>38</v>
      </c>
      <c r="B247">
        <v>2006</v>
      </c>
      <c r="C247" t="s">
        <v>75</v>
      </c>
      <c r="D247">
        <v>8.8800000000000008</v>
      </c>
    </row>
    <row r="248" spans="1:4" x14ac:dyDescent="0.45">
      <c r="A248" t="s">
        <v>58</v>
      </c>
      <c r="B248">
        <v>2006</v>
      </c>
      <c r="C248" t="s">
        <v>75</v>
      </c>
      <c r="D248">
        <v>0.01</v>
      </c>
    </row>
    <row r="249" spans="1:4" x14ac:dyDescent="0.45">
      <c r="A249" t="s">
        <v>91</v>
      </c>
      <c r="B249">
        <v>2006</v>
      </c>
      <c r="C249" t="s">
        <v>75</v>
      </c>
      <c r="D249">
        <v>6.32</v>
      </c>
    </row>
    <row r="250" spans="1:4" x14ac:dyDescent="0.45">
      <c r="A250" t="s">
        <v>32</v>
      </c>
      <c r="B250">
        <v>2007</v>
      </c>
      <c r="C250" t="s">
        <v>75</v>
      </c>
      <c r="D250">
        <v>1.51</v>
      </c>
    </row>
    <row r="251" spans="1:4" x14ac:dyDescent="0.45">
      <c r="A251" t="s">
        <v>34</v>
      </c>
      <c r="B251">
        <v>2007</v>
      </c>
      <c r="C251" t="s">
        <v>75</v>
      </c>
      <c r="D251">
        <v>77.14</v>
      </c>
    </row>
    <row r="252" spans="1:4" x14ac:dyDescent="0.45">
      <c r="A252" t="s">
        <v>36</v>
      </c>
      <c r="B252">
        <v>2007</v>
      </c>
      <c r="C252" t="s">
        <v>75</v>
      </c>
      <c r="D252">
        <v>18.59</v>
      </c>
    </row>
    <row r="253" spans="1:4" x14ac:dyDescent="0.45">
      <c r="A253" t="s">
        <v>56</v>
      </c>
      <c r="B253">
        <v>2007</v>
      </c>
      <c r="C253" t="s">
        <v>75</v>
      </c>
      <c r="D253">
        <v>34</v>
      </c>
    </row>
    <row r="254" spans="1:4" x14ac:dyDescent="0.45">
      <c r="A254" t="s">
        <v>57</v>
      </c>
      <c r="B254">
        <v>2007</v>
      </c>
      <c r="C254" t="s">
        <v>75</v>
      </c>
      <c r="D254">
        <v>4.12</v>
      </c>
    </row>
    <row r="255" spans="1:4" x14ac:dyDescent="0.45">
      <c r="A255" t="s">
        <v>38</v>
      </c>
      <c r="B255">
        <v>2007</v>
      </c>
      <c r="C255" t="s">
        <v>75</v>
      </c>
      <c r="D255">
        <v>9.66</v>
      </c>
    </row>
    <row r="256" spans="1:4" x14ac:dyDescent="0.45">
      <c r="A256" t="s">
        <v>58</v>
      </c>
      <c r="B256">
        <v>2007</v>
      </c>
      <c r="C256" t="s">
        <v>75</v>
      </c>
      <c r="D256">
        <v>0.03</v>
      </c>
    </row>
    <row r="257" spans="1:4" x14ac:dyDescent="0.45">
      <c r="A257" t="s">
        <v>91</v>
      </c>
      <c r="B257">
        <v>2007</v>
      </c>
      <c r="C257" t="s">
        <v>75</v>
      </c>
      <c r="D257">
        <v>7.84</v>
      </c>
    </row>
    <row r="258" spans="1:4" x14ac:dyDescent="0.45">
      <c r="A258" t="s">
        <v>32</v>
      </c>
      <c r="B258">
        <v>2008</v>
      </c>
      <c r="C258" t="s">
        <v>75</v>
      </c>
      <c r="D258">
        <v>2.17</v>
      </c>
    </row>
    <row r="259" spans="1:4" x14ac:dyDescent="0.45">
      <c r="A259" t="s">
        <v>34</v>
      </c>
      <c r="B259">
        <v>2008</v>
      </c>
      <c r="C259" t="s">
        <v>75</v>
      </c>
      <c r="D259">
        <v>82.33</v>
      </c>
    </row>
    <row r="260" spans="1:4" x14ac:dyDescent="0.45">
      <c r="A260" t="s">
        <v>36</v>
      </c>
      <c r="B260">
        <v>2008</v>
      </c>
      <c r="C260" t="s">
        <v>75</v>
      </c>
      <c r="D260">
        <v>18.649999999999999</v>
      </c>
    </row>
    <row r="261" spans="1:4" x14ac:dyDescent="0.45">
      <c r="A261" t="s">
        <v>56</v>
      </c>
      <c r="B261">
        <v>2008</v>
      </c>
      <c r="C261" t="s">
        <v>75</v>
      </c>
      <c r="D261">
        <v>34.69</v>
      </c>
    </row>
    <row r="262" spans="1:4" x14ac:dyDescent="0.45">
      <c r="A262" t="s">
        <v>57</v>
      </c>
      <c r="B262">
        <v>2008</v>
      </c>
      <c r="C262" t="s">
        <v>75</v>
      </c>
      <c r="D262">
        <v>4.12</v>
      </c>
    </row>
    <row r="263" spans="1:4" x14ac:dyDescent="0.45">
      <c r="A263" t="s">
        <v>38</v>
      </c>
      <c r="B263">
        <v>2008</v>
      </c>
      <c r="C263" t="s">
        <v>75</v>
      </c>
      <c r="D263">
        <v>9.9700000000000006</v>
      </c>
    </row>
    <row r="264" spans="1:4" x14ac:dyDescent="0.45">
      <c r="A264" t="s">
        <v>58</v>
      </c>
      <c r="B264">
        <v>2008</v>
      </c>
      <c r="C264" t="s">
        <v>75</v>
      </c>
      <c r="D264">
        <v>0.03</v>
      </c>
    </row>
    <row r="265" spans="1:4" x14ac:dyDescent="0.45">
      <c r="A265" t="s">
        <v>91</v>
      </c>
      <c r="B265">
        <v>2008</v>
      </c>
      <c r="C265" t="s">
        <v>75</v>
      </c>
      <c r="D265">
        <v>10.24</v>
      </c>
    </row>
    <row r="266" spans="1:4" x14ac:dyDescent="0.45">
      <c r="A266" t="s">
        <v>32</v>
      </c>
      <c r="B266">
        <v>2009</v>
      </c>
      <c r="C266" t="s">
        <v>75</v>
      </c>
      <c r="D266">
        <v>2.46</v>
      </c>
    </row>
    <row r="267" spans="1:4" x14ac:dyDescent="0.45">
      <c r="A267" t="s">
        <v>34</v>
      </c>
      <c r="B267">
        <v>2009</v>
      </c>
      <c r="C267" t="s">
        <v>75</v>
      </c>
      <c r="D267">
        <v>87.79</v>
      </c>
    </row>
    <row r="268" spans="1:4" x14ac:dyDescent="0.45">
      <c r="A268" t="s">
        <v>36</v>
      </c>
      <c r="B268">
        <v>2009</v>
      </c>
      <c r="C268" t="s">
        <v>75</v>
      </c>
      <c r="D268">
        <v>21.24</v>
      </c>
    </row>
    <row r="269" spans="1:4" x14ac:dyDescent="0.45">
      <c r="A269" t="s">
        <v>56</v>
      </c>
      <c r="B269">
        <v>2009</v>
      </c>
      <c r="C269" t="s">
        <v>75</v>
      </c>
      <c r="D269">
        <v>34.78</v>
      </c>
    </row>
    <row r="270" spans="1:4" x14ac:dyDescent="0.45">
      <c r="A270" t="s">
        <v>57</v>
      </c>
      <c r="B270">
        <v>2009</v>
      </c>
      <c r="C270" t="s">
        <v>75</v>
      </c>
      <c r="D270">
        <v>4.5599999999999996</v>
      </c>
    </row>
    <row r="271" spans="1:4" x14ac:dyDescent="0.45">
      <c r="A271" t="s">
        <v>38</v>
      </c>
      <c r="B271">
        <v>2009</v>
      </c>
      <c r="C271" t="s">
        <v>75</v>
      </c>
      <c r="D271">
        <v>10.53</v>
      </c>
    </row>
    <row r="272" spans="1:4" x14ac:dyDescent="0.45">
      <c r="A272" t="s">
        <v>58</v>
      </c>
      <c r="B272">
        <v>2009</v>
      </c>
      <c r="C272" t="s">
        <v>75</v>
      </c>
      <c r="D272">
        <v>0.04</v>
      </c>
    </row>
    <row r="273" spans="1:4" x14ac:dyDescent="0.45">
      <c r="A273" t="s">
        <v>91</v>
      </c>
      <c r="B273">
        <v>2009</v>
      </c>
      <c r="C273" t="s">
        <v>75</v>
      </c>
      <c r="D273">
        <v>10.93</v>
      </c>
    </row>
    <row r="274" spans="1:4" x14ac:dyDescent="0.45">
      <c r="A274" t="s">
        <v>32</v>
      </c>
      <c r="B274">
        <v>2010</v>
      </c>
      <c r="C274" t="s">
        <v>75</v>
      </c>
      <c r="D274">
        <v>3.08</v>
      </c>
    </row>
    <row r="275" spans="1:4" x14ac:dyDescent="0.45">
      <c r="A275" t="s">
        <v>34</v>
      </c>
      <c r="B275">
        <v>2010</v>
      </c>
      <c r="C275" t="s">
        <v>75</v>
      </c>
      <c r="D275">
        <v>99.04</v>
      </c>
    </row>
    <row r="276" spans="1:4" x14ac:dyDescent="0.45">
      <c r="A276" t="s">
        <v>36</v>
      </c>
      <c r="B276">
        <v>2010</v>
      </c>
      <c r="C276" t="s">
        <v>75</v>
      </c>
      <c r="D276">
        <v>22.35</v>
      </c>
    </row>
    <row r="277" spans="1:4" x14ac:dyDescent="0.45">
      <c r="A277" t="s">
        <v>56</v>
      </c>
      <c r="B277">
        <v>2010</v>
      </c>
      <c r="C277" t="s">
        <v>75</v>
      </c>
      <c r="D277">
        <v>35.869999999999997</v>
      </c>
    </row>
    <row r="278" spans="1:4" x14ac:dyDescent="0.45">
      <c r="A278" t="s">
        <v>57</v>
      </c>
      <c r="B278">
        <v>2010</v>
      </c>
      <c r="C278" t="s">
        <v>75</v>
      </c>
      <c r="D278">
        <v>4.78</v>
      </c>
    </row>
    <row r="279" spans="1:4" x14ac:dyDescent="0.45">
      <c r="A279" t="s">
        <v>38</v>
      </c>
      <c r="B279">
        <v>2010</v>
      </c>
      <c r="C279" t="s">
        <v>75</v>
      </c>
      <c r="D279">
        <v>10.87</v>
      </c>
    </row>
    <row r="280" spans="1:4" x14ac:dyDescent="0.45">
      <c r="A280" t="s">
        <v>58</v>
      </c>
      <c r="B280">
        <v>2010</v>
      </c>
      <c r="C280" t="s">
        <v>75</v>
      </c>
      <c r="D280">
        <v>7.0000000000000007E-2</v>
      </c>
    </row>
    <row r="281" spans="1:4" x14ac:dyDescent="0.45">
      <c r="A281" t="s">
        <v>91</v>
      </c>
      <c r="B281">
        <v>2010</v>
      </c>
      <c r="C281" t="s">
        <v>75</v>
      </c>
      <c r="D281">
        <v>13.18</v>
      </c>
    </row>
    <row r="282" spans="1:4" x14ac:dyDescent="0.45">
      <c r="A282" t="s">
        <v>32</v>
      </c>
      <c r="B282">
        <v>2011</v>
      </c>
      <c r="C282" t="s">
        <v>75</v>
      </c>
      <c r="D282">
        <v>3.6</v>
      </c>
    </row>
    <row r="283" spans="1:4" x14ac:dyDescent="0.45">
      <c r="A283" t="s">
        <v>34</v>
      </c>
      <c r="B283">
        <v>2011</v>
      </c>
      <c r="C283" t="s">
        <v>75</v>
      </c>
      <c r="D283">
        <v>113.4</v>
      </c>
    </row>
    <row r="284" spans="1:4" x14ac:dyDescent="0.45">
      <c r="A284" t="s">
        <v>36</v>
      </c>
      <c r="B284">
        <v>2011</v>
      </c>
      <c r="C284" t="s">
        <v>75</v>
      </c>
      <c r="D284">
        <v>24.06</v>
      </c>
    </row>
    <row r="285" spans="1:4" x14ac:dyDescent="0.45">
      <c r="A285" t="s">
        <v>56</v>
      </c>
      <c r="B285">
        <v>2011</v>
      </c>
      <c r="C285" t="s">
        <v>75</v>
      </c>
      <c r="D285">
        <v>37.630000000000003</v>
      </c>
    </row>
    <row r="286" spans="1:4" x14ac:dyDescent="0.45">
      <c r="A286" t="s">
        <v>57</v>
      </c>
      <c r="B286">
        <v>2011</v>
      </c>
      <c r="C286" t="s">
        <v>75</v>
      </c>
      <c r="D286">
        <v>4.78</v>
      </c>
    </row>
    <row r="287" spans="1:4" x14ac:dyDescent="0.45">
      <c r="A287" t="s">
        <v>38</v>
      </c>
      <c r="B287">
        <v>2011</v>
      </c>
      <c r="C287" t="s">
        <v>75</v>
      </c>
      <c r="D287">
        <v>11.16</v>
      </c>
    </row>
    <row r="288" spans="1:4" x14ac:dyDescent="0.45">
      <c r="A288" t="s">
        <v>58</v>
      </c>
      <c r="B288">
        <v>2011</v>
      </c>
      <c r="C288" t="s">
        <v>75</v>
      </c>
      <c r="D288">
        <v>0.56999999999999995</v>
      </c>
    </row>
    <row r="289" spans="1:4" x14ac:dyDescent="0.45">
      <c r="A289" t="s">
        <v>91</v>
      </c>
      <c r="B289">
        <v>2011</v>
      </c>
      <c r="C289" t="s">
        <v>75</v>
      </c>
      <c r="D289">
        <v>16.18</v>
      </c>
    </row>
    <row r="290" spans="1:4" x14ac:dyDescent="0.45">
      <c r="A290" t="s">
        <v>32</v>
      </c>
      <c r="B290">
        <v>2012</v>
      </c>
      <c r="C290" t="s">
        <v>75</v>
      </c>
      <c r="D290">
        <v>3.84</v>
      </c>
    </row>
    <row r="291" spans="1:4" x14ac:dyDescent="0.45">
      <c r="A291" t="s">
        <v>34</v>
      </c>
      <c r="B291">
        <v>2012</v>
      </c>
      <c r="C291" t="s">
        <v>75</v>
      </c>
      <c r="D291">
        <v>131.56</v>
      </c>
    </row>
    <row r="292" spans="1:4" x14ac:dyDescent="0.45">
      <c r="A292" t="s">
        <v>36</v>
      </c>
      <c r="B292">
        <v>2012</v>
      </c>
      <c r="C292" t="s">
        <v>75</v>
      </c>
      <c r="D292">
        <v>23.75</v>
      </c>
    </row>
    <row r="293" spans="1:4" x14ac:dyDescent="0.45">
      <c r="A293" t="s">
        <v>56</v>
      </c>
      <c r="B293">
        <v>2012</v>
      </c>
      <c r="C293" t="s">
        <v>75</v>
      </c>
      <c r="D293">
        <v>38.25</v>
      </c>
    </row>
    <row r="294" spans="1:4" x14ac:dyDescent="0.45">
      <c r="A294" t="s">
        <v>57</v>
      </c>
      <c r="B294">
        <v>2012</v>
      </c>
      <c r="C294" t="s">
        <v>75</v>
      </c>
      <c r="D294">
        <v>4.78</v>
      </c>
    </row>
    <row r="295" spans="1:4" x14ac:dyDescent="0.45">
      <c r="A295" t="s">
        <v>38</v>
      </c>
      <c r="B295">
        <v>2012</v>
      </c>
      <c r="C295" t="s">
        <v>75</v>
      </c>
      <c r="D295">
        <v>12.14</v>
      </c>
    </row>
    <row r="296" spans="1:4" x14ac:dyDescent="0.45">
      <c r="A296" t="s">
        <v>58</v>
      </c>
      <c r="B296">
        <v>2012</v>
      </c>
      <c r="C296" t="s">
        <v>75</v>
      </c>
      <c r="D296">
        <v>0.99</v>
      </c>
    </row>
    <row r="297" spans="1:4" x14ac:dyDescent="0.45">
      <c r="A297" t="s">
        <v>91</v>
      </c>
      <c r="B297">
        <v>2012</v>
      </c>
      <c r="C297" t="s">
        <v>75</v>
      </c>
      <c r="D297">
        <v>17.3</v>
      </c>
    </row>
    <row r="298" spans="1:4" x14ac:dyDescent="0.45">
      <c r="A298" t="s">
        <v>32</v>
      </c>
      <c r="B298">
        <v>2013</v>
      </c>
      <c r="C298" t="s">
        <v>75</v>
      </c>
      <c r="D298">
        <v>4.08</v>
      </c>
    </row>
    <row r="299" spans="1:4" x14ac:dyDescent="0.45">
      <c r="A299" t="s">
        <v>34</v>
      </c>
      <c r="B299">
        <v>2013</v>
      </c>
      <c r="C299" t="s">
        <v>75</v>
      </c>
      <c r="D299">
        <v>149.36000000000001</v>
      </c>
    </row>
    <row r="300" spans="1:4" x14ac:dyDescent="0.45">
      <c r="A300" t="s">
        <v>36</v>
      </c>
      <c r="B300">
        <v>2013</v>
      </c>
      <c r="C300" t="s">
        <v>75</v>
      </c>
      <c r="D300">
        <v>26.47</v>
      </c>
    </row>
    <row r="301" spans="1:4" x14ac:dyDescent="0.45">
      <c r="A301" t="s">
        <v>56</v>
      </c>
      <c r="B301">
        <v>2013</v>
      </c>
      <c r="C301" t="s">
        <v>75</v>
      </c>
      <c r="D301">
        <v>39.39</v>
      </c>
    </row>
    <row r="302" spans="1:4" x14ac:dyDescent="0.45">
      <c r="A302" t="s">
        <v>57</v>
      </c>
      <c r="B302">
        <v>2013</v>
      </c>
      <c r="C302" t="s">
        <v>75</v>
      </c>
      <c r="D302">
        <v>4.78</v>
      </c>
    </row>
    <row r="303" spans="1:4" x14ac:dyDescent="0.45">
      <c r="A303" t="s">
        <v>38</v>
      </c>
      <c r="B303">
        <v>2013</v>
      </c>
      <c r="C303" t="s">
        <v>75</v>
      </c>
      <c r="D303">
        <v>12.67</v>
      </c>
    </row>
    <row r="304" spans="1:4" x14ac:dyDescent="0.45">
      <c r="A304" t="s">
        <v>58</v>
      </c>
      <c r="B304">
        <v>2013</v>
      </c>
      <c r="C304" t="s">
        <v>75</v>
      </c>
      <c r="D304">
        <v>1.6</v>
      </c>
    </row>
    <row r="305" spans="1:4" x14ac:dyDescent="0.45">
      <c r="A305" t="s">
        <v>91</v>
      </c>
      <c r="B305">
        <v>2013</v>
      </c>
      <c r="C305" t="s">
        <v>75</v>
      </c>
      <c r="D305">
        <v>18.420000000000002</v>
      </c>
    </row>
    <row r="306" spans="1:4" x14ac:dyDescent="0.45">
      <c r="A306" t="s">
        <v>32</v>
      </c>
      <c r="B306">
        <v>2014</v>
      </c>
      <c r="C306" t="s">
        <v>75</v>
      </c>
      <c r="D306">
        <v>4.91</v>
      </c>
    </row>
    <row r="307" spans="1:4" x14ac:dyDescent="0.45">
      <c r="A307" t="s">
        <v>34</v>
      </c>
      <c r="B307">
        <v>2014</v>
      </c>
      <c r="C307" t="s">
        <v>75</v>
      </c>
      <c r="D307">
        <v>169.52</v>
      </c>
    </row>
    <row r="308" spans="1:4" x14ac:dyDescent="0.45">
      <c r="A308" t="s">
        <v>36</v>
      </c>
      <c r="B308">
        <v>2014</v>
      </c>
      <c r="C308" t="s">
        <v>75</v>
      </c>
      <c r="D308">
        <v>28.14</v>
      </c>
    </row>
    <row r="309" spans="1:4" x14ac:dyDescent="0.45">
      <c r="A309" t="s">
        <v>56</v>
      </c>
      <c r="B309">
        <v>2014</v>
      </c>
      <c r="C309" t="s">
        <v>75</v>
      </c>
      <c r="D309">
        <v>40.619999999999997</v>
      </c>
    </row>
    <row r="310" spans="1:4" x14ac:dyDescent="0.45">
      <c r="A310" t="s">
        <v>57</v>
      </c>
      <c r="B310">
        <v>2014</v>
      </c>
      <c r="C310" t="s">
        <v>75</v>
      </c>
      <c r="D310">
        <v>5.78</v>
      </c>
    </row>
    <row r="311" spans="1:4" x14ac:dyDescent="0.45">
      <c r="A311" t="s">
        <v>38</v>
      </c>
      <c r="B311">
        <v>2014</v>
      </c>
      <c r="C311" t="s">
        <v>75</v>
      </c>
      <c r="D311">
        <v>13.19</v>
      </c>
    </row>
    <row r="312" spans="1:4" x14ac:dyDescent="0.45">
      <c r="A312" t="s">
        <v>58</v>
      </c>
      <c r="B312">
        <v>2014</v>
      </c>
      <c r="C312" t="s">
        <v>75</v>
      </c>
      <c r="D312">
        <v>3.78</v>
      </c>
    </row>
    <row r="313" spans="1:4" x14ac:dyDescent="0.45">
      <c r="A313" t="s">
        <v>91</v>
      </c>
      <c r="B313">
        <v>2014</v>
      </c>
      <c r="C313" t="s">
        <v>75</v>
      </c>
      <c r="D313">
        <v>22.47</v>
      </c>
    </row>
    <row r="314" spans="1:4" x14ac:dyDescent="0.45">
      <c r="A314" t="s">
        <v>32</v>
      </c>
      <c r="B314">
        <v>2015</v>
      </c>
      <c r="C314" t="s">
        <v>75</v>
      </c>
      <c r="D314">
        <v>5.34</v>
      </c>
    </row>
    <row r="315" spans="1:4" x14ac:dyDescent="0.45">
      <c r="A315" t="s">
        <v>34</v>
      </c>
      <c r="B315">
        <v>2015</v>
      </c>
      <c r="C315" t="s">
        <v>75</v>
      </c>
      <c r="D315">
        <v>189.57</v>
      </c>
    </row>
    <row r="316" spans="1:4" x14ac:dyDescent="0.45">
      <c r="A316" t="s">
        <v>36</v>
      </c>
      <c r="B316">
        <v>2015</v>
      </c>
      <c r="C316" t="s">
        <v>75</v>
      </c>
      <c r="D316">
        <v>30.17</v>
      </c>
    </row>
    <row r="317" spans="1:4" x14ac:dyDescent="0.45">
      <c r="A317" t="s">
        <v>56</v>
      </c>
      <c r="B317">
        <v>2015</v>
      </c>
      <c r="C317" t="s">
        <v>75</v>
      </c>
      <c r="D317">
        <v>42.32</v>
      </c>
    </row>
    <row r="318" spans="1:4" x14ac:dyDescent="0.45">
      <c r="A318" t="s">
        <v>57</v>
      </c>
      <c r="B318">
        <v>2015</v>
      </c>
      <c r="C318" t="s">
        <v>75</v>
      </c>
      <c r="D318">
        <v>5.78</v>
      </c>
    </row>
    <row r="319" spans="1:4" x14ac:dyDescent="0.45">
      <c r="A319" t="s">
        <v>38</v>
      </c>
      <c r="B319">
        <v>2015</v>
      </c>
      <c r="C319" t="s">
        <v>75</v>
      </c>
      <c r="D319">
        <v>13.39</v>
      </c>
    </row>
    <row r="320" spans="1:4" x14ac:dyDescent="0.45">
      <c r="A320" t="s">
        <v>58</v>
      </c>
      <c r="B320">
        <v>2015</v>
      </c>
      <c r="C320" t="s">
        <v>75</v>
      </c>
      <c r="D320">
        <v>5.7</v>
      </c>
    </row>
    <row r="321" spans="1:4" x14ac:dyDescent="0.45">
      <c r="A321" t="s">
        <v>91</v>
      </c>
      <c r="B321">
        <v>2015</v>
      </c>
      <c r="C321" t="s">
        <v>75</v>
      </c>
      <c r="D321">
        <v>25.09</v>
      </c>
    </row>
    <row r="322" spans="1:4" x14ac:dyDescent="0.45">
      <c r="A322" t="s">
        <v>32</v>
      </c>
      <c r="B322">
        <v>2016</v>
      </c>
      <c r="C322" t="s">
        <v>75</v>
      </c>
      <c r="D322">
        <v>8.76</v>
      </c>
    </row>
    <row r="323" spans="1:4" x14ac:dyDescent="0.45">
      <c r="A323" t="s">
        <v>34</v>
      </c>
      <c r="B323">
        <v>2016</v>
      </c>
      <c r="C323" t="s">
        <v>75</v>
      </c>
      <c r="D323">
        <v>207.07</v>
      </c>
    </row>
    <row r="324" spans="1:4" x14ac:dyDescent="0.45">
      <c r="A324" t="s">
        <v>36</v>
      </c>
      <c r="B324">
        <v>2016</v>
      </c>
      <c r="C324" t="s">
        <v>75</v>
      </c>
      <c r="D324">
        <v>31.37</v>
      </c>
    </row>
    <row r="325" spans="1:4" x14ac:dyDescent="0.45">
      <c r="A325" t="s">
        <v>56</v>
      </c>
      <c r="B325">
        <v>2016</v>
      </c>
      <c r="C325" t="s">
        <v>75</v>
      </c>
      <c r="D325">
        <v>42.84</v>
      </c>
    </row>
    <row r="326" spans="1:4" x14ac:dyDescent="0.45">
      <c r="A326" t="s">
        <v>57</v>
      </c>
      <c r="B326">
        <v>2016</v>
      </c>
      <c r="C326" t="s">
        <v>75</v>
      </c>
      <c r="D326">
        <v>5.78</v>
      </c>
    </row>
    <row r="327" spans="1:4" x14ac:dyDescent="0.45">
      <c r="A327" t="s">
        <v>38</v>
      </c>
      <c r="B327">
        <v>2016</v>
      </c>
      <c r="C327" t="s">
        <v>75</v>
      </c>
      <c r="D327">
        <v>14.08</v>
      </c>
    </row>
    <row r="328" spans="1:4" x14ac:dyDescent="0.45">
      <c r="A328" t="s">
        <v>58</v>
      </c>
      <c r="B328">
        <v>2016</v>
      </c>
      <c r="C328" t="s">
        <v>75</v>
      </c>
      <c r="D328">
        <v>9.98</v>
      </c>
    </row>
    <row r="329" spans="1:4" x14ac:dyDescent="0.45">
      <c r="A329" t="s">
        <v>91</v>
      </c>
      <c r="B329">
        <v>2016</v>
      </c>
      <c r="C329" t="s">
        <v>75</v>
      </c>
      <c r="D329">
        <v>28.7</v>
      </c>
    </row>
    <row r="330" spans="1:4" x14ac:dyDescent="0.45">
      <c r="A330" t="s">
        <v>32</v>
      </c>
      <c r="B330">
        <v>2017</v>
      </c>
      <c r="C330" t="s">
        <v>75</v>
      </c>
      <c r="D330">
        <v>9.27</v>
      </c>
    </row>
    <row r="331" spans="1:4" x14ac:dyDescent="0.45">
      <c r="A331" t="s">
        <v>34</v>
      </c>
      <c r="B331">
        <v>2017</v>
      </c>
      <c r="C331" t="s">
        <v>75</v>
      </c>
      <c r="D331">
        <v>212.46</v>
      </c>
    </row>
    <row r="332" spans="1:4" x14ac:dyDescent="0.45">
      <c r="A332" t="s">
        <v>36</v>
      </c>
      <c r="B332">
        <v>2017</v>
      </c>
      <c r="C332" t="s">
        <v>75</v>
      </c>
      <c r="D332">
        <v>32.04</v>
      </c>
    </row>
    <row r="333" spans="1:4" x14ac:dyDescent="0.45">
      <c r="A333" t="s">
        <v>56</v>
      </c>
      <c r="B333">
        <v>2017</v>
      </c>
      <c r="C333" t="s">
        <v>75</v>
      </c>
      <c r="D333">
        <v>44.74</v>
      </c>
    </row>
    <row r="334" spans="1:4" x14ac:dyDescent="0.45">
      <c r="A334" t="s">
        <v>57</v>
      </c>
      <c r="B334">
        <v>2017</v>
      </c>
      <c r="C334" t="s">
        <v>75</v>
      </c>
      <c r="D334">
        <v>6.78</v>
      </c>
    </row>
    <row r="335" spans="1:4" x14ac:dyDescent="0.45">
      <c r="A335" t="s">
        <v>38</v>
      </c>
      <c r="B335">
        <v>2017</v>
      </c>
      <c r="C335" t="s">
        <v>75</v>
      </c>
      <c r="D335">
        <v>14.18</v>
      </c>
    </row>
    <row r="336" spans="1:4" x14ac:dyDescent="0.45">
      <c r="A336" t="s">
        <v>58</v>
      </c>
      <c r="B336">
        <v>2017</v>
      </c>
      <c r="C336" t="s">
        <v>75</v>
      </c>
      <c r="D336">
        <v>18.260000000000002</v>
      </c>
    </row>
    <row r="337" spans="1:4" x14ac:dyDescent="0.45">
      <c r="A337" t="s">
        <v>91</v>
      </c>
      <c r="B337">
        <v>2017</v>
      </c>
      <c r="C337" t="s">
        <v>75</v>
      </c>
      <c r="D337">
        <v>32.85</v>
      </c>
    </row>
    <row r="338" spans="1:4" x14ac:dyDescent="0.45">
      <c r="A338" t="s">
        <v>32</v>
      </c>
      <c r="B338">
        <v>2018</v>
      </c>
      <c r="C338" t="s">
        <v>75</v>
      </c>
      <c r="D338">
        <v>9.98</v>
      </c>
    </row>
    <row r="339" spans="1:4" x14ac:dyDescent="0.45">
      <c r="A339" t="s">
        <v>34</v>
      </c>
      <c r="B339">
        <v>2018</v>
      </c>
      <c r="C339" t="s">
        <v>75</v>
      </c>
      <c r="D339">
        <v>217.98</v>
      </c>
    </row>
    <row r="340" spans="1:4" x14ac:dyDescent="0.45">
      <c r="A340" t="s">
        <v>36</v>
      </c>
      <c r="B340">
        <v>2018</v>
      </c>
      <c r="C340" t="s">
        <v>75</v>
      </c>
      <c r="D340">
        <v>33.32</v>
      </c>
    </row>
    <row r="341" spans="1:4" x14ac:dyDescent="0.45">
      <c r="A341" t="s">
        <v>56</v>
      </c>
      <c r="B341">
        <v>2018</v>
      </c>
      <c r="C341" t="s">
        <v>75</v>
      </c>
      <c r="D341">
        <v>45.32</v>
      </c>
    </row>
    <row r="342" spans="1:4" x14ac:dyDescent="0.45">
      <c r="A342" t="s">
        <v>57</v>
      </c>
      <c r="B342">
        <v>2018</v>
      </c>
      <c r="C342" t="s">
        <v>75</v>
      </c>
      <c r="D342">
        <v>6.78</v>
      </c>
    </row>
    <row r="343" spans="1:4" x14ac:dyDescent="0.45">
      <c r="A343" t="s">
        <v>38</v>
      </c>
      <c r="B343">
        <v>2018</v>
      </c>
      <c r="C343" t="s">
        <v>75</v>
      </c>
      <c r="D343">
        <v>15.76</v>
      </c>
    </row>
    <row r="344" spans="1:4" x14ac:dyDescent="0.45">
      <c r="A344" t="s">
        <v>58</v>
      </c>
      <c r="B344">
        <v>2018</v>
      </c>
      <c r="C344" t="s">
        <v>75</v>
      </c>
      <c r="D344">
        <v>27.48</v>
      </c>
    </row>
    <row r="345" spans="1:4" x14ac:dyDescent="0.45">
      <c r="A345" t="s">
        <v>91</v>
      </c>
      <c r="B345">
        <v>2018</v>
      </c>
      <c r="C345" t="s">
        <v>75</v>
      </c>
      <c r="D345">
        <v>35.29</v>
      </c>
    </row>
    <row r="346" spans="1:4" x14ac:dyDescent="0.45">
      <c r="A346" t="s">
        <v>32</v>
      </c>
      <c r="B346">
        <v>2019</v>
      </c>
      <c r="C346" t="s">
        <v>75</v>
      </c>
      <c r="D346">
        <v>10.06</v>
      </c>
    </row>
    <row r="347" spans="1:4" x14ac:dyDescent="0.45">
      <c r="A347" t="s">
        <v>34</v>
      </c>
      <c r="B347">
        <v>2019</v>
      </c>
      <c r="C347" t="s">
        <v>75</v>
      </c>
      <c r="D347">
        <v>225.62</v>
      </c>
    </row>
    <row r="348" spans="1:4" x14ac:dyDescent="0.45">
      <c r="A348" t="s">
        <v>36</v>
      </c>
      <c r="B348">
        <v>2019</v>
      </c>
      <c r="C348" t="s">
        <v>75</v>
      </c>
      <c r="D348">
        <v>32.619999999999997</v>
      </c>
    </row>
    <row r="349" spans="1:4" x14ac:dyDescent="0.45">
      <c r="A349" t="s">
        <v>56</v>
      </c>
      <c r="B349">
        <v>2019</v>
      </c>
      <c r="C349" t="s">
        <v>75</v>
      </c>
      <c r="D349">
        <v>45.49</v>
      </c>
    </row>
    <row r="350" spans="1:4" x14ac:dyDescent="0.45">
      <c r="A350" t="s">
        <v>57</v>
      </c>
      <c r="B350">
        <v>2019</v>
      </c>
      <c r="C350" t="s">
        <v>75</v>
      </c>
      <c r="D350">
        <v>6.78</v>
      </c>
    </row>
    <row r="351" spans="1:4" x14ac:dyDescent="0.45">
      <c r="A351" t="s">
        <v>38</v>
      </c>
      <c r="B351">
        <v>2019</v>
      </c>
      <c r="C351" t="s">
        <v>75</v>
      </c>
      <c r="D351">
        <v>14.15</v>
      </c>
    </row>
    <row r="352" spans="1:4" x14ac:dyDescent="0.45">
      <c r="A352" t="s">
        <v>58</v>
      </c>
      <c r="B352">
        <v>2019</v>
      </c>
      <c r="C352" t="s">
        <v>75</v>
      </c>
      <c r="D352">
        <v>35.25</v>
      </c>
    </row>
    <row r="353" spans="1:4" x14ac:dyDescent="0.45">
      <c r="A353" t="s">
        <v>91</v>
      </c>
      <c r="B353">
        <v>2019</v>
      </c>
      <c r="C353" t="s">
        <v>75</v>
      </c>
      <c r="D353">
        <v>37.51</v>
      </c>
    </row>
    <row r="354" spans="1:4" x14ac:dyDescent="0.45">
      <c r="A354" t="s">
        <v>32</v>
      </c>
      <c r="B354">
        <v>2020</v>
      </c>
      <c r="C354" t="s">
        <v>75</v>
      </c>
      <c r="D354">
        <v>10.35</v>
      </c>
    </row>
    <row r="355" spans="1:4" x14ac:dyDescent="0.45">
      <c r="A355" t="s">
        <v>34</v>
      </c>
      <c r="B355">
        <v>2020</v>
      </c>
      <c r="C355" t="s">
        <v>75</v>
      </c>
      <c r="D355">
        <v>225.83</v>
      </c>
    </row>
    <row r="356" spans="1:4" x14ac:dyDescent="0.45">
      <c r="A356" t="s">
        <v>36</v>
      </c>
      <c r="B356">
        <v>2020</v>
      </c>
      <c r="C356" t="s">
        <v>75</v>
      </c>
      <c r="D356">
        <v>32.31</v>
      </c>
    </row>
    <row r="357" spans="1:4" x14ac:dyDescent="0.45">
      <c r="A357" t="s">
        <v>56</v>
      </c>
      <c r="B357">
        <v>2020</v>
      </c>
      <c r="C357" t="s">
        <v>75</v>
      </c>
      <c r="D357">
        <v>45.98</v>
      </c>
    </row>
    <row r="358" spans="1:4" x14ac:dyDescent="0.45">
      <c r="A358" t="s">
        <v>57</v>
      </c>
      <c r="B358">
        <v>2020</v>
      </c>
      <c r="C358" t="s">
        <v>75</v>
      </c>
      <c r="D358">
        <v>6.78</v>
      </c>
    </row>
    <row r="359" spans="1:4" x14ac:dyDescent="0.45">
      <c r="A359" t="s">
        <v>38</v>
      </c>
      <c r="B359">
        <v>2020</v>
      </c>
      <c r="C359" t="s">
        <v>75</v>
      </c>
      <c r="D359">
        <v>17.059999999999999</v>
      </c>
    </row>
    <row r="360" spans="1:4" x14ac:dyDescent="0.45">
      <c r="A360" t="s">
        <v>58</v>
      </c>
      <c r="B360">
        <v>2020</v>
      </c>
      <c r="C360" t="s">
        <v>75</v>
      </c>
      <c r="D360">
        <v>39.71</v>
      </c>
    </row>
    <row r="361" spans="1:4" x14ac:dyDescent="0.45">
      <c r="A361" t="s">
        <v>91</v>
      </c>
      <c r="B361">
        <v>2020</v>
      </c>
      <c r="C361" t="s">
        <v>75</v>
      </c>
      <c r="D361">
        <v>38.56</v>
      </c>
    </row>
    <row r="362" spans="1:4" x14ac:dyDescent="0.45">
      <c r="A362" t="s">
        <v>32</v>
      </c>
      <c r="B362">
        <v>2021</v>
      </c>
      <c r="C362" t="s">
        <v>75</v>
      </c>
      <c r="D362">
        <v>10.37</v>
      </c>
    </row>
    <row r="363" spans="1:4" x14ac:dyDescent="0.45">
      <c r="A363" t="s">
        <v>34</v>
      </c>
      <c r="B363">
        <v>2021</v>
      </c>
      <c r="C363" t="s">
        <v>75</v>
      </c>
      <c r="D363">
        <v>231.14</v>
      </c>
    </row>
    <row r="364" spans="1:4" x14ac:dyDescent="0.45">
      <c r="A364" t="s">
        <v>36</v>
      </c>
      <c r="B364">
        <v>2021</v>
      </c>
      <c r="C364" t="s">
        <v>75</v>
      </c>
      <c r="D364">
        <v>32.29</v>
      </c>
    </row>
    <row r="365" spans="1:4" x14ac:dyDescent="0.45">
      <c r="A365" t="s">
        <v>56</v>
      </c>
      <c r="B365">
        <v>2021</v>
      </c>
      <c r="C365" t="s">
        <v>75</v>
      </c>
      <c r="D365">
        <v>46.78</v>
      </c>
    </row>
    <row r="366" spans="1:4" x14ac:dyDescent="0.45">
      <c r="A366" t="s">
        <v>57</v>
      </c>
      <c r="B366">
        <v>2021</v>
      </c>
      <c r="C366" t="s">
        <v>75</v>
      </c>
      <c r="D366">
        <v>6.78</v>
      </c>
    </row>
    <row r="367" spans="1:4" x14ac:dyDescent="0.45">
      <c r="A367" t="s">
        <v>38</v>
      </c>
      <c r="B367">
        <v>2021</v>
      </c>
      <c r="C367" t="s">
        <v>75</v>
      </c>
      <c r="D367">
        <v>18.39</v>
      </c>
    </row>
    <row r="368" spans="1:4" x14ac:dyDescent="0.45">
      <c r="A368" t="s">
        <v>58</v>
      </c>
      <c r="B368">
        <v>2021</v>
      </c>
      <c r="C368" t="s">
        <v>75</v>
      </c>
      <c r="D368">
        <v>49.95</v>
      </c>
    </row>
    <row r="369" spans="1:4" x14ac:dyDescent="0.45">
      <c r="A369" t="s">
        <v>91</v>
      </c>
      <c r="B369">
        <v>2021</v>
      </c>
      <c r="C369" t="s">
        <v>75</v>
      </c>
      <c r="D369">
        <v>40.07</v>
      </c>
    </row>
    <row r="370" spans="1:4" x14ac:dyDescent="0.45">
      <c r="A370" t="s">
        <v>32</v>
      </c>
      <c r="B370">
        <v>2022</v>
      </c>
      <c r="C370" t="s">
        <v>75</v>
      </c>
      <c r="D370">
        <v>10.41</v>
      </c>
    </row>
    <row r="371" spans="1:4" x14ac:dyDescent="0.45">
      <c r="A371" t="s">
        <v>34</v>
      </c>
      <c r="B371">
        <v>2022</v>
      </c>
      <c r="C371" t="s">
        <v>75</v>
      </c>
      <c r="D371">
        <v>232.17</v>
      </c>
    </row>
    <row r="372" spans="1:4" x14ac:dyDescent="0.45">
      <c r="A372" t="s">
        <v>36</v>
      </c>
      <c r="B372">
        <v>2022</v>
      </c>
      <c r="C372" t="s">
        <v>75</v>
      </c>
      <c r="D372">
        <v>32.22</v>
      </c>
    </row>
    <row r="373" spans="1:4" x14ac:dyDescent="0.45">
      <c r="A373" t="s">
        <v>56</v>
      </c>
      <c r="B373">
        <v>2022</v>
      </c>
      <c r="C373" t="s">
        <v>75</v>
      </c>
      <c r="D373">
        <v>47.22</v>
      </c>
    </row>
    <row r="374" spans="1:4" x14ac:dyDescent="0.45">
      <c r="A374" t="s">
        <v>57</v>
      </c>
      <c r="B374">
        <v>2022</v>
      </c>
      <c r="C374" t="s">
        <v>75</v>
      </c>
      <c r="D374">
        <v>6.78</v>
      </c>
    </row>
    <row r="375" spans="1:4" x14ac:dyDescent="0.45">
      <c r="A375" t="s">
        <v>38</v>
      </c>
      <c r="B375">
        <v>2022</v>
      </c>
      <c r="C375" t="s">
        <v>75</v>
      </c>
      <c r="D375">
        <v>18.55</v>
      </c>
    </row>
    <row r="376" spans="1:4" x14ac:dyDescent="0.45">
      <c r="A376" t="s">
        <v>58</v>
      </c>
      <c r="B376">
        <v>2022</v>
      </c>
      <c r="C376" t="s">
        <v>75</v>
      </c>
      <c r="D376">
        <v>63.39</v>
      </c>
    </row>
    <row r="377" spans="1:4" x14ac:dyDescent="0.45">
      <c r="A377" t="s">
        <v>91</v>
      </c>
      <c r="B377">
        <v>2022</v>
      </c>
      <c r="C377" t="s">
        <v>75</v>
      </c>
      <c r="D377">
        <v>41.93</v>
      </c>
    </row>
    <row r="378" spans="1:4" x14ac:dyDescent="0.45">
      <c r="A378" t="s">
        <v>32</v>
      </c>
      <c r="B378">
        <v>2023</v>
      </c>
      <c r="C378" t="s">
        <v>75</v>
      </c>
      <c r="D378">
        <v>10.46</v>
      </c>
    </row>
    <row r="379" spans="1:4" x14ac:dyDescent="0.45">
      <c r="A379" t="s">
        <v>34</v>
      </c>
      <c r="B379">
        <v>2023</v>
      </c>
      <c r="C379" t="s">
        <v>75</v>
      </c>
      <c r="D379">
        <v>237.64</v>
      </c>
    </row>
    <row r="380" spans="1:4" x14ac:dyDescent="0.45">
      <c r="A380" t="s">
        <v>36</v>
      </c>
      <c r="B380">
        <v>2023</v>
      </c>
      <c r="C380" t="s">
        <v>75</v>
      </c>
      <c r="D380">
        <v>32.44</v>
      </c>
    </row>
    <row r="381" spans="1:4" x14ac:dyDescent="0.45">
      <c r="A381" t="s">
        <v>56</v>
      </c>
      <c r="B381">
        <v>2023</v>
      </c>
      <c r="C381" t="s">
        <v>75</v>
      </c>
      <c r="D381">
        <v>47.33</v>
      </c>
    </row>
    <row r="382" spans="1:4" x14ac:dyDescent="0.45">
      <c r="A382" t="s">
        <v>57</v>
      </c>
      <c r="B382">
        <v>2023</v>
      </c>
      <c r="C382" t="s">
        <v>75</v>
      </c>
      <c r="D382">
        <v>7.48</v>
      </c>
    </row>
    <row r="383" spans="1:4" x14ac:dyDescent="0.45">
      <c r="A383" t="s">
        <v>38</v>
      </c>
      <c r="B383">
        <v>2023</v>
      </c>
      <c r="C383" t="s">
        <v>75</v>
      </c>
      <c r="D383">
        <v>18.579999999999998</v>
      </c>
    </row>
    <row r="384" spans="1:4" x14ac:dyDescent="0.45">
      <c r="A384" t="s">
        <v>58</v>
      </c>
      <c r="B384">
        <v>2023</v>
      </c>
      <c r="C384" t="s">
        <v>75</v>
      </c>
      <c r="D384">
        <v>73.11</v>
      </c>
    </row>
    <row r="385" spans="1:4" x14ac:dyDescent="0.45">
      <c r="A385" t="s">
        <v>91</v>
      </c>
      <c r="B385">
        <v>2023</v>
      </c>
      <c r="C385" t="s">
        <v>75</v>
      </c>
      <c r="D385">
        <v>44.74</v>
      </c>
    </row>
    <row r="386" spans="1:4" x14ac:dyDescent="0.45">
      <c r="A386" t="s">
        <v>32</v>
      </c>
      <c r="B386">
        <v>2000</v>
      </c>
      <c r="C386" t="s">
        <v>76</v>
      </c>
      <c r="D386">
        <v>0.37</v>
      </c>
    </row>
    <row r="387" spans="1:4" x14ac:dyDescent="0.45">
      <c r="A387" t="s">
        <v>34</v>
      </c>
      <c r="B387">
        <v>2000</v>
      </c>
      <c r="C387" t="s">
        <v>76</v>
      </c>
      <c r="D387">
        <v>362.56</v>
      </c>
    </row>
    <row r="388" spans="1:4" x14ac:dyDescent="0.45">
      <c r="A388" t="s">
        <v>36</v>
      </c>
      <c r="B388">
        <v>2000</v>
      </c>
      <c r="C388" t="s">
        <v>76</v>
      </c>
      <c r="D388">
        <v>38.78</v>
      </c>
    </row>
    <row r="389" spans="1:4" x14ac:dyDescent="0.45">
      <c r="A389" t="s">
        <v>56</v>
      </c>
      <c r="B389">
        <v>2000</v>
      </c>
      <c r="C389" t="s">
        <v>76</v>
      </c>
      <c r="D389">
        <v>1.83</v>
      </c>
    </row>
    <row r="390" spans="1:4" x14ac:dyDescent="0.45">
      <c r="A390" t="s">
        <v>57</v>
      </c>
      <c r="B390">
        <v>2000</v>
      </c>
      <c r="C390" t="s">
        <v>76</v>
      </c>
      <c r="D390">
        <v>0.09</v>
      </c>
    </row>
    <row r="391" spans="1:4" x14ac:dyDescent="0.45">
      <c r="A391" t="s">
        <v>38</v>
      </c>
      <c r="B391">
        <v>2000</v>
      </c>
      <c r="C391" t="s">
        <v>76</v>
      </c>
      <c r="D391">
        <v>19.190000000000001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0.03</v>
      </c>
    </row>
    <row r="394" spans="1:4" x14ac:dyDescent="0.45">
      <c r="A394" t="s">
        <v>32</v>
      </c>
      <c r="B394">
        <v>2001</v>
      </c>
      <c r="C394" t="s">
        <v>76</v>
      </c>
      <c r="D394">
        <v>0.45</v>
      </c>
    </row>
    <row r="395" spans="1:4" x14ac:dyDescent="0.45">
      <c r="A395" t="s">
        <v>34</v>
      </c>
      <c r="B395">
        <v>2001</v>
      </c>
      <c r="C395" t="s">
        <v>76</v>
      </c>
      <c r="D395">
        <v>379.35</v>
      </c>
    </row>
    <row r="396" spans="1:4" x14ac:dyDescent="0.45">
      <c r="A396" t="s">
        <v>36</v>
      </c>
      <c r="B396">
        <v>2001</v>
      </c>
      <c r="C396" t="s">
        <v>76</v>
      </c>
      <c r="D396">
        <v>38.76</v>
      </c>
    </row>
    <row r="397" spans="1:4" x14ac:dyDescent="0.45">
      <c r="A397" t="s">
        <v>56</v>
      </c>
      <c r="B397">
        <v>2001</v>
      </c>
      <c r="C397" t="s">
        <v>76</v>
      </c>
      <c r="D397">
        <v>1.71</v>
      </c>
    </row>
    <row r="398" spans="1:4" x14ac:dyDescent="0.45">
      <c r="A398" t="s">
        <v>57</v>
      </c>
      <c r="B398">
        <v>2001</v>
      </c>
      <c r="C398" t="s">
        <v>76</v>
      </c>
      <c r="D398">
        <v>0.11</v>
      </c>
    </row>
    <row r="399" spans="1:4" x14ac:dyDescent="0.45">
      <c r="A399" t="s">
        <v>38</v>
      </c>
      <c r="B399">
        <v>2001</v>
      </c>
      <c r="C399" t="s">
        <v>76</v>
      </c>
      <c r="D399">
        <v>17.63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0.03</v>
      </c>
    </row>
    <row r="402" spans="1:4" x14ac:dyDescent="0.45">
      <c r="A402" t="s">
        <v>32</v>
      </c>
      <c r="B402">
        <v>2002</v>
      </c>
      <c r="C402" t="s">
        <v>76</v>
      </c>
      <c r="D402">
        <v>0.46</v>
      </c>
    </row>
    <row r="403" spans="1:4" x14ac:dyDescent="0.45">
      <c r="A403" t="s">
        <v>34</v>
      </c>
      <c r="B403">
        <v>2002</v>
      </c>
      <c r="C403" t="s">
        <v>76</v>
      </c>
      <c r="D403">
        <v>396.55</v>
      </c>
    </row>
    <row r="404" spans="1:4" x14ac:dyDescent="0.45">
      <c r="A404" t="s">
        <v>36</v>
      </c>
      <c r="B404">
        <v>2002</v>
      </c>
      <c r="C404" t="s">
        <v>76</v>
      </c>
      <c r="D404">
        <v>43.58</v>
      </c>
    </row>
    <row r="405" spans="1:4" x14ac:dyDescent="0.45">
      <c r="A405" t="s">
        <v>56</v>
      </c>
      <c r="B405">
        <v>2002</v>
      </c>
      <c r="C405" t="s">
        <v>76</v>
      </c>
      <c r="D405">
        <v>1.63</v>
      </c>
    </row>
    <row r="406" spans="1:4" x14ac:dyDescent="0.45">
      <c r="A406" t="s">
        <v>57</v>
      </c>
      <c r="B406">
        <v>2002</v>
      </c>
      <c r="C406" t="s">
        <v>76</v>
      </c>
      <c r="D406">
        <v>0.11</v>
      </c>
    </row>
    <row r="407" spans="1:4" x14ac:dyDescent="0.45">
      <c r="A407" t="s">
        <v>38</v>
      </c>
      <c r="B407">
        <v>2002</v>
      </c>
      <c r="C407" t="s">
        <v>76</v>
      </c>
      <c r="D407">
        <v>18.38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0.03</v>
      </c>
    </row>
    <row r="410" spans="1:4" x14ac:dyDescent="0.45">
      <c r="A410" t="s">
        <v>32</v>
      </c>
      <c r="B410">
        <v>2003</v>
      </c>
      <c r="C410" t="s">
        <v>76</v>
      </c>
      <c r="D410">
        <v>0.59</v>
      </c>
    </row>
    <row r="411" spans="1:4" x14ac:dyDescent="0.45">
      <c r="A411" t="s">
        <v>34</v>
      </c>
      <c r="B411">
        <v>2003</v>
      </c>
      <c r="C411" t="s">
        <v>76</v>
      </c>
      <c r="D411">
        <v>410.39</v>
      </c>
    </row>
    <row r="412" spans="1:4" x14ac:dyDescent="0.45">
      <c r="A412" t="s">
        <v>36</v>
      </c>
      <c r="B412">
        <v>2003</v>
      </c>
      <c r="C412" t="s">
        <v>76</v>
      </c>
      <c r="D412">
        <v>50.46</v>
      </c>
    </row>
    <row r="413" spans="1:4" x14ac:dyDescent="0.45">
      <c r="A413" t="s">
        <v>56</v>
      </c>
      <c r="B413">
        <v>2003</v>
      </c>
      <c r="C413" t="s">
        <v>76</v>
      </c>
      <c r="D413">
        <v>1.65</v>
      </c>
    </row>
    <row r="414" spans="1:4" x14ac:dyDescent="0.45">
      <c r="A414" t="s">
        <v>57</v>
      </c>
      <c r="B414">
        <v>2003</v>
      </c>
      <c r="C414" t="s">
        <v>76</v>
      </c>
      <c r="D414">
        <v>0.11</v>
      </c>
    </row>
    <row r="415" spans="1:4" x14ac:dyDescent="0.45">
      <c r="A415" t="s">
        <v>38</v>
      </c>
      <c r="B415">
        <v>2003</v>
      </c>
      <c r="C415" t="s">
        <v>76</v>
      </c>
      <c r="D415">
        <v>20.46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0.04</v>
      </c>
    </row>
    <row r="418" spans="1:4" x14ac:dyDescent="0.45">
      <c r="A418" t="s">
        <v>32</v>
      </c>
      <c r="B418">
        <v>2004</v>
      </c>
      <c r="C418" t="s">
        <v>76</v>
      </c>
      <c r="D418">
        <v>0.72</v>
      </c>
    </row>
    <row r="419" spans="1:4" x14ac:dyDescent="0.45">
      <c r="A419" t="s">
        <v>34</v>
      </c>
      <c r="B419">
        <v>2004</v>
      </c>
      <c r="C419" t="s">
        <v>76</v>
      </c>
      <c r="D419">
        <v>430.44</v>
      </c>
    </row>
    <row r="420" spans="1:4" x14ac:dyDescent="0.45">
      <c r="A420" t="s">
        <v>36</v>
      </c>
      <c r="B420">
        <v>2004</v>
      </c>
      <c r="C420" t="s">
        <v>76</v>
      </c>
      <c r="D420">
        <v>53.08</v>
      </c>
    </row>
    <row r="421" spans="1:4" x14ac:dyDescent="0.45">
      <c r="A421" t="s">
        <v>56</v>
      </c>
      <c r="B421">
        <v>2004</v>
      </c>
      <c r="C421" t="s">
        <v>76</v>
      </c>
      <c r="D421">
        <v>2.39</v>
      </c>
    </row>
    <row r="422" spans="1:4" x14ac:dyDescent="0.45">
      <c r="A422" t="s">
        <v>57</v>
      </c>
      <c r="B422">
        <v>2004</v>
      </c>
      <c r="C422" t="s">
        <v>76</v>
      </c>
      <c r="D422">
        <v>0.13</v>
      </c>
    </row>
    <row r="423" spans="1:4" x14ac:dyDescent="0.45">
      <c r="A423" t="s">
        <v>38</v>
      </c>
      <c r="B423">
        <v>2004</v>
      </c>
      <c r="C423" t="s">
        <v>76</v>
      </c>
      <c r="D423">
        <v>18.600000000000001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0.08</v>
      </c>
    </row>
    <row r="426" spans="1:4" x14ac:dyDescent="0.45">
      <c r="A426" t="s">
        <v>32</v>
      </c>
      <c r="B426">
        <v>2005</v>
      </c>
      <c r="C426" t="s">
        <v>76</v>
      </c>
      <c r="D426">
        <v>0.87</v>
      </c>
    </row>
    <row r="427" spans="1:4" x14ac:dyDescent="0.45">
      <c r="A427" t="s">
        <v>34</v>
      </c>
      <c r="B427">
        <v>2005</v>
      </c>
      <c r="C427" t="s">
        <v>76</v>
      </c>
      <c r="D427">
        <v>444.76</v>
      </c>
    </row>
    <row r="428" spans="1:4" x14ac:dyDescent="0.45">
      <c r="A428" t="s">
        <v>36</v>
      </c>
      <c r="B428">
        <v>2005</v>
      </c>
      <c r="C428" t="s">
        <v>76</v>
      </c>
      <c r="D428">
        <v>52.31</v>
      </c>
    </row>
    <row r="429" spans="1:4" x14ac:dyDescent="0.45">
      <c r="A429" t="s">
        <v>56</v>
      </c>
      <c r="B429">
        <v>2005</v>
      </c>
      <c r="C429" t="s">
        <v>76</v>
      </c>
      <c r="D429">
        <v>2.31</v>
      </c>
    </row>
    <row r="430" spans="1:4" x14ac:dyDescent="0.45">
      <c r="A430" t="s">
        <v>57</v>
      </c>
      <c r="B430">
        <v>2005</v>
      </c>
      <c r="C430" t="s">
        <v>76</v>
      </c>
      <c r="D430">
        <v>0.1</v>
      </c>
    </row>
    <row r="431" spans="1:4" x14ac:dyDescent="0.45">
      <c r="A431" t="s">
        <v>38</v>
      </c>
      <c r="B431">
        <v>2005</v>
      </c>
      <c r="C431" t="s">
        <v>76</v>
      </c>
      <c r="D431">
        <v>16.690000000000001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0.1</v>
      </c>
    </row>
    <row r="434" spans="1:4" x14ac:dyDescent="0.45">
      <c r="A434" t="s">
        <v>32</v>
      </c>
      <c r="B434">
        <v>2006</v>
      </c>
      <c r="C434" t="s">
        <v>76</v>
      </c>
      <c r="D434">
        <v>1.21</v>
      </c>
    </row>
    <row r="435" spans="1:4" x14ac:dyDescent="0.45">
      <c r="A435" t="s">
        <v>34</v>
      </c>
      <c r="B435">
        <v>2006</v>
      </c>
      <c r="C435" t="s">
        <v>76</v>
      </c>
      <c r="D435">
        <v>469.78</v>
      </c>
    </row>
    <row r="436" spans="1:4" x14ac:dyDescent="0.45">
      <c r="A436" t="s">
        <v>36</v>
      </c>
      <c r="B436">
        <v>2006</v>
      </c>
      <c r="C436" t="s">
        <v>76</v>
      </c>
      <c r="D436">
        <v>51.77</v>
      </c>
    </row>
    <row r="437" spans="1:4" x14ac:dyDescent="0.45">
      <c r="A437" t="s">
        <v>56</v>
      </c>
      <c r="B437">
        <v>2006</v>
      </c>
      <c r="C437" t="s">
        <v>76</v>
      </c>
      <c r="D437">
        <v>2.68</v>
      </c>
    </row>
    <row r="438" spans="1:4" x14ac:dyDescent="0.45">
      <c r="A438" t="s">
        <v>57</v>
      </c>
      <c r="B438">
        <v>2006</v>
      </c>
      <c r="C438" t="s">
        <v>76</v>
      </c>
      <c r="D438">
        <v>0.1</v>
      </c>
    </row>
    <row r="439" spans="1:4" x14ac:dyDescent="0.45">
      <c r="A439" t="s">
        <v>38</v>
      </c>
      <c r="B439">
        <v>2006</v>
      </c>
      <c r="C439" t="s">
        <v>76</v>
      </c>
      <c r="D439">
        <v>12.55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0.15</v>
      </c>
    </row>
    <row r="442" spans="1:4" x14ac:dyDescent="0.45">
      <c r="A442" t="s">
        <v>32</v>
      </c>
      <c r="B442">
        <v>2007</v>
      </c>
      <c r="C442" t="s">
        <v>76</v>
      </c>
      <c r="D442">
        <v>1.6</v>
      </c>
    </row>
    <row r="443" spans="1:4" x14ac:dyDescent="0.45">
      <c r="A443" t="s">
        <v>34</v>
      </c>
      <c r="B443">
        <v>2007</v>
      </c>
      <c r="C443" t="s">
        <v>76</v>
      </c>
      <c r="D443">
        <v>495.61</v>
      </c>
    </row>
    <row r="444" spans="1:4" x14ac:dyDescent="0.45">
      <c r="A444" t="s">
        <v>36</v>
      </c>
      <c r="B444">
        <v>2007</v>
      </c>
      <c r="C444" t="s">
        <v>76</v>
      </c>
      <c r="D444">
        <v>62.41</v>
      </c>
    </row>
    <row r="445" spans="1:4" x14ac:dyDescent="0.45">
      <c r="A445" t="s">
        <v>56</v>
      </c>
      <c r="B445">
        <v>2007</v>
      </c>
      <c r="C445" t="s">
        <v>76</v>
      </c>
      <c r="D445">
        <v>2.91</v>
      </c>
    </row>
    <row r="446" spans="1:4" x14ac:dyDescent="0.45">
      <c r="A446" t="s">
        <v>57</v>
      </c>
      <c r="B446">
        <v>2007</v>
      </c>
      <c r="C446" t="s">
        <v>76</v>
      </c>
      <c r="D446">
        <v>0.1</v>
      </c>
    </row>
    <row r="447" spans="1:4" x14ac:dyDescent="0.45">
      <c r="A447" t="s">
        <v>38</v>
      </c>
      <c r="B447">
        <v>2007</v>
      </c>
      <c r="C447" t="s">
        <v>76</v>
      </c>
      <c r="D447">
        <v>8.7899999999999991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0.19</v>
      </c>
    </row>
    <row r="450" spans="1:4" x14ac:dyDescent="0.45">
      <c r="A450" t="s">
        <v>32</v>
      </c>
      <c r="B450">
        <v>2008</v>
      </c>
      <c r="C450" t="s">
        <v>76</v>
      </c>
      <c r="D450">
        <v>2.0099999999999998</v>
      </c>
    </row>
    <row r="451" spans="1:4" x14ac:dyDescent="0.45">
      <c r="A451" t="s">
        <v>34</v>
      </c>
      <c r="B451">
        <v>2008</v>
      </c>
      <c r="C451" t="s">
        <v>76</v>
      </c>
      <c r="D451">
        <v>532.65</v>
      </c>
    </row>
    <row r="452" spans="1:4" x14ac:dyDescent="0.45">
      <c r="A452" t="s">
        <v>36</v>
      </c>
      <c r="B452">
        <v>2008</v>
      </c>
      <c r="C452" t="s">
        <v>76</v>
      </c>
      <c r="D452">
        <v>59.52</v>
      </c>
    </row>
    <row r="453" spans="1:4" x14ac:dyDescent="0.45">
      <c r="A453" t="s">
        <v>56</v>
      </c>
      <c r="B453">
        <v>2008</v>
      </c>
      <c r="C453" t="s">
        <v>76</v>
      </c>
      <c r="D453">
        <v>2.74</v>
      </c>
    </row>
    <row r="454" spans="1:4" x14ac:dyDescent="0.45">
      <c r="A454" t="s">
        <v>57</v>
      </c>
      <c r="B454">
        <v>2008</v>
      </c>
      <c r="C454" t="s">
        <v>76</v>
      </c>
      <c r="D454">
        <v>0.09</v>
      </c>
    </row>
    <row r="455" spans="1:4" x14ac:dyDescent="0.45">
      <c r="A455" t="s">
        <v>38</v>
      </c>
      <c r="B455">
        <v>2008</v>
      </c>
      <c r="C455" t="s">
        <v>76</v>
      </c>
      <c r="D455">
        <v>10.050000000000001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0.23</v>
      </c>
    </row>
    <row r="458" spans="1:4" x14ac:dyDescent="0.45">
      <c r="A458" t="s">
        <v>32</v>
      </c>
      <c r="B458">
        <v>2009</v>
      </c>
      <c r="C458" t="s">
        <v>76</v>
      </c>
      <c r="D458">
        <v>2.52</v>
      </c>
    </row>
    <row r="459" spans="1:4" x14ac:dyDescent="0.45">
      <c r="A459" t="s">
        <v>34</v>
      </c>
      <c r="B459">
        <v>2009</v>
      </c>
      <c r="C459" t="s">
        <v>76</v>
      </c>
      <c r="D459">
        <v>568.04999999999995</v>
      </c>
    </row>
    <row r="460" spans="1:4" x14ac:dyDescent="0.45">
      <c r="A460" t="s">
        <v>36</v>
      </c>
      <c r="B460">
        <v>2009</v>
      </c>
      <c r="C460" t="s">
        <v>76</v>
      </c>
      <c r="D460">
        <v>72.34</v>
      </c>
    </row>
    <row r="461" spans="1:4" x14ac:dyDescent="0.45">
      <c r="A461" t="s">
        <v>56</v>
      </c>
      <c r="B461">
        <v>2009</v>
      </c>
      <c r="C461" t="s">
        <v>76</v>
      </c>
      <c r="D461">
        <v>2.5299999999999998</v>
      </c>
    </row>
    <row r="462" spans="1:4" x14ac:dyDescent="0.45">
      <c r="A462" t="s">
        <v>57</v>
      </c>
      <c r="B462">
        <v>2009</v>
      </c>
      <c r="C462" t="s">
        <v>76</v>
      </c>
      <c r="D462">
        <v>0.1</v>
      </c>
    </row>
    <row r="463" spans="1:4" x14ac:dyDescent="0.45">
      <c r="A463" t="s">
        <v>38</v>
      </c>
      <c r="B463">
        <v>2009</v>
      </c>
      <c r="C463" t="s">
        <v>76</v>
      </c>
      <c r="D463">
        <v>8.61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0.26</v>
      </c>
    </row>
    <row r="466" spans="1:4" x14ac:dyDescent="0.45">
      <c r="A466" t="s">
        <v>32</v>
      </c>
      <c r="B466">
        <v>2010</v>
      </c>
      <c r="C466" t="s">
        <v>76</v>
      </c>
      <c r="D466">
        <v>3.09</v>
      </c>
    </row>
    <row r="467" spans="1:4" x14ac:dyDescent="0.45">
      <c r="A467" t="s">
        <v>34</v>
      </c>
      <c r="B467">
        <v>2010</v>
      </c>
      <c r="C467" t="s">
        <v>76</v>
      </c>
      <c r="D467">
        <v>597.6</v>
      </c>
    </row>
    <row r="468" spans="1:4" x14ac:dyDescent="0.45">
      <c r="A468" t="s">
        <v>36</v>
      </c>
      <c r="B468">
        <v>2010</v>
      </c>
      <c r="C468" t="s">
        <v>76</v>
      </c>
      <c r="D468">
        <v>81.8</v>
      </c>
    </row>
    <row r="469" spans="1:4" x14ac:dyDescent="0.45">
      <c r="A469" t="s">
        <v>56</v>
      </c>
      <c r="B469">
        <v>2010</v>
      </c>
      <c r="C469" t="s">
        <v>76</v>
      </c>
      <c r="D469">
        <v>2.58</v>
      </c>
    </row>
    <row r="470" spans="1:4" x14ac:dyDescent="0.45">
      <c r="A470" t="s">
        <v>57</v>
      </c>
      <c r="B470">
        <v>2010</v>
      </c>
      <c r="C470" t="s">
        <v>76</v>
      </c>
      <c r="D470">
        <v>0.14000000000000001</v>
      </c>
    </row>
    <row r="471" spans="1:4" x14ac:dyDescent="0.45">
      <c r="A471" t="s">
        <v>38</v>
      </c>
      <c r="B471">
        <v>2010</v>
      </c>
      <c r="C471" t="s">
        <v>76</v>
      </c>
      <c r="D471">
        <v>7.09</v>
      </c>
    </row>
    <row r="472" spans="1:4" x14ac:dyDescent="0.45">
      <c r="A472" t="s">
        <v>58</v>
      </c>
      <c r="B472">
        <v>2010</v>
      </c>
      <c r="C472" t="s">
        <v>76</v>
      </c>
      <c r="D472">
        <v>0.01</v>
      </c>
    </row>
    <row r="473" spans="1:4" x14ac:dyDescent="0.45">
      <c r="A473" t="s">
        <v>91</v>
      </c>
      <c r="B473">
        <v>2010</v>
      </c>
      <c r="C473" t="s">
        <v>76</v>
      </c>
      <c r="D473">
        <v>0.31</v>
      </c>
    </row>
    <row r="474" spans="1:4" x14ac:dyDescent="0.45">
      <c r="A474" t="s">
        <v>32</v>
      </c>
      <c r="B474">
        <v>2011</v>
      </c>
      <c r="C474" t="s">
        <v>76</v>
      </c>
      <c r="D474">
        <v>3.71</v>
      </c>
    </row>
    <row r="475" spans="1:4" x14ac:dyDescent="0.45">
      <c r="A475" t="s">
        <v>34</v>
      </c>
      <c r="B475">
        <v>2011</v>
      </c>
      <c r="C475" t="s">
        <v>76</v>
      </c>
      <c r="D475">
        <v>650.73</v>
      </c>
    </row>
    <row r="476" spans="1:4" x14ac:dyDescent="0.45">
      <c r="A476" t="s">
        <v>36</v>
      </c>
      <c r="B476">
        <v>2011</v>
      </c>
      <c r="C476" t="s">
        <v>76</v>
      </c>
      <c r="D476">
        <v>81.48</v>
      </c>
    </row>
    <row r="477" spans="1:4" x14ac:dyDescent="0.45">
      <c r="A477" t="s">
        <v>56</v>
      </c>
      <c r="B477">
        <v>2011</v>
      </c>
      <c r="C477" t="s">
        <v>76</v>
      </c>
      <c r="D477">
        <v>3.13</v>
      </c>
    </row>
    <row r="478" spans="1:4" x14ac:dyDescent="0.45">
      <c r="A478" t="s">
        <v>57</v>
      </c>
      <c r="B478">
        <v>2011</v>
      </c>
      <c r="C478" t="s">
        <v>76</v>
      </c>
      <c r="D478">
        <v>0.19</v>
      </c>
    </row>
    <row r="479" spans="1:4" x14ac:dyDescent="0.45">
      <c r="A479" t="s">
        <v>38</v>
      </c>
      <c r="B479">
        <v>2011</v>
      </c>
      <c r="C479" t="s">
        <v>76</v>
      </c>
      <c r="D479">
        <v>6.15</v>
      </c>
    </row>
    <row r="480" spans="1:4" x14ac:dyDescent="0.45">
      <c r="A480" t="s">
        <v>58</v>
      </c>
      <c r="B480">
        <v>2011</v>
      </c>
      <c r="C480" t="s">
        <v>76</v>
      </c>
      <c r="D480">
        <v>0.04</v>
      </c>
    </row>
    <row r="481" spans="1:4" x14ac:dyDescent="0.45">
      <c r="A481" t="s">
        <v>91</v>
      </c>
      <c r="B481">
        <v>2011</v>
      </c>
      <c r="C481" t="s">
        <v>76</v>
      </c>
      <c r="D481">
        <v>0.39</v>
      </c>
    </row>
    <row r="482" spans="1:4" x14ac:dyDescent="0.45">
      <c r="A482" t="s">
        <v>32</v>
      </c>
      <c r="B482">
        <v>2012</v>
      </c>
      <c r="C482" t="s">
        <v>76</v>
      </c>
      <c r="D482">
        <v>4.3099999999999996</v>
      </c>
    </row>
    <row r="483" spans="1:4" x14ac:dyDescent="0.45">
      <c r="A483" t="s">
        <v>34</v>
      </c>
      <c r="B483">
        <v>2012</v>
      </c>
      <c r="C483" t="s">
        <v>76</v>
      </c>
      <c r="D483">
        <v>728.15</v>
      </c>
    </row>
    <row r="484" spans="1:4" x14ac:dyDescent="0.45">
      <c r="A484" t="s">
        <v>36</v>
      </c>
      <c r="B484">
        <v>2012</v>
      </c>
      <c r="C484" t="s">
        <v>76</v>
      </c>
      <c r="D484">
        <v>66.709999999999994</v>
      </c>
    </row>
    <row r="485" spans="1:4" x14ac:dyDescent="0.45">
      <c r="A485" t="s">
        <v>56</v>
      </c>
      <c r="B485">
        <v>2012</v>
      </c>
      <c r="C485" t="s">
        <v>76</v>
      </c>
      <c r="D485">
        <v>2.75</v>
      </c>
    </row>
    <row r="486" spans="1:4" x14ac:dyDescent="0.45">
      <c r="A486" t="s">
        <v>57</v>
      </c>
      <c r="B486">
        <v>2012</v>
      </c>
      <c r="C486" t="s">
        <v>76</v>
      </c>
      <c r="D486">
        <v>0.19</v>
      </c>
    </row>
    <row r="487" spans="1:4" x14ac:dyDescent="0.45">
      <c r="A487" t="s">
        <v>38</v>
      </c>
      <c r="B487">
        <v>2012</v>
      </c>
      <c r="C487" t="s">
        <v>76</v>
      </c>
      <c r="D487">
        <v>6.63</v>
      </c>
    </row>
    <row r="488" spans="1:4" x14ac:dyDescent="0.45">
      <c r="A488" t="s">
        <v>58</v>
      </c>
      <c r="B488">
        <v>2012</v>
      </c>
      <c r="C488" t="s">
        <v>76</v>
      </c>
      <c r="D488">
        <v>0.1</v>
      </c>
    </row>
    <row r="489" spans="1:4" x14ac:dyDescent="0.45">
      <c r="A489" t="s">
        <v>91</v>
      </c>
      <c r="B489">
        <v>2012</v>
      </c>
      <c r="C489" t="s">
        <v>76</v>
      </c>
      <c r="D489">
        <v>0.44</v>
      </c>
    </row>
    <row r="490" spans="1:4" x14ac:dyDescent="0.45">
      <c r="A490" t="s">
        <v>32</v>
      </c>
      <c r="B490">
        <v>2013</v>
      </c>
      <c r="C490" t="s">
        <v>76</v>
      </c>
      <c r="D490">
        <v>4.8600000000000003</v>
      </c>
    </row>
    <row r="491" spans="1:4" x14ac:dyDescent="0.45">
      <c r="A491" t="s">
        <v>34</v>
      </c>
      <c r="B491">
        <v>2013</v>
      </c>
      <c r="C491" t="s">
        <v>76</v>
      </c>
      <c r="D491">
        <v>782.51</v>
      </c>
    </row>
    <row r="492" spans="1:4" x14ac:dyDescent="0.45">
      <c r="A492" t="s">
        <v>36</v>
      </c>
      <c r="B492">
        <v>2013</v>
      </c>
      <c r="C492" t="s">
        <v>76</v>
      </c>
      <c r="D492">
        <v>45.96</v>
      </c>
    </row>
    <row r="493" spans="1:4" x14ac:dyDescent="0.45">
      <c r="A493" t="s">
        <v>56</v>
      </c>
      <c r="B493">
        <v>2013</v>
      </c>
      <c r="C493" t="s">
        <v>76</v>
      </c>
      <c r="D493">
        <v>3.14</v>
      </c>
    </row>
    <row r="494" spans="1:4" x14ac:dyDescent="0.45">
      <c r="A494" t="s">
        <v>57</v>
      </c>
      <c r="B494">
        <v>2013</v>
      </c>
      <c r="C494" t="s">
        <v>76</v>
      </c>
      <c r="D494">
        <v>0.2</v>
      </c>
    </row>
    <row r="495" spans="1:4" x14ac:dyDescent="0.45">
      <c r="A495" t="s">
        <v>38</v>
      </c>
      <c r="B495">
        <v>2013</v>
      </c>
      <c r="C495" t="s">
        <v>76</v>
      </c>
      <c r="D495">
        <v>7.01</v>
      </c>
    </row>
    <row r="496" spans="1:4" x14ac:dyDescent="0.45">
      <c r="A496" t="s">
        <v>58</v>
      </c>
      <c r="B496">
        <v>2013</v>
      </c>
      <c r="C496" t="s">
        <v>76</v>
      </c>
      <c r="D496">
        <v>0.16</v>
      </c>
    </row>
    <row r="497" spans="1:4" x14ac:dyDescent="0.45">
      <c r="A497" t="s">
        <v>91</v>
      </c>
      <c r="B497">
        <v>2013</v>
      </c>
      <c r="C497" t="s">
        <v>76</v>
      </c>
      <c r="D497">
        <v>0.48</v>
      </c>
    </row>
    <row r="498" spans="1:4" x14ac:dyDescent="0.45">
      <c r="A498" t="s">
        <v>32</v>
      </c>
      <c r="B498">
        <v>2014</v>
      </c>
      <c r="C498" t="s">
        <v>76</v>
      </c>
      <c r="D498">
        <v>5.34</v>
      </c>
    </row>
    <row r="499" spans="1:4" x14ac:dyDescent="0.45">
      <c r="A499" t="s">
        <v>34</v>
      </c>
      <c r="B499">
        <v>2014</v>
      </c>
      <c r="C499" t="s">
        <v>76</v>
      </c>
      <c r="D499">
        <v>874.37</v>
      </c>
    </row>
    <row r="500" spans="1:4" x14ac:dyDescent="0.45">
      <c r="A500" t="s">
        <v>36</v>
      </c>
      <c r="B500">
        <v>2014</v>
      </c>
      <c r="C500" t="s">
        <v>76</v>
      </c>
      <c r="D500">
        <v>44.36</v>
      </c>
    </row>
    <row r="501" spans="1:4" x14ac:dyDescent="0.45">
      <c r="A501" t="s">
        <v>56</v>
      </c>
      <c r="B501">
        <v>2014</v>
      </c>
      <c r="C501" t="s">
        <v>76</v>
      </c>
      <c r="D501">
        <v>3.3</v>
      </c>
    </row>
    <row r="502" spans="1:4" x14ac:dyDescent="0.45">
      <c r="A502" t="s">
        <v>57</v>
      </c>
      <c r="B502">
        <v>2014</v>
      </c>
      <c r="C502" t="s">
        <v>76</v>
      </c>
      <c r="D502">
        <v>0.2</v>
      </c>
    </row>
    <row r="503" spans="1:4" x14ac:dyDescent="0.45">
      <c r="A503" t="s">
        <v>38</v>
      </c>
      <c r="B503">
        <v>2014</v>
      </c>
      <c r="C503" t="s">
        <v>76</v>
      </c>
      <c r="D503">
        <v>7.6</v>
      </c>
    </row>
    <row r="504" spans="1:4" x14ac:dyDescent="0.45">
      <c r="A504" t="s">
        <v>58</v>
      </c>
      <c r="B504">
        <v>2014</v>
      </c>
      <c r="C504" t="s">
        <v>76</v>
      </c>
      <c r="D504">
        <v>0.23</v>
      </c>
    </row>
    <row r="505" spans="1:4" x14ac:dyDescent="0.45">
      <c r="A505" t="s">
        <v>91</v>
      </c>
      <c r="B505">
        <v>2014</v>
      </c>
      <c r="C505" t="s">
        <v>76</v>
      </c>
      <c r="D505">
        <v>0.54</v>
      </c>
    </row>
    <row r="506" spans="1:4" x14ac:dyDescent="0.45">
      <c r="A506" t="s">
        <v>32</v>
      </c>
      <c r="B506">
        <v>2015</v>
      </c>
      <c r="C506" t="s">
        <v>76</v>
      </c>
      <c r="D506">
        <v>6.62</v>
      </c>
    </row>
    <row r="507" spans="1:4" x14ac:dyDescent="0.45">
      <c r="A507" t="s">
        <v>34</v>
      </c>
      <c r="B507">
        <v>2015</v>
      </c>
      <c r="C507" t="s">
        <v>76</v>
      </c>
      <c r="D507">
        <v>924.16</v>
      </c>
    </row>
    <row r="508" spans="1:4" x14ac:dyDescent="0.45">
      <c r="A508" t="s">
        <v>36</v>
      </c>
      <c r="B508">
        <v>2015</v>
      </c>
      <c r="C508" t="s">
        <v>76</v>
      </c>
      <c r="D508">
        <v>44.89</v>
      </c>
    </row>
    <row r="509" spans="1:4" x14ac:dyDescent="0.45">
      <c r="A509" t="s">
        <v>56</v>
      </c>
      <c r="B509">
        <v>2015</v>
      </c>
      <c r="C509" t="s">
        <v>76</v>
      </c>
      <c r="D509">
        <v>3.17</v>
      </c>
    </row>
    <row r="510" spans="1:4" x14ac:dyDescent="0.45">
      <c r="A510" t="s">
        <v>57</v>
      </c>
      <c r="B510">
        <v>2015</v>
      </c>
      <c r="C510" t="s">
        <v>76</v>
      </c>
      <c r="D510">
        <v>0.23</v>
      </c>
    </row>
    <row r="511" spans="1:4" x14ac:dyDescent="0.45">
      <c r="A511" t="s">
        <v>38</v>
      </c>
      <c r="B511">
        <v>2015</v>
      </c>
      <c r="C511" t="s">
        <v>76</v>
      </c>
      <c r="D511">
        <v>6.09</v>
      </c>
    </row>
    <row r="512" spans="1:4" x14ac:dyDescent="0.45">
      <c r="A512" t="s">
        <v>58</v>
      </c>
      <c r="B512">
        <v>2015</v>
      </c>
      <c r="C512" t="s">
        <v>76</v>
      </c>
      <c r="D512">
        <v>0.31</v>
      </c>
    </row>
    <row r="513" spans="1:4" x14ac:dyDescent="0.45">
      <c r="A513" t="s">
        <v>91</v>
      </c>
      <c r="B513">
        <v>2015</v>
      </c>
      <c r="C513" t="s">
        <v>76</v>
      </c>
      <c r="D513">
        <v>0.53</v>
      </c>
    </row>
    <row r="514" spans="1:4" x14ac:dyDescent="0.45">
      <c r="A514" t="s">
        <v>32</v>
      </c>
      <c r="B514">
        <v>2016</v>
      </c>
      <c r="C514" t="s">
        <v>76</v>
      </c>
      <c r="D514">
        <v>5.37</v>
      </c>
    </row>
    <row r="515" spans="1:4" x14ac:dyDescent="0.45">
      <c r="A515" t="s">
        <v>34</v>
      </c>
      <c r="B515">
        <v>2016</v>
      </c>
      <c r="C515" t="s">
        <v>76</v>
      </c>
      <c r="D515">
        <v>983.7</v>
      </c>
    </row>
    <row r="516" spans="1:4" x14ac:dyDescent="0.45">
      <c r="A516" t="s">
        <v>36</v>
      </c>
      <c r="B516">
        <v>2016</v>
      </c>
      <c r="C516" t="s">
        <v>76</v>
      </c>
      <c r="D516">
        <v>50.33</v>
      </c>
    </row>
    <row r="517" spans="1:4" x14ac:dyDescent="0.45">
      <c r="A517" t="s">
        <v>56</v>
      </c>
      <c r="B517">
        <v>2016</v>
      </c>
      <c r="C517" t="s">
        <v>76</v>
      </c>
      <c r="D517">
        <v>3.05</v>
      </c>
    </row>
    <row r="518" spans="1:4" x14ac:dyDescent="0.45">
      <c r="A518" t="s">
        <v>57</v>
      </c>
      <c r="B518">
        <v>2016</v>
      </c>
      <c r="C518" t="s">
        <v>76</v>
      </c>
      <c r="D518">
        <v>0.22</v>
      </c>
    </row>
    <row r="519" spans="1:4" x14ac:dyDescent="0.45">
      <c r="A519" t="s">
        <v>38</v>
      </c>
      <c r="B519">
        <v>2016</v>
      </c>
      <c r="C519" t="s">
        <v>76</v>
      </c>
      <c r="D519">
        <v>6.19</v>
      </c>
    </row>
    <row r="520" spans="1:4" x14ac:dyDescent="0.45">
      <c r="A520" t="s">
        <v>58</v>
      </c>
      <c r="B520">
        <v>2016</v>
      </c>
      <c r="C520" t="s">
        <v>76</v>
      </c>
      <c r="D520">
        <v>0.55000000000000004</v>
      </c>
    </row>
    <row r="521" spans="1:4" x14ac:dyDescent="0.45">
      <c r="A521" t="s">
        <v>91</v>
      </c>
      <c r="B521">
        <v>2016</v>
      </c>
      <c r="C521" t="s">
        <v>76</v>
      </c>
      <c r="D521">
        <v>0.7</v>
      </c>
    </row>
    <row r="522" spans="1:4" x14ac:dyDescent="0.45">
      <c r="A522" t="s">
        <v>32</v>
      </c>
      <c r="B522">
        <v>2017</v>
      </c>
      <c r="C522" t="s">
        <v>76</v>
      </c>
      <c r="D522">
        <v>5.39</v>
      </c>
    </row>
    <row r="523" spans="1:4" x14ac:dyDescent="0.45">
      <c r="A523" t="s">
        <v>34</v>
      </c>
      <c r="B523">
        <v>2017</v>
      </c>
      <c r="C523" t="s">
        <v>76</v>
      </c>
      <c r="D523">
        <v>1020.03</v>
      </c>
    </row>
    <row r="524" spans="1:4" x14ac:dyDescent="0.45">
      <c r="A524" t="s">
        <v>36</v>
      </c>
      <c r="B524">
        <v>2017</v>
      </c>
      <c r="C524" t="s">
        <v>76</v>
      </c>
      <c r="D524">
        <v>51.97</v>
      </c>
    </row>
    <row r="525" spans="1:4" x14ac:dyDescent="0.45">
      <c r="A525" t="s">
        <v>56</v>
      </c>
      <c r="B525">
        <v>2017</v>
      </c>
      <c r="C525" t="s">
        <v>76</v>
      </c>
      <c r="D525">
        <v>3.23</v>
      </c>
    </row>
    <row r="526" spans="1:4" x14ac:dyDescent="0.45">
      <c r="A526" t="s">
        <v>57</v>
      </c>
      <c r="B526">
        <v>2017</v>
      </c>
      <c r="C526" t="s">
        <v>76</v>
      </c>
      <c r="D526">
        <v>0.22</v>
      </c>
    </row>
    <row r="527" spans="1:4" x14ac:dyDescent="0.45">
      <c r="A527" t="s">
        <v>38</v>
      </c>
      <c r="B527">
        <v>2017</v>
      </c>
      <c r="C527" t="s">
        <v>76</v>
      </c>
      <c r="D527">
        <v>5.78</v>
      </c>
    </row>
    <row r="528" spans="1:4" x14ac:dyDescent="0.45">
      <c r="A528" t="s">
        <v>58</v>
      </c>
      <c r="B528">
        <v>2017</v>
      </c>
      <c r="C528" t="s">
        <v>76</v>
      </c>
      <c r="D528">
        <v>1.02</v>
      </c>
    </row>
    <row r="529" spans="1:4" x14ac:dyDescent="0.45">
      <c r="A529" t="s">
        <v>91</v>
      </c>
      <c r="B529">
        <v>2017</v>
      </c>
      <c r="C529" t="s">
        <v>76</v>
      </c>
      <c r="D529">
        <v>0.85</v>
      </c>
    </row>
    <row r="530" spans="1:4" x14ac:dyDescent="0.45">
      <c r="A530" t="s">
        <v>32</v>
      </c>
      <c r="B530">
        <v>2018</v>
      </c>
      <c r="C530" t="s">
        <v>76</v>
      </c>
      <c r="D530">
        <v>5.88</v>
      </c>
    </row>
    <row r="531" spans="1:4" x14ac:dyDescent="0.45">
      <c r="A531" t="s">
        <v>34</v>
      </c>
      <c r="B531">
        <v>2018</v>
      </c>
      <c r="C531" t="s">
        <v>76</v>
      </c>
      <c r="D531">
        <v>1095.1600000000001</v>
      </c>
    </row>
    <row r="532" spans="1:4" x14ac:dyDescent="0.45">
      <c r="A532" t="s">
        <v>36</v>
      </c>
      <c r="B532">
        <v>2018</v>
      </c>
      <c r="C532" t="s">
        <v>76</v>
      </c>
      <c r="D532">
        <v>49.39</v>
      </c>
    </row>
    <row r="533" spans="1:4" x14ac:dyDescent="0.45">
      <c r="A533" t="s">
        <v>56</v>
      </c>
      <c r="B533">
        <v>2018</v>
      </c>
      <c r="C533" t="s">
        <v>76</v>
      </c>
      <c r="D533">
        <v>3.32</v>
      </c>
    </row>
    <row r="534" spans="1:4" x14ac:dyDescent="0.45">
      <c r="A534" t="s">
        <v>57</v>
      </c>
      <c r="B534">
        <v>2018</v>
      </c>
      <c r="C534" t="s">
        <v>76</v>
      </c>
      <c r="D534">
        <v>0.23</v>
      </c>
    </row>
    <row r="535" spans="1:4" x14ac:dyDescent="0.45">
      <c r="A535" t="s">
        <v>38</v>
      </c>
      <c r="B535">
        <v>2018</v>
      </c>
      <c r="C535" t="s">
        <v>76</v>
      </c>
      <c r="D535">
        <v>4.21</v>
      </c>
    </row>
    <row r="536" spans="1:4" x14ac:dyDescent="0.45">
      <c r="A536" t="s">
        <v>58</v>
      </c>
      <c r="B536">
        <v>2018</v>
      </c>
      <c r="C536" t="s">
        <v>76</v>
      </c>
      <c r="D536">
        <v>1.73</v>
      </c>
    </row>
    <row r="537" spans="1:4" x14ac:dyDescent="0.45">
      <c r="A537" t="s">
        <v>91</v>
      </c>
      <c r="B537">
        <v>2018</v>
      </c>
      <c r="C537" t="s">
        <v>76</v>
      </c>
      <c r="D537">
        <v>0.97</v>
      </c>
    </row>
    <row r="538" spans="1:4" x14ac:dyDescent="0.45">
      <c r="A538" t="s">
        <v>32</v>
      </c>
      <c r="B538">
        <v>2019</v>
      </c>
      <c r="C538" t="s">
        <v>76</v>
      </c>
      <c r="D538">
        <v>6.81</v>
      </c>
    </row>
    <row r="539" spans="1:4" x14ac:dyDescent="0.45">
      <c r="A539" t="s">
        <v>34</v>
      </c>
      <c r="B539">
        <v>2019</v>
      </c>
      <c r="C539" t="s">
        <v>76</v>
      </c>
      <c r="D539">
        <v>1093.56</v>
      </c>
    </row>
    <row r="540" spans="1:4" x14ac:dyDescent="0.45">
      <c r="A540" t="s">
        <v>36</v>
      </c>
      <c r="B540">
        <v>2019</v>
      </c>
      <c r="C540" t="s">
        <v>76</v>
      </c>
      <c r="D540">
        <v>49.87</v>
      </c>
    </row>
    <row r="541" spans="1:4" x14ac:dyDescent="0.45">
      <c r="A541" t="s">
        <v>56</v>
      </c>
      <c r="B541">
        <v>2019</v>
      </c>
      <c r="C541" t="s">
        <v>76</v>
      </c>
      <c r="D541">
        <v>3.85</v>
      </c>
    </row>
    <row r="542" spans="1:4" x14ac:dyDescent="0.45">
      <c r="A542" t="s">
        <v>57</v>
      </c>
      <c r="B542">
        <v>2019</v>
      </c>
      <c r="C542" t="s">
        <v>76</v>
      </c>
      <c r="D542">
        <v>0.27</v>
      </c>
    </row>
    <row r="543" spans="1:4" x14ac:dyDescent="0.45">
      <c r="A543" t="s">
        <v>38</v>
      </c>
      <c r="B543">
        <v>2019</v>
      </c>
      <c r="C543" t="s">
        <v>76</v>
      </c>
      <c r="D543">
        <v>2.02</v>
      </c>
    </row>
    <row r="544" spans="1:4" x14ac:dyDescent="0.45">
      <c r="A544" t="s">
        <v>58</v>
      </c>
      <c r="B544">
        <v>2019</v>
      </c>
      <c r="C544" t="s">
        <v>76</v>
      </c>
      <c r="D544">
        <v>2.2000000000000002</v>
      </c>
    </row>
    <row r="545" spans="1:4" x14ac:dyDescent="0.45">
      <c r="A545" t="s">
        <v>91</v>
      </c>
      <c r="B545">
        <v>2019</v>
      </c>
      <c r="C545" t="s">
        <v>76</v>
      </c>
      <c r="D545">
        <v>1.02</v>
      </c>
    </row>
    <row r="546" spans="1:4" x14ac:dyDescent="0.45">
      <c r="A546" t="s">
        <v>32</v>
      </c>
      <c r="B546">
        <v>2020</v>
      </c>
      <c r="C546" t="s">
        <v>76</v>
      </c>
      <c r="D546">
        <v>7.1</v>
      </c>
    </row>
    <row r="547" spans="1:4" x14ac:dyDescent="0.45">
      <c r="A547" t="s">
        <v>34</v>
      </c>
      <c r="B547">
        <v>2020</v>
      </c>
      <c r="C547" t="s">
        <v>76</v>
      </c>
      <c r="D547">
        <v>1042.33</v>
      </c>
    </row>
    <row r="548" spans="1:4" x14ac:dyDescent="0.45">
      <c r="A548" t="s">
        <v>36</v>
      </c>
      <c r="B548">
        <v>2020</v>
      </c>
      <c r="C548" t="s">
        <v>76</v>
      </c>
      <c r="D548">
        <v>51.83</v>
      </c>
    </row>
    <row r="549" spans="1:4" x14ac:dyDescent="0.45">
      <c r="A549" t="s">
        <v>56</v>
      </c>
      <c r="B549">
        <v>2020</v>
      </c>
      <c r="C549" t="s">
        <v>76</v>
      </c>
      <c r="D549">
        <v>3.89</v>
      </c>
    </row>
    <row r="550" spans="1:4" x14ac:dyDescent="0.45">
      <c r="A550" t="s">
        <v>57</v>
      </c>
      <c r="B550">
        <v>2020</v>
      </c>
      <c r="C550" t="s">
        <v>76</v>
      </c>
      <c r="D550">
        <v>0.26</v>
      </c>
    </row>
    <row r="551" spans="1:4" x14ac:dyDescent="0.45">
      <c r="A551" t="s">
        <v>38</v>
      </c>
      <c r="B551">
        <v>2020</v>
      </c>
      <c r="C551" t="s">
        <v>76</v>
      </c>
      <c r="D551">
        <v>2.0299999999999998</v>
      </c>
    </row>
    <row r="552" spans="1:4" x14ac:dyDescent="0.45">
      <c r="A552" t="s">
        <v>58</v>
      </c>
      <c r="B552">
        <v>2020</v>
      </c>
      <c r="C552" t="s">
        <v>76</v>
      </c>
      <c r="D552">
        <v>2.79</v>
      </c>
    </row>
    <row r="553" spans="1:4" x14ac:dyDescent="0.45">
      <c r="A553" t="s">
        <v>91</v>
      </c>
      <c r="B553">
        <v>2020</v>
      </c>
      <c r="C553" t="s">
        <v>76</v>
      </c>
      <c r="D553">
        <v>0.97</v>
      </c>
    </row>
    <row r="554" spans="1:4" x14ac:dyDescent="0.45">
      <c r="A554" t="s">
        <v>32</v>
      </c>
      <c r="B554">
        <v>2021</v>
      </c>
      <c r="C554" t="s">
        <v>76</v>
      </c>
      <c r="D554">
        <v>7.68</v>
      </c>
    </row>
    <row r="555" spans="1:4" x14ac:dyDescent="0.45">
      <c r="A555" t="s">
        <v>34</v>
      </c>
      <c r="B555">
        <v>2021</v>
      </c>
      <c r="C555" t="s">
        <v>76</v>
      </c>
      <c r="D555">
        <v>1143.42</v>
      </c>
    </row>
    <row r="556" spans="1:4" x14ac:dyDescent="0.45">
      <c r="A556" t="s">
        <v>36</v>
      </c>
      <c r="B556">
        <v>2021</v>
      </c>
      <c r="C556" t="s">
        <v>76</v>
      </c>
      <c r="D556">
        <v>41.86</v>
      </c>
    </row>
    <row r="557" spans="1:4" x14ac:dyDescent="0.45">
      <c r="A557" t="s">
        <v>56</v>
      </c>
      <c r="B557">
        <v>2021</v>
      </c>
      <c r="C557" t="s">
        <v>76</v>
      </c>
      <c r="D557">
        <v>3.81</v>
      </c>
    </row>
    <row r="558" spans="1:4" x14ac:dyDescent="0.45">
      <c r="A558" t="s">
        <v>57</v>
      </c>
      <c r="B558">
        <v>2021</v>
      </c>
      <c r="C558" t="s">
        <v>76</v>
      </c>
      <c r="D558">
        <v>0.26</v>
      </c>
    </row>
    <row r="559" spans="1:4" x14ac:dyDescent="0.45">
      <c r="A559" t="s">
        <v>38</v>
      </c>
      <c r="B559">
        <v>2021</v>
      </c>
      <c r="C559" t="s">
        <v>76</v>
      </c>
      <c r="D559">
        <v>2.23</v>
      </c>
    </row>
    <row r="560" spans="1:4" x14ac:dyDescent="0.45">
      <c r="A560" t="s">
        <v>58</v>
      </c>
      <c r="B560">
        <v>2021</v>
      </c>
      <c r="C560" t="s">
        <v>76</v>
      </c>
      <c r="D560">
        <v>3.25</v>
      </c>
    </row>
    <row r="561" spans="1:4" x14ac:dyDescent="0.45">
      <c r="A561" t="s">
        <v>91</v>
      </c>
      <c r="B561">
        <v>2021</v>
      </c>
      <c r="C561" t="s">
        <v>76</v>
      </c>
      <c r="D561">
        <v>1.1000000000000001</v>
      </c>
    </row>
    <row r="562" spans="1:4" x14ac:dyDescent="0.45">
      <c r="A562" t="s">
        <v>32</v>
      </c>
      <c r="B562">
        <v>2022</v>
      </c>
      <c r="C562" t="s">
        <v>76</v>
      </c>
      <c r="D562">
        <v>8.34</v>
      </c>
    </row>
    <row r="563" spans="1:4" x14ac:dyDescent="0.45">
      <c r="A563" t="s">
        <v>34</v>
      </c>
      <c r="B563">
        <v>2022</v>
      </c>
      <c r="C563" t="s">
        <v>76</v>
      </c>
      <c r="D563">
        <v>1232.5999999999999</v>
      </c>
    </row>
    <row r="564" spans="1:4" x14ac:dyDescent="0.45">
      <c r="A564" t="s">
        <v>36</v>
      </c>
      <c r="B564">
        <v>2022</v>
      </c>
      <c r="C564" t="s">
        <v>76</v>
      </c>
      <c r="D564">
        <v>32.21</v>
      </c>
    </row>
    <row r="565" spans="1:4" x14ac:dyDescent="0.45">
      <c r="A565" t="s">
        <v>56</v>
      </c>
      <c r="B565">
        <v>2022</v>
      </c>
      <c r="C565" t="s">
        <v>76</v>
      </c>
      <c r="D565">
        <v>4.16</v>
      </c>
    </row>
    <row r="566" spans="1:4" x14ac:dyDescent="0.45">
      <c r="A566" t="s">
        <v>57</v>
      </c>
      <c r="B566">
        <v>2022</v>
      </c>
      <c r="C566" t="s">
        <v>76</v>
      </c>
      <c r="D566">
        <v>0.27</v>
      </c>
    </row>
    <row r="567" spans="1:4" x14ac:dyDescent="0.45">
      <c r="A567" t="s">
        <v>38</v>
      </c>
      <c r="B567">
        <v>2022</v>
      </c>
      <c r="C567" t="s">
        <v>76</v>
      </c>
      <c r="D567">
        <v>2.42</v>
      </c>
    </row>
    <row r="568" spans="1:4" x14ac:dyDescent="0.45">
      <c r="A568" t="s">
        <v>58</v>
      </c>
      <c r="B568">
        <v>2022</v>
      </c>
      <c r="C568" t="s">
        <v>76</v>
      </c>
      <c r="D568">
        <v>4.5199999999999996</v>
      </c>
    </row>
    <row r="569" spans="1:4" x14ac:dyDescent="0.45">
      <c r="A569" t="s">
        <v>91</v>
      </c>
      <c r="B569">
        <v>2022</v>
      </c>
      <c r="C569" t="s">
        <v>76</v>
      </c>
      <c r="D569">
        <v>1.1299999999999999</v>
      </c>
    </row>
    <row r="570" spans="1:4" x14ac:dyDescent="0.45">
      <c r="A570" t="s">
        <v>32</v>
      </c>
      <c r="B570">
        <v>2023</v>
      </c>
      <c r="C570" t="s">
        <v>76</v>
      </c>
      <c r="D570">
        <v>8.06</v>
      </c>
    </row>
    <row r="571" spans="1:4" x14ac:dyDescent="0.45">
      <c r="A571" t="s">
        <v>34</v>
      </c>
      <c r="B571">
        <v>2023</v>
      </c>
      <c r="C571" t="s">
        <v>76</v>
      </c>
      <c r="D571">
        <v>1338.45</v>
      </c>
    </row>
    <row r="572" spans="1:4" x14ac:dyDescent="0.45">
      <c r="A572" t="s">
        <v>36</v>
      </c>
      <c r="B572">
        <v>2023</v>
      </c>
      <c r="C572" t="s">
        <v>76</v>
      </c>
      <c r="D572">
        <v>36.46</v>
      </c>
    </row>
    <row r="573" spans="1:4" x14ac:dyDescent="0.45">
      <c r="A573" t="s">
        <v>56</v>
      </c>
      <c r="B573">
        <v>2023</v>
      </c>
      <c r="C573" t="s">
        <v>76</v>
      </c>
      <c r="D573">
        <v>3.54</v>
      </c>
    </row>
    <row r="574" spans="1:4" x14ac:dyDescent="0.45">
      <c r="A574" t="s">
        <v>57</v>
      </c>
      <c r="B574">
        <v>2023</v>
      </c>
      <c r="C574" t="s">
        <v>76</v>
      </c>
      <c r="D574">
        <v>0.28000000000000003</v>
      </c>
    </row>
    <row r="575" spans="1:4" x14ac:dyDescent="0.45">
      <c r="A575" t="s">
        <v>38</v>
      </c>
      <c r="B575">
        <v>2023</v>
      </c>
      <c r="C575" t="s">
        <v>76</v>
      </c>
      <c r="D575">
        <v>2.75</v>
      </c>
    </row>
    <row r="576" spans="1:4" x14ac:dyDescent="0.45">
      <c r="A576" t="s">
        <v>58</v>
      </c>
      <c r="B576">
        <v>2023</v>
      </c>
      <c r="C576" t="s">
        <v>76</v>
      </c>
      <c r="D576">
        <v>5.39</v>
      </c>
    </row>
    <row r="577" spans="1:4" x14ac:dyDescent="0.45">
      <c r="A577" t="s">
        <v>91</v>
      </c>
      <c r="B577">
        <v>2023</v>
      </c>
      <c r="C577" t="s">
        <v>76</v>
      </c>
      <c r="D577">
        <v>1.32</v>
      </c>
    </row>
    <row r="578" spans="1:4" x14ac:dyDescent="0.45">
      <c r="A578" t="s">
        <v>59</v>
      </c>
      <c r="B578">
        <v>2000</v>
      </c>
      <c r="C578" t="s">
        <v>74</v>
      </c>
      <c r="D578">
        <v>0.2</v>
      </c>
    </row>
    <row r="579" spans="1:4" x14ac:dyDescent="0.45">
      <c r="A579" t="s">
        <v>60</v>
      </c>
      <c r="B579">
        <v>2000</v>
      </c>
      <c r="C579" t="s">
        <v>74</v>
      </c>
      <c r="D579">
        <v>1.5</v>
      </c>
    </row>
    <row r="580" spans="1:4" x14ac:dyDescent="0.45">
      <c r="A580" t="s">
        <v>59</v>
      </c>
      <c r="B580">
        <v>2001</v>
      </c>
      <c r="C580" t="s">
        <v>74</v>
      </c>
      <c r="D580">
        <v>0.2</v>
      </c>
    </row>
    <row r="581" spans="1:4" x14ac:dyDescent="0.45">
      <c r="A581" t="s">
        <v>60</v>
      </c>
      <c r="B581">
        <v>2001</v>
      </c>
      <c r="C581" t="s">
        <v>74</v>
      </c>
      <c r="D581">
        <v>1.5</v>
      </c>
    </row>
    <row r="582" spans="1:4" x14ac:dyDescent="0.45">
      <c r="A582" t="s">
        <v>59</v>
      </c>
      <c r="B582">
        <v>2002</v>
      </c>
      <c r="C582" t="s">
        <v>74</v>
      </c>
      <c r="D582">
        <v>0.2</v>
      </c>
    </row>
    <row r="583" spans="1:4" x14ac:dyDescent="0.45">
      <c r="A583" t="s">
        <v>60</v>
      </c>
      <c r="B583">
        <v>2002</v>
      </c>
      <c r="C583" t="s">
        <v>74</v>
      </c>
      <c r="D583">
        <v>1.5</v>
      </c>
    </row>
    <row r="584" spans="1:4" x14ac:dyDescent="0.45">
      <c r="A584" t="s">
        <v>59</v>
      </c>
      <c r="B584">
        <v>2003</v>
      </c>
      <c r="C584" t="s">
        <v>74</v>
      </c>
      <c r="D584">
        <v>0.1</v>
      </c>
    </row>
    <row r="585" spans="1:4" x14ac:dyDescent="0.45">
      <c r="A585" t="s">
        <v>60</v>
      </c>
      <c r="B585">
        <v>2003</v>
      </c>
      <c r="C585" t="s">
        <v>74</v>
      </c>
      <c r="D585">
        <v>1.7</v>
      </c>
    </row>
    <row r="586" spans="1:4" x14ac:dyDescent="0.45">
      <c r="A586" t="s">
        <v>59</v>
      </c>
      <c r="B586">
        <v>2004</v>
      </c>
      <c r="C586" t="s">
        <v>74</v>
      </c>
      <c r="D586">
        <v>0</v>
      </c>
    </row>
    <row r="587" spans="1:4" x14ac:dyDescent="0.45">
      <c r="A587" t="s">
        <v>60</v>
      </c>
      <c r="B587">
        <v>2004</v>
      </c>
      <c r="C587" t="s">
        <v>74</v>
      </c>
      <c r="D587">
        <v>1.7</v>
      </c>
    </row>
    <row r="588" spans="1:4" x14ac:dyDescent="0.45">
      <c r="A588" t="s">
        <v>59</v>
      </c>
      <c r="B588">
        <v>2005</v>
      </c>
      <c r="C588" t="s">
        <v>74</v>
      </c>
      <c r="D588">
        <v>0.2</v>
      </c>
    </row>
    <row r="589" spans="1:4" x14ac:dyDescent="0.45">
      <c r="A589" t="s">
        <v>60</v>
      </c>
      <c r="B589">
        <v>2005</v>
      </c>
      <c r="C589" t="s">
        <v>74</v>
      </c>
      <c r="D589">
        <v>1.8</v>
      </c>
    </row>
    <row r="590" spans="1:4" x14ac:dyDescent="0.45">
      <c r="A590" t="s">
        <v>59</v>
      </c>
      <c r="B590">
        <v>2006</v>
      </c>
      <c r="C590" t="s">
        <v>74</v>
      </c>
      <c r="D590">
        <v>0.2</v>
      </c>
    </row>
    <row r="591" spans="1:4" x14ac:dyDescent="0.45">
      <c r="A591" t="s">
        <v>60</v>
      </c>
      <c r="B591">
        <v>2006</v>
      </c>
      <c r="C591" t="s">
        <v>74</v>
      </c>
      <c r="D591">
        <v>3</v>
      </c>
    </row>
    <row r="592" spans="1:4" x14ac:dyDescent="0.45">
      <c r="A592" t="s">
        <v>59</v>
      </c>
      <c r="B592">
        <v>2007</v>
      </c>
      <c r="C592" t="s">
        <v>74</v>
      </c>
      <c r="D592">
        <v>0.3</v>
      </c>
    </row>
    <row r="593" spans="1:4" x14ac:dyDescent="0.45">
      <c r="A593" t="s">
        <v>60</v>
      </c>
      <c r="B593">
        <v>2007</v>
      </c>
      <c r="C593" t="s">
        <v>74</v>
      </c>
      <c r="D593">
        <v>5.2</v>
      </c>
    </row>
    <row r="594" spans="1:4" x14ac:dyDescent="0.45">
      <c r="A594" t="s">
        <v>59</v>
      </c>
      <c r="B594">
        <v>2008</v>
      </c>
      <c r="C594" t="s">
        <v>74</v>
      </c>
      <c r="D594">
        <v>0.3</v>
      </c>
    </row>
    <row r="595" spans="1:4" x14ac:dyDescent="0.45">
      <c r="A595" t="s">
        <v>60</v>
      </c>
      <c r="B595">
        <v>2008</v>
      </c>
      <c r="C595" t="s">
        <v>74</v>
      </c>
      <c r="D595">
        <v>5.9</v>
      </c>
    </row>
    <row r="596" spans="1:4" x14ac:dyDescent="0.45">
      <c r="A596" t="s">
        <v>59</v>
      </c>
      <c r="B596">
        <v>2009</v>
      </c>
      <c r="C596" t="s">
        <v>74</v>
      </c>
      <c r="D596">
        <v>0.5</v>
      </c>
    </row>
    <row r="597" spans="1:4" x14ac:dyDescent="0.45">
      <c r="A597" t="s">
        <v>60</v>
      </c>
      <c r="B597">
        <v>2009</v>
      </c>
      <c r="C597" t="s">
        <v>74</v>
      </c>
      <c r="D597">
        <v>5.4</v>
      </c>
    </row>
    <row r="598" spans="1:4" x14ac:dyDescent="0.45">
      <c r="A598" t="s">
        <v>59</v>
      </c>
      <c r="B598">
        <v>2010</v>
      </c>
      <c r="C598" t="s">
        <v>74</v>
      </c>
      <c r="D598">
        <v>0.6</v>
      </c>
    </row>
    <row r="599" spans="1:4" x14ac:dyDescent="0.45">
      <c r="A599" t="s">
        <v>60</v>
      </c>
      <c r="B599">
        <v>2010</v>
      </c>
      <c r="C599" t="s">
        <v>74</v>
      </c>
      <c r="D599">
        <v>5.6</v>
      </c>
    </row>
    <row r="600" spans="1:4" x14ac:dyDescent="0.45">
      <c r="A600" t="s">
        <v>59</v>
      </c>
      <c r="B600">
        <v>2011</v>
      </c>
      <c r="C600" t="s">
        <v>74</v>
      </c>
    </row>
    <row r="601" spans="1:4" x14ac:dyDescent="0.45">
      <c r="A601" t="s">
        <v>60</v>
      </c>
      <c r="B601">
        <v>2011</v>
      </c>
      <c r="C601" t="s">
        <v>74</v>
      </c>
      <c r="D601">
        <v>8.4</v>
      </c>
    </row>
    <row r="602" spans="1:4" x14ac:dyDescent="0.45">
      <c r="A602" t="s">
        <v>59</v>
      </c>
      <c r="B602">
        <v>2012</v>
      </c>
      <c r="C602" t="s">
        <v>74</v>
      </c>
    </row>
    <row r="603" spans="1:4" x14ac:dyDescent="0.45">
      <c r="A603" t="s">
        <v>60</v>
      </c>
      <c r="B603">
        <v>2012</v>
      </c>
      <c r="C603" t="s">
        <v>74</v>
      </c>
      <c r="D603">
        <v>5.2</v>
      </c>
    </row>
    <row r="604" spans="1:4" x14ac:dyDescent="0.45">
      <c r="A604" t="s">
        <v>59</v>
      </c>
      <c r="B604">
        <v>2013</v>
      </c>
      <c r="C604" t="s">
        <v>74</v>
      </c>
    </row>
    <row r="605" spans="1:4" x14ac:dyDescent="0.45">
      <c r="A605" t="s">
        <v>60</v>
      </c>
      <c r="B605">
        <v>2013</v>
      </c>
      <c r="C605" t="s">
        <v>74</v>
      </c>
      <c r="D605">
        <v>5.6</v>
      </c>
    </row>
    <row r="606" spans="1:4" x14ac:dyDescent="0.45">
      <c r="A606" t="s">
        <v>59</v>
      </c>
      <c r="B606">
        <v>2014</v>
      </c>
      <c r="C606" t="s">
        <v>74</v>
      </c>
      <c r="D606">
        <v>4.4000000000000004</v>
      </c>
    </row>
    <row r="607" spans="1:4" x14ac:dyDescent="0.45">
      <c r="A607" t="s">
        <v>60</v>
      </c>
      <c r="B607">
        <v>2014</v>
      </c>
      <c r="C607" t="s">
        <v>74</v>
      </c>
      <c r="D607">
        <v>5</v>
      </c>
    </row>
    <row r="608" spans="1:4" x14ac:dyDescent="0.45">
      <c r="A608" t="s">
        <v>59</v>
      </c>
      <c r="B608">
        <v>2015</v>
      </c>
      <c r="C608" t="s">
        <v>74</v>
      </c>
      <c r="D608">
        <v>5.0999999999999996</v>
      </c>
    </row>
    <row r="609" spans="1:4" x14ac:dyDescent="0.45">
      <c r="A609" t="s">
        <v>60</v>
      </c>
      <c r="B609">
        <v>2015</v>
      </c>
      <c r="C609" t="s">
        <v>74</v>
      </c>
      <c r="D609">
        <v>5.2</v>
      </c>
    </row>
    <row r="610" spans="1:4" x14ac:dyDescent="0.45">
      <c r="A610" t="s">
        <v>59</v>
      </c>
      <c r="B610">
        <v>2016</v>
      </c>
      <c r="C610" t="s">
        <v>74</v>
      </c>
      <c r="D610">
        <v>6.7</v>
      </c>
    </row>
    <row r="611" spans="1:4" x14ac:dyDescent="0.45">
      <c r="A611" t="s">
        <v>60</v>
      </c>
      <c r="B611">
        <v>2016</v>
      </c>
      <c r="C611" t="s">
        <v>74</v>
      </c>
      <c r="D611">
        <v>5.6</v>
      </c>
    </row>
    <row r="612" spans="1:4" x14ac:dyDescent="0.45">
      <c r="A612" t="s">
        <v>59</v>
      </c>
      <c r="B612">
        <v>2017</v>
      </c>
      <c r="C612" t="s">
        <v>74</v>
      </c>
      <c r="D612">
        <v>7.2</v>
      </c>
    </row>
    <row r="613" spans="1:4" x14ac:dyDescent="0.45">
      <c r="A613" t="s">
        <v>60</v>
      </c>
      <c r="B613">
        <v>2017</v>
      </c>
      <c r="C613" t="s">
        <v>74</v>
      </c>
      <c r="D613">
        <v>5.6</v>
      </c>
    </row>
    <row r="614" spans="1:4" x14ac:dyDescent="0.45">
      <c r="A614" t="s">
        <v>59</v>
      </c>
      <c r="B614">
        <v>2018</v>
      </c>
      <c r="C614" t="s">
        <v>74</v>
      </c>
      <c r="D614">
        <v>8.5</v>
      </c>
    </row>
    <row r="615" spans="1:4" x14ac:dyDescent="0.45">
      <c r="A615" t="s">
        <v>60</v>
      </c>
      <c r="B615">
        <v>2018</v>
      </c>
      <c r="C615" t="s">
        <v>74</v>
      </c>
      <c r="D615">
        <v>4.7</v>
      </c>
    </row>
    <row r="616" spans="1:4" x14ac:dyDescent="0.45">
      <c r="A616" t="s">
        <v>59</v>
      </c>
      <c r="B616">
        <v>2019</v>
      </c>
      <c r="C616" t="s">
        <v>74</v>
      </c>
      <c r="D616">
        <v>9.5</v>
      </c>
    </row>
    <row r="617" spans="1:4" x14ac:dyDescent="0.45">
      <c r="A617" t="s">
        <v>60</v>
      </c>
      <c r="B617">
        <v>2019</v>
      </c>
      <c r="C617" t="s">
        <v>74</v>
      </c>
      <c r="D617">
        <v>6.4</v>
      </c>
    </row>
    <row r="618" spans="1:4" x14ac:dyDescent="0.45">
      <c r="A618" t="s">
        <v>59</v>
      </c>
      <c r="B618">
        <v>2020</v>
      </c>
      <c r="C618" t="s">
        <v>74</v>
      </c>
      <c r="D618">
        <v>9.4</v>
      </c>
    </row>
    <row r="619" spans="1:4" x14ac:dyDescent="0.45">
      <c r="A619" t="s">
        <v>60</v>
      </c>
      <c r="B619">
        <v>2020</v>
      </c>
      <c r="C619" t="s">
        <v>74</v>
      </c>
      <c r="D619">
        <v>9.3000000000000007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9.6</v>
      </c>
    </row>
    <row r="621" spans="1:4" x14ac:dyDescent="0.45">
      <c r="A621" t="s">
        <v>60</v>
      </c>
      <c r="B621">
        <v>2021</v>
      </c>
      <c r="C621" t="s">
        <v>74</v>
      </c>
      <c r="D621">
        <v>9.5</v>
      </c>
    </row>
    <row r="622" spans="1:4" x14ac:dyDescent="0.45">
      <c r="A622" t="s">
        <v>59</v>
      </c>
      <c r="B622">
        <v>2022</v>
      </c>
      <c r="C622" t="s">
        <v>74</v>
      </c>
      <c r="D622">
        <v>10.3</v>
      </c>
    </row>
    <row r="623" spans="1:4" x14ac:dyDescent="0.45">
      <c r="A623" t="s">
        <v>60</v>
      </c>
      <c r="B623">
        <v>2022</v>
      </c>
      <c r="C623" t="s">
        <v>74</v>
      </c>
      <c r="D623">
        <v>7.8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468.82499999999999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537.17240000000004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217.71340000000001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48.2502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44.941400000000002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3.8258000000000001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0.28200000000000003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468.09180000000003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526.58800000000008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595.74379999999996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687.98599999999999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766.04359999999997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715.93219999999997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761.53160000000003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468.36439999999999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527.07679999999993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596.47700000000009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246.77820000000003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70.556400000000011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0.3478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0.77080000000000004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468.76860000000005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527.7912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597.05040000000008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377.91760000000005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229.1814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94.705000000000013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15.134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467.83800000000002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535.88459999999998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202.15639999999999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12.7746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1.4006000000000001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1.3442000000000001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1.2878000000000001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468.49599999999998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536.37340000000006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590.45159999999998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610.21040000000005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622.35519999999997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489.50499999999994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360.2362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468.47719999999998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536.58019999999999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163.39079999999998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0.87419999999999998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1.7672000000000001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2.7635999999999998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1.6919999999999999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34.7545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39.677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105.402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122.06699999999999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123.98099999999999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92.460499999999996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75.4435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33.604999999999997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42.173999999999999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53.982500000000002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66.682000000000002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65.268500000000003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83.611000000000004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82.588000000000008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33.4345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41.569000000000003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52.899000000000001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134.32649999999998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99.962499999999991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56.435499999999998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36.4375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34.529000000000003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41.381999999999998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52.002499999999998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96.3215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95.672499999999999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112.3265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104.2855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34.474000000000004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41.508500000000005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35.755499999999998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18.089500000000001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21.642500000000002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25.613500000000002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32.345499999999994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34.671999999999997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39.457000000000001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53.184999999999995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69.146000000000001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70.697000000000003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76.752499999999998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89.061499999999995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34.980000000000004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40.534999999999997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49.951000000000001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19.437000000000001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14.734500000000001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10.241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2.2329999999999997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2.1839999999999997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2.177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1.1060000000000001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2.2189999999999999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2.2189999999999999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2.2189999999999999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2.2400000000000002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4.7587999999999999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29.03425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97.780600000000007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193.43880000000001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221.3526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250.47515000000001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225.23814999999999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211.9016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198.565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156.44934999999998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114.3335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65.114949999999993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15.8963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17.16215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18.427949999999999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0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0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0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0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0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0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0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0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1.72285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59.469050000000003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164.07965000000002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226.84649999999999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246.50184999999999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214.27465000000001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262.95274999999998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311.63080000000002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292.76869999999997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273.90649999999999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254.42785000000001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234.94909999999999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230.96764999999999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226.98624999999998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0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0.9506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12.988700000000001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17.0213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16.981299999999997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16.840799999999998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16.492849999999997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15.51765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14.542400000000001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11.9954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9.4484499999999993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5.2098500000000003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0.97130000000000005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0.48559999999999998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0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19.673099999999998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69.404150000000001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127.23654999999999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188.38265000000001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263.20730000000003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358.00105000000002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437.48005000000001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457.33619999999996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477.19240000000002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458.63954999999999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440.08670000000001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412.45209999999997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384.8175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391.51160000000004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398.20569999999998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0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0.33074999999999999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0.33065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0.32979999999999998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0.32684999999999997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0.41325000000000001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0.39405000000000001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0.33145000000000002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0.26865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0.18340000000000001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9.8049999999999998E-2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4.9000000000000002E-2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0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0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34.820999999999998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136.18475000000001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219.50555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299.40309999999999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366.6198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360.24705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346.58575000000002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330.01544999999999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313.44510000000002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273.58879999999999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233.73275000000001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211.4615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189.1901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183.13400000000001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177.078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3494.8928999999998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3809.7263000000003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3260.1136500000002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2665.1122500000001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2277.5725499999999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1860.1619000000001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1475.3284000000001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1213.9645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1155.8432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1096.7516000000001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1037.65995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998.56925000000001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959.47834999999998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920.86760000000004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882.25694999999996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775.54134999999997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668.82580000000007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3494.8928999999998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3913.6526999999996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4399.4696999999996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4748.5201999999999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4860.3537999999999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4908.2843499999999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5192.2262499999997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5769.2861000000003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6726.5226000000002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7026.02225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7325.5219500000003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7247.6224499999998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7169.723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6858.9371499999997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6548.1513999999997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5880.8821499999995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5213.6129000000001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3494.8928999999998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3913.6526999999996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4399.4696999999996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4537.2814500000004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2834.7377500000002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1640.8406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1205.4250999999999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942.9905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678.86664999999994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449.93725000000001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221.0077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219.61160000000001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218.21539999999999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219.06234999999998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219.9092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219.9092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219.9092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3494.8928999999998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3913.6526999999996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4399.4696999999996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4553.8816499999994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3182.84485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2561.4665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2078.1669499999998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1496.8172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1351.5963000000002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1206.5350000000001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1061.4736499999999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999.97919999999999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938.48479999999995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916.2817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894.07844999999998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812.92084999999997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731.76319999999998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3494.8928999999998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3702.8693499999999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2453.4537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1525.3968500000001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1193.79465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936.16025000000002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645.60075000000006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466.59005000000002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327.94884999999999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255.21905000000001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182.48925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185.62215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188.755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204.33205000000001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219.9092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222.66385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225.41849999999999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3494.8928999999998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3886.06855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3926.0690500000001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3498.2011499999999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3164.0336500000003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3071.0996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2961.5420000000004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2825.8355000000001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2807.7271999999998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2612.694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2417.6608000000001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2336.3408499999996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2255.0209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2193.0892000000003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2131.1574999999998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2108.1453000000001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2085.1331500000001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3494.8928999999998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3775.6800499999999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2788.3477499999999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1801.7891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1330.9587999999999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899.35874999999999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481.40335000000005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256.12630000000001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161.97925000000001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171.53235000000001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181.0856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182.49234999999999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183.89909999999998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201.9041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219.9092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219.9092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219.9092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3055.8957999999998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3356.2415499999997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2824.7295999999997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2249.4020499999997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1876.3643500000001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1477.1374000000001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1140.6282500000002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917.43295000000001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837.49309999999991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771.36574999999993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705.23829999999998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651.16644999999994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597.09449999999993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543.86979999999994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490.64509999999996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383.66154999999998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276.678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3055.8957999999998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3479.0617000000002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3956.8675000000003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4303.6900000000005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4443.0877500000006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4500.2682999999997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4779.7853500000001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5312.3234499999999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6261.0311000000002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6564.8497499999994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6868.6683499999999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6799.4006499999996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6730.1329000000005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6429.7795999999998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6129.4262500000004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5471.7703000000001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4814.1143000000002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3055.8957999999998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3479.0617000000002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3956.8675000000003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4112.6455000000005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2469.0501999999997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1292.3190999999999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910.04594999999995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650.97460000000001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345.83544999999998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113.26079999999999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-119.31395000000001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-123.3352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-127.35645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-126.50425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-125.6521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-125.58335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-125.51455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3055.8957999999998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3479.0617000000002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3956.8675000000003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4130.5118000000002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2805.7637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2198.8379500000001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1728.64005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1125.04835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956.84079999999994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817.08510000000001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677.32934999999998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617.43149999999991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557.53364999999997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532.26994999999999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507.00615000000005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422.40719999999999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337.80824999999999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3055.8957999999998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3266.9854999999998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2053.0931500000002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1184.3776499999999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911.61905000000002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628.40940000000001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345.58749999999998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200.14150000000001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64.796099999999996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-18.970350000000003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-102.73679999999999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-123.9212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-145.10565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-155.31319999999999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-165.52080000000001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-178.6884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-191.85610000000003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3055.8957999999998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3432.2972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3478.0052500000002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3070.4011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2750.502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2657.7993500000002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2540.4067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2398.6432500000001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2389.0203499999998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2210.5289499999999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2032.03755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1943.6894499999999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1855.3413500000001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1793.6438000000001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1731.9461999999999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1705.9409500000002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1679.9357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3055.8957999999998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3322.7061000000003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2366.04655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1432.3991000000001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998.8750500000001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597.673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199.05765000000002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-19.937850000000001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-126.68645000000001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-116.3715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-106.05655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-113.27985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-120.50315000000001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-111.2727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-102.04225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-105.7371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-109.43195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2.7170000000000001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3.7121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5.0641499999999997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6.2980999999999998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7.4196499999999999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8.5408000000000008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9.3250500000000009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9.9055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10.14245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10.332899999999999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10.523350000000001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10.250450000000001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9.9774999999999991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9.5368999999999993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9.0963999999999992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8.6756999999999991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8.254999999999999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2.7170000000000001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3.6439500000000002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4.9006499999999997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6.2045499999999993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6.9167500000000004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7.5200499999999995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8.3466500000000003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8.9243999999999986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9.2470499999999998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9.2392000000000003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9.2314000000000007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9.0938499999999998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8.9562500000000007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8.6049500000000005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8.2537000000000003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7.7653499999999998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7.27705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2.7170000000000001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3.6439500000000002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4.9006499999999997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6.3093500000000002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7.3689999999999998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8.3520500000000002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9.4256999999999991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10.030000000000001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10.156749999999999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10.341349999999998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10.52585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10.1868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9.8477500000000013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9.4815000000000005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9.1152499999999996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8.7475000000000005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8.3796999999999997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2.7170000000000001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3.6439500000000002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4.9006499999999997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6.1273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6.9932999999999996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7.6730499999999999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8.2299000000000007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8.9273999999999987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9.5755499999999998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9.8928499999999993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10.210149999999999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9.8998999999999988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9.5896500000000007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9.1834000000000007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8.7772500000000004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8.3991000000000007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8.0210000000000008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2.7170000000000001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2.9607999999999999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3.1231499999999999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3.4005999999999998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3.7451499999999998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4.0367999999999995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4.3653499999999994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4.5239500000000001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4.7503000000000002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4.8266999999999998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4.9031500000000001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4.9924499999999998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5.0817499999999995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5.1336499999999994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5.1856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5.19625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5.2069000000000001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2.7170000000000001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3.6823999999999999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5.1724499999999995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6.2963000000000005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7.1867000000000001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8.233550000000001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9.0750999999999991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9.6919500000000003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10.21655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10.0502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9.8838000000000008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9.6636000000000006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9.4434000000000005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8.9839500000000001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8.5245500000000014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8.1072500000000005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7.6899999999999995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2.7170000000000001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3.7435999999999998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4.9389000000000003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6.1702500000000002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7.8437999999999999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9.2938499999999991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10.09125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10.5831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10.5733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10.79405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11.014749999999999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10.759650000000001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10.5045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10.1675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9.8305000000000007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9.5097999999999985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9.1890999999999998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1.6696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2.7061999999999999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4.0639500000000002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5.3080499999999997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6.57735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8.0043500000000005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9.6116500000000009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10.98255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13.6584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15.909649999999999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18.16085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19.981949999999998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21.802950000000003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22.445399999999999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23.08785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23.205249999999999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23.322700000000001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1.6696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2.6784499999999998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3.9851999999999999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5.3892000000000007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6.3659499999999998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7.3222000000000005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8.8434500000000007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10.408999999999999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13.17435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15.167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17.159749999999999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18.966450000000002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20.773200000000003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21.444200000000002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22.11515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21.714549999999999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21.313949999999998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1.6696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2.6784499999999998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3.9851999999999999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5.4573999999999998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6.3925999999999998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7.2859499999999997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9.2066499999999998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10.856400000000001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13.248850000000001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15.33995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17.431049999999999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19.162599999999998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20.89415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21.739850000000001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22.585599999999999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22.842950000000002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23.100250000000003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1.6696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2.6784499999999998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3.9851999999999999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5.5620000000000003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6.4818499999999997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7.41655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8.7236499999999992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10.249600000000001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13.170349999999999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15.336349999999999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17.50235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19.1279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20.753399999999999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21.501849999999997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22.250299999999999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22.536700000000003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22.823149999999998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1.6696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3.0625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3.9850500000000002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5.3153000000000006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6.6970000000000001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7.8568999999999996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9.1920999999999999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10.294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12.1936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13.58305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14.97245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16.418399999999998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17.8644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18.762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19.659599999999998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20.060000000000002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20.4604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1.6696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2.6946500000000002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4.1267499999999995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5.3645999999999994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6.4115500000000001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7.8295499999999993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9.4255499999999994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10.926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14.122499999999999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15.718800000000002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17.315049999999999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19.271799999999999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21.2285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21.770949999999999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22.313400000000001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22.387349999999998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22.46125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1.6696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2.7229000000000001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3.9049499999999999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5.1795499999999999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6.6818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8.1327500000000015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9.8692999999999991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11.1335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13.717000000000001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15.933499999999999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18.14995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19.923850000000002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21.697800000000001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22.494450000000001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23.2911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23.555149999999998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23.819200000000002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9.3600000000000003E-2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0.18330000000000002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0.51065000000000005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1.0364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1.7723499999999999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2.60555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3.2012499999999999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3.63015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4.0792000000000002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4.2299500000000005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4.3807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4.5020500000000006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4.6234500000000001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4.6981000000000002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4.7728000000000002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4.8304999999999998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4.8881499999999996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9.3600000000000003E-2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0.22225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0.57974999999999999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1.0059999999999998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1.5122499999999999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1.9957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2.4522000000000004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2.8313499999999996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3.2360499999999996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3.3672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3.4984000000000002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3.5649500000000001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3.6315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3.6657500000000001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3.7000500000000001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3.6635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3.6268500000000001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9.3600000000000003E-2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0.22225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0.57974999999999999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0.79300000000000004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1.3237000000000001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1.99885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2.8382000000000001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3.2553000000000001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3.7906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3.9741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4.1576500000000003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4.2733500000000006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4.3889999999999993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4.4568000000000003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4.5245999999999995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4.5947499999999994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4.6647999999999996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9.3600000000000003E-2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0.22225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0.57974999999999999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0.68535000000000001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1.26295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2.0604499999999999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2.7914500000000002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3.30375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3.78695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3.875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3.9630999999999998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4.03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4.0968999999999998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4.1757499999999999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4.2546999999999997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4.3153000000000006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4.3758999999999997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9.3600000000000003E-2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0.23255000000000001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0.60950000000000004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1.03295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1.716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2.45825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3.0659000000000001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3.44015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3.8645499999999999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3.9583000000000004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4.0520500000000004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4.1286500000000004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4.2053500000000001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4.2645499999999998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4.3237500000000004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4.3808500000000006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4.4379499999999998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9.3600000000000003E-2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0.22494999999999998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0.59535000000000005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1.0214500000000002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1.53295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2.05965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2.54135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2.9685000000000001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3.4203999999999999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3.5568999999999997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3.6933500000000001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3.7877999999999998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3.88225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3.9277500000000005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3.9732499999999997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3.9792000000000005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3.98515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9.3600000000000003E-2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0.21989999999999998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0.59305000000000008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1.07805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1.9064999999999999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2.7618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3.4058999999999999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3.8957999999999999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4.3844500000000002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4.5065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4.6285500000000006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4.7452500000000004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4.8619500000000002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4.9590499999999995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5.0560999999999998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5.1484000000000005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5.2407500000000002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5.8411499999999998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5.9749499999999998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5.8090999999999999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5.5946499999999997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5.8090999999999999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5.5946499999999997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9.3986999999999998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5.8090999999999999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5.5946499999999997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6.7579000000000002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5.1157500000000002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7.5321999999999996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2.2931499999999998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1.54745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1.4253499999999999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2.37805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1.94885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1.82115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2.3917000000000002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1.20865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2.1265499999999999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2.0844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2.0721499999999997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1.9391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1.8263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1.9153500000000001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1.7513000000000001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1.43615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4.70465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5.2908500000000007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5.1192500000000001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4.8432000000000004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4.8777499999999998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4.6098499999999998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5.0242000000000004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5.2720500000000001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5.5410500000000003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5.7312499999999993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4.6098499999999998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5.7725000000000009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5.3309499999999996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4.7379999999999995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4.6098499999999998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5.3149499999999996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5.21265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5.5383499999999994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5.4856999999999996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4.4539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4.6886000000000001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4.2953000000000001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4.76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5.0600500000000004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5.3989500000000001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5.3637499999999996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4.7950499999999998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66.417000000000002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34.304049999999997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45.258000000000003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44.927400000000006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47.993650000000002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53.211399999999998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52.840299999999999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53.445549999999997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93.154799999999994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108.71944999999999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124.2841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130.90979999999999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137.53550000000001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143.68209999999999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149.82865000000001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176.48134999999999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203.13405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66.417000000000002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83.299499999999995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87.184699999999992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88.200299999999999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100.34784999999999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114.48050000000001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113.35165000000001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118.11505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199.15244999999999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220.02280000000002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240.89314999999999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242.56610000000001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244.23894999999999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252.84559999999999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261.45214999999996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292.55410000000001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323.65604999999999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66.417000000000002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83.299499999999995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87.184699999999992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72.63785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90.869349999999997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101.97320000000001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108.3034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114.77605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188.81164999999999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229.41235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270.01305000000002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314.38395000000003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358.75475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399.56574999999998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440.37675000000002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456.23079999999999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472.08484999999996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66.417000000000002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83.299499999999995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87.184699999999992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83.474800000000002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91.246200000000002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101.75139999999999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104.12344999999999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107.738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190.85385000000002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234.44895000000002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278.04410000000001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291.31944999999996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304.59485000000001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309.98479999999995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315.37475000000001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338.28414999999995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361.19354999999996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66.417000000000002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47.780299999999997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69.054650000000009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81.27109999999999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78.899799999999999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84.231200000000001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84.469099999999997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96.841750000000005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179.54984999999999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222.57955000000001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265.60915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290.61075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315.61234999999999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345.63409999999999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375.65584999999999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392.2294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408.803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66.417000000000002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82.321100000000001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85.135649999999998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87.47775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95.996200000000002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106.9306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112.00225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119.21199999999999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203.24200000000002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228.15039999999999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253.05885000000001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264.39440000000002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275.73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275.42830000000004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275.12665000000004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287.10170000000005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299.07680000000005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66.417000000000002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60.916899999999998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85.194150000000008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85.787199999999999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89.232650000000007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92.2059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102.54564999999999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108.21379999999999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163.52474999999998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217.25900000000001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270.99329999999998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269.58614999999998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268.17904999999996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290.07724999999999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311.97545000000002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277.47950000000003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242.98349999999999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5.3240999999999996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5.4008000000000003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4.2458999999999998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1.8110999999999999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2.2000000000000001E-3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8.9999999999999998E-4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5.0000000000000001E-4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4.0000000000000002E-4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2.0000000000000001E-4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1E-4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5.3240999999999996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5.5566000000000004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5.2047999999999996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4.4958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2.8633000000000002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1.1114999999999999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0.44729999999999998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0.24359999999999998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0.10489999999999999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9.2249999999999999E-2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7.9649999999999999E-2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6.0800000000000007E-2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4.1950000000000001E-2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0.13535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0.22875000000000001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0.43530000000000002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0.64179999999999993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5.3240999999999996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5.5566000000000004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5.2047999999999996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4.1706000000000003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1.8608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5.5999999999999999E-3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1.1999999999999999E-3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4.0000000000000002E-4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2.9999999999999997E-4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2.0000000000000001E-4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1E-4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5.3240999999999996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5.5566000000000004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5.2047999999999996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4.298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2.0186999999999999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0.1779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1.43E-2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1.515E-2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2.86E-2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2.845E-2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2.8299999999999999E-2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2.64E-2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2.4550000000000002E-2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2.0049999999999998E-2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1.555E-2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9.5500000000000012E-3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3.5500000000000002E-3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5.3240999999999996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5.2492999999999999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2.5074999999999998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0.38800000000000001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5.9999999999999995E-4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4.0000000000000002E-4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2.9999999999999997E-4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2.0000000000000001E-4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1E-4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1E-4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5.3240999999999996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5.43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4.7558999999999996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2.2341000000000002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0.36399999999999999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5.4999999999999997E-3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7.1999999999999998E-3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1.37E-2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3.6250000000000004E-2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4.65E-2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5.6800000000000003E-2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0.10625000000000001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0.15570000000000001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0.26029999999999998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0.36485000000000001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0.51715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0.66944999999999999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5.3240999999999996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5.3242000000000003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2.5455000000000001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0.39429999999999998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4.0000000000000002E-4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2.9999999999999997E-4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2.9999999999999997E-4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2.0000000000000001E-4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1E-4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1E-4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0.20069999999999999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0.31059999999999999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0.30270000000000002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0.22489999999999999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0.22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0.22700000000000001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0.2019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0.17494999999999999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0.13915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9.4750000000000001E-2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5.0350000000000006E-2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2.7050000000000001E-2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3.8000000000000004E-3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1.8999999999999998E-3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0.20069999999999999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0.32850000000000001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0.46260000000000001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0.39090000000000003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0.29980000000000001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0.3095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0.34029999999999999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0.34155000000000002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0.34250000000000003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0.35575000000000001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0.36890000000000001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0.40579999999999999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0.44269999999999998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0.48399999999999999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0.5252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0.47850000000000004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0.43179999999999996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0.20069999999999999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0.32850000000000001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0.46260000000000001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0.37290000000000001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0.2329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0.17519999999999999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0.1278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8.7150000000000005E-2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5.4650000000000004E-2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3.09E-2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7.1999999999999998E-3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3.5999999999999999E-3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0.20069999999999999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0.32850000000000001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0.46260000000000001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0.37669999999999998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0.26600000000000001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0.28249999999999997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0.3054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0.28495000000000004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0.2344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0.18440000000000001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0.13440000000000002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8.6449999999999999E-2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3.85E-2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1.9799999999999998E-2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1.15E-3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5.5000000000000003E-4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0.20069999999999999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0.28689999999999999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0.252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0.15709999999999999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0.1187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9.2700000000000005E-2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6.2600000000000003E-2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5.7450000000000001E-2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3.415E-2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1.8450000000000001E-2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2.8E-3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1.4E-3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0.20069999999999999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0.31409999999999999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0.31719999999999998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0.25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0.23469999999999999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0.26119999999999999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0.30230000000000001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0.32014999999999999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0.35804999999999998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0.39219999999999999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0.4264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0.37419999999999998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0.32200000000000001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0.26474999999999999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0.20749999999999999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0.14834999999999998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8.9200000000000002E-2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0.20069999999999999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0.30520000000000003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0.37030000000000002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0.2293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8.0600000000000005E-2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5.4699999999999999E-2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3.6200000000000003E-2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2.155E-2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8.7500000000000008E-3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4.4000000000000003E-3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1.23E-2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9.4000000000000004E-3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4.1000000000000003E-3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1.23E-2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9.4000000000000004E-3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4.1000000000000003E-3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1.23E-2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9.4000000000000004E-3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4.1000000000000003E-3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1.23E-2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9.4000000000000004E-3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4.1000000000000003E-3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1.23E-2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9.4000000000000004E-3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4.1000000000000003E-3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1.23E-2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9.4000000000000004E-3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4.1000000000000003E-3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1.23E-2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9.4000000000000004E-3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4.1000000000000003E-3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1.41E-2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0.10300000000000001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0.25544999999999995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0.46165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0.86814999999999998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1.6594500000000001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2.85175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4.1020000000000003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6.4629499999999993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7.3790499999999994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8.2950499999999998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10.430149999999999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12.565249999999999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15.3371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18.10885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20.090850000000003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22.072800000000001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1.41E-2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0.1081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0.26175000000000004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0.44784999999999997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0.69795000000000007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0.98794999999999999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1.2919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1.42015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1.4959500000000001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1.5074000000000001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1.5187999999999999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1.7443500000000001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1.9697999999999998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3.9050000000000002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5.8401499999999995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10.03285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14.22555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1.41E-2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0.1081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0.26175000000000004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0.43620000000000003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0.66544999999999999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1.6550500000000001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3.5188499999999996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5.9860500000000005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11.318000000000001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14.4788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17.639499999999998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20.59065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23.54185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25.765050000000002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27.988199999999999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28.846250000000001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29.7043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1.41E-2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0.1081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0.26175000000000004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0.43874999999999997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0.74804999999999999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1.6961999999999999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3.9903500000000003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8.5809500000000014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12.2422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12.8636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13.484950000000001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15.20135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16.9177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19.078700000000001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21.239649999999997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22.727249999999998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24.214750000000002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1.41E-2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8.77E-2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0.14250000000000002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0.22755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0.435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0.79959999999999998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1.2706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1.8081499999999999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2.8971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4.0209999999999999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5.1448999999999998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7.1733499999999992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9.2018000000000004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10.819850000000001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12.437950000000001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13.1252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13.812449999999998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1.41E-2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0.1076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0.26174999999999998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0.43404999999999999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0.67090000000000005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1.1287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1.89635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2.5927499999999997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4.2339000000000002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7.7483500000000003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11.2628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14.4376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17.612349999999999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21.278950000000002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24.945500000000003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27.454599999999999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29.963699999999999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1.41E-2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9.8500000000000004E-2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0.28254999999999997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0.73055000000000003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1.6373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3.0891999999999999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5.2705000000000002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7.7863500000000005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11.68235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12.680949999999999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13.679650000000001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15.4983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17.317050000000002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18.486350000000002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19.655750000000001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20.065899999999999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20.476100000000002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9.5175999999999998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24.914400000000001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60.792000000000002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101.68559999999999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176.89230000000001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2.2355999999999998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2.5745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3.1398999999999999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3.7887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4.5972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5.2582000000000004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6.4865000000000004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2.6244000000000001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3.4632999999999998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4.0330000000000004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4.843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5.4584999999999999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6.4626999999999999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7.4204999999999997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8.3299999999999999E-2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0.1017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0.2243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0.45119999999999999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0.84809999999999997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1.6129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2.4630999999999998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0.1235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0.1757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0.14249999999999999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0.12839999999999999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0.10580000000000001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0.15379999999999999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0.35980000000000001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468.82499999999999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537.17240000000004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217.71340000000001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48.2502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44.941400000000002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3.8258000000000001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0.28200000000000003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34.7545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39.677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105.402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122.06699999999999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123.98099999999999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92.460499999999996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75.4435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2.2329999999999997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0.1953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3.3491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7.5042999999999997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2.6053000000000002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2.5015999999999998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1.3406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1.8150999999999999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2.4009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1.6586000000000001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3.7279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4.2724000000000002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5.5408999999999997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6.4099000000000004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6.9372999999999996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6.4146000000000001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7.2782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3.1892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4.3022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4.4905999999999997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4.9938000000000002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5.0651999999999999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5.6013999999999999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2961.7827000000002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3560.6606000000002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2800.8283999999999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2340.3914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2294.6188999999999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1918.1129000000001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1574.4820999999999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2539.3276999999998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3138.0634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2394.2195000000002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1931.7148999999999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1891.0539000000001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1503.3040000000001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1158.7166999999999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2.1962000000000002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2.6065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3.2505999999999999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3.7989000000000002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4.6273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5.0034999999999998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5.8288000000000002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2.5627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3.3877999999999999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4.0235000000000003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4.9476000000000004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5.5278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6.4432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7.2255000000000003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8.2699999999999996E-2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0.18870000000000001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0.37030000000000002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0.54220000000000002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0.4194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0.497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0.78910000000000002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0.1241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0.1273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0.1249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0.122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0.121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0.1173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468.09180000000003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526.58800000000008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595.74379999999996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687.98599999999999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766.04359999999997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715.93219999999997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761.53160000000003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33.604999999999997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42.173999999999999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53.982500000000002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66.682000000000002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65.268500000000003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83.611000000000004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82.588000000000008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2.1839999999999997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0.1953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137.38249999999999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7.0058999999999996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2.9922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4.8067000000000002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3.3246000000000002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2.6053000000000002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2.5167000000000002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2.2964000000000002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2.4712999999999998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2.7042000000000002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2.2856999999999998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2.4872999999999998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3.7279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4.34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4.2756999999999996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5.3258000000000001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6.0095999999999998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6.7229999999999999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7.2535999999999996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3.1892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4.5114999999999998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4.5075000000000003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5.1501000000000001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5.7053000000000003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6.2336999999999998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2964.7786000000001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3463.3870999999999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3821.7752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4333.6554999999998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4772.8798999999999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4807.2545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5040.3298000000004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2542.3444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3050.1878000000002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3426.2208999999998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3947.5284999999999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4407.4598999999998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4434.6796000000004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4667.0347000000002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33.901800000000001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61.436100000000003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109.24250000000001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211.89769999999999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2.1932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2.5958000000000001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3.2330000000000001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3.7328999999999999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4.5938999999999997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5.4805000000000001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6.5776000000000003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2.5573999999999999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3.3742999999999999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3.9973999999999998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4.7351000000000001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5.44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6.3962000000000003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7.4132999999999996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8.2799999999999999E-2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0.1888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0.36980000000000002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0.67310000000000003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1.2302999999999999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1.9330000000000001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2.9359999999999999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0.1241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0.1273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0.1249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0.13819999999999999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0.19719999999999999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0.28599999999999998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0.46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468.36439999999999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527.07679999999993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596.47700000000009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246.77820000000003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70.556400000000011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0.3478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0.77080000000000004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33.4345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41.569000000000003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52.899000000000001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134.32649999999998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99.962499999999991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56.435499999999998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36.4375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2.177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1.1060000000000001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0.1953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137.38249999999999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7.0058999999999996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7.8836000000000004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2.6053000000000002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2.5167000000000002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2.2964000000000002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2.1438999999999999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1.5619000000000001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2.1686000000000001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3.5043000000000002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3.7279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4.34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4.2756999999999996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7.9109999999999996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7.1111000000000004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5.5457999999999998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6.5487000000000002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3.1892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4.5114999999999998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4.5075000000000003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5.2468000000000004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4.9828000000000001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5.1189999999999998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2965.3998000000001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3472.9974999999999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3840.0086000000001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2947.2375000000002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2233.7464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1671.9348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1311.9275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2542.8552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3051.5841999999998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3428.1511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2538.5288999999998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1838.6543999999999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1268.3336999999999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910.42060000000004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6.0960999999999999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87.739599999999996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109.7375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153.4478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2.2277999999999998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2.6242000000000001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3.2541000000000002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3.5303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4.0183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4.1947000000000001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4.7828999999999997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2.6133000000000002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3.4129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4.0148000000000001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4.8273000000000001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5.4791999999999996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6.4105999999999996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7.2698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8.3500000000000005E-2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0.19089999999999999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0.37519999999999998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0.60450000000000004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0.94479999999999997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1.5117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2.2770999999999999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0.1239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0.12709999999999999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0.12479999999999999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0.11600000000000001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0.1075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9.8599999999999993E-2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4.9500000000000002E-2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468.76860000000005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527.7912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597.05040000000008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377.91760000000005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229.1814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94.705000000000013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15.134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34.529000000000003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41.381999999999998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52.002499999999998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96.3215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95.672499999999999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112.3265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104.2855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2.2189999999999999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0.1953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137.38249999999999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7.0058999999999996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2.6053000000000002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2.5167000000000002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2.2964000000000002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2.0829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2.3025000000000002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2.2812000000000001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2.5424000000000002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3.7279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4.34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4.2756999999999996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6.2276999999999996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6.6028000000000002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7.4635999999999996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7.3906999999999998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3.1892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4.5114999999999998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4.5075000000000003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5.3132999999999999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5.3281999999999998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6.0296000000000003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6.7314999999999996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2964.7786999999998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3466.2586999999999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3832.8708000000001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3391.9443000000001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2952.7642999999998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2523.8163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2109.2237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2542.2914999999998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3047.9443000000001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3426.9360000000001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3003.0427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2590.4441999999999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2169.9850000000001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1771.0257999999999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144.3229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191.6627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264.39519999999999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323.64710000000002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408.71069999999997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2.2286999999999999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2.5985999999999998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2.6059000000000001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2.9401999999999999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3.3967999999999998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3.6680999999999999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3.7473000000000001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2.5956999999999999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3.4685000000000001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4.1692999999999998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5.8654000000000002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6.9584000000000001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7.4833999999999996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7.6502999999999997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8.3199999999999996E-2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0.1018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0.22059999999999999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0.42670000000000002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0.81130000000000002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1.6357999999999999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3.0680999999999998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0.1229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0.17419999999999999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0.22090000000000001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0.37219999999999998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0.60040000000000004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0.76339999999999997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1.0479000000000001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467.83800000000002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535.88459999999998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202.15639999999999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12.7746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1.4006000000000001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1.3442000000000001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1.2878000000000001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34.474000000000004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41.508500000000005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35.755499999999998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18.089500000000001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21.642500000000002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25.613500000000002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32.345499999999994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2.2189999999999999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0.1953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3.3491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0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2.8632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11.420199999999999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20.010100000000001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19.945699999999999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2.6053000000000002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2.5015999999999998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-7.3742999999999999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1.1966000000000001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4.5523999999999996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4.7465999999999999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3.7279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4.2724000000000002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7.1163999999999996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0.66969999999999996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5.2050999999999998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7.0087999999999999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5.0749000000000004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3.1892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4.3022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4.5385999999999997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5.5133000000000001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7.9903000000000004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2955.2323000000001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3552.5385000000001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2094.8343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1340.4742000000001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1070.9241999999999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717.4479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417.12290000000002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2532.8429999999998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3122.1293999999998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1833.9992999999999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1125.6098999999999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920.51229999999998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600.02250000000004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319.84219999999999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2.2317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2.5661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3.2717999999999998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3.8170999999999999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4.5350999999999999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5.0633999999999997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5.7499000000000002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2.6177999999999999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3.4481999999999999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4.1616999999999997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5.0377999999999998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5.5911999999999997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6.4114000000000004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7.1531000000000002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8.3400000000000002E-2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0.1014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0.1069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0.13689999999999999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0.25729999999999997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0.48459999999999998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0.77859999999999996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0.1241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0.1767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0.17299999999999999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0.16869999999999999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5.9999999999999995E-4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5.9999999999999995E-4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468.49599999999998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536.37340000000006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590.45159999999998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610.21040000000005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622.35519999999997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489.50499999999994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360.2362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34.671999999999997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39.457000000000001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53.184999999999995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69.146000000000001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70.697000000000003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76.752499999999998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89.061499999999995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2.2189999999999999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0.1953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3.3491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4.5861999999999998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5.6874000000000002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2.6053000000000002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2.5015999999999998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2.2883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2.2909000000000002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2.0211000000000001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2.0156000000000001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2.1714000000000002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3.7279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4.2724000000000002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4.2873000000000001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5.4878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6.5983000000000001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6.5564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7.0095000000000001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3.1892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4.3022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4.8186999999999998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5.1969000000000003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5.2793999999999999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6.0286999999999997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6.5633999999999997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2965.4371000000001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3565.4904999999999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4009.4706000000001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4316.1032999999998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4465.9390999999996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4146.8068999999996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3938.3332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2543.2743999999998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3146.2334000000001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3602.9117000000001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3912.4562000000001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4077.8479000000002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3759.2838000000002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3560.3072000000002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167.9667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139.96440000000001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209.08629999999999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338.7611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452.85890000000001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2.2431999999999999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2.6012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3.1063999999999998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4.2030000000000003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5.2835999999999999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6.2458999999999998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7.3983999999999996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2.6366000000000001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3.4948999999999999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3.7650000000000001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4.8929999999999998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6.1224999999999996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7.6475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8.7279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8.3199999999999996E-2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0.10199999999999999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0.22770000000000001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0.46310000000000001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0.92379999999999995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1.7139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2.3567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0.1237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0.17610000000000001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0.17929999999999999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0.38390000000000002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0.71120000000000005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1.1169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1.4369000000000001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468.47719999999998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536.58019999999999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163.39079999999998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0.87419999999999998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1.7672000000000001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2.7635999999999998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1.6919999999999999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34.980000000000004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40.534999999999997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49.951000000000001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19.437000000000001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14.734500000000001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10.241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2.2400000000000002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0.1953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3.3491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48.401200000000003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36.4071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42.352499999999999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2.6053000000000002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2.5015999999999998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-24.678899999999999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3.6362999999999999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7.2127999999999997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3.7279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4.2724000000000002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16.7576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-4.0064000000000002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5.3090999999999999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3.7465000000000002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11.093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3.1892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4.3022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2963.0095000000001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3569.9061999999999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2098.6113999999998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1385.8402000000001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1090.7209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785.00030000000004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589.33720000000005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2540.7226000000001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3140.2046999999998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1681.5921000000001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961.49929999999995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713.35599999999999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467.38799999999998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368.52199999999999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32.587699999999998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139.09710000000001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227.71729999999999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270.4563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268.52820000000003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263.62060000000002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233.33189999999999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215.77549999999999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198.21899999999999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148.20509999999999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98.191000000000003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53.525300000000001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8.8595000000000006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22.857700000000001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36.855899999999998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2.7170000000000001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3.73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4.9644000000000004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6.2065000000000001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7.4128999999999996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8.4136000000000006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9.1395999999999997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9.6715999999999998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9.8849999999999998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10.062099999999999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10.239100000000001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9.9230999999999998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9.6069999999999993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9.1666000000000007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8.7263000000000002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8.3335000000000008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7.9406999999999996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1.6696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2.7048999999999999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3.9380000000000002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5.1787000000000001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6.5934999999999997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7.9088000000000003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9.4252000000000002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10.6709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13.3367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15.5023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17.6678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19.343499999999999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21.019100000000002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21.595600000000001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22.1721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22.273199999999999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22.374400000000001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9.3600000000000003E-2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0.21360000000000001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0.57450000000000001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1.0532999999999999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1.7657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2.5868000000000002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3.1457999999999999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3.5442999999999998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3.9697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4.1124000000000001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4.2550999999999997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4.3554000000000004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4.4557000000000002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4.5214999999999996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4.5873999999999997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4.6430999999999996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4.6988000000000003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1.41E-2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9.9900000000000003E-2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0.27479999999999999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0.51780000000000004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0.99009999999999998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1.7263999999999999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2.8260000000000001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4.0153999999999996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6.1341999999999999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7.2378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8.3413000000000004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10.765599999999999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13.1899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15.9727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18.755400000000002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20.353000000000002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21.950600000000001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5.3240999999999996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5.2977999999999996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2.8068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0.62390000000000001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8.0000000000000004E-4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5.9999999999999995E-4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5.0000000000000001E-4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4.0000000000000002E-4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0.20069999999999999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0.31059999999999999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0.43880000000000002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0.37419999999999998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0.25509999999999999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0.22700000000000001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0.2019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0.16109999999999999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0.12280000000000001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8.1299999999999997E-2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3.9800000000000002E-2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2.1100000000000001E-2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2.5000000000000001E-3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1.1999999999999999E-3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1.23E-2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9.4000000000000004E-3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4.1000000000000003E-3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66.417000000000002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64.305899999999994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86.919200000000004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86.671499999999995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90.9221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100.8214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102.81059999999999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106.89109999999999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186.30959999999999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217.43889999999999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248.56819999999999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261.81959999999998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275.07100000000003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287.36419999999998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299.65730000000002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352.96269999999998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406.2681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3494.8928999999998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3793.3562999999999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2922.5704999999998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2183.0884000000001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1729.0748000000001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1496.4195999999999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1290.7837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1140.1592000000001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1107.4592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1072.9185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1038.3777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985.16319999999996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931.94849999999997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853.82079999999996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775.69309999999996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652.71730000000002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529.74170000000004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3055.8957999999998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3339.5288999999998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2495.4126999999999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1800.4675999999999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1381.4164000000001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1178.3839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998.29139999999995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861.43129999999996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795.96249999999998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752.53269999999998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709.1028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638.89700000000005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568.69110000000001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478.42809999999997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388.1651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268.23129999999998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148.29759999999999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2.7170000000000001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3.6419999999999999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4.9028999999999998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6.1990999999999996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6.8535000000000004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7.3869999999999996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8.1262000000000008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8.6495999999999995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8.9423999999999992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8.9076000000000004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8.8728999999999996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8.6938999999999993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8.5147999999999993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8.1156000000000006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7.7164000000000001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7.2249999999999996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6.7336999999999998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1.6696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2.6732999999999998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3.9821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5.3851000000000004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6.3109999999999999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7.2008000000000001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8.6259999999999994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10.106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12.773999999999999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14.6548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16.535699999999999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18.177600000000002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19.819500000000001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20.290600000000001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20.761700000000001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20.270099999999999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19.778400000000001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9.3600000000000003E-2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0.2203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0.57630000000000003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1.0029999999999999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1.4981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1.9609000000000001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2.3858000000000001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2.7372999999999998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3.1116999999999999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3.2317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3.3517999999999999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3.3963000000000001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3.4407999999999999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3.4438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3.4468999999999999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3.391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3.335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1.41E-2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0.1062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0.26100000000000001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0.44540000000000002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0.6915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0.97160000000000002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1.2584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1.3755999999999999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1.4419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1.4419999999999999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1.4419999999999999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1.6026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1.7630999999999999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3.4843000000000002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5.2054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8.9204000000000008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12.6355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5.3240999999999996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5.5373000000000001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5.1527000000000003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4.4452999999999996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2.6589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0.82369999999999999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0.11020000000000001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0.11269999999999999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0.1003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8.8200000000000001E-2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7.6200000000000004E-2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5.3100000000000001E-2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2.9899999999999999E-2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0.1042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0.1784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0.34870000000000001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0.51900000000000002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0.20069999999999999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0.32369999999999999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0.45169999999999999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0.3785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0.2863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0.29310000000000003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0.31950000000000001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0.32969999999999999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0.33019999999999999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0.34079999999999999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0.3513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0.38369999999999999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0.41610000000000003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0.4486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0.48099999999999998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0.43609999999999999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0.39119999999999999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1.23E-2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9.4000000000000004E-3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4.1000000000000003E-3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66.417000000000002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83.325900000000004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87.821200000000005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87.982200000000006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100.1935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113.8867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112.5986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117.33459999999999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197.41499999999999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217.66130000000001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237.9076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239.01660000000001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240.12549999999999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247.47290000000001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254.8202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287.11340000000001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319.4067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3494.8928999999998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3910.8881999999999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4387.6710999999996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4722.8798999999999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4797.6790000000001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4802.6746999999996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5044.2660999999998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5581.0675000000001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6499.3342000000002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6782.6824999999999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7066.0308999999997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6971.4477999999999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6876.8648000000003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6596.9459999999999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6317.0272999999997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5655.8719000000001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4994.7165000000005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3055.8957999999998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3476.3018999999999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3945.0884000000001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4278.3980000000001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4356.5888999999997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4365.2948999999999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4606.2358999999997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5130.2939999999999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6041.4476000000004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6329.4465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6617.4453999999996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6532.3561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6447.2668000000003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6178.8423000000003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5910.4178000000002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5259.3896999999997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4608.3616000000002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1.7558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67.329099999999997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216.92490000000001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253.01439999999999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255.62950000000001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208.75579999999999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250.31899999999999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291.88200000000001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279.858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267.834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248.39429999999999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228.9546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225.53139999999999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222.10810000000001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2.7170000000000001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3.6419999999999999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4.9028999999999998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6.3771000000000004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7.3312999999999997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8.2110000000000003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9.1426999999999996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9.6926000000000005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9.8498000000000001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10.035299999999999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10.220700000000001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9.8687000000000005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9.5167000000000002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9.1254000000000008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8.7340999999999998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8.3825000000000003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8.0309000000000008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1.6696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2.6732999999999998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3.9821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5.4637000000000002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6.3056000000000001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7.1196000000000002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8.9991000000000003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10.504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12.865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14.9176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16.970199999999998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18.5684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20.166599999999999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20.918900000000001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21.671199999999999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21.9239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22.176500000000001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9.3600000000000003E-2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0.2203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0.57630000000000003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0.58079999999999998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1.1227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1.8642000000000001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2.5550000000000002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3.1518999999999999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3.6532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3.8323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4.0114000000000001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4.1089000000000002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4.2062999999999997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4.2762000000000002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4.3460999999999999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4.4169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4.4875999999999996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1.41E-2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0.1062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0.26100000000000001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0.43380000000000002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0.66959999999999997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1.6327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3.4089999999999998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5.7214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10.4747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13.2638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16.052800000000001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19.216899999999999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22.3811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24.645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26.908799999999999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27.749400000000001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28.59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5.3240999999999996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5.5373000000000001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5.1527000000000003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4.0498000000000003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1.7926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5.4999999999999997E-3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1.1999999999999999E-3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4.0000000000000002E-4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2.9999999999999997E-4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2.0000000000000001E-4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1E-4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0.20069999999999999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0.32369999999999999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0.45169999999999999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0.35770000000000002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0.22070000000000001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0.17519999999999999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0.1278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8.6900000000000005E-2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5.45E-2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3.0800000000000001E-2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7.1999999999999998E-3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3.5999999999999999E-3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1.23E-2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9.4000000000000004E-3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4.1000000000000003E-3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66.417000000000002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83.325900000000004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87.821200000000005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131.4383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89.015100000000004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103.24630000000001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107.7259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113.6651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187.4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225.21850000000001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263.03699999999998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301.69929999999999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340.36149999999998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388.48050000000001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436.59949999999998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453.72149999999999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470.84350000000001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3494.8928999999998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3910.8881999999999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4387.6710999999996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4505.6241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2715.8171000000002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1530.1647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1191.9640999999999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930.62890000000004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701.43859999999995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461.77260000000001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222.10650000000001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219.3142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216.52170000000001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218.21549999999999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219.9092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219.9092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219.9092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3055.8957999999998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3476.3018999999999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3945.0884000000001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4100.6945999999998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2368.7408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1230.55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909.67129999999997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647.3501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371.75299999999999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130.3852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-110.98269999999999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-117.8672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-124.7518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-123.2448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-121.7379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-121.8381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-121.9383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1.573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25.35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33.4161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33.339799999999997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33.068899999999999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32.394399999999997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30.496099999999998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28.5977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23.635100000000001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18.672599999999999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10.307600000000001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1.9426000000000001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0.97119999999999995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2.7170000000000001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3.6419999999999999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4.9028999999999998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6.1043000000000003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7.0774999999999997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7.6250999999999998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7.8182999999999998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8.5810999999999993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9.4690999999999992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9.6603999999999992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9.8516999999999992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9.5716000000000001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9.2916000000000007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8.9128000000000007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8.5341000000000005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8.1433999999999997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7.7526999999999999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1.6696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2.6732999999999998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3.9821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5.5559000000000003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6.6318000000000001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7.3400999999999996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8.2584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9.9570000000000007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13.037100000000001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15.048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17.058900000000001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18.6172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20.1754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20.8523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21.529199999999999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21.727900000000002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21.926600000000001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9.3600000000000003E-2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0.2203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0.57630000000000003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1.0359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1.6234999999999999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2.2725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2.7923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3.2482000000000002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3.7002999999999999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3.7706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3.8409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3.9087000000000001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3.9765999999999999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4.0579000000000001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4.1393000000000004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4.2167000000000003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4.2941000000000003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1.41E-2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0.1062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0.26100000000000001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0.435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0.83260000000000001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3.0390000000000001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7.4612999999999996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10.151300000000001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12.6425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12.876799999999999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13.111000000000001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14.036899999999999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14.9627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16.738600000000002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18.514399999999998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20.4693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22.424099999999999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5.3240999999999996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5.5373000000000001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5.1527000000000003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4.1246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1.8393999999999999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6.6E-3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3.5000000000000001E-3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5.0000000000000001E-3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9.1000000000000004E-3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8.8000000000000005E-3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8.5000000000000006E-3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7.9000000000000008E-3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7.4000000000000003E-3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6.0000000000000001E-3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4.5999999999999999E-3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2.7000000000000001E-3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8.0000000000000004E-4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0.20069999999999999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0.32369999999999999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0.45169999999999999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0.36720000000000003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0.26600000000000001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0.28249999999999997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0.3054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0.28889999999999999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0.23849999999999999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0.18679999999999999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0.13500000000000001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8.48E-2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3.4700000000000002E-2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1.7600000000000001E-2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5.9999999999999995E-4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2.9999999999999997E-4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1.23E-2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9.4000000000000004E-3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4.1000000000000003E-3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66.417000000000002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83.325900000000004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87.821200000000005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54.423999999999999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87.180999999999997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95.258799999999994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97.373699999999999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97.183899999999994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189.29320000000001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224.54990000000001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259.8066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271.79039999999998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283.77420000000001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287.32619999999997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290.87830000000002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312.32749999999999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333.77659999999997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3494.8928999999998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3910.8881999999999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4387.6710999999996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4411.0475999999999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2860.0047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1816.8489999999999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1407.7832000000001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1276.4594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1190.7491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1119.3412000000001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1047.9332999999999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1018.9833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990.03340000000003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972.52080000000001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955.00800000000004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868.72389999999996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782.43979999999999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3055.8957999999998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3476.3018999999999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3945.0884000000001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4003.0363000000002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2509.0731000000001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1483.2397000000001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1068.6532999999999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907.07320000000004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784.1268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720.3569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656.58690000000001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633.64419999999996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610.70150000000001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593.05139999999994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575.40120000000002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485.93880000000001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396.47649999999999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20.6797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68.479100000000003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128.79259999999999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191.4162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266.85660000000001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361.17680000000001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450.58819999999997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474.39859999999999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498.20890000000003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482.58210000000003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466.9554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437.39530000000002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407.83519999999999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409.68470000000002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411.53410000000002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2.7170000000000001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2.9533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3.1288999999999998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3.3919000000000001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3.7126999999999999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3.9649999999999999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4.2366999999999999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4.3784000000000001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4.6063000000000001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4.6761999999999997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4.7461000000000002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4.8368000000000002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4.9276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4.9702999999999999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5.0130999999999997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5.0110999999999999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5.0091999999999999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1.6696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3.0324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3.9819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5.3209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6.5824999999999996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7.7553000000000001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9.0334000000000003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10.076599999999999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12.008599999999999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13.3302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14.6518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16.034199999999998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17.416699999999999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18.312000000000001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19.2074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19.581099999999999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19.954799999999999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9.3600000000000003E-2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0.24340000000000001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0.62829999999999997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1.0377000000000001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1.7143999999999999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2.4243999999999999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2.9580000000000002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3.3490000000000002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3.7648999999999999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3.8527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3.9403999999999999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4.0115999999999996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4.0829000000000004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4.1482000000000001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4.2135999999999996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4.2659000000000002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4.3182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1.41E-2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8.48E-2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0.1411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0.1996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0.3785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0.70089999999999997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1.0958000000000001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1.4671000000000001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2.1818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3.0876000000000001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3.9933999999999998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5.9463999999999997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7.8994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9.5812000000000008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11.263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12.0097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12.756399999999999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5.3240999999999996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5.1657000000000002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2.4582999999999999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0.38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5.0000000000000001E-4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4.0000000000000002E-4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2.9999999999999997E-4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2.0000000000000001E-4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1E-4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0.20069999999999999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0.27660000000000001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0.22789999999999999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0.14299999999999999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0.1187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0.1077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9.9000000000000005E-2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7.3200000000000001E-2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4.5499999999999999E-2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2.5000000000000001E-2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4.5999999999999999E-3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2.3E-3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1.23E-2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9.4000000000000004E-3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4.1000000000000003E-3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66.417000000000002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42.541899999999998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69.364999999999995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85.595200000000006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78.161000000000001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84.924300000000002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81.131299999999996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100.26130000000001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177.8177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218.34540000000001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258.87299999999999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288.42140000000001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317.96980000000002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341.37799999999999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364.78620000000001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378.49520000000001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392.20429999999999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3494.8928999999998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3676.3780999999999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2327.1151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1458.4172000000001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1158.8604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922.12580000000003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684.69359999999995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497.63560000000001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366.92489999999998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294.58100000000002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222.23689999999999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221.059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219.8809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219.89500000000001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219.9092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225.41849999999999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230.92779999999999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3055.8957999999998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3236.5457999999999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1933.0175999999999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1113.4885999999999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835.35509999999999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615.2328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392.50580000000002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235.42869999999999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113.60039999999999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31.448599999999999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-50.703299999999999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-74.975300000000004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-99.247399999999999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-126.08710000000001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-152.92679999999999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-164.053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-175.17930000000001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0.45540000000000003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0.45529999999999998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0.45419999999999999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0.45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0.43990000000000001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0.41949999999999998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0.35299999999999998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0.28620000000000001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0.19550000000000001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0.1048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5.2400000000000002E-2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2.7170000000000001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3.6879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5.1836000000000002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6.2864000000000004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7.1249000000000002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8.1165000000000003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8.8956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9.4547000000000008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9.9126999999999992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9.7492999999999999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9.5858000000000008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9.3153000000000006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9.0448000000000004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8.5618999999999996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8.0791000000000004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7.6680999999999999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7.2571000000000003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1.6696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2.6947999999999999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4.1291000000000002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5.3518999999999997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6.3621999999999996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7.7241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9.2486999999999995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10.6556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13.7043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15.2552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16.806100000000001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18.585999999999999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20.3658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20.770299999999999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21.174800000000001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21.188600000000001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21.202300000000001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9.3600000000000003E-2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0.2238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0.59470000000000001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1.0175000000000001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1.5182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2.0255999999999998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2.4786999999999999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2.8801000000000001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3.3056999999999999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3.4367000000000001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3.5676000000000001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3.6385000000000001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3.7094999999999998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3.7345000000000002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3.7595999999999998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3.7566000000000002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3.7536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1.41E-2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0.1055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0.26119999999999999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0.43190000000000001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0.66700000000000004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1.1099000000000001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1.8507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2.5541999999999998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4.2149999999999999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7.7046000000000001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11.1943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14.2408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17.287299999999998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20.657800000000002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24.028300000000002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26.2774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28.526399999999999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5.3240999999999996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5.4200999999999997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4.75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2.2311999999999999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0.3639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5.8999999999999999E-3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7.9000000000000008E-3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1.41E-2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3.6799999999999999E-2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4.7500000000000001E-2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5.8299999999999998E-2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0.1038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0.14929999999999999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0.2409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0.33250000000000002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0.46710000000000002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0.60160000000000002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0.20069999999999999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0.30890000000000001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0.2949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0.22800000000000001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0.22689999999999999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0.25130000000000002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0.27489999999999998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0.3039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0.33600000000000002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0.36049999999999999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0.38500000000000001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0.33510000000000001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0.2853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0.2329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0.18049999999999999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0.12859999999999999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7.6700000000000004E-2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1.23E-2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9.4000000000000004E-3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4.1000000000000003E-3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66.417000000000002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83.947100000000006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86.390299999999996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87.5732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95.724100000000007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106.4961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111.2693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118.26309999999999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201.59030000000001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226.37710000000001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251.16390000000001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262.3451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273.52629999999999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272.97710000000001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272.42790000000002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284.48700000000002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296.54610000000002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3494.8928999999998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3885.4766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3923.6237000000001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3486.5821999999998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3125.1864999999998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2993.5309000000002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2837.9474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2758.4917999999998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2727.9771999999998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2531.3528999999999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2334.7287000000001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2246.4391999999998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2158.1498000000001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2094.3798000000002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2030.6098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2006.8284000000001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1983.047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3055.8957999999998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3431.7215000000001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3475.3906000000002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3057.6885000000002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2713.1278000000002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2584.8359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2424.7646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2336.2053999999998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2315.0120999999999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2134.9353999999998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1954.8588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1861.1803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1767.5019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1704.7070000000001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1641.912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1615.5467000000001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1589.1813999999999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41.7376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188.9367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226.73560000000001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278.2106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331.423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354.46859999999998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333.99450000000002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319.0324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304.07010000000002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263.34359999999998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222.6174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201.46899999999999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180.32040000000001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174.6317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168.94290000000001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2.7170000000000001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3.7448999999999999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4.9501999999999997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6.1227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7.7504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9.0965000000000007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9.8421000000000003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10.2691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10.2737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10.512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10.750299999999999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10.4527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10.154999999999999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9.8131000000000004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9.4712999999999994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9.1549999999999994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8.8386999999999993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1.6696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2.6985000000000001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3.8803999999999998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5.1547999999999998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6.6292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8.0058000000000007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9.6562999999999999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10.8789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13.351900000000001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15.5189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17.6858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19.3766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21.067399999999999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21.822900000000001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22.578299999999999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22.823399999999999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23.0685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9.3600000000000003E-2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0.2165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0.58340000000000003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1.0689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1.8915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2.7179000000000002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3.3258000000000001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3.7873000000000001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4.2533000000000003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4.3741000000000003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4.4949000000000003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4.6020000000000003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4.7091000000000003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4.7975000000000003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4.8857999999999997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4.9751000000000003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5.0644999999999998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1.41E-2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9.6699999999999994E-2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0.28949999999999998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0.75349999999999995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1.6154999999999999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2.9382000000000001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4.9096000000000002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7.2495000000000003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11.0533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12.234999999999999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13.4168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15.322100000000001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17.227499999999999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18.3931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19.558800000000002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19.998799999999999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20.4389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5.3240999999999996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5.2423000000000002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2.4977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0.38640000000000002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4.0000000000000002E-4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2.9999999999999997E-4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2.9999999999999997E-4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2.0000000000000001E-4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1E-4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1E-4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0.20069999999999999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0.29480000000000001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0.26700000000000002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0.13189999999999999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7.7200000000000005E-2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5.3900000000000003E-2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3.6200000000000003E-2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2.1700000000000001E-2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8.8000000000000005E-3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4.4000000000000003E-3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1.23E-2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9.4000000000000004E-3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4.1000000000000003E-3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66.417000000000002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60.023200000000003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84.559700000000007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87.234099999999998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89.816699999999997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91.981300000000005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101.572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107.8306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167.91370000000001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216.7595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265.60539999999997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268.62810000000002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271.65089999999998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320.54689999999999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369.44299999999998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317.7079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265.97280000000001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3494.8928999999998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3754.0506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2724.0931999999998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1701.8189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1304.2733000000001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927.78719999999998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524.90070000000003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305.52319999999997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181.04810000000001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185.63310000000001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190.2182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190.21809999999999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190.21809999999999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205.06360000000001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219.9092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219.9092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219.9092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3055.8957999999998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3299.7946000000002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2302.6316000000002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1336.0762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973.36720000000003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624.59230000000002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243.78620000000001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31.547699999999999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-105.40430000000001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-100.7907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-96.177099999999996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-105.4593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-114.7415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-108.6057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-102.4699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-105.3218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-108.1738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33.1541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134.76920000000001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240.84970000000001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241.0925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237.3297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217.14439999999999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208.02770000000001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198.911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164.6936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130.476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76.704599999999999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22.9331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11.4666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2.7170000000000001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3.7067000000000001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5.1638999999999999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6.4824999999999999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7.4264000000000001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8.6679999999999993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9.5105000000000004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10.1394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10.399900000000001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10.6037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10.807600000000001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10.5778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10.348000000000001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9.9071999999999996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9.4664999999999999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9.0178999999999991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8.5693000000000001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1.6696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2.7071999999999998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4.0949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5.4458000000000002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6.5612000000000004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8.0998999999999999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9.7980999999999998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11.2942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13.9801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16.317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18.6539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20.6204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22.5868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23.295200000000001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24.003599999999999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24.1373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24.271000000000001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9.3600000000000003E-2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0.2417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0.64139999999999997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1.0986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1.7829999999999999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2.6242999999999999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3.2566999999999999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3.7160000000000002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4.1886999999999999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4.3475000000000001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4.5063000000000004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4.6486999999999998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4.7911999999999999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4.8746999999999998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4.9581999999999997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5.0179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5.0774999999999997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1.41E-2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0.1033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0.26229999999999998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0.4783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0.89500000000000002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1.6585000000000001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2.8774999999999999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4.1886000000000001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6.7916999999999996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7.5202999999999998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8.2487999999999992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10.0947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11.9406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14.701499999999999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17.462299999999999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19.828700000000001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22.195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5.3240999999999996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5.4008000000000003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4.2458999999999998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1.8110999999999999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2.2000000000000001E-3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8.9999999999999998E-4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5.0000000000000001E-4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4.0000000000000002E-4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0.20069999999999999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0.311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0.30270000000000002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0.22489999999999999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0.22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0.2301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0.21510000000000001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0.1888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0.1555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0.1082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6.0900000000000003E-2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3.3000000000000002E-2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5.1000000000000004E-3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2.5999999999999999E-3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1.23E-2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9.4000000000000004E-3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4.1000000000000003E-3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66.417000000000002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0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0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0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0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0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0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0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0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0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0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0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0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0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0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0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0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3494.8928999999998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3826.0963000000002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3597.6568000000002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2989.8330999999998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2260.5261999999998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1802.2109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1463.4697000000001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1287.7698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1204.2272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1120.5847000000001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1036.9422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1011.9752999999999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987.00819999999999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987.9144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988.82079999999996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898.36540000000002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807.90989999999999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3055.8957999999998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3372.9542000000001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3154.0464999999999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2567.0891999999999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1861.6748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1450.9708000000001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1135.7053000000001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973.43460000000005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879.02369999999996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790.19880000000001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701.37379999999996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663.43589999999995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625.49789999999996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609.31150000000002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593.12509999999997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499.09179999999998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405.05840000000001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2.7170000000000001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3.6459000000000001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4.8983999999999996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6.21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6.98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7.6531000000000002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8.5670999999999999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9.1991999999999994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9.5517000000000003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9.5708000000000002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9.5899000000000001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9.4938000000000002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9.3977000000000004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9.0943000000000005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8.7910000000000004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8.3056999999999999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7.8204000000000002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1.6696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2.6772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3.9824999999999999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5.3933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6.4208999999999996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7.4436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9.0609000000000002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10.712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13.5747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15.6792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17.783799999999999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19.755299999999998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21.726900000000001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22.597799999999999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23.468599999999999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23.158999999999999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22.849499999999999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9.3600000000000003E-2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0.22420000000000001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0.58320000000000005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1.0089999999999999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1.5264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2.0305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2.5186000000000002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2.9253999999999998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3.3603999999999998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3.5026999999999999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3.645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3.7336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3.8222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3.8877000000000002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3.9531999999999998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3.9359999999999999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3.9186999999999999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1.41E-2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0.10780000000000001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0.26250000000000001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0.45029999999999998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0.70440000000000003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1.0043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1.3253999999999999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1.4646999999999999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1.55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1.5728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1.5955999999999999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1.8861000000000001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2.1764999999999999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4.3257000000000003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6.4748999999999999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11.145300000000001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15.8156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5.3240999999999996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5.5624000000000002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5.2047999999999996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4.4958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2.8633000000000002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1.1114999999999999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0.44729999999999998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0.3745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0.1095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9.6299999999999997E-2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8.3099999999999993E-2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6.8500000000000005E-2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5.3999999999999999E-2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0.16650000000000001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0.27910000000000001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0.52190000000000003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0.76459999999999995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0.20069999999999999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0.32850000000000001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0.46260000000000001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0.39090000000000003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0.29980000000000001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0.3095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0.34029999999999999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0.35339999999999999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0.3548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0.37069999999999997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0.38650000000000001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0.4279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0.46929999999999999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0.51939999999999997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0.56940000000000002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0.52090000000000003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0.47239999999999999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1.23E-2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9.4000000000000004E-3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4.1000000000000003E-3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66.417000000000002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85.302999999999997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87.452500000000001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88.554599999999994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100.5022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115.07429999999999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114.10469999999999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118.8955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200.88990000000001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222.3843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243.87870000000001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246.1156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248.35239999999999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258.2183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268.08409999999998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297.9948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327.90539999999999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3494.8928999999998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3916.4171999999999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4411.2682999999997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4774.1605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4923.0285999999996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5009.3141999999998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5340.1863999999996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5957.5047000000004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6953.7110000000002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7269.3620000000001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7585.0129999999999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7523.7970999999998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7462.5811999999996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7120.9282999999996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6779.2754999999997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6105.8923999999997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5432.5092999999997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3055.8957999999998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3481.8215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3968.6466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4328.982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4478.7156000000004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4565.857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4892.5360000000001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5494.3528999999999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6480.6145999999999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6800.2529999999997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7119.8913000000002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7066.4452000000001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7012.9989999999998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6680.7169000000004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6348.4346999999998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5684.1508999999996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5019.8670000000002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1.6899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57.502000000000002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184.26939999999999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231.7552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237.3742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219.79349999999999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275.5865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331.37959999999998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305.67939999999999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279.97899999999998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260.46140000000003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240.9436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236.40389999999999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231.86439999999999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2.7170000000000001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3.6459000000000001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4.8983999999999996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6.3209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7.4066999999999998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8.4931000000000001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9.7087000000000003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10.3674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10.463699999999999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10.647399999999999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10.831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10.504899999999999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10.178800000000001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9.8376000000000001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9.4963999999999995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9.1125000000000007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8.7285000000000004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1.6696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2.6772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3.9824999999999999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5.4649999999999999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6.4795999999999996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7.4523000000000001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9.4141999999999992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11.2088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13.6327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15.7623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17.8919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19.756799999999998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21.621700000000001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22.5608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23.5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23.762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24.024000000000001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9.3600000000000003E-2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0.22420000000000001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0.58320000000000005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0.91290000000000004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1.4171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2.0647000000000002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2.7404000000000002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3.3586999999999998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3.9279999999999999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4.1158999999999999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4.3038999999999996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4.4378000000000002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4.5716999999999999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4.6374000000000004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4.7031000000000001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4.7725999999999997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4.8419999999999996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1.41E-2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0.10780000000000001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0.26250000000000001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0.43859999999999999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0.6613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1.6774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3.6286999999999998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6.2507000000000001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12.161300000000001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15.6938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19.226199999999999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21.964400000000001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24.7026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26.885100000000001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29.067599999999999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29.943100000000001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30.8186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5.3240999999999996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5.5624000000000002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5.2047999999999996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4.1706000000000003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1.8608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5.5999999999999999E-3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1.1999999999999999E-3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4.0000000000000002E-4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2.9999999999999997E-4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2.0000000000000001E-4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1E-4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0.20069999999999999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0.32850000000000001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0.46260000000000001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0.37290000000000001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0.2329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0.18479999999999999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0.13489999999999999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8.7400000000000005E-2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5.4800000000000001E-2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3.1E-2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7.1999999999999998E-3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3.5999999999999999E-3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1.23E-2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9.4000000000000004E-3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4.1000000000000003E-3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66.417000000000002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85.302999999999997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87.452500000000001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89.672200000000004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92.723600000000005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107.35429999999999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108.8809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115.887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190.22329999999999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233.6062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276.98910000000001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327.0686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377.14800000000002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410.65100000000001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444.154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458.74009999999998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473.32619999999997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3494.8928999999998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3916.4171999999999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4411.2682999999997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4588.6427000000003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2953.6583999999998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1638.046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1218.8860999999999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955.35209999999995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656.29470000000003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438.1019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219.90889999999999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219.90899999999999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219.9091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219.9092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219.9092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219.9092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219.9092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3055.8957999999998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3481.8215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3968.6466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4143.6095999999998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2569.3595999999998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1316.3045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918.49030000000005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654.59910000000002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319.91789999999997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96.136399999999995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-127.6452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-128.8032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-129.96109999999999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-129.7637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-129.56630000000001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-129.32859999999999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-129.0908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0.32819999999999999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0.62739999999999996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0.62649999999999995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0.62280000000000002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0.61270000000000002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0.59130000000000005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0.53920000000000001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0.48709999999999998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0.35570000000000002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0.2243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0.11210000000000001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2.7170000000000001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3.6459000000000001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4.8983999999999996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6.1502999999999997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6.9343000000000004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7.7210000000000001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8.6415000000000006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9.2736999999999998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9.6820000000000004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10.125299999999999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10.5686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10.228199999999999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9.8877000000000006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9.4540000000000006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9.0204000000000004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8.6547999999999998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8.2893000000000008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1.6696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2.6772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3.9824999999999999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5.6144999999999996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6.4871999999999996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7.4930000000000003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9.1889000000000003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10.542199999999999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13.303599999999999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15.624700000000001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17.945799999999998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19.6386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21.331399999999999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22.151399999999999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22.971399999999999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23.345500000000001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23.7197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9.3600000000000003E-2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0.22420000000000001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0.58320000000000005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0.66990000000000005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1.2564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2.0640999999999998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2.7906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3.3593000000000002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3.8736000000000002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3.9794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4.0853000000000002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4.1513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4.2172000000000001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4.2935999999999996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4.3700999999999999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4.4138999999999999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4.4577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1.41E-2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0.10780000000000001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0.26250000000000001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0.4425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0.71050000000000002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1.6215999999999999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3.8268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7.0106000000000002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11.841900000000001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12.8504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13.8589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16.3658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18.872699999999998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21.418800000000001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23.9649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24.985199999999999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26.005400000000002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5.3240999999999996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5.5624000000000002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5.2047999999999996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4.298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2.0186999999999999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0.1779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1.43E-2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2.53E-2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4.8099999999999997E-2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4.8099999999999997E-2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4.8099999999999997E-2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4.4900000000000002E-2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4.1700000000000001E-2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3.4099999999999998E-2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2.6499999999999999E-2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1.6400000000000001E-2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6.3E-3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0.20069999999999999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0.32850000000000001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0.46260000000000001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0.37669999999999998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0.26479999999999998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0.26800000000000002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0.28939999999999999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0.28100000000000003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0.2303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0.182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0.1338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8.8099999999999998E-2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4.2299999999999997E-2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2.1999999999999999E-2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1.6999999999999999E-3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8.0000000000000004E-4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1.23E-2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9.4000000000000004E-3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4.1000000000000003E-3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66.417000000000002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85.302999999999997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87.452500000000001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112.5256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95.311400000000006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108.244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110.8732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118.2921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192.4145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244.34800000000001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296.28160000000003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310.8485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325.41550000000001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332.64339999999999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339.87119999999999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364.24079999999998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388.6105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3494.8928999999998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3916.4171999999999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4411.2682999999997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4696.7156999999997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3412.9254000000001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2599.1167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2047.1102000000001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1717.175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1512.4435000000001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1293.7288000000001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1075.0139999999999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980.9751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886.93619999999999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860.04259999999999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833.14890000000003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757.11779999999999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681.08659999999998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3055.8957999999998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3481.8215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3968.6466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4257.9872999999998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3021.0832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2227.6909000000001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1686.2543000000001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1343.0235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1129.5547999999999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913.81330000000003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698.07180000000005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601.21879999999999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504.36579999999998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471.48849999999999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438.61110000000002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358.87560000000002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279.14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18.666499999999999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70.3292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125.68049999999999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185.34909999999999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259.55799999999999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354.82530000000003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424.37189999999998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440.27379999999999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456.17590000000001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434.697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413.21800000000002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387.50889999999998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361.7998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373.33850000000001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384.87729999999999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2.7170000000000001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2.9683000000000002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3.1284999999999998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3.4226000000000001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3.7776000000000001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4.1086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4.4939999999999998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4.6695000000000002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4.8943000000000003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4.9771999999999998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5.0602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5.1481000000000003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5.2359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5.2969999999999997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5.3581000000000003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5.3814000000000002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5.4046000000000003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1.6696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3.0598000000000001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3.9758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5.2937000000000003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6.6852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7.9584999999999999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9.3507999999999996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10.5114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12.3786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13.835900000000001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15.293100000000001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16.802600000000002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18.312100000000001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19.212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20.111799999999999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20.538900000000002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20.966000000000001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9.3600000000000003E-2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0.22520000000000001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0.59430000000000005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1.0282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1.7176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2.4921000000000002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3.0636999999999999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3.5312999999999999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3.9641999999999999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4.0639000000000003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4.1637000000000004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4.2457000000000003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4.3277999999999999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4.3808999999999996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4.4339000000000004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4.4958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4.5576999999999996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1.41E-2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8.72E-2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0.1426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0.2278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0.437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0.83579999999999999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1.4454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2.1492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3.6124000000000001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4.9543999999999997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6.2964000000000002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8.4002999999999997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10.504200000000001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12.0585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13.6129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14.2407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14.868499999999999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5.3240999999999996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5.2492999999999999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2.5074999999999998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0.38800000000000001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5.9999999999999995E-4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4.0000000000000002E-4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2.9999999999999997E-4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2.0000000000000001E-4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1E-4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0.20069999999999999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0.28689999999999999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0.252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0.15709999999999999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0.1163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8.9499999999999996E-2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6.1100000000000002E-2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4.1700000000000001E-2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2.2800000000000001E-2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1.1900000000000001E-2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1E-3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5.0000000000000001E-4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1.23E-2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9.4000000000000004E-3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4.1000000000000003E-3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66.417000000000002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55.713000000000001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69.015600000000006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81.813299999999998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79.638599999999997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84.0989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89.072299999999998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93.422200000000004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181.28200000000001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226.81370000000001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272.34530000000001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292.80009999999999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313.25490000000002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349.89019999999999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386.52550000000002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405.96359999999999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425.40170000000001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3494.8928999999998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3729.3606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2579.7923000000001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1592.3765000000001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1228.7289000000001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950.19470000000001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639.20650000000001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435.54450000000003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288.97280000000001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215.8571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142.74160000000001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150.18530000000001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157.62909999999999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188.76910000000001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219.9092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219.9092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219.9092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3055.8957999999998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3297.4252000000001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2173.1687000000002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1243.1454000000001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902.72580000000005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641.58600000000001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344.83019999999999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164.85429999999999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15.9918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-69.389300000000006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-154.77029999999999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-172.86709999999999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-190.9639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-184.5393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-178.1148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-193.32380000000001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-208.53290000000001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0.4002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0.40010000000000001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0.39910000000000001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0.39550000000000002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0.3866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0.36859999999999998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0.30990000000000001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0.25109999999999999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0.17130000000000001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9.1300000000000006E-2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4.5600000000000002E-2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2.7170000000000001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3.6791999999999998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5.1760999999999999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6.3235000000000001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7.2484999999999999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8.3506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9.2545999999999999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9.9291999999999998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10.5204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10.351100000000001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10.181800000000001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10.011900000000001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9.8420000000000005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9.4060000000000006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8.9700000000000006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8.5464000000000002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8.1228999999999996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1.6696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2.6922999999999999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4.1238999999999999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5.3773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6.4608999999999996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7.9349999999999996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9.6023999999999994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11.196400000000001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14.540699999999999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16.182400000000001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17.824000000000002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19.957599999999999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22.091200000000001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22.771599999999999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23.452000000000002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23.586099999999998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23.720199999999998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9.3600000000000003E-2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0.23050000000000001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0.60370000000000001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1.0254000000000001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1.5477000000000001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2.0937000000000001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2.6040000000000001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3.0569000000000002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3.5350999999999999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3.6770999999999998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3.8191000000000002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3.9371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4.0549999999999997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4.1210000000000004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4.1868999999999996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4.2018000000000004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4.2167000000000003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1.41E-2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0.10730000000000001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0.26229999999999998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0.43619999999999998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0.67930000000000001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1.1552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1.9419999999999999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2.6313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4.2527999999999997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7.7920999999999996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11.331300000000001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14.634399999999999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17.9374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21.900099999999998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25.8627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28.631799999999998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31.401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5.3240999999999996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5.444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4.7712000000000003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2.2416999999999998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0.36559999999999998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5.4999999999999997E-3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7.1999999999999998E-3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1.3299999999999999E-2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3.5700000000000003E-2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4.5499999999999999E-2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5.5300000000000002E-2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0.1087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0.16209999999999999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0.2797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0.3972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0.56720000000000004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0.73729999999999996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0.20069999999999999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0.31409999999999999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0.31719999999999998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0.25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0.23469999999999999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0.26119999999999999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0.30230000000000001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0.33639999999999998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0.38009999999999999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0.4239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0.46779999999999999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0.4133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0.35870000000000002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0.29659999999999997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0.23449999999999999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0.1681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0.1017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1.23E-2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9.4000000000000004E-3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4.1000000000000003E-3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66.417000000000002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81.814999999999998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85.266400000000004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87.504099999999994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96.268299999999996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107.3651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112.73520000000001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120.1609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204.8937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229.9237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254.9538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266.44369999999998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277.93369999999999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277.87950000000001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277.8254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289.71640000000002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301.60750000000002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3494.8928999999998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3886.6605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3919.9072999999999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3481.8137999999999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3144.7296000000001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3049.6505000000002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2939.9504000000002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2893.1792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2887.4771999999998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2694.0351000000001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2500.5929000000001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2426.2424999999998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2351.8919999999998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2291.7986000000001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2231.7051999999999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2209.4621999999999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2187.2193000000002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3055.8957999999998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3432.8728999999998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3471.9960999999998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3053.2388000000001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2730.9259999999999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2636.3724999999999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2519.2311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2461.0810999999999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2463.0286000000001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2286.1224999999999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2109.2163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2026.1985999999999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1943.1808000000001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1882.5806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1821.9803999999999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1796.3352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1770.69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25.358000000000001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128.7748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215.82499999999999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291.9948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359.46879999999999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366.02550000000002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359.17700000000002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340.99849999999998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322.82010000000002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283.834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244.84809999999999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221.45400000000001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198.0598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191.63630000000001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185.2131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2.7170000000000001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3.7423000000000002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4.9276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6.2178000000000004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7.9371999999999998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9.4911999999999992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10.340400000000001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10.8971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10.8729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11.0761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11.279199999999999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11.066599999999999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10.853999999999999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10.5219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10.1897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9.8645999999999994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9.5395000000000003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1.6696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2.7189999999999999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3.9295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5.2042999999999999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6.7343999999999999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8.2597000000000005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10.0823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11.3881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14.082100000000001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16.348099999999999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18.614100000000001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20.4711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22.328199999999999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23.166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24.003900000000002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24.286899999999999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24.569900000000001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9.3600000000000003E-2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0.22919999999999999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0.61429999999999996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1.0907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1.9215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2.8056999999999999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3.4860000000000002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4.0042999999999997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4.5156000000000001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4.6388999999999996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4.7622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4.8884999999999996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5.0148000000000001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5.1205999999999996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5.2263999999999999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5.3216999999999999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5.4169999999999998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1.41E-2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9.8000000000000004E-2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0.28339999999999999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0.74629999999999996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1.6854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3.2402000000000002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5.6314000000000002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8.3231999999999999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12.311400000000001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13.126899999999999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13.942500000000001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15.6745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17.406600000000001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18.579599999999999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19.752700000000001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20.132999999999999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20.513300000000001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5.3240999999999996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5.3242000000000003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2.5455000000000001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0.39429999999999998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4.0000000000000002E-4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2.9999999999999997E-4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2.9999999999999997E-4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2.0000000000000001E-4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1E-4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1E-4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0.20069999999999999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0.30520000000000003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0.37030000000000002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0.2293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8.0600000000000005E-2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5.4699999999999999E-2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3.5900000000000001E-2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2.1399999999999999E-2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8.6999999999999994E-3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4.4000000000000003E-3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1.23E-2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9.4000000000000004E-3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4.1000000000000003E-3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66.417000000000002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61.810600000000001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85.828599999999994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86.421199999999999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88.648600000000002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92.430499999999995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103.5193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108.59699999999999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159.13579999999999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217.7585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276.38119999999998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270.54419999999999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264.7072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259.60759999999999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254.50790000000001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237.25110000000001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219.99420000000001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3494.8928999999998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3797.3094999999998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2852.6023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1901.7592999999999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1357.6442999999999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902.27350000000001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437.90600000000001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206.7294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142.91040000000001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157.4316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171.953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174.76660000000001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177.58009999999999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198.74459999999999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219.9092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219.9092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219.9092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3055.8957999999998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3345.6176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2429.4614999999999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1528.722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1024.3829000000001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597.6961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154.32910000000001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-71.423400000000001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-147.96860000000001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-131.95230000000001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-115.93600000000001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-121.10039999999999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-126.26479999999999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-113.9397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-101.6146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-106.1524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-110.6901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2.3001999999999998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42.918900000000001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146.02789999999999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201.61269999999999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2.7170000000000001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3.7174999999999998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5.2388000000000003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6.3897000000000004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7.4355000000000002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8.7079000000000004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9.7044999999999995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1.6696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2.7052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4.1753999999999998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5.4374000000000002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6.6181000000000001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8.1452000000000009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9.9540000000000006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9.3600000000000003E-2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0.153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0.44679999999999997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1.0195000000000001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1.7789999999999999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2.6688999999999998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3.3289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1.41E-2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0.1027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0.24859999999999999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0.44500000000000001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0.84130000000000005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1.6604000000000001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3.0651000000000002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5.3240999999999996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5.4177999999999997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4.7649999999999997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2.2374999999999998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0.36159999999999998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1.9E-3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1.4E-3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0.20069999999999999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0.30509999999999998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0.29049999999999998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0.21360000000000001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0.2084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0.2127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0.1961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1.23E-2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9.4000000000000004E-3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4.1000000000000003E-3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66.417000000000002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107.2761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86.025400000000005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84.861000000000004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94.058499999999995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103.292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99.949399999999997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3494.8928999999998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3927.8184000000001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3997.0459999999998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3377.5036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2643.4785999999999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2012.8918000000001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1487.1871000000001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3055.8957999999998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3473.779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3547.8634999999999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2950.9110999999998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2242.348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1632.1224999999999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1145.5512000000001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2.7170000000000001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3.6499000000000001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4.9028999999999998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6.2268999999999997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7.0587999999999997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7.8121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8.8416999999999994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1.6696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2.6797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3.9878999999999998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5.4074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6.4904000000000002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7.5903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9.3251000000000008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9.3600000000000003E-2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0.22670000000000001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0.58540000000000003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1.0121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1.5431999999999999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2.0727000000000002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2.5962999999999998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1.41E-2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0.1084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0.26300000000000001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0.4526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0.71060000000000001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1.0227999999999999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1.3644000000000001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5.3240999999999996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5.5566000000000004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5.2066999999999997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4.4992000000000001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2.9496000000000002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1.2674000000000001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0.69430000000000003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0.20069999999999999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0.33069999999999999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0.46679999999999999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0.39579999999999999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0.30530000000000002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0.31669999999999998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0.35010000000000002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1.23E-2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9.4000000000000004E-3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4.1000000000000003E-3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66.417000000000002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83.273099999999999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86.916899999999998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88.418400000000005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100.52809999999999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115.48860000000001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115.6592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3494.8928999999998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3916.6579999999999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4419.0816000000004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4794.3428999999996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4986.723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5124.6526999999996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5505.5981000000002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3055.8957999999998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3482.0147999999999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3975.9504000000002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4348.3033999999998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4540.6493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4678.8513999999996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5055.8957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1.5477000000000001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43.336199999999998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143.88990000000001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221.93780000000001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2.7170000000000001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3.6499000000000001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4.9028999999999998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6.2977999999999996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7.4488000000000003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8.7239000000000004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10.128399999999999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1.6696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2.6797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3.9878999999999998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5.4511000000000003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6.5964999999999998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7.6536999999999997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9.6613000000000007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9.3600000000000003E-2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0.22670000000000001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0.58540000000000003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1.1886000000000001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1.8499000000000001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2.4777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2.9508999999999999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1.41E-2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0.1084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0.26300000000000001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0.4461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0.68640000000000001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1.7952999999999999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3.9447000000000001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5.3240999999999996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5.5566000000000004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5.2066999999999997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4.2061000000000002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1.8778999999999999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5.8999999999999999E-3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1.4E-3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0.20069999999999999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0.33069999999999999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0.46679999999999999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0.38100000000000001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0.2387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0.17050000000000001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0.12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1.23E-2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9.4000000000000004E-3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4.1000000000000003E-3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66.417000000000002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83.273099999999999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86.916899999999998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55.603499999999997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97.199399999999997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100.70010000000001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109.41849999999999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3494.8928999999998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3916.6579999999999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4419.0816000000004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4568.9387999999999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3027.58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1643.6351999999999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1160.3534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3055.8957999999998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3482.0147999999999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3975.9504000000002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4124.5964000000004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2640.9335000000001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1321.3774000000001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863.90110000000004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2.7170000000000001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3.6499000000000001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4.9028999999999998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6.2397999999999998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7.0522999999999998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7.8704000000000001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8.7827999999999999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1.6696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2.6797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3.9878999999999998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5.5681000000000003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6.4764999999999997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7.5707000000000004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9.2294999999999998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9.3600000000000003E-2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0.22670000000000001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0.58540000000000003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0.70079999999999998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1.2695000000000001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2.0568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2.8003999999999998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1.41E-2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0.1084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0.26300000000000001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0.45069999999999999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0.78559999999999997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1.7707999999999999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4.1539000000000001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5.3240999999999996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5.5566000000000004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5.2066999999999997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4.3727999999999998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2.1012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0.26169999999999999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2.9600000000000001E-2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0.20069999999999999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0.33069999999999999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0.46679999999999999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0.38300000000000001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0.2908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0.29430000000000001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0.30909999999999999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1.23E-2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9.4000000000000004E-3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4.1000000000000003E-3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66.417000000000002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83.273099999999999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86.916899999999998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122.8973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96.638099999999994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112.5694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114.0461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3494.8928999999998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3916.6579999999999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4419.0816000000004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4775.6826000000001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3765.4409999999998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2864.4274999999998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2206.0996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3055.8957999999998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3482.0147999999999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3975.9504000000002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4334.9656999999997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3360.4391999999998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2485.3015999999998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1847.4559999999999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19.4497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83.821299999999994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158.6962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236.69929999999999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2.7170000000000001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2.9683999999999999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3.1177999999999999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3.4093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3.8117999999999999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4.1635999999999997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4.5637999999999996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1.6696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3.0651999999999999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3.9882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5.3097000000000003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6.7088000000000001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8.0396999999999998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9.4680999999999997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9.3600000000000003E-2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0.2399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0.62470000000000003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1.0450999999999999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1.7178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2.5015999999999998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3.1002000000000001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1.41E-2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8.8200000000000001E-2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0.1424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0.2273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0.433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0.83740000000000003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1.4718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5.3240999999999996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5.2804000000000002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2.5869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0.44030000000000002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1E-3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4.0000000000000002E-4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2.9999999999999997E-4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0.20069999999999999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0.29170000000000001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0.26100000000000001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0.16600000000000001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0.121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9.2700000000000005E-2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6.2600000000000003E-2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1.23E-2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9.4000000000000004E-3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4.1000000000000003E-3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66.417000000000002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53.018700000000003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69.093699999999998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80.728899999999996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81.069699999999997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84.363500000000002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87.806899999999999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3494.8928999999998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3750.9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2651.1401999999998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1802.1225999999999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1300.7485999999999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984.34209999999996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651.995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3055.8957999999998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3318.1297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2243.2213000000002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1426.3175000000001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964.67430000000002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665.14009999999996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346.34480000000002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0.26129999999999998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0.26119999999999999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0.26050000000000001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0.25819999999999999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2.7170000000000001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3.6856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5.1688000000000001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6.3061999999999996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7.3022999999999998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8.5106999999999999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9.5602999999999998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1.6696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2.6945000000000001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4.1243999999999996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5.4032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6.5179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8.0839999999999996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9.9329999999999998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9.3600000000000003E-2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0.2261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0.59599999999999997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1.0256000000000001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1.5641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2.1347999999999998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2.6793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1.41E-2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0.1079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0.26250000000000001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0.43630000000000002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0.67479999999999996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1.1475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1.9541999999999999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5.3240999999999996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5.43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4.7558999999999996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2.2341000000000002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0.36399999999999999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4.8999999999999998E-3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5.7999999999999996E-3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0.20069999999999999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0.31580000000000003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0.31979999999999997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0.25269999999999998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0.24179999999999999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0.27010000000000001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0.31569999999999998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1.23E-2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9.4000000000000004E-3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4.1000000000000003E-3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66.417000000000002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82.827200000000005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85.004900000000006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87.451400000000007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96.574399999999997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107.7437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114.2501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3494.8928999999998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3887.9639999999999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3928.5144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3509.8200999999999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3183.3377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3092.5486999999998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2983.1336000000001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3055.8957999999998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3433.7828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3480.6199000000001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3083.1136999999999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2770.078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2679.2262000000001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2561.5823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27.904399999999999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132.4051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223.18610000000001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306.81139999999999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373.77080000000001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2.7170000000000001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3.7507999999999999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4.9645999999999999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6.2343000000000002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7.9978999999999996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9.6616999999999997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10.5504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1.6696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2.7267999999999999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3.9458000000000002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5.2470999999999997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6.7511000000000001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8.3392999999999997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10.2662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9.3600000000000003E-2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0.2233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0.60270000000000001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1.0871999999999999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1.9229000000000001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2.8433000000000002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3.5554999999999999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1.41E-2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9.9000000000000005E-2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0.28170000000000001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0.71479999999999999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1.6591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3.2602000000000002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5.7564000000000002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5.3240999999999996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5.3522999999999996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2.7090000000000001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0.51859999999999995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4.0000000000000002E-4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2.9999999999999997E-4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2.9999999999999997E-4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0.20069999999999999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0.30969999999999998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0.38419999999999999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0.2427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9.1399999999999995E-2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6.4399999999999999E-2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3.6400000000000002E-2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1.23E-2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9.4000000000000004E-3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4.1000000000000003E-3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66.417000000000002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66.948999999999998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85.976900000000001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85.153199999999998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90.094999999999999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92.926699999999997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104.6146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3494.8928999999998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3830.1386000000002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3029.5626999999999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2083.8530999999998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1403.5079000000001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896.44399999999996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407.74259999999998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3055.8957999999998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3376.3539000000001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2597.6030000000001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1709.2348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1074.1849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597.6499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127.99979999999999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2025-10-11T11:57:13Z</dcterms:modified>
</cp:coreProperties>
</file>