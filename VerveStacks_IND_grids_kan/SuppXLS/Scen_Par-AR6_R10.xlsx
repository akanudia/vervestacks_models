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13_ncr:1_{5796BE62-B5AC-4101-8DAB-3731E5F31BC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3" hidden="1">ar6_r10!$A$10:$M$395</definedName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1" l="1"/>
  <c r="O15" i="1"/>
  <c r="N15" i="1"/>
  <c r="M15" i="1"/>
  <c r="L15" i="1"/>
  <c r="K15" i="1"/>
  <c r="J15" i="1"/>
  <c r="I15" i="1"/>
  <c r="B10" i="1"/>
  <c r="B11" i="1"/>
  <c r="B12" i="1"/>
  <c r="B13" i="1"/>
  <c r="B14" i="1"/>
  <c r="B15" i="1"/>
  <c r="B16" i="1"/>
  <c r="B9" i="1"/>
  <c r="C14" i="1"/>
  <c r="C15" i="1"/>
  <c r="C16" i="1"/>
  <c r="E16" i="1"/>
  <c r="E15" i="1"/>
  <c r="E14" i="1"/>
  <c r="E13" i="1"/>
  <c r="W23" i="1" l="1"/>
  <c r="Z23" i="1"/>
  <c r="T23" i="1"/>
  <c r="Y23" i="1"/>
  <c r="V23" i="1"/>
  <c r="X23" i="1"/>
  <c r="U2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1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H24" i="1" s="1"/>
  <c r="AJ54" i="1"/>
  <c r="O24" i="1" l="1"/>
  <c r="Z24" i="1" s="1"/>
  <c r="L24" i="1"/>
  <c r="W24" i="1" s="1"/>
  <c r="M24" i="1"/>
  <c r="X24" i="1" s="1"/>
  <c r="K24" i="1"/>
  <c r="V24" i="1" s="1"/>
  <c r="N24" i="1"/>
  <c r="Y24" i="1" s="1"/>
  <c r="I14" i="1"/>
  <c r="D5" i="1"/>
  <c r="H14" i="1" s="1"/>
  <c r="AJ59" i="1"/>
  <c r="AJ55" i="1"/>
  <c r="J14" i="1" l="1"/>
  <c r="U14" i="1" s="1"/>
  <c r="O48" i="1"/>
  <c r="O18" i="1"/>
  <c r="M18" i="1"/>
  <c r="L18" i="1"/>
  <c r="L21" i="1"/>
  <c r="K21" i="1"/>
  <c r="I18" i="1"/>
  <c r="T18" i="1" s="1"/>
  <c r="K14" i="1"/>
  <c r="V14" i="1" s="1"/>
  <c r="L14" i="1"/>
  <c r="W14" i="1" s="1"/>
  <c r="M14" i="1"/>
  <c r="X14" i="1" s="1"/>
  <c r="N14" i="1"/>
  <c r="Y14" i="1" s="1"/>
  <c r="K20" i="1"/>
  <c r="J20" i="1"/>
  <c r="I20" i="1"/>
  <c r="T20" i="1" s="1"/>
  <c r="N19" i="1"/>
  <c r="K19" i="1"/>
  <c r="I19" i="1"/>
  <c r="T19" i="1" s="1"/>
  <c r="O21" i="1"/>
  <c r="N18" i="1"/>
  <c r="Y18" i="1" s="1"/>
  <c r="N21" i="1"/>
  <c r="M21" i="1"/>
  <c r="K18" i="1"/>
  <c r="J18" i="1"/>
  <c r="J21" i="1"/>
  <c r="I21" i="1"/>
  <c r="T21" i="1" s="1"/>
  <c r="U21" i="1" s="1"/>
  <c r="V21" i="1" s="1"/>
  <c r="W21" i="1" s="1"/>
  <c r="X21" i="1" s="1"/>
  <c r="Y21" i="1" s="1"/>
  <c r="Z21" i="1" s="1"/>
  <c r="O20" i="1"/>
  <c r="N20" i="1"/>
  <c r="M20" i="1"/>
  <c r="L20" i="1"/>
  <c r="O14" i="1"/>
  <c r="Z14" i="1" s="1"/>
  <c r="O19" i="1"/>
  <c r="M19" i="1"/>
  <c r="L19" i="1"/>
  <c r="J19" i="1"/>
  <c r="AJ60" i="1"/>
  <c r="AJ64" i="1"/>
  <c r="V19" i="1" l="1"/>
  <c r="U20" i="1"/>
  <c r="U19" i="1"/>
  <c r="X19" i="1"/>
  <c r="Y19" i="1"/>
  <c r="V20" i="1"/>
  <c r="Z18" i="1"/>
  <c r="Y20" i="1"/>
  <c r="W20" i="1"/>
  <c r="X20" i="1"/>
  <c r="Z19" i="1"/>
  <c r="U18" i="1"/>
  <c r="T22" i="1"/>
  <c r="Z20" i="1"/>
  <c r="W19" i="1"/>
  <c r="W22" i="1" s="1"/>
  <c r="W18" i="1"/>
  <c r="X18" i="1"/>
  <c r="V18" i="1"/>
  <c r="V22" i="1"/>
  <c r="X22" i="1"/>
  <c r="Y22" i="1"/>
  <c r="Z22" i="1"/>
  <c r="AJ69" i="1"/>
  <c r="AJ65" i="1"/>
  <c r="U22" i="1" l="1"/>
  <c r="AJ70" i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<sst xmlns="http://schemas.openxmlformats.org/spreadsheetml/2006/main" count="1717" uniqueCount="126">
  <si>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</si>
  <si>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</si>
  <si>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</si>
  <si>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</si>
  <si>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</si>
  <si>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</si>
  <si>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</si>
  <si>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</si>
  <si>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</si>
  <si>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</si>
  <si>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</si>
  <si>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</si>
  <si>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</si>
  <si>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</si>
  <si>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</si>
  <si>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</si>
  <si>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</si>
  <si>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</si>
  <si>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</si>
  <si>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</si>
  <si>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</si>
  <si>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</si>
  <si>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</si>
  <si>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</si>
  <si>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</si>
  <si>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</si>
  <si>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</si>
  <si>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</si>
  <si>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</si>
  <si>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</si>
  <si>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</si>
  <si>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</si>
  <si>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</si>
  <si>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</si>
  <si>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</si>
  <si>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</si>
  <si>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</si>
  <si>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</si>
  <si>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</si>
  <si>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</si>
  <si>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</si>
  <si>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</si>
  <si>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</si>
  <si>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</si>
  <si>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</si>
  <si>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</si>
  <si>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</si>
  <si>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</si>
  <si>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</si>
  <si>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</si>
  <si>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</si>
  <si>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</si>
  <si>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</si>
  <si>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</si>
  <si>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</si>
  <si>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</si>
  <si>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</si>
  <si>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</si>
  <si>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</si>
  <si>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</si>
  <si>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</si>
  <si>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</si>
  <si>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</si>
  <si>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</si>
  <si>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</si>
  <si>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</si>
  <si>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</si>
  <si>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</si>
  <si>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</si>
  <si>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</si>
  <si>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</si>
  <si>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</si>
  <si>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</si>
  <si>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</si>
  <si>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</si>
  <si>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</si>
  <si>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</si>
  <si>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</si>
  <si>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</si>
  <si>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</si>
  <si>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</si>
  <si>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</si>
  <si>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</si>
  <si>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</si>
  <si>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</si>
  <si>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</si>
  <si>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</si>
  <si>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</si>
  <si>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</si>
  <si>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</si>
  <si>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</si>
  <si>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</si>
  <si>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</si>
  <si>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</si>
  <si>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</si>
  <si>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</si>
  <si>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</si>
  <si>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</si>
  <si>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</si>
  <si>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</si>
  <si>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</si>
  <si>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</si>
  <si>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</si>
  <si>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</si>
  <si>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</si>
  <si>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</si>
  <si>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</si>
  <si>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</si>
  <si>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</si>
  <si>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</si>
  <si>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</si>
  <si>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</si>
  <si>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</si>
  <si>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</si>
  <si>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</si>
  <si>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</si>
  <si>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</si>
  <si>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</si>
  <si>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</si>
  <si>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</si>
  <si>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</si>
  <si>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1-8</t>
  </si>
  <si>
    <t>chp_heat_twh</t>
  </si>
  <si>
    <t>IND</t>
  </si>
  <si>
    <t>R10INDIA+</t>
  </si>
  <si>
    <t>Expensive LNG imports, cheap domestic 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</si>
</sst>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0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2264.5625</c:v>
                </c:pt>
                <c:pt idx="2">
                  <c:v>2826.174</c:v>
                </c:pt>
                <c:pt idx="3">
                  <c:v>3405.9019999999996</c:v>
                </c:pt>
                <c:pt idx="4">
                  <c:v>3949.3969999999999</c:v>
                </c:pt>
                <c:pt idx="5">
                  <c:v>4637.8239999999996</c:v>
                </c:pt>
                <c:pt idx="6">
                  <c:v>5181.3189999999995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G3" sqref="G3"/>
    </sheetView>
  </sheetViews>
  <sheetFormatPr defaultRowHeight="14.25" x14ac:dyDescent="0.45"/>
  <cols>
    <col min="1" max="1" width="15.7968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21" t="s">
        <v>121</v>
      </c>
    </row>
    <row r="2" spans="1:39" x14ac:dyDescent="0.45">
      <c r="D2" s="1" t="str">
        <f>"~Inputcell: "&amp;_xlfn.TEXTJOIN(",",TRUE,G1:EE1)</f>
        <v>~Inputcell: 1-8</v>
      </c>
      <c r="K2" s="2" t="s">
        <v>26</v>
      </c>
      <c r="L2" s="2"/>
      <c r="M2" s="2"/>
      <c r="N2" s="2" t="s">
        <v>17</v>
      </c>
    </row>
    <row r="3" spans="1:39" x14ac:dyDescent="0.45">
      <c r="D3" s="9">
        <v>1</v>
      </c>
      <c r="K3" s="10">
        <v>300</v>
      </c>
      <c r="L3" s="10" t="s">
        <v>2</v>
      </c>
      <c r="N3" s="10" t="s">
        <v>114</v>
      </c>
      <c r="O3" s="10" t="s">
        <v>7</v>
      </c>
    </row>
    <row r="4" spans="1:39" x14ac:dyDescent="0.45">
      <c r="K4" s="10">
        <v>200</v>
      </c>
      <c r="L4" s="10" t="s">
        <v>5</v>
      </c>
      <c r="N4" s="10" t="s">
        <v>82</v>
      </c>
      <c r="O4" s="10" t="s">
        <v>0</v>
      </c>
    </row>
    <row r="5" spans="1:39" x14ac:dyDescent="0.45">
      <c r="D5" s="1" t="str">
        <f>VLOOKUP(D3,$C$9:$E$999,2,FALSE)</f>
        <v>base</v>
      </c>
      <c r="E5" s="1">
        <f>VLOOKUP(D3,$C$9:$E$999,3,FALSE)</f>
        <v>0</v>
      </c>
      <c r="K5" s="10">
        <v>100</v>
      </c>
      <c r="L5" s="10" t="s">
        <v>7</v>
      </c>
    </row>
    <row r="6" spans="1:39" x14ac:dyDescent="0.45">
      <c r="K6" s="10">
        <v>0</v>
      </c>
      <c r="L6" s="10" t="s">
        <v>9</v>
      </c>
    </row>
    <row r="7" spans="1:39" x14ac:dyDescent="0.45">
      <c r="B7" s="14" t="s">
        <v>94</v>
      </c>
    </row>
    <row r="8" spans="1:39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AM8" s="2" t="s">
        <v>102</v>
      </c>
    </row>
    <row r="9" spans="1:39" x14ac:dyDescent="0.45">
      <c r="A9">
        <v>5</v>
      </c>
      <c r="B9" t="str">
        <f>_xlfn.TEXTJOIN(CHAR(183),TRUE,D9,TEXT(E9,"$000"))</f>
        <v>base·$000</v>
      </c>
      <c r="C9">
        <v>1</v>
      </c>
      <c r="D9" t="s">
        <v>114</v>
      </c>
      <c r="E9" s="15">
        <v>0</v>
      </c>
      <c r="S9" t="s">
        <v>4</v>
      </c>
      <c r="AG9">
        <v>1</v>
      </c>
      <c r="AH9" t="s">
        <v>85</v>
      </c>
      <c r="AI9" t="s">
        <v>112</v>
      </c>
      <c r="AJ9" s="10">
        <v>1</v>
      </c>
      <c r="AK9" t="s">
        <v>0</v>
      </c>
      <c r="AL9" t="s">
        <v>87</v>
      </c>
      <c r="AM9" s="13">
        <v>5</v>
      </c>
    </row>
    <row r="10" spans="1:39" x14ac:dyDescent="0.45">
      <c r="A10">
        <v>5</v>
      </c>
      <c r="B10" t="str">
        <f t="shared" ref="B10:B16" si="0">_xlfn.TEXTJOIN(CHAR(183),TRUE,D10,TEXT(E10,"$000"))</f>
        <v>base·$100</v>
      </c>
      <c r="C10">
        <f>C9+1</f>
        <v>2</v>
      </c>
      <c r="D10" t="s">
        <v>114</v>
      </c>
      <c r="E10" s="15">
        <v>100</v>
      </c>
      <c r="S10" s="1">
        <v>2022</v>
      </c>
      <c r="AG10">
        <v>2</v>
      </c>
      <c r="AH10" t="s">
        <v>100</v>
      </c>
      <c r="AI10" t="s">
        <v>111</v>
      </c>
      <c r="AJ10" s="10">
        <v>1</v>
      </c>
      <c r="AK10" t="s">
        <v>2</v>
      </c>
      <c r="AL10" t="s">
        <v>89</v>
      </c>
      <c r="AM10" s="13">
        <v>4</v>
      </c>
    </row>
    <row r="11" spans="1:39" ht="14.65" thickBot="1" x14ac:dyDescent="0.5">
      <c r="A11">
        <v>5</v>
      </c>
      <c r="B11" t="str">
        <f t="shared" si="0"/>
        <v>base·$200</v>
      </c>
      <c r="C11">
        <f>C10+1</f>
        <v>3</v>
      </c>
      <c r="D11" t="s">
        <v>114</v>
      </c>
      <c r="E11" s="15">
        <v>200</v>
      </c>
      <c r="S11" s="22">
        <f>SUMIFS(iea_data!I3:I9999,iea_data!$B$3:$B$9999,Veda!$S$10)+T28-T29</f>
        <v>1811.6499999999999</v>
      </c>
      <c r="T11" s="2" t="s">
        <v>56</v>
      </c>
      <c r="AG11">
        <v>3</v>
      </c>
      <c r="AH11" t="s">
        <v>98</v>
      </c>
      <c r="AI11" t="str">
        <f>AH11</f>
        <v>ts_012</v>
      </c>
      <c r="AJ11" s="10">
        <v>1</v>
      </c>
      <c r="AK11" t="s">
        <v>5</v>
      </c>
      <c r="AL11" t="s">
        <v>90</v>
      </c>
      <c r="AM11" s="13">
        <v>3</v>
      </c>
    </row>
    <row r="12" spans="1:39" ht="14.65" customHeight="1" thickTop="1" thickBot="1" x14ac:dyDescent="0.5">
      <c r="A12">
        <v>5</v>
      </c>
      <c r="B12" t="str">
        <f t="shared" si="0"/>
        <v>base·$300</v>
      </c>
      <c r="C12">
        <f>C11+1</f>
        <v>4</v>
      </c>
      <c r="D12" t="s">
        <v>114</v>
      </c>
      <c r="E12" s="15">
        <v>300</v>
      </c>
      <c r="S12" s="22">
        <f>SUMIFS(iea_data!J3:J9999,iea_data!$B$3:$B$9999,Veda!$S$10)</f>
        <v>0</v>
      </c>
      <c r="AG12">
        <v>4</v>
      </c>
      <c r="AH12" t="s">
        <v>104</v>
      </c>
      <c r="AI12" t="str">
        <f t="shared" ref="AI12:AI16" si="1">AH12</f>
        <v>ts_030</v>
      </c>
      <c r="AJ12" s="10">
        <v>1</v>
      </c>
      <c r="AK12" t="s">
        <v>7</v>
      </c>
      <c r="AL12" t="s">
        <v>91</v>
      </c>
      <c r="AM12" s="13">
        <v>3</v>
      </c>
    </row>
    <row r="13" spans="1:39" ht="14.65" customHeight="1" thickTop="1" x14ac:dyDescent="0.45">
      <c r="A13">
        <v>5</v>
      </c>
      <c r="B13" t="str">
        <f t="shared" si="0"/>
        <v>high·$000</v>
      </c>
      <c r="C13">
        <f>C12+1</f>
        <v>5</v>
      </c>
      <c r="D13" t="s">
        <v>82</v>
      </c>
      <c r="E13" s="15">
        <f>E9</f>
        <v>0</v>
      </c>
      <c r="AG13">
        <v>5</v>
      </c>
      <c r="AH13" t="s">
        <v>99</v>
      </c>
      <c r="AI13" t="str">
        <f t="shared" si="1"/>
        <v>ts_048</v>
      </c>
      <c r="AJ13" s="10">
        <v>1</v>
      </c>
      <c r="AK13" t="s">
        <v>9</v>
      </c>
      <c r="AL13" t="s">
        <v>92</v>
      </c>
      <c r="AM13" s="13">
        <v>1.5</v>
      </c>
    </row>
    <row r="14" spans="1:39" ht="14.65" thickBot="1" x14ac:dyDescent="0.5">
      <c r="A14">
        <v>5</v>
      </c>
      <c r="B14" t="str">
        <f t="shared" si="0"/>
        <v>high·$100</v>
      </c>
      <c r="C14">
        <f t="shared" ref="C14:C16" si="2">C13+1</f>
        <v>6</v>
      </c>
      <c r="D14" t="s">
        <v>82</v>
      </c>
      <c r="E14" s="15">
        <f t="shared" ref="E14:E16" si="3">E10</f>
        <v>100</v>
      </c>
      <c r="G14" t="s">
        <v>11</v>
      </c>
      <c r="H14" s="3" t="str">
        <f>VLOOKUP($D$5,$N$3:$O$5,2,FALSE)</f>
        <v>C4</v>
      </c>
      <c r="I14" s="11">
        <f>SUMIFS(ar6_r10!$F$2:$F$999,ar6_r10!$A$2:$A$999,Veda!$E$5,ar6_r10!$C$2:$C$999,Veda!I$17,ar6_r10!$M$2:$M$999,Veda!$G14)</f>
        <v>0</v>
      </c>
      <c r="J14" s="11">
        <f>SUMIFS(ar6_r10!$F$2:$F$999,ar6_r10!$A$2:$A$999,$H$14,ar6_r10!$C$2:$C$999,Veda!J$17,ar6_r10!$M$2:$M$999,Veda!$G14)</f>
        <v>1.25</v>
      </c>
      <c r="K14" s="11">
        <f>SUMIFS(ar6_r10!$F$2:$F$999,ar6_r10!$A$2:$A$999,$H$14,ar6_r10!$C$2:$C$999,Veda!K$17,ar6_r10!$M$2:$M$999,Veda!$G14)</f>
        <v>1.56</v>
      </c>
      <c r="L14" s="11">
        <f>SUMIFS(ar6_r10!$F$2:$F$999,ar6_r10!$A$2:$A$999,$H$14,ar6_r10!$C$2:$C$999,Veda!L$17,ar6_r10!$M$2:$M$999,Veda!$G14)</f>
        <v>1.88</v>
      </c>
      <c r="M14" s="11">
        <f>SUMIFS(ar6_r10!$F$2:$F$999,ar6_r10!$A$2:$A$999,$H$14,ar6_r10!$C$2:$C$999,Veda!M$17,ar6_r10!$M$2:$M$999,Veda!$G14)</f>
        <v>2.1800000000000002</v>
      </c>
      <c r="N14" s="11">
        <f>SUMIFS(ar6_r10!$F$2:$F$999,ar6_r10!$A$2:$A$999,$H$14,ar6_r10!$C$2:$C$999,Veda!N$17,ar6_r10!$M$2:$M$999,Veda!$G14)</f>
        <v>2.56</v>
      </c>
      <c r="O14" s="11">
        <f>SUMIFS(ar6_r10!$F$2:$F$999,ar6_r10!$A$2:$A$999,$H$14,ar6_r10!$C$2:$C$999,Veda!O$17,ar6_r10!$M$2:$M$999,Veda!$G14)</f>
        <v>2.86</v>
      </c>
      <c r="T14" s="8">
        <f>S11</f>
        <v>1811.6499999999999</v>
      </c>
      <c r="U14" s="8">
        <f t="shared" ref="U14:Z14" si="4">$S$11*J14</f>
        <v>2264.5625</v>
      </c>
      <c r="V14" s="8">
        <f t="shared" si="4"/>
        <v>2826.174</v>
      </c>
      <c r="W14" s="8">
        <f t="shared" si="4"/>
        <v>3405.9019999999996</v>
      </c>
      <c r="X14" s="8">
        <f t="shared" si="4"/>
        <v>3949.3969999999999</v>
      </c>
      <c r="Y14" s="8">
        <f t="shared" si="4"/>
        <v>4637.8239999999996</v>
      </c>
      <c r="Z14" s="8">
        <f t="shared" si="4"/>
        <v>5181.3189999999995</v>
      </c>
      <c r="AG14">
        <v>6</v>
      </c>
      <c r="AH14" t="s">
        <v>108</v>
      </c>
      <c r="AI14" t="str">
        <f t="shared" si="1"/>
        <v>ts_072</v>
      </c>
      <c r="AJ14" s="10">
        <f>AJ9+1</f>
        <v>2</v>
      </c>
    </row>
    <row r="15" spans="1:39" ht="14.65" thickTop="1" x14ac:dyDescent="0.45">
      <c r="A15">
        <v>5</v>
      </c>
      <c r="B15" t="str">
        <f t="shared" si="0"/>
        <v>high·$200</v>
      </c>
      <c r="C15">
        <f t="shared" si="2"/>
        <v>7</v>
      </c>
      <c r="D15" t="s">
        <v>82</v>
      </c>
      <c r="E15" s="15">
        <f t="shared" si="3"/>
        <v>200</v>
      </c>
      <c r="G15" t="s">
        <v>113</v>
      </c>
      <c r="I15" s="11">
        <f>SUMIFS(ar6_r10!$F$2:$F$999,ar6_r10!$A$2:$A$999,Veda!$E$5,ar6_r10!$C$2:$C$999,Veda!I$17,ar6_r10!$M$2:$M$999,Veda!$G15)</f>
        <v>0</v>
      </c>
      <c r="J15" s="11">
        <f>SUMIFS(ar6_r10!$F$2:$F$999,ar6_r10!$A$2:$A$999,$H$14,ar6_r10!$C$2:$C$999,Veda!J$17,ar6_r10!$M$2:$M$999,Veda!$G15)</f>
        <v>2.33</v>
      </c>
      <c r="K15" s="11">
        <f>SUMIFS(ar6_r10!$F$2:$F$999,ar6_r10!$A$2:$A$999,$H$14,ar6_r10!$C$2:$C$999,Veda!K$17,ar6_r10!$M$2:$M$999,Veda!$G15)</f>
        <v>4.4000000000000004</v>
      </c>
      <c r="L15" s="11">
        <f>SUMIFS(ar6_r10!$F$2:$F$999,ar6_r10!$A$2:$A$999,$H$14,ar6_r10!$C$2:$C$999,Veda!L$17,ar6_r10!$M$2:$M$999,Veda!$G15)</f>
        <v>7.61</v>
      </c>
      <c r="M15" s="11">
        <f>SUMIFS(ar6_r10!$F$2:$F$999,ar6_r10!$A$2:$A$999,$H$14,ar6_r10!$C$2:$C$999,Veda!M$17,ar6_r10!$M$2:$M$999,Veda!$G15)</f>
        <v>11.82</v>
      </c>
      <c r="N15" s="11">
        <f>SUMIFS(ar6_r10!$F$2:$F$999,ar6_r10!$A$2:$A$999,$H$14,ar6_r10!$C$2:$C$999,Veda!N$17,ar6_r10!$M$2:$M$999,Veda!$G15)</f>
        <v>19.03</v>
      </c>
      <c r="O15" s="11">
        <f>SUMIFS(ar6_r10!$F$2:$F$999,ar6_r10!$A$2:$A$999,$H$14,ar6_r10!$C$2:$C$999,Veda!O$17,ar6_r10!$M$2:$M$999,Veda!$G15)</f>
        <v>30.24</v>
      </c>
      <c r="AG15">
        <v>7</v>
      </c>
      <c r="AH15" t="s">
        <v>109</v>
      </c>
      <c r="AI15" t="str">
        <f t="shared" si="1"/>
        <v>ts_144</v>
      </c>
      <c r="AJ15" s="10">
        <f t="shared" ref="AJ15:AJ78" si="5">AJ10+1</f>
        <v>2</v>
      </c>
    </row>
    <row r="16" spans="1:39" ht="17.649999999999999" customHeight="1" thickBot="1" x14ac:dyDescent="0.6">
      <c r="A16">
        <v>5</v>
      </c>
      <c r="B16" t="str">
        <f t="shared" si="0"/>
        <v>high·$300</v>
      </c>
      <c r="C16">
        <f t="shared" si="2"/>
        <v>8</v>
      </c>
      <c r="D16" t="s">
        <v>82</v>
      </c>
      <c r="E16" s="15">
        <f t="shared" si="3"/>
        <v>300</v>
      </c>
      <c r="S16" s="5" t="s">
        <v>12</v>
      </c>
      <c r="AG16">
        <v>8</v>
      </c>
      <c r="AH16" t="s">
        <v>110</v>
      </c>
      <c r="AI16" t="str">
        <f t="shared" si="1"/>
        <v>ts_288</v>
      </c>
      <c r="AJ16" s="10">
        <f t="shared" si="5"/>
        <v>2</v>
      </c>
    </row>
    <row r="17" spans="1:36" ht="15" customHeight="1" thickTop="1" thickBot="1" x14ac:dyDescent="0.5">
      <c r="A17">
        <v>5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103</v>
      </c>
      <c r="AI17" t="s">
        <v>105</v>
      </c>
      <c r="AJ17" s="10">
        <f t="shared" si="5"/>
        <v>2</v>
      </c>
    </row>
    <row r="18" spans="1:36" x14ac:dyDescent="0.45">
      <c r="G18" t="s">
        <v>15</v>
      </c>
      <c r="I18" s="11">
        <f>SUMIFS(ar6_r10!$F$2:$F$999,ar6_r10!$A$2:$A$999,$H$14,ar6_r10!$C$2:$C$999,Veda!I$17,ar6_r10!$M$2:$M$999,Veda!$G18)</f>
        <v>0</v>
      </c>
      <c r="J18" s="11">
        <f>SUMIFS(ar6_r10!$F$2:$F$999,ar6_r10!$A$2:$A$999,$H$14,ar6_r10!$C$2:$C$999,Veda!J$17,ar6_r10!$M$2:$M$999,Veda!$G18)</f>
        <v>0</v>
      </c>
      <c r="K18" s="11">
        <f>SUMIFS(ar6_r10!$F$2:$F$999,ar6_r10!$A$2:$A$999,$H$14,ar6_r10!$C$2:$C$999,Veda!K$17,ar6_r10!$M$2:$M$999,Veda!$G18)</f>
        <v>0</v>
      </c>
      <c r="L18" s="11">
        <f>SUMIFS(ar6_r10!$F$2:$F$999,ar6_r10!$A$2:$A$999,$H$14,ar6_r10!$C$2:$C$999,Veda!L$17,ar6_r10!$M$2:$M$999,Veda!$G18)</f>
        <v>0</v>
      </c>
      <c r="M18" s="11">
        <f>SUMIFS(ar6_r10!$F$2:$F$999,ar6_r10!$A$2:$A$999,$H$14,ar6_r10!$C$2:$C$999,Veda!M$17,ar6_r10!$M$2:$M$999,Veda!$G18)</f>
        <v>0</v>
      </c>
      <c r="N18" s="11">
        <f>SUMIFS(ar6_r10!$F$2:$F$999,ar6_r10!$A$2:$A$999,$H$14,ar6_r10!$C$2:$C$999,Veda!N$17,ar6_r10!$M$2:$M$999,Veda!$G18)</f>
        <v>0.01</v>
      </c>
      <c r="O18" s="11">
        <f>SUMIFS(ar6_r10!$F$2:$F$999,ar6_r10!$A$2:$A$999,$H$14,ar6_r10!$C$2:$C$999,Veda!O$17,ar6_r10!$M$2:$M$999,Veda!$G18)</f>
        <v>0.01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0</v>
      </c>
      <c r="Y18" s="6">
        <f t="shared" si="7"/>
        <v>46.378239999999998</v>
      </c>
      <c r="Z18" s="6">
        <f t="shared" si="7"/>
        <v>51.813189999999999</v>
      </c>
      <c r="AA18" t="s">
        <v>17</v>
      </c>
      <c r="AC18" s="2"/>
      <c r="AG18">
        <v>10</v>
      </c>
      <c r="AH18" t="s">
        <v>106</v>
      </c>
      <c r="AI18" t="s">
        <v>107</v>
      </c>
      <c r="AJ18" s="10">
        <f t="shared" si="5"/>
        <v>2</v>
      </c>
    </row>
    <row r="19" spans="1:36" x14ac:dyDescent="0.45">
      <c r="G19" t="s">
        <v>18</v>
      </c>
      <c r="I19" s="11">
        <f>SUMIFS(ar6_r10!$F$2:$F$999,ar6_r10!$A$2:$A$999,$H$14,ar6_r10!$C$2:$C$999,Veda!I$17,ar6_r10!$M$2:$M$999,Veda!$G19)</f>
        <v>0.47</v>
      </c>
      <c r="J19" s="11">
        <f>SUMIFS(ar6_r10!$F$2:$F$999,ar6_r10!$A$2:$A$999,$H$14,ar6_r10!$C$2:$C$999,Veda!J$17,ar6_r10!$M$2:$M$999,Veda!$G19)</f>
        <v>0.46</v>
      </c>
      <c r="K19" s="11">
        <f>SUMIFS(ar6_r10!$F$2:$F$999,ar6_r10!$A$2:$A$999,$H$14,ar6_r10!$C$2:$C$999,Veda!K$17,ar6_r10!$M$2:$M$999,Veda!$G19)</f>
        <v>0.41</v>
      </c>
      <c r="L19" s="11">
        <f>SUMIFS(ar6_r10!$F$2:$F$999,ar6_r10!$A$2:$A$999,$H$14,ar6_r10!$C$2:$C$999,Veda!L$17,ar6_r10!$M$2:$M$999,Veda!$G19)</f>
        <v>0.44</v>
      </c>
      <c r="M19" s="11">
        <f>SUMIFS(ar6_r10!$F$2:$F$999,ar6_r10!$A$2:$A$999,$H$14,ar6_r10!$C$2:$C$999,Veda!M$17,ar6_r10!$M$2:$M$999,Veda!$G19)</f>
        <v>0.42</v>
      </c>
      <c r="N19" s="11">
        <f>SUMIFS(ar6_r10!$F$2:$F$999,ar6_r10!$A$2:$A$999,$H$14,ar6_r10!$C$2:$C$999,Veda!N$17,ar6_r10!$M$2:$M$999,Veda!$G19)</f>
        <v>0.42</v>
      </c>
      <c r="O19" s="11">
        <f>SUMIFS(ar6_r10!$F$2:$F$999,ar6_r10!$A$2:$A$999,$H$14,ar6_r10!$C$2:$C$999,Veda!O$17,ar6_r10!$M$2:$M$999,Veda!$G19)</f>
        <v>0.43</v>
      </c>
      <c r="S19" s="10" t="s">
        <v>19</v>
      </c>
      <c r="T19" s="6">
        <f t="shared" si="7"/>
        <v>851.4754999999999</v>
      </c>
      <c r="U19" s="6">
        <f t="shared" si="7"/>
        <v>1041.69875</v>
      </c>
      <c r="V19" s="6">
        <f t="shared" si="7"/>
        <v>1158.7313399999998</v>
      </c>
      <c r="W19" s="6">
        <f t="shared" si="7"/>
        <v>1498.5968799999998</v>
      </c>
      <c r="X19" s="6">
        <f t="shared" si="7"/>
        <v>1658.7467399999998</v>
      </c>
      <c r="Y19" s="6">
        <f t="shared" si="7"/>
        <v>1947.8860799999998</v>
      </c>
      <c r="Z19" s="6">
        <f t="shared" si="7"/>
        <v>2227.9671699999999</v>
      </c>
      <c r="AA19" t="s">
        <v>17</v>
      </c>
      <c r="AG19">
        <v>11</v>
      </c>
      <c r="AH19" t="s">
        <v>83</v>
      </c>
      <c r="AI19" t="s">
        <v>88</v>
      </c>
      <c r="AJ19" s="10">
        <f t="shared" si="5"/>
        <v>3</v>
      </c>
    </row>
    <row r="20" spans="1:36" x14ac:dyDescent="0.45">
      <c r="G20" t="s">
        <v>21</v>
      </c>
      <c r="I20" s="11">
        <f>SUMIFS(ar6_r10!$F$2:$F$999,ar6_r10!$A$2:$A$999,$H$14,ar6_r10!$C$2:$C$999,Veda!I$17,ar6_r10!$M$2:$M$999,Veda!$G20)</f>
        <v>0.4</v>
      </c>
      <c r="J20" s="11">
        <f>SUMIFS(ar6_r10!$F$2:$F$999,ar6_r10!$A$2:$A$999,$H$14,ar6_r10!$C$2:$C$999,Veda!J$17,ar6_r10!$M$2:$M$999,Veda!$G20)</f>
        <v>0.46</v>
      </c>
      <c r="K20" s="11">
        <f>SUMIFS(ar6_r10!$F$2:$F$999,ar6_r10!$A$2:$A$999,$H$14,ar6_r10!$C$2:$C$999,Veda!K$17,ar6_r10!$M$2:$M$999,Veda!$G20)</f>
        <v>0.46</v>
      </c>
      <c r="L20" s="11">
        <f>SUMIFS(ar6_r10!$F$2:$F$999,ar6_r10!$A$2:$A$999,$H$14,ar6_r10!$C$2:$C$999,Veda!L$17,ar6_r10!$M$2:$M$999,Veda!$G20)</f>
        <v>0.46</v>
      </c>
      <c r="M20" s="11">
        <f>SUMIFS(ar6_r10!$F$2:$F$999,ar6_r10!$A$2:$A$999,$H$14,ar6_r10!$C$2:$C$999,Veda!M$17,ar6_r10!$M$2:$M$999,Veda!$G20)</f>
        <v>0.48</v>
      </c>
      <c r="N20" s="11">
        <f>SUMIFS(ar6_r10!$F$2:$F$999,ar6_r10!$A$2:$A$999,$H$14,ar6_r10!$C$2:$C$999,Veda!N$17,ar6_r10!$M$2:$M$999,Veda!$G20)</f>
        <v>0.48</v>
      </c>
      <c r="O20" s="11">
        <f>SUMIFS(ar6_r10!$F$2:$F$999,ar6_r10!$A$2:$A$999,$H$14,ar6_r10!$C$2:$C$999,Veda!O$17,ar6_r10!$M$2:$M$999,Veda!$G20)</f>
        <v>0.47</v>
      </c>
      <c r="S20" s="10" t="s">
        <v>22</v>
      </c>
      <c r="T20" s="6">
        <f t="shared" si="7"/>
        <v>724.66</v>
      </c>
      <c r="U20" s="6">
        <f t="shared" si="7"/>
        <v>1041.69875</v>
      </c>
      <c r="V20" s="6">
        <f t="shared" si="7"/>
        <v>1300.0400400000001</v>
      </c>
      <c r="W20" s="6">
        <f t="shared" si="7"/>
        <v>1566.7149199999999</v>
      </c>
      <c r="X20" s="6">
        <f t="shared" si="7"/>
        <v>1895.71056</v>
      </c>
      <c r="Y20" s="6">
        <f t="shared" si="7"/>
        <v>2226.1555199999998</v>
      </c>
      <c r="Z20" s="6">
        <f t="shared" si="7"/>
        <v>2435.2199299999997</v>
      </c>
      <c r="AA20" t="s">
        <v>17</v>
      </c>
      <c r="AG20">
        <v>12</v>
      </c>
      <c r="AH20" t="s">
        <v>84</v>
      </c>
      <c r="AI20" t="s">
        <v>93</v>
      </c>
      <c r="AJ20" s="10">
        <f t="shared" si="5"/>
        <v>3</v>
      </c>
    </row>
    <row r="21" spans="1:36" x14ac:dyDescent="0.45">
      <c r="G21" t="s">
        <v>23</v>
      </c>
      <c r="I21" s="11">
        <f>SUMIFS(ar6_r10!$F$2:$F$999,ar6_r10!$A$2:$A$999,$H$14,ar6_r10!$C$2:$C$999,Veda!I$17,ar6_r10!$M$2:$M$999,Veda!$G21)</f>
        <v>0.02</v>
      </c>
      <c r="J21" s="11">
        <f>SUMIFS(ar6_r10!$F$2:$F$999,ar6_r10!$A$2:$A$999,$H$14,ar6_r10!$C$2:$C$999,Veda!J$17,ar6_r10!$M$2:$M$999,Veda!$G21)</f>
        <v>0.02</v>
      </c>
      <c r="K21" s="11">
        <f>SUMIFS(ar6_r10!$F$2:$F$999,ar6_r10!$A$2:$A$999,$H$14,ar6_r10!$C$2:$C$999,Veda!K$17,ar6_r10!$M$2:$M$999,Veda!$G21)</f>
        <v>0.02</v>
      </c>
      <c r="L21" s="11">
        <f>SUMIFS(ar6_r10!$F$2:$F$999,ar6_r10!$A$2:$A$999,$H$14,ar6_r10!$C$2:$C$999,Veda!L$17,ar6_r10!$M$2:$M$999,Veda!$G21)</f>
        <v>0.03</v>
      </c>
      <c r="M21" s="11">
        <f>SUMIFS(ar6_r10!$F$2:$F$999,ar6_r10!$A$2:$A$999,$H$14,ar6_r10!$C$2:$C$999,Veda!M$17,ar6_r10!$M$2:$M$999,Veda!$G21)</f>
        <v>0.04</v>
      </c>
      <c r="N21" s="11">
        <f>SUMIFS(ar6_r10!$F$2:$F$999,ar6_r10!$A$2:$A$999,$H$14,ar6_r10!$C$2:$C$999,Veda!N$17,ar6_r10!$M$2:$M$999,Veda!$G21)</f>
        <v>0.04</v>
      </c>
      <c r="O21" s="11">
        <f>SUMIFS(ar6_r10!$F$2:$F$999,ar6_r10!$A$2:$A$999,$H$14,ar6_r10!$C$2:$C$999,Veda!O$17,ar6_r10!$M$2:$M$999,Veda!$G21)</f>
        <v>0.05</v>
      </c>
      <c r="S21" s="10" t="s">
        <v>24</v>
      </c>
      <c r="T21" s="6">
        <f>I21*T$14</f>
        <v>36.232999999999997</v>
      </c>
      <c r="U21" s="6">
        <f t="shared" ref="U21:Z21" si="8">T21</f>
        <v>36.232999999999997</v>
      </c>
      <c r="V21" s="6">
        <f t="shared" si="8"/>
        <v>36.232999999999997</v>
      </c>
      <c r="W21" s="6">
        <f t="shared" si="8"/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t="s">
        <v>17</v>
      </c>
      <c r="AC21" s="2" t="s">
        <v>20</v>
      </c>
      <c r="AJ21" s="10">
        <f t="shared" si="5"/>
        <v>3</v>
      </c>
    </row>
    <row r="22" spans="1:36" x14ac:dyDescent="0.45">
      <c r="S22" s="10" t="s">
        <v>25</v>
      </c>
      <c r="T22" s="6">
        <f t="shared" ref="T22:Z22" si="9">T14-SUM(T19:T21)</f>
        <v>199.28150000000005</v>
      </c>
      <c r="U22" s="6">
        <f t="shared" si="9"/>
        <v>144.93199999999979</v>
      </c>
      <c r="V22" s="6">
        <f t="shared" si="9"/>
        <v>331.16961999999967</v>
      </c>
      <c r="W22" s="6">
        <f t="shared" si="9"/>
        <v>304.35719999999992</v>
      </c>
      <c r="X22" s="6">
        <f t="shared" si="9"/>
        <v>358.70669999999973</v>
      </c>
      <c r="Y22" s="6">
        <f t="shared" si="9"/>
        <v>427.54939999999988</v>
      </c>
      <c r="Z22" s="6">
        <f t="shared" si="9"/>
        <v>481.89890000000014</v>
      </c>
      <c r="AA22" t="s">
        <v>17</v>
      </c>
      <c r="AJ22" s="10">
        <f t="shared" si="5"/>
        <v>3</v>
      </c>
    </row>
    <row r="23" spans="1:36" x14ac:dyDescent="0.45">
      <c r="S23" s="23" t="s">
        <v>120</v>
      </c>
      <c r="T23" s="24">
        <f>S12</f>
        <v>0</v>
      </c>
      <c r="U23" s="25">
        <f>$S$12*J15</f>
        <v>0</v>
      </c>
      <c r="V23" s="25">
        <f>$S$12*K15</f>
        <v>0</v>
      </c>
      <c r="W23" s="25">
        <f t="shared" ref="W23:Z23" si="10">$S$12*L15</f>
        <v>0</v>
      </c>
      <c r="X23" s="25">
        <f t="shared" si="10"/>
        <v>0</v>
      </c>
      <c r="Y23" s="25">
        <f t="shared" si="10"/>
        <v>0</v>
      </c>
      <c r="Z23" s="25">
        <f t="shared" si="10"/>
        <v>0</v>
      </c>
      <c r="AA23" s="23" t="s">
        <v>17</v>
      </c>
      <c r="AJ23" s="10">
        <f t="shared" si="5"/>
        <v>3</v>
      </c>
    </row>
    <row r="24" spans="1:36" ht="14.65" customHeight="1" thickBot="1" x14ac:dyDescent="0.5">
      <c r="G24" s="10" t="s">
        <v>26</v>
      </c>
      <c r="H24" s="3" t="str">
        <f>VLOOKUP(E5,$K$3:$L$6,2,FALSE)</f>
        <v>C7</v>
      </c>
      <c r="I24" s="8">
        <v>0</v>
      </c>
      <c r="J24" s="8">
        <v>0</v>
      </c>
      <c r="K24" s="8">
        <f>SUMIFS(ar6_r10!$F$2:$F$999,ar6_r10!$A$2:$A$999,$H$24,ar6_r10!$C$2:$C$999,Veda!K$17,ar6_r10!$M$2:$M$999,Veda!$G24)</f>
        <v>0</v>
      </c>
      <c r="L24" s="8">
        <f>SUMIFS(ar6_r10!$F$2:$F$999,ar6_r10!$A$2:$A$999,$H$24,ar6_r10!$C$2:$C$999,Veda!L$17,ar6_r10!$M$2:$M$999,Veda!$G24)</f>
        <v>0</v>
      </c>
      <c r="M24" s="8">
        <f>SUMIFS(ar6_r10!$F$2:$F$999,ar6_r10!$A$2:$A$999,$H$24,ar6_r10!$C$2:$C$999,Veda!M$17,ar6_r10!$M$2:$M$999,Veda!$G24)</f>
        <v>0</v>
      </c>
      <c r="N24" s="8">
        <f>SUMIFS(ar6_r10!$F$2:$F$999,ar6_r10!$A$2:$A$999,$H$24,ar6_r10!$C$2:$C$999,Veda!N$17,ar6_r10!$M$2:$M$999,Veda!$G24)</f>
        <v>0</v>
      </c>
      <c r="O24" s="8">
        <f>SUMIFS(ar6_r10!$F$2:$F$999,ar6_r10!$A$2:$A$999,$H$24,ar6_r10!$C$2:$C$999,Veda!O$17,ar6_r10!$M$2:$M$999,Veda!$G24)</f>
        <v>0</v>
      </c>
      <c r="S24" s="26" t="s">
        <v>27</v>
      </c>
      <c r="T24" s="27"/>
      <c r="U24" s="27">
        <v>0</v>
      </c>
      <c r="V24" s="28">
        <f>K24/1000</f>
        <v>0</v>
      </c>
      <c r="W24" s="28">
        <f>L24/1000</f>
        <v>0</v>
      </c>
      <c r="X24" s="28">
        <f>M24/1000</f>
        <v>0</v>
      </c>
      <c r="Y24" s="28">
        <f>N24/1000</f>
        <v>0</v>
      </c>
      <c r="Z24" s="28">
        <f>O24/1000</f>
        <v>0</v>
      </c>
      <c r="AA24" s="29" t="s">
        <v>28</v>
      </c>
      <c r="AJ24" s="10">
        <f t="shared" si="5"/>
        <v>4</v>
      </c>
    </row>
    <row r="25" spans="1:36" ht="14.65" customHeight="1" thickTop="1" x14ac:dyDescent="0.45">
      <c r="AJ25" s="10">
        <f t="shared" si="5"/>
        <v>4</v>
      </c>
    </row>
    <row r="26" spans="1:36" ht="17.649999999999999" customHeight="1" thickBot="1" x14ac:dyDescent="0.6">
      <c r="S26" s="5" t="s">
        <v>12</v>
      </c>
      <c r="AJ26" s="10">
        <f t="shared" si="5"/>
        <v>4</v>
      </c>
    </row>
    <row r="27" spans="1:36" ht="15" customHeight="1" thickTop="1" thickBot="1" x14ac:dyDescent="0.5">
      <c r="S27" s="4" t="s">
        <v>29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30</v>
      </c>
      <c r="AJ27" s="10">
        <f t="shared" si="5"/>
        <v>4</v>
      </c>
    </row>
    <row r="28" spans="1:36" ht="14.65" customHeight="1" thickBot="1" x14ac:dyDescent="0.5">
      <c r="Q28" s="3">
        <f>SUMIFS(iea_data!G3:G9999,iea_data!$B$3:$B$9999,Veda!$S$10)</f>
        <v>7.84</v>
      </c>
      <c r="S28" t="s">
        <v>31</v>
      </c>
      <c r="T28" s="3">
        <f>Q28</f>
        <v>7.84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Q29" s="3">
        <f>SUMIFS(iea_data!H3:H9999,iea_data!$B$3:$B$9999,Veda!$S$10)</f>
        <v>-10.25</v>
      </c>
      <c r="S29" t="s">
        <v>34</v>
      </c>
      <c r="T29" s="3">
        <f>-1*Q29</f>
        <v>10.25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J30" s="10">
        <f t="shared" si="5"/>
        <v>5</v>
      </c>
    </row>
    <row r="31" spans="1:36" x14ac:dyDescent="0.45">
      <c r="AJ31" s="10">
        <f t="shared" si="5"/>
        <v>5</v>
      </c>
    </row>
    <row r="32" spans="1:36" x14ac:dyDescent="0.45">
      <c r="AJ32" s="10">
        <f t="shared" si="5"/>
        <v>5</v>
      </c>
    </row>
    <row r="33" spans="7:36" x14ac:dyDescent="0.45">
      <c r="AJ33" s="10">
        <f t="shared" si="5"/>
        <v>5</v>
      </c>
    </row>
    <row r="34" spans="7:36" x14ac:dyDescent="0.45">
      <c r="AJ34" s="10">
        <f t="shared" si="5"/>
        <v>6</v>
      </c>
    </row>
    <row r="35" spans="7:36" x14ac:dyDescent="0.45">
      <c r="AJ35" s="10">
        <f t="shared" si="5"/>
        <v>6</v>
      </c>
    </row>
    <row r="36" spans="7:36" x14ac:dyDescent="0.45">
      <c r="G36" s="2" t="s">
        <v>9</v>
      </c>
      <c r="AJ36" s="10">
        <f t="shared" si="5"/>
        <v>6</v>
      </c>
    </row>
    <row r="37" spans="7:36" x14ac:dyDescent="0.45">
      <c r="G37" t="s">
        <v>73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1.1100000000000001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1.36</v>
      </c>
      <c r="N37" s="11">
        <f>SUMIFS(ar6_r10!$F$2:$F$999,ar6_r10!$A$2:$A$999,Veda!$G$36,ar6_r10!$C$2:$C$999,Veda!N$17,ar6_r10!$M$2:$M$999,Veda!$G37)</f>
        <v>1.4</v>
      </c>
      <c r="O37" s="11">
        <f>SUMIFS(ar6_r10!$F$2:$F$999,ar6_r10!$A$2:$A$999,Veda!$G$36,ar6_r10!$C$2:$C$999,Veda!O$17,ar6_r10!$M$2:$M$999,Veda!$G37)</f>
        <v>1.44</v>
      </c>
      <c r="AJ37" s="10">
        <f t="shared" si="5"/>
        <v>6</v>
      </c>
    </row>
    <row r="38" spans="7:36" x14ac:dyDescent="0.45">
      <c r="G38" t="s">
        <v>74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1.07</v>
      </c>
      <c r="K38" s="11">
        <f>SUMIFS(ar6_r10!$F$2:$F$999,ar6_r10!$A$2:$A$999,Veda!$G$36,ar6_r10!$C$2:$C$999,Veda!K$17,ar6_r10!$M$2:$M$999,Veda!$G38)</f>
        <v>1.17</v>
      </c>
      <c r="L38" s="11">
        <f>SUMIFS(ar6_r10!$F$2:$F$999,ar6_r10!$A$2:$A$999,Veda!$G$36,ar6_r10!$C$2:$C$999,Veda!L$17,ar6_r10!$M$2:$M$999,Veda!$G38)</f>
        <v>1.21</v>
      </c>
      <c r="M38" s="11">
        <f>SUMIFS(ar6_r10!$F$2:$F$999,ar6_r10!$A$2:$A$999,Veda!$G$36,ar6_r10!$C$2:$C$999,Veda!M$17,ar6_r10!$M$2:$M$999,Veda!$G38)</f>
        <v>1.37</v>
      </c>
      <c r="N38" s="11">
        <f>SUMIFS(ar6_r10!$F$2:$F$999,ar6_r10!$A$2:$A$999,Veda!$G$36,ar6_r10!$C$2:$C$999,Veda!N$17,ar6_r10!$M$2:$M$999,Veda!$G38)</f>
        <v>1.33</v>
      </c>
      <c r="O38" s="11">
        <f>SUMIFS(ar6_r10!$F$2:$F$999,ar6_r10!$A$2:$A$999,Veda!$G$36,ar6_r10!$C$2:$C$999,Veda!O$17,ar6_r10!$M$2:$M$999,Veda!$G38)</f>
        <v>1.52</v>
      </c>
      <c r="AJ38" s="10">
        <f t="shared" si="5"/>
        <v>6</v>
      </c>
    </row>
    <row r="39" spans="7:36" x14ac:dyDescent="0.45">
      <c r="G39" t="s">
        <v>75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1.43</v>
      </c>
      <c r="K39" s="11">
        <f>SUMIFS(ar6_r10!$F$2:$F$999,ar6_r10!$A$2:$A$999,Veda!$G$36,ar6_r10!$C$2:$C$999,Veda!K$17,ar6_r10!$M$2:$M$999,Veda!$G39)</f>
        <v>1.58</v>
      </c>
      <c r="L39" s="11">
        <f>SUMIFS(ar6_r10!$F$2:$F$999,ar6_r10!$A$2:$A$999,Veda!$G$36,ar6_r10!$C$2:$C$999,Veda!L$17,ar6_r10!$M$2:$M$999,Veda!$G39)</f>
        <v>1.53</v>
      </c>
      <c r="M39" s="11">
        <f>SUMIFS(ar6_r10!$F$2:$F$999,ar6_r10!$A$2:$A$999,Veda!$G$36,ar6_r10!$C$2:$C$999,Veda!M$17,ar6_r10!$M$2:$M$999,Veda!$G39)</f>
        <v>1.74</v>
      </c>
      <c r="N39" s="11">
        <f>SUMIFS(ar6_r10!$F$2:$F$999,ar6_r10!$A$2:$A$999,Veda!$G$36,ar6_r10!$C$2:$C$999,Veda!N$17,ar6_r10!$M$2:$M$999,Veda!$G39)</f>
        <v>1.94</v>
      </c>
      <c r="O39" s="11">
        <f>SUMIFS(ar6_r10!$F$2:$F$999,ar6_r10!$A$2:$A$999,Veda!$G$36,ar6_r10!$C$2:$C$999,Veda!O$17,ar6_r10!$M$2:$M$999,Veda!$G39)</f>
        <v>2.2000000000000002</v>
      </c>
      <c r="AJ39" s="10">
        <f t="shared" si="5"/>
        <v>7</v>
      </c>
    </row>
    <row r="40" spans="7:36" x14ac:dyDescent="0.45">
      <c r="G40" t="s">
        <v>76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1.06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1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0.93</v>
      </c>
      <c r="AJ40" s="10">
        <f t="shared" si="5"/>
        <v>7</v>
      </c>
    </row>
    <row r="41" spans="7:36" x14ac:dyDescent="0.45">
      <c r="AJ41" s="10">
        <f t="shared" si="5"/>
        <v>7</v>
      </c>
    </row>
    <row r="42" spans="7:36" x14ac:dyDescent="0.45">
      <c r="AJ42" s="10">
        <f t="shared" si="5"/>
        <v>7</v>
      </c>
    </row>
    <row r="43" spans="7:36" x14ac:dyDescent="0.45">
      <c r="G43" t="s">
        <v>101</v>
      </c>
      <c r="AJ43" s="10">
        <f t="shared" si="5"/>
        <v>7</v>
      </c>
    </row>
    <row r="44" spans="7:36" x14ac:dyDescent="0.45">
      <c r="G44" t="s">
        <v>13</v>
      </c>
      <c r="H44" t="s">
        <v>86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81</v>
      </c>
      <c r="S44" t="s">
        <v>82</v>
      </c>
      <c r="AJ44" s="10">
        <f t="shared" si="5"/>
        <v>8</v>
      </c>
    </row>
    <row r="45" spans="7:36" x14ac:dyDescent="0.45">
      <c r="G45" t="s">
        <v>77</v>
      </c>
      <c r="H45" t="str">
        <f>G45</f>
        <v>Gas</v>
      </c>
      <c r="I45">
        <f t="shared" ref="I45:O48" si="13">AVERAGE($R45:$S45)*I37</f>
        <v>36</v>
      </c>
      <c r="J45">
        <f t="shared" si="13"/>
        <v>39.96</v>
      </c>
      <c r="K45">
        <f t="shared" si="13"/>
        <v>43.56</v>
      </c>
      <c r="L45">
        <f t="shared" si="13"/>
        <v>41.76</v>
      </c>
      <c r="M45">
        <f t="shared" si="13"/>
        <v>48.96</v>
      </c>
      <c r="N45">
        <f t="shared" si="13"/>
        <v>50.4</v>
      </c>
      <c r="O45">
        <f t="shared" si="13"/>
        <v>51.839999999999996</v>
      </c>
      <c r="R45">
        <f>HLOOKUP($G45&amp;"_"&amp;R$44,fuel_prices!$B$10:$I$11,2,FALSE)</f>
        <v>30.9</v>
      </c>
      <c r="S45">
        <f>HLOOKUP($G45&amp;"_"&amp;S$44,fuel_prices!$B$10:$I$11,2,FALSE)</f>
        <v>41.1</v>
      </c>
      <c r="AJ45" s="10">
        <f t="shared" si="5"/>
        <v>8</v>
      </c>
    </row>
    <row r="46" spans="7:36" x14ac:dyDescent="0.45">
      <c r="G46" t="s">
        <v>78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10.486000000000001</v>
      </c>
      <c r="K46">
        <f t="shared" si="13"/>
        <v>11.465999999999999</v>
      </c>
      <c r="L46">
        <f t="shared" si="13"/>
        <v>11.858000000000001</v>
      </c>
      <c r="M46">
        <f t="shared" si="13"/>
        <v>13.426000000000002</v>
      </c>
      <c r="N46">
        <f t="shared" si="13"/>
        <v>13.034000000000002</v>
      </c>
      <c r="O46">
        <f t="shared" si="13"/>
        <v>14.896000000000001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5"/>
        <v>8</v>
      </c>
    </row>
    <row r="47" spans="7:36" x14ac:dyDescent="0.45">
      <c r="G47" t="s">
        <v>79</v>
      </c>
      <c r="H47" t="str">
        <f t="shared" si="14"/>
        <v>Oil</v>
      </c>
      <c r="I47">
        <f t="shared" si="13"/>
        <v>50</v>
      </c>
      <c r="J47">
        <f t="shared" si="13"/>
        <v>71.5</v>
      </c>
      <c r="K47">
        <f t="shared" si="13"/>
        <v>79</v>
      </c>
      <c r="L47">
        <f t="shared" si="13"/>
        <v>76.5</v>
      </c>
      <c r="M47">
        <f t="shared" si="13"/>
        <v>87</v>
      </c>
      <c r="N47">
        <f t="shared" si="13"/>
        <v>97</v>
      </c>
      <c r="O47">
        <f t="shared" si="13"/>
        <v>110.00000000000001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7:36" x14ac:dyDescent="0.45">
      <c r="G48" t="s">
        <v>80</v>
      </c>
      <c r="H48" t="str">
        <f t="shared" si="14"/>
        <v>Bioenergy</v>
      </c>
      <c r="I48">
        <f t="shared" si="13"/>
        <v>18.5</v>
      </c>
      <c r="O48">
        <f>VLOOKUP($H$14,$AK$9:$AM$15,3,FALSE)*I48</f>
        <v>55.5</v>
      </c>
      <c r="R48">
        <f>HLOOKUP($G48&amp;"_"&amp;R$44,fuel_prices!$B$10:$I$11,2,FALSE)</f>
        <v>15</v>
      </c>
      <c r="S48">
        <f>HLOOKUP($G48&amp;"_"&amp;S$44,fuel_prices!$B$10:$I$11,2,FALSE)</f>
        <v>22</v>
      </c>
      <c r="AJ48" s="10">
        <f t="shared" si="5"/>
        <v>8</v>
      </c>
    </row>
    <row r="49" spans="36:36" x14ac:dyDescent="0.45">
      <c r="AJ49" s="10">
        <f t="shared" si="5"/>
        <v>9</v>
      </c>
    </row>
    <row r="50" spans="36:36" x14ac:dyDescent="0.45">
      <c r="AJ50" s="10">
        <f t="shared" si="5"/>
        <v>9</v>
      </c>
    </row>
    <row r="51" spans="36:36" x14ac:dyDescent="0.45">
      <c r="AJ51" s="10">
        <f t="shared" si="5"/>
        <v>9</v>
      </c>
    </row>
    <row r="52" spans="36:36" x14ac:dyDescent="0.45">
      <c r="AJ52" s="10">
        <f t="shared" si="5"/>
        <v>9</v>
      </c>
    </row>
    <row r="53" spans="36:36" x14ac:dyDescent="0.45">
      <c r="AJ53" s="10">
        <f t="shared" si="5"/>
        <v>9</v>
      </c>
    </row>
    <row r="54" spans="36:36" x14ac:dyDescent="0.45">
      <c r="AJ54" s="10">
        <f t="shared" si="5"/>
        <v>10</v>
      </c>
    </row>
    <row r="55" spans="36:36" x14ac:dyDescent="0.45">
      <c r="AJ55" s="10">
        <f t="shared" si="5"/>
        <v>10</v>
      </c>
    </row>
    <row r="56" spans="36:36" x14ac:dyDescent="0.45">
      <c r="AJ56" s="10">
        <f t="shared" si="5"/>
        <v>10</v>
      </c>
    </row>
    <row r="57" spans="36:36" x14ac:dyDescent="0.45">
      <c r="AJ57" s="10">
        <f t="shared" si="5"/>
        <v>10</v>
      </c>
    </row>
    <row r="58" spans="36:36" x14ac:dyDescent="0.45">
      <c r="AJ58" s="10">
        <f t="shared" si="5"/>
        <v>10</v>
      </c>
    </row>
    <row r="59" spans="36:36" x14ac:dyDescent="0.45">
      <c r="AJ59" s="10">
        <f t="shared" si="5"/>
        <v>11</v>
      </c>
    </row>
    <row r="60" spans="36:36" x14ac:dyDescent="0.45">
      <c r="AJ60" s="10">
        <f t="shared" si="5"/>
        <v>11</v>
      </c>
    </row>
    <row r="61" spans="36:36" x14ac:dyDescent="0.45">
      <c r="AJ61" s="10">
        <f t="shared" si="5"/>
        <v>11</v>
      </c>
    </row>
    <row r="62" spans="36:36" x14ac:dyDescent="0.45">
      <c r="AJ62" s="10">
        <f t="shared" si="5"/>
        <v>11</v>
      </c>
    </row>
    <row r="63" spans="36:36" x14ac:dyDescent="0.45">
      <c r="AJ63" s="10">
        <f t="shared" si="5"/>
        <v>11</v>
      </c>
    </row>
    <row r="64" spans="36:36" x14ac:dyDescent="0.45">
      <c r="AJ64" s="10">
        <f t="shared" si="5"/>
        <v>12</v>
      </c>
    </row>
    <row r="65" spans="36:36" x14ac:dyDescent="0.45">
      <c r="AJ65" s="10">
        <f t="shared" si="5"/>
        <v>12</v>
      </c>
    </row>
    <row r="66" spans="36:36" x14ac:dyDescent="0.45">
      <c r="AJ66" s="10">
        <f t="shared" si="5"/>
        <v>12</v>
      </c>
    </row>
    <row r="67" spans="36:36" x14ac:dyDescent="0.45">
      <c r="AJ67" s="10">
        <f t="shared" si="5"/>
        <v>12</v>
      </c>
    </row>
    <row r="68" spans="36:36" x14ac:dyDescent="0.45">
      <c r="AJ68" s="10">
        <f t="shared" si="5"/>
        <v>12</v>
      </c>
    </row>
    <row r="69" spans="36:36" x14ac:dyDescent="0.45">
      <c r="AJ69" s="10">
        <f t="shared" si="5"/>
        <v>13</v>
      </c>
    </row>
    <row r="70" spans="36:36" x14ac:dyDescent="0.45">
      <c r="AJ70" s="10">
        <f t="shared" si="5"/>
        <v>13</v>
      </c>
    </row>
    <row r="71" spans="36:36" x14ac:dyDescent="0.45">
      <c r="AJ71" s="10">
        <f t="shared" si="5"/>
        <v>13</v>
      </c>
    </row>
    <row r="72" spans="36:36" x14ac:dyDescent="0.45">
      <c r="AJ72" s="10">
        <f t="shared" si="5"/>
        <v>13</v>
      </c>
    </row>
    <row r="73" spans="36:36" x14ac:dyDescent="0.45">
      <c r="AJ73" s="10">
        <f t="shared" si="5"/>
        <v>13</v>
      </c>
    </row>
    <row r="74" spans="36:36" x14ac:dyDescent="0.45">
      <c r="AJ74" s="10">
        <f t="shared" si="5"/>
        <v>14</v>
      </c>
    </row>
    <row r="75" spans="36:36" x14ac:dyDescent="0.45">
      <c r="AJ75" s="10">
        <f t="shared" si="5"/>
        <v>14</v>
      </c>
    </row>
    <row r="76" spans="36:36" x14ac:dyDescent="0.45">
      <c r="AJ76" s="10">
        <f t="shared" si="5"/>
        <v>14</v>
      </c>
    </row>
    <row r="77" spans="36:36" x14ac:dyDescent="0.45">
      <c r="AJ77" s="10">
        <f t="shared" si="5"/>
        <v>14</v>
      </c>
    </row>
    <row r="78" spans="36:36" x14ac:dyDescent="0.45">
      <c r="AJ78" s="10">
        <f t="shared" si="5"/>
        <v>14</v>
      </c>
    </row>
    <row r="82" spans="1:6" ht="14.65" thickBot="1" x14ac:dyDescent="0.5">
      <c r="A82" s="12" t="s">
        <v>117</v>
      </c>
    </row>
    <row r="83" spans="1:6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 t="s">
        <v>14</v>
      </c>
    </row>
    <row r="84" spans="1:6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7" t="s">
        <v>119</v>
      </c>
    </row>
    <row r="85" spans="1:6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19" t="s">
        <v>119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123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122</v>
      </c>
      <c r="K10" t="s">
        <v>116</v>
      </c>
    </row>
    <row r="11" spans="1:11" x14ac:dyDescent="0.45">
      <c r="A11" t="s">
        <v>123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123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123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123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123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123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123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123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123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123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123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123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123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123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123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123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123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123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123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123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123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123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123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sqref="A1:K1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124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124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124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124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124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124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124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124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124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124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124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124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124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124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124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124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124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124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124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124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124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124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124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124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124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124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124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124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124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124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124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124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124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124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124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124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124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124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124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124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124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124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124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124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124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124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124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124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124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124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124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124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124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124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124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124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124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124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124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124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124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124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124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124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124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124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124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124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124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124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124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124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124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124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124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124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124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124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124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124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124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124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124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124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124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124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124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124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124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124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124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124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124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124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124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124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124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124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124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124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124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124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124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124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124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124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124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124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124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124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124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124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124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124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124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124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124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124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124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124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124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124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124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124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124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124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124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124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124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124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124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124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124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124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124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124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124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124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124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124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124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124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124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124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124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124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124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124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124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124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124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124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124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124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124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124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124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124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124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124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124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124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124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124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124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124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124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124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124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124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124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124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124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124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124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124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124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124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124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124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124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124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124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124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124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124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124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124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124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124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124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124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124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124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124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124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124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124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124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124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124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124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124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124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124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124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124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124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124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124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124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124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124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124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124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124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124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124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124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124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124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124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124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124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124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124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124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124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124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124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124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124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124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124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124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124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124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124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124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124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124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124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124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124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124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124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124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124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124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124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124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124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124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124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124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124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124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124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124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124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124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124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124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124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124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124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124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124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124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124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124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124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124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124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124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124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124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124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124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124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124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124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124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124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124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124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124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124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124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124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124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124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124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124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124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124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124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124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124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124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124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124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124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124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124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124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124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124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124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124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124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124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124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124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124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124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124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124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124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124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124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124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124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124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124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124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124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124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124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124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124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124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124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124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124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124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124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124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124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124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124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124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124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124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124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124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124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124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124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124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124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124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124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124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124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124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124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124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124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124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124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124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124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124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124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124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124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124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124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124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124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124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124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124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124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124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124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124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124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2026-06-12T10:10:56Z</dcterms:modified>
</cp:coreProperties>
</file>