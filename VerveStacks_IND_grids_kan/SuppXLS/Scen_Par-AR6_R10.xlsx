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13_ncr:1_{7032C42B-F275-4057-8E14-F2826FD84D0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I15" i="1"/>
  <c r="O24" i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N15" i="1" l="1"/>
  <c r="Y23" i="1" s="1"/>
  <c r="O15" i="1"/>
  <c r="Z23" i="1" s="1"/>
  <c r="M15" i="1"/>
  <c r="X23" i="1" s="1"/>
  <c r="L15" i="1"/>
  <c r="W23" i="1" s="1"/>
  <c r="K15" i="1"/>
  <c r="V23" i="1" s="1"/>
  <c r="J15" i="1"/>
  <c r="U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Z22" i="1" l="1"/>
  <c r="U22" i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<sst xmlns="http://schemas.openxmlformats.org/spreadsheetml/2006/main" count="1717" uniqueCount="126">
  <si>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</si>
  <si>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</si>
  <si>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</si>
  <si>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</si>
  <si>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</si>
  <si>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</si>
  <si>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</si>
  <si>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</si>
  <si>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</si>
  <si>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</si>
  <si>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</si>
  <si>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</si>
  <si>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</si>
  <si>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</si>
  <si>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</si>
  <si>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</si>
  <si>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</si>
  <si>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</si>
  <si>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</si>
  <si>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</si>
  <si>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</si>
  <si>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</si>
  <si>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</si>
  <si>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</si>
  <si>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</si>
  <si>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</si>
  <si>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</si>
  <si>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</si>
  <si>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</si>
  <si>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</si>
  <si>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</si>
  <si>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</si>
  <si>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</si>
  <si>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</si>
  <si>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</si>
  <si>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</si>
  <si>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</si>
  <si>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</si>
  <si>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</si>
  <si>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</si>
  <si>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</si>
  <si>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</si>
  <si>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</si>
  <si>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</si>
  <si>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</si>
  <si>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</si>
  <si>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</si>
  <si>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</si>
  <si>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</si>
  <si>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</si>
  <si>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</si>
  <si>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</si>
  <si>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</si>
  <si>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</si>
  <si>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</si>
  <si>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</si>
  <si>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</si>
  <si>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</si>
  <si>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</si>
  <si>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</si>
  <si>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</si>
  <si>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</si>
  <si>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</si>
  <si>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</si>
  <si>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</si>
  <si>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</si>
  <si>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</si>
  <si>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</si>
  <si>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</si>
  <si>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</si>
  <si>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</si>
  <si>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</si>
  <si>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</si>
  <si>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</si>
  <si>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</si>
  <si>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</si>
  <si>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</si>
  <si>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</si>
  <si>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</si>
  <si>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</si>
  <si>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</si>
  <si>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</si>
  <si>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</si>
  <si>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</si>
  <si>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</si>
  <si>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</si>
  <si>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</si>
  <si>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</si>
  <si>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</si>
  <si>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</si>
  <si>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</si>
  <si>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</si>
  <si>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</si>
  <si>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</si>
  <si>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</si>
  <si>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</si>
  <si>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</si>
  <si>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</si>
  <si>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</si>
  <si>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</si>
  <si>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</si>
  <si>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</si>
  <si>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</si>
  <si>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</si>
  <si>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</si>
  <si>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</si>
  <si>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</si>
  <si>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</si>
  <si>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</si>
  <si>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</si>
  <si>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</si>
  <si>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</si>
  <si>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</si>
  <si>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</si>
  <si>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</si>
  <si>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</si>
  <si>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</si>
  <si>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</si>
  <si>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</si>
  <si>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</si>
  <si>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</si>
  <si>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</si>
  <si>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</si>
  <si>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IND</t>
  </si>
  <si>
    <t>R10INDIA+</t>
  </si>
  <si>
    <t>Expensive LNG imports,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</si>
</sst>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2355.145</c:v>
                </c:pt>
                <c:pt idx="2">
                  <c:v>2934.873</c:v>
                </c:pt>
                <c:pt idx="3">
                  <c:v>3840.6979999999999</c:v>
                </c:pt>
                <c:pt idx="4">
                  <c:v>4782.7560000000003</c:v>
                </c:pt>
                <c:pt idx="5">
                  <c:v>6213.9594999999999</c:v>
                </c:pt>
                <c:pt idx="6">
                  <c:v>7445.8815000000004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D4" sqref="D4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5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5</v>
      </c>
    </row>
    <row r="5" spans="1:39" x14ac:dyDescent="0.45">
      <c r="D5" s="1" t="str">
        <f>VLOOKUP(D3,$C$9:$E$999,2,FALSE)</f>
        <v>high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1811.6499999999999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C3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1.3</v>
      </c>
      <c r="K14" s="11">
        <f>SUMIFS(ar6_r10!$F$2:$F$999,ar6_r10!$A$2:$A$999,$H$14,ar6_r10!$C$2:$C$999,Veda!K$17,ar6_r10!$M$2:$M$999,Veda!$G14)</f>
        <v>1.62</v>
      </c>
      <c r="L14" s="11">
        <f>SUMIFS(ar6_r10!$F$2:$F$999,ar6_r10!$A$2:$A$999,$H$14,ar6_r10!$C$2:$C$999,Veda!L$17,ar6_r10!$M$2:$M$999,Veda!$G14)</f>
        <v>2.12</v>
      </c>
      <c r="M14" s="11">
        <f>SUMIFS(ar6_r10!$F$2:$F$999,ar6_r10!$A$2:$A$999,$H$14,ar6_r10!$C$2:$C$999,Veda!M$17,ar6_r10!$M$2:$M$999,Veda!$G14)</f>
        <v>2.64</v>
      </c>
      <c r="N14" s="11">
        <f>SUMIFS(ar6_r10!$F$2:$F$999,ar6_r10!$A$2:$A$999,$H$14,ar6_r10!$C$2:$C$999,Veda!N$17,ar6_r10!$M$2:$M$999,Veda!$G14)</f>
        <v>3.43</v>
      </c>
      <c r="O14" s="11">
        <f>SUMIFS(ar6_r10!$F$2:$F$999,ar6_r10!$A$2:$A$999,$H$14,ar6_r10!$C$2:$C$999,Veda!O$17,ar6_r10!$M$2:$M$999,Veda!$G14)</f>
        <v>4.1100000000000003</v>
      </c>
      <c r="T14" s="8">
        <f>S11</f>
        <v>1811.6499999999999</v>
      </c>
      <c r="U14" s="8">
        <f t="shared" ref="U14:Z14" si="4">$S$11*J14</f>
        <v>2355.145</v>
      </c>
      <c r="V14" s="8">
        <f t="shared" si="4"/>
        <v>2934.873</v>
      </c>
      <c r="W14" s="8">
        <f t="shared" si="4"/>
        <v>3840.6979999999999</v>
      </c>
      <c r="X14" s="8">
        <f t="shared" si="4"/>
        <v>4782.7560000000003</v>
      </c>
      <c r="Y14" s="8">
        <f t="shared" si="4"/>
        <v>6213.9594999999999</v>
      </c>
      <c r="Z14" s="8">
        <f t="shared" si="4"/>
        <v>7445.8815000000004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2.33</v>
      </c>
      <c r="K15" s="11">
        <f>SUMIFS(ar6_r10!$F$2:$F$999,ar6_r10!$A$2:$A$999,$H$14,ar6_r10!$C$2:$C$999,Veda!K$17,ar6_r10!$M$2:$M$999,Veda!$G15)</f>
        <v>4.4000000000000004</v>
      </c>
      <c r="L15" s="11">
        <f>SUMIFS(ar6_r10!$F$2:$F$999,ar6_r10!$A$2:$A$999,$H$14,ar6_r10!$C$2:$C$999,Veda!L$17,ar6_r10!$M$2:$M$999,Veda!$G15)</f>
        <v>7.61</v>
      </c>
      <c r="M15" s="11">
        <f>SUMIFS(ar6_r10!$F$2:$F$999,ar6_r10!$A$2:$A$999,$H$14,ar6_r10!$C$2:$C$999,Veda!M$17,ar6_r10!$M$2:$M$999,Veda!$G15)</f>
        <v>11.44</v>
      </c>
      <c r="N15" s="11">
        <f>SUMIFS(ar6_r10!$F$2:$F$999,ar6_r10!$A$2:$A$999,$H$14,ar6_r10!$C$2:$C$999,Veda!N$17,ar6_r10!$M$2:$M$999,Veda!$G15)</f>
        <v>19.03</v>
      </c>
      <c r="O15" s="11">
        <f>SUMIFS(ar6_r10!$F$2:$F$999,ar6_r10!$A$2:$A$999,$H$14,ar6_r10!$C$2:$C$999,Veda!O$17,ar6_r10!$M$2:$M$999,Veda!$G15)</f>
        <v>25.28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0.01</v>
      </c>
      <c r="M18" s="11">
        <f>SUMIFS(ar6_r10!$F$2:$F$999,ar6_r10!$A$2:$A$999,$H$14,ar6_r10!$C$2:$C$999,Veda!M$17,ar6_r10!$M$2:$M$999,Veda!$G18)</f>
        <v>0.02</v>
      </c>
      <c r="N18" s="11">
        <f>SUMIFS(ar6_r10!$F$2:$F$999,ar6_r10!$A$2:$A$999,$H$14,ar6_r10!$C$2:$C$999,Veda!N$17,ar6_r10!$M$2:$M$999,Veda!$G18)</f>
        <v>0.02</v>
      </c>
      <c r="O18" s="11">
        <f>SUMIFS(ar6_r10!$F$2:$F$999,ar6_r10!$A$2:$A$999,$H$14,ar6_r10!$C$2:$C$999,Veda!O$17,ar6_r10!$M$2:$M$999,Veda!$G18)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38.406979999999997</v>
      </c>
      <c r="X18" s="6">
        <f t="shared" si="7"/>
        <v>95.655120000000011</v>
      </c>
      <c r="Y18" s="6">
        <f t="shared" si="7"/>
        <v>124.27919</v>
      </c>
      <c r="Z18" s="6">
        <f t="shared" si="7"/>
        <v>223.37644500000002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0.49</v>
      </c>
      <c r="J19" s="11">
        <f>SUMIFS(ar6_r10!$F$2:$F$999,ar6_r10!$A$2:$A$999,$H$14,ar6_r10!$C$2:$C$999,Veda!J$17,ar6_r10!$M$2:$M$999,Veda!$G19)</f>
        <v>0.49</v>
      </c>
      <c r="K19" s="11">
        <f>SUMIFS(ar6_r10!$F$2:$F$999,ar6_r10!$A$2:$A$999,$H$14,ar6_r10!$C$2:$C$999,Veda!K$17,ar6_r10!$M$2:$M$999,Veda!$G19)</f>
        <v>0.46</v>
      </c>
      <c r="L19" s="11">
        <f>SUMIFS(ar6_r10!$F$2:$F$999,ar6_r10!$A$2:$A$999,$H$14,ar6_r10!$C$2:$C$999,Veda!L$17,ar6_r10!$M$2:$M$999,Veda!$G19)</f>
        <v>0.48</v>
      </c>
      <c r="M19" s="11">
        <f>SUMIFS(ar6_r10!$F$2:$F$999,ar6_r10!$A$2:$A$999,$H$14,ar6_r10!$C$2:$C$999,Veda!M$17,ar6_r10!$M$2:$M$999,Veda!$G19)</f>
        <v>0.46</v>
      </c>
      <c r="N19" s="11">
        <f>SUMIFS(ar6_r10!$F$2:$F$999,ar6_r10!$A$2:$A$999,$H$14,ar6_r10!$C$2:$C$999,Veda!N$17,ar6_r10!$M$2:$M$999,Veda!$G19)</f>
        <v>0.48</v>
      </c>
      <c r="O19" s="11">
        <f>SUMIFS(ar6_r10!$F$2:$F$999,ar6_r10!$A$2:$A$999,$H$14,ar6_r10!$C$2:$C$999,Veda!O$17,ar6_r10!$M$2:$M$999,Veda!$G19)</f>
        <v>0.47</v>
      </c>
      <c r="S19" s="10" t="s">
        <v>19</v>
      </c>
      <c r="T19" s="6">
        <f t="shared" si="7"/>
        <v>887.70849999999996</v>
      </c>
      <c r="U19" s="6">
        <f t="shared" si="7"/>
        <v>1154.0210500000001</v>
      </c>
      <c r="V19" s="6">
        <f t="shared" si="7"/>
        <v>1350.0415800000001</v>
      </c>
      <c r="W19" s="6">
        <f t="shared" si="7"/>
        <v>1843.5350399999998</v>
      </c>
      <c r="X19" s="6">
        <f t="shared" si="7"/>
        <v>2200.0677600000004</v>
      </c>
      <c r="Y19" s="6">
        <f t="shared" si="7"/>
        <v>2982.7005599999998</v>
      </c>
      <c r="Z19" s="6">
        <f t="shared" si="7"/>
        <v>3499.5643049999999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0.46</v>
      </c>
      <c r="J20" s="11">
        <f>SUMIFS(ar6_r10!$F$2:$F$999,ar6_r10!$A$2:$A$999,$H$14,ar6_r10!$C$2:$C$999,Veda!J$17,ar6_r10!$M$2:$M$999,Veda!$G20)</f>
        <v>0.47</v>
      </c>
      <c r="K20" s="11">
        <f>SUMIFS(ar6_r10!$F$2:$F$999,ar6_r10!$A$2:$A$999,$H$14,ar6_r10!$C$2:$C$999,Veda!K$17,ar6_r10!$M$2:$M$999,Veda!$G20)</f>
        <v>0.45</v>
      </c>
      <c r="L20" s="11">
        <f>SUMIFS(ar6_r10!$F$2:$F$999,ar6_r10!$A$2:$A$999,$H$14,ar6_r10!$C$2:$C$999,Veda!L$17,ar6_r10!$M$2:$M$999,Veda!$G20)</f>
        <v>0.45</v>
      </c>
      <c r="M20" s="11">
        <f>SUMIFS(ar6_r10!$F$2:$F$999,ar6_r10!$A$2:$A$999,$H$14,ar6_r10!$C$2:$C$999,Veda!M$17,ar6_r10!$M$2:$M$999,Veda!$G20)</f>
        <v>0.47</v>
      </c>
      <c r="N20" s="11">
        <f>SUMIFS(ar6_r10!$F$2:$F$999,ar6_r10!$A$2:$A$999,$H$14,ar6_r10!$C$2:$C$999,Veda!N$17,ar6_r10!$M$2:$M$999,Veda!$G20)</f>
        <v>0.44</v>
      </c>
      <c r="O20" s="11">
        <f>SUMIFS(ar6_r10!$F$2:$F$999,ar6_r10!$A$2:$A$999,$H$14,ar6_r10!$C$2:$C$999,Veda!O$17,ar6_r10!$M$2:$M$999,Veda!$G20)</f>
        <v>0.44</v>
      </c>
      <c r="S20" s="10" t="s">
        <v>22</v>
      </c>
      <c r="T20" s="6">
        <f t="shared" si="7"/>
        <v>833.35899999999992</v>
      </c>
      <c r="U20" s="6">
        <f t="shared" si="7"/>
        <v>1106.91815</v>
      </c>
      <c r="V20" s="6">
        <f t="shared" si="7"/>
        <v>1320.6928500000001</v>
      </c>
      <c r="W20" s="6">
        <f t="shared" si="7"/>
        <v>1728.3141000000001</v>
      </c>
      <c r="X20" s="6">
        <f t="shared" si="7"/>
        <v>2247.8953200000001</v>
      </c>
      <c r="Y20" s="6">
        <f t="shared" si="7"/>
        <v>2734.1421799999998</v>
      </c>
      <c r="Z20" s="6">
        <f t="shared" si="7"/>
        <v>3276.18786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0.02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0.03</v>
      </c>
      <c r="L21" s="11">
        <f>SUMIFS(ar6_r10!$F$2:$F$999,ar6_r10!$A$2:$A$999,$H$14,ar6_r10!$C$2:$C$999,Veda!L$17,ar6_r10!$M$2:$M$999,Veda!$G21)</f>
        <v>0.04</v>
      </c>
      <c r="M21" s="11">
        <f>SUMIFS(ar6_r10!$F$2:$F$999,ar6_r10!$A$2:$A$999,$H$14,ar6_r10!$C$2:$C$999,Veda!M$17,ar6_r10!$M$2:$M$999,Veda!$G21)</f>
        <v>0.05</v>
      </c>
      <c r="N21" s="11">
        <f>SUMIFS(ar6_r10!$F$2:$F$999,ar6_r10!$A$2:$A$999,$H$14,ar6_r10!$C$2:$C$999,Veda!N$17,ar6_r10!$M$2:$M$999,Veda!$G21)</f>
        <v>0.06</v>
      </c>
      <c r="O21" s="11">
        <f>SUMIFS(ar6_r10!$F$2:$F$999,ar6_r10!$A$2:$A$999,$H$14,ar6_r10!$C$2:$C$999,Veda!O$17,ar6_r10!$M$2:$M$999,Veda!$G21)</f>
        <v>0.06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54.349500000000035</v>
      </c>
      <c r="U22" s="6">
        <f t="shared" si="9"/>
        <v>57.972800000000007</v>
      </c>
      <c r="V22" s="6">
        <f t="shared" si="9"/>
        <v>227.90556999999944</v>
      </c>
      <c r="W22" s="6">
        <f t="shared" si="9"/>
        <v>232.61585999999988</v>
      </c>
      <c r="X22" s="6">
        <f t="shared" si="9"/>
        <v>298.55991999999969</v>
      </c>
      <c r="Y22" s="6">
        <f t="shared" si="9"/>
        <v>460.88375999999971</v>
      </c>
      <c r="Z22" s="6">
        <f t="shared" si="9"/>
        <v>633.89633500000036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7.84</v>
      </c>
      <c r="S28" t="s">
        <v>31</v>
      </c>
      <c r="T28" s="3">
        <f>Q28</f>
        <v>7.84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-10.25</v>
      </c>
      <c r="S29" t="s">
        <v>34</v>
      </c>
      <c r="T29" s="3">
        <f>-1*Q29</f>
        <v>10.25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36</v>
      </c>
      <c r="J45">
        <f t="shared" si="13"/>
        <v>39.96</v>
      </c>
      <c r="K45">
        <f t="shared" si="13"/>
        <v>43.56</v>
      </c>
      <c r="L45">
        <f t="shared" si="13"/>
        <v>41.76</v>
      </c>
      <c r="M45">
        <f t="shared" si="13"/>
        <v>48.96</v>
      </c>
      <c r="N45">
        <f t="shared" si="13"/>
        <v>50.4</v>
      </c>
      <c r="O45">
        <f t="shared" si="13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10.486000000000001</v>
      </c>
      <c r="K46">
        <f t="shared" si="13"/>
        <v>11.465999999999999</v>
      </c>
      <c r="L46">
        <f t="shared" si="13"/>
        <v>11.858000000000001</v>
      </c>
      <c r="M46">
        <f t="shared" si="13"/>
        <v>13.426000000000002</v>
      </c>
      <c r="N46">
        <f t="shared" si="13"/>
        <v>13.034000000000002</v>
      </c>
      <c r="O46">
        <f t="shared" si="13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50</v>
      </c>
      <c r="J47">
        <f t="shared" si="13"/>
        <v>71.5</v>
      </c>
      <c r="K47">
        <f t="shared" si="13"/>
        <v>79</v>
      </c>
      <c r="L47">
        <f t="shared" si="13"/>
        <v>76.5</v>
      </c>
      <c r="M47">
        <f t="shared" si="13"/>
        <v>87</v>
      </c>
      <c r="N47">
        <f t="shared" si="13"/>
        <v>97</v>
      </c>
      <c r="O47">
        <f t="shared" si="13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18.5</v>
      </c>
      <c r="O48">
        <f>VLOOKUP($H$14,$AK$9:$AM$15,3,FALSE)*I48</f>
        <v>55.5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2026-06-12T10:23:55Z</dcterms:modified>
</cp:coreProperties>
</file>