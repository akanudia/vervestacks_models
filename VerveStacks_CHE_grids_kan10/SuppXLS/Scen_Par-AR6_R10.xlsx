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13_ncr:1_{56D753F4-E591-4D70-A700-2048E63A29B5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N15" i="1"/>
  <c r="Y23" i="1" s="1"/>
  <c r="M15" i="1"/>
  <c r="X23" i="1" s="1"/>
  <c r="L15" i="1"/>
  <c r="W23" i="1" s="1"/>
  <c r="K15" i="1"/>
  <c r="V23" i="1" s="1"/>
  <c r="J15" i="1"/>
  <c r="U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Y22" i="1"/>
  <c r="Z22" i="1"/>
  <c r="AJ69" i="1"/>
  <c r="AJ65" i="1"/>
  <c r="X22" i="1" l="1"/>
  <c r="U22" i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<sst xmlns="http://schemas.openxmlformats.org/spreadsheetml/2006/main" count="1727" uniqueCount="126">
  <si>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</si>
  <si>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</si>
  <si>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</si>
  <si>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</si>
  <si>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</si>
  <si>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</si>
  <si>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</si>
  <si>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</si>
  <si>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</si>
  <si>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</si>
  <si>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</si>
  <si>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</si>
  <si>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</si>
  <si>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</si>
  <si>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</si>
  <si>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</si>
  <si>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</si>
  <si>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</si>
  <si>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</si>
  <si>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</si>
  <si>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</si>
  <si>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</si>
  <si>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</si>
  <si>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</si>
  <si>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</si>
  <si>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</si>
  <si>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</si>
  <si>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</si>
  <si>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</si>
  <si>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</si>
  <si>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</si>
  <si>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</si>
  <si>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</si>
  <si>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</si>
  <si>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</si>
  <si>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</si>
  <si>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</si>
  <si>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</si>
  <si>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</si>
  <si>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</si>
  <si>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</si>
  <si>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</si>
  <si>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</si>
  <si>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</si>
  <si>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</si>
  <si>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</si>
  <si>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</si>
  <si>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</si>
  <si>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</si>
  <si>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</si>
  <si>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</si>
  <si>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</si>
  <si>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</si>
  <si>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</si>
  <si>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</si>
  <si>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</si>
  <si>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</si>
  <si>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</si>
  <si>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</si>
  <si>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</si>
  <si>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</si>
  <si>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</si>
  <si>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</si>
  <si>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</si>
  <si>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</si>
  <si>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</si>
  <si>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</si>
  <si>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</si>
  <si>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</si>
  <si>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</si>
  <si>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</si>
  <si>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</si>
  <si>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</si>
  <si>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</si>
  <si>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</si>
  <si>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</si>
  <si>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</si>
  <si>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</si>
  <si>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</si>
  <si>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</si>
  <si>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</si>
  <si>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</si>
  <si>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</si>
  <si>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</si>
  <si>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</si>
  <si>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</si>
  <si>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</si>
  <si>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</si>
  <si>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</si>
  <si>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</si>
  <si>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</si>
  <si>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</si>
  <si>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</si>
  <si>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</si>
  <si>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</si>
  <si>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</si>
  <si>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</si>
  <si>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</si>
  <si>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</si>
  <si>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</si>
  <si>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</si>
  <si>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</si>
  <si>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</si>
  <si>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</si>
  <si>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</si>
  <si>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</si>
  <si>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</si>
  <si>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</si>
  <si>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</si>
  <si>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</si>
  <si>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</si>
  <si>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</si>
  <si>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</si>
  <si>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</si>
  <si>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</si>
  <si>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</si>
  <si>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</si>
  <si>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</si>
  <si>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</si>
  <si>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</si>
  <si>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</si>
  <si>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</si>
  <si>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</si>
  <si>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</si>
  <si>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CHE</t>
  </si>
  <si>
    <t>European pricing, forest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</si>
</sst>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65.11999999999999</c:v>
                </c:pt>
                <c:pt idx="1">
                  <c:v>68.375999999999991</c:v>
                </c:pt>
                <c:pt idx="2">
                  <c:v>76.190399999999983</c:v>
                </c:pt>
                <c:pt idx="3">
                  <c:v>84.004799999999989</c:v>
                </c:pt>
                <c:pt idx="4">
                  <c:v>92.470399999999984</c:v>
                </c:pt>
                <c:pt idx="5">
                  <c:v>103.54079999999999</c:v>
                </c:pt>
                <c:pt idx="6">
                  <c:v>112.65759999999999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65.11999999999999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5.6420000000000003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65.11999999999999</v>
      </c>
      <c r="U14" s="8">
        <f t="shared" ref="U14:Z14" si="4">$S$11*J14</f>
        <v>68.375999999999991</v>
      </c>
      <c r="V14" s="8">
        <f t="shared" si="4"/>
        <v>76.190399999999983</v>
      </c>
      <c r="W14" s="8">
        <f t="shared" si="4"/>
        <v>84.004799999999989</v>
      </c>
      <c r="X14" s="8">
        <f t="shared" si="4"/>
        <v>92.470399999999984</v>
      </c>
      <c r="Y14" s="8">
        <f t="shared" si="4"/>
        <v>103.54079999999999</v>
      </c>
      <c r="Z14" s="8">
        <f t="shared" si="4"/>
        <v>112.65759999999999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24.094399999999997</v>
      </c>
      <c r="U19" s="6">
        <f t="shared" si="7"/>
        <v>23.931599999999996</v>
      </c>
      <c r="V19" s="6">
        <f t="shared" si="7"/>
        <v>25.904735999999996</v>
      </c>
      <c r="W19" s="6">
        <f t="shared" si="7"/>
        <v>27.721583999999996</v>
      </c>
      <c r="X19" s="6">
        <f t="shared" si="7"/>
        <v>27.741119999999995</v>
      </c>
      <c r="Y19" s="6">
        <f t="shared" si="7"/>
        <v>30.026831999999995</v>
      </c>
      <c r="Z19" s="6">
        <f t="shared" si="7"/>
        <v>33.797279999999994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38.420799999999993</v>
      </c>
      <c r="U20" s="6">
        <f t="shared" si="7"/>
        <v>40.341839999999991</v>
      </c>
      <c r="V20" s="6">
        <f t="shared" si="7"/>
        <v>44.952335999999988</v>
      </c>
      <c r="W20" s="6">
        <f t="shared" si="7"/>
        <v>48.72278399999999</v>
      </c>
      <c r="X20" s="6">
        <f t="shared" si="7"/>
        <v>53.632831999999986</v>
      </c>
      <c r="Y20" s="6">
        <f t="shared" si="7"/>
        <v>57.982847999999997</v>
      </c>
      <c r="Z20" s="6">
        <f t="shared" si="7"/>
        <v>60.835103999999994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1.9535999999999996</v>
      </c>
      <c r="U21" s="6">
        <f t="shared" ref="U21:Z21" si="8">T21</f>
        <v>1.9535999999999996</v>
      </c>
      <c r="V21" s="6">
        <f t="shared" si="8"/>
        <v>1.9535999999999996</v>
      </c>
      <c r="W21" s="6">
        <f t="shared" si="8"/>
        <v>1.9535999999999996</v>
      </c>
      <c r="X21" s="6">
        <f t="shared" si="8"/>
        <v>1.9535999999999996</v>
      </c>
      <c r="Y21" s="6">
        <f t="shared" si="8"/>
        <v>1.9535999999999996</v>
      </c>
      <c r="Z21" s="6">
        <f t="shared" si="8"/>
        <v>1.9535999999999996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0.65120000000000289</v>
      </c>
      <c r="U22" s="6">
        <f t="shared" si="9"/>
        <v>2.1489600000000024</v>
      </c>
      <c r="V22" s="6">
        <f t="shared" si="9"/>
        <v>3.3797280000000001</v>
      </c>
      <c r="W22" s="6">
        <f t="shared" si="9"/>
        <v>5.6068320000000114</v>
      </c>
      <c r="X22" s="6">
        <f t="shared" si="9"/>
        <v>9.142848000000015</v>
      </c>
      <c r="Y22" s="6">
        <f t="shared" si="9"/>
        <v>13.577520000000007</v>
      </c>
      <c r="Z22" s="6">
        <f t="shared" si="9"/>
        <v>16.071616000000006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5.6420000000000003</v>
      </c>
      <c r="U23" s="25">
        <f>$S$12*J15</f>
        <v>5.5291600000000001</v>
      </c>
      <c r="V23" s="25">
        <f>$S$12*K15</f>
        <v>5.4163199999999998</v>
      </c>
      <c r="W23" s="25">
        <f t="shared" ref="W23:Z23" si="10">$S$12*L15</f>
        <v>5.1906400000000001</v>
      </c>
      <c r="X23" s="25">
        <f t="shared" si="10"/>
        <v>4.7392799999999999</v>
      </c>
      <c r="Y23" s="25">
        <f t="shared" si="10"/>
        <v>4.6828599999999998</v>
      </c>
      <c r="Z23" s="25">
        <f t="shared" si="10"/>
        <v>4.5136000000000003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33.119999999999997</v>
      </c>
      <c r="S28" t="s">
        <v>31</v>
      </c>
      <c r="T28" s="3">
        <f>Q28</f>
        <v>33.119999999999997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-29.73</v>
      </c>
      <c r="S29" t="s">
        <v>34</v>
      </c>
      <c r="T29" s="3">
        <f>-1*Q29</f>
        <v>29.73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35.1</v>
      </c>
      <c r="J45">
        <f t="shared" si="13"/>
        <v>37.557000000000002</v>
      </c>
      <c r="K45">
        <f t="shared" si="13"/>
        <v>43.524000000000001</v>
      </c>
      <c r="L45">
        <f t="shared" si="13"/>
        <v>40.365000000000002</v>
      </c>
      <c r="M45">
        <f t="shared" si="13"/>
        <v>43.875</v>
      </c>
      <c r="N45">
        <f t="shared" si="13"/>
        <v>41.067</v>
      </c>
      <c r="O45">
        <f t="shared" si="13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16.75</v>
      </c>
      <c r="J46">
        <f t="shared" si="13"/>
        <v>17.085000000000001</v>
      </c>
      <c r="K46">
        <f t="shared" si="13"/>
        <v>17.755000000000003</v>
      </c>
      <c r="L46">
        <f t="shared" si="13"/>
        <v>17.922499999999999</v>
      </c>
      <c r="M46">
        <f t="shared" si="13"/>
        <v>18.09</v>
      </c>
      <c r="N46">
        <f t="shared" si="13"/>
        <v>18.425000000000001</v>
      </c>
      <c r="O46">
        <f t="shared" si="13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55</v>
      </c>
      <c r="J47">
        <f t="shared" si="13"/>
        <v>55.55</v>
      </c>
      <c r="K47">
        <f t="shared" si="13"/>
        <v>61.050000000000004</v>
      </c>
      <c r="L47">
        <f t="shared" si="13"/>
        <v>55.55</v>
      </c>
      <c r="M47">
        <f t="shared" si="13"/>
        <v>55.55</v>
      </c>
      <c r="N47">
        <f t="shared" si="13"/>
        <v>57.2</v>
      </c>
      <c r="O47">
        <f t="shared" si="13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32</v>
      </c>
      <c r="O48">
        <f>VLOOKUP($H$14,$AK$9:$AM$15,3,FALSE)*I48</f>
        <v>96</v>
      </c>
      <c r="R48">
        <f>HLOOKUP($G48&amp;"_"&amp;R$44,fuel_prices!$B$10:$I$11,2,FALSE)</f>
        <v>28</v>
      </c>
      <c r="S48">
        <f>HLOOKUP($G48&amp;"_"&amp;S$44,fuel_prices!$B$10:$I$11,2,FALSE)</f>
        <v>36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9.7219999999999995</v>
      </c>
      <c r="D91">
        <v>12.172000000000001</v>
      </c>
      <c r="E91">
        <v>12.472</v>
      </c>
      <c r="F91" t="s">
        <v>120</v>
      </c>
    </row>
    <row r="92" spans="1:6" x14ac:dyDescent="0.45">
      <c r="A92" t="s">
        <v>31</v>
      </c>
      <c r="B92" t="s">
        <v>119</v>
      </c>
      <c r="C92">
        <v>1.2</v>
      </c>
      <c r="D92">
        <v>1.2</v>
      </c>
      <c r="E92">
        <v>1.2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28</v>
      </c>
      <c r="I11">
        <v>36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24.13</v>
      </c>
      <c r="D11">
        <v>31.47</v>
      </c>
      <c r="E11">
        <v>2.64</v>
      </c>
      <c r="F11">
        <v>0</v>
      </c>
      <c r="G11">
        <v>24.33</v>
      </c>
      <c r="H11">
        <v>-31.4</v>
      </c>
      <c r="I11">
        <v>66.12</v>
      </c>
      <c r="J11">
        <v>3.423</v>
      </c>
      <c r="K11">
        <v>4.6609999999999996</v>
      </c>
    </row>
    <row r="12" spans="1:11" x14ac:dyDescent="0.45">
      <c r="A12" t="s">
        <v>124</v>
      </c>
      <c r="B12">
        <v>2001</v>
      </c>
      <c r="C12">
        <v>24.59</v>
      </c>
      <c r="D12">
        <v>32.51</v>
      </c>
      <c r="E12">
        <v>2.7</v>
      </c>
      <c r="F12">
        <v>0</v>
      </c>
      <c r="G12">
        <v>24.1</v>
      </c>
      <c r="H12">
        <v>-34.54</v>
      </c>
      <c r="I12">
        <v>71.040000000000006</v>
      </c>
      <c r="J12">
        <v>3.4209999999999998</v>
      </c>
      <c r="K12">
        <v>4.7149999999999999</v>
      </c>
    </row>
    <row r="13" spans="1:11" x14ac:dyDescent="0.45">
      <c r="A13" t="s">
        <v>124</v>
      </c>
      <c r="B13">
        <v>2002</v>
      </c>
      <c r="C13">
        <v>24.31</v>
      </c>
      <c r="D13">
        <v>32.86</v>
      </c>
      <c r="E13">
        <v>2.8</v>
      </c>
      <c r="F13">
        <v>0</v>
      </c>
      <c r="G13">
        <v>27.8</v>
      </c>
      <c r="H13">
        <v>-32.31</v>
      </c>
      <c r="I13">
        <v>65.41</v>
      </c>
      <c r="J13">
        <v>3.4830000000000001</v>
      </c>
      <c r="K13">
        <v>4.867</v>
      </c>
    </row>
    <row r="14" spans="1:11" x14ac:dyDescent="0.45">
      <c r="A14" t="s">
        <v>124</v>
      </c>
      <c r="B14">
        <v>2003</v>
      </c>
      <c r="C14">
        <v>24.5</v>
      </c>
      <c r="D14">
        <v>33.659999999999997</v>
      </c>
      <c r="E14">
        <v>2.98</v>
      </c>
      <c r="F14">
        <v>0</v>
      </c>
      <c r="G14">
        <v>30.08</v>
      </c>
      <c r="H14">
        <v>-33.200000000000003</v>
      </c>
      <c r="I14">
        <v>65.33</v>
      </c>
      <c r="J14">
        <v>3.8980000000000001</v>
      </c>
      <c r="K14">
        <v>5.3029999999999999</v>
      </c>
    </row>
    <row r="15" spans="1:11" x14ac:dyDescent="0.45">
      <c r="A15" t="s">
        <v>124</v>
      </c>
      <c r="B15">
        <v>2004</v>
      </c>
      <c r="C15">
        <v>24.87</v>
      </c>
      <c r="D15">
        <v>34.409999999999997</v>
      </c>
      <c r="E15">
        <v>2.94</v>
      </c>
      <c r="F15">
        <v>0</v>
      </c>
      <c r="G15">
        <v>27.06</v>
      </c>
      <c r="H15">
        <v>-27.76</v>
      </c>
      <c r="I15">
        <v>63.86</v>
      </c>
      <c r="J15">
        <v>4.1390000000000002</v>
      </c>
      <c r="K15">
        <v>5.5430000000000001</v>
      </c>
    </row>
    <row r="16" spans="1:11" x14ac:dyDescent="0.45">
      <c r="A16" t="s">
        <v>124</v>
      </c>
      <c r="B16">
        <v>2005</v>
      </c>
      <c r="C16">
        <v>24.88</v>
      </c>
      <c r="D16">
        <v>35.270000000000003</v>
      </c>
      <c r="E16">
        <v>2.98</v>
      </c>
      <c r="F16">
        <v>0</v>
      </c>
      <c r="G16">
        <v>38.35</v>
      </c>
      <c r="H16">
        <v>-32</v>
      </c>
      <c r="I16">
        <v>57.78</v>
      </c>
      <c r="J16">
        <v>4.1630000000000003</v>
      </c>
      <c r="K16">
        <v>5.5039999999999996</v>
      </c>
    </row>
    <row r="17" spans="1:11" x14ac:dyDescent="0.45">
      <c r="A17" t="s">
        <v>124</v>
      </c>
      <c r="B17">
        <v>2006</v>
      </c>
      <c r="C17">
        <v>25.2</v>
      </c>
      <c r="D17">
        <v>35.51</v>
      </c>
      <c r="E17">
        <v>3.09</v>
      </c>
      <c r="F17">
        <v>0</v>
      </c>
      <c r="G17">
        <v>33.799999999999997</v>
      </c>
      <c r="H17">
        <v>-31.1</v>
      </c>
      <c r="I17">
        <v>62.13</v>
      </c>
      <c r="J17">
        <v>4.0229999999999997</v>
      </c>
      <c r="K17">
        <v>5.274</v>
      </c>
    </row>
    <row r="18" spans="1:11" x14ac:dyDescent="0.45">
      <c r="A18" t="s">
        <v>124</v>
      </c>
      <c r="B18">
        <v>2007</v>
      </c>
      <c r="C18">
        <v>25.27</v>
      </c>
      <c r="D18">
        <v>35.18</v>
      </c>
      <c r="E18">
        <v>3.08</v>
      </c>
      <c r="F18">
        <v>0</v>
      </c>
      <c r="G18">
        <v>34.82</v>
      </c>
      <c r="H18">
        <v>-36.880000000000003</v>
      </c>
      <c r="I18">
        <v>66.430000000000007</v>
      </c>
      <c r="J18">
        <v>4.0030000000000001</v>
      </c>
      <c r="K18">
        <v>4.9450000000000003</v>
      </c>
    </row>
    <row r="19" spans="1:11" x14ac:dyDescent="0.45">
      <c r="A19" t="s">
        <v>124</v>
      </c>
      <c r="B19">
        <v>2008</v>
      </c>
      <c r="C19">
        <v>25.62</v>
      </c>
      <c r="D19">
        <v>36.130000000000003</v>
      </c>
      <c r="E19">
        <v>3.14</v>
      </c>
      <c r="F19">
        <v>0</v>
      </c>
      <c r="G19">
        <v>31.6</v>
      </c>
      <c r="H19">
        <v>-32.74</v>
      </c>
      <c r="I19">
        <v>67.03</v>
      </c>
      <c r="J19">
        <v>4.2629999999999999</v>
      </c>
      <c r="K19">
        <v>5.1289999999999996</v>
      </c>
    </row>
    <row r="20" spans="1:11" x14ac:dyDescent="0.45">
      <c r="A20" t="s">
        <v>124</v>
      </c>
      <c r="B20">
        <v>2009</v>
      </c>
      <c r="C20">
        <v>24.44</v>
      </c>
      <c r="D20">
        <v>36.04</v>
      </c>
      <c r="E20">
        <v>3.06</v>
      </c>
      <c r="F20">
        <v>0</v>
      </c>
      <c r="G20">
        <v>31.37</v>
      </c>
      <c r="H20">
        <v>-33.520000000000003</v>
      </c>
      <c r="I20">
        <v>66.67</v>
      </c>
      <c r="J20">
        <v>4.1500000000000004</v>
      </c>
      <c r="K20">
        <v>4.9790000000000001</v>
      </c>
    </row>
    <row r="21" spans="1:11" x14ac:dyDescent="0.45">
      <c r="A21" t="s">
        <v>124</v>
      </c>
      <c r="B21">
        <v>2010</v>
      </c>
      <c r="C21">
        <v>25.27</v>
      </c>
      <c r="D21">
        <v>37.17</v>
      </c>
      <c r="E21">
        <v>3.16</v>
      </c>
      <c r="F21">
        <v>0</v>
      </c>
      <c r="G21">
        <v>33.4</v>
      </c>
      <c r="H21">
        <v>-32.880000000000003</v>
      </c>
      <c r="I21">
        <v>66.040000000000006</v>
      </c>
      <c r="J21">
        <v>4.8120000000000003</v>
      </c>
      <c r="K21">
        <v>5.681</v>
      </c>
    </row>
    <row r="22" spans="1:11" x14ac:dyDescent="0.45">
      <c r="A22" t="s">
        <v>124</v>
      </c>
      <c r="B22">
        <v>2011</v>
      </c>
      <c r="C22">
        <v>25.29</v>
      </c>
      <c r="D22">
        <v>36.14</v>
      </c>
      <c r="E22">
        <v>3.06</v>
      </c>
      <c r="F22">
        <v>0.02</v>
      </c>
      <c r="G22">
        <v>34.82</v>
      </c>
      <c r="H22">
        <v>-32.24</v>
      </c>
      <c r="I22">
        <v>62.87</v>
      </c>
      <c r="J22">
        <v>4.3890000000000002</v>
      </c>
      <c r="K22">
        <v>5.03</v>
      </c>
    </row>
    <row r="23" spans="1:11" x14ac:dyDescent="0.45">
      <c r="A23" t="s">
        <v>124</v>
      </c>
      <c r="B23">
        <v>2012</v>
      </c>
      <c r="C23">
        <v>25.23</v>
      </c>
      <c r="D23">
        <v>36.64</v>
      </c>
      <c r="E23">
        <v>3.09</v>
      </c>
      <c r="F23">
        <v>0.02</v>
      </c>
      <c r="G23">
        <v>31.55</v>
      </c>
      <c r="H23">
        <v>-33.75</v>
      </c>
      <c r="I23">
        <v>68.12</v>
      </c>
      <c r="J23">
        <v>4.3310000000000004</v>
      </c>
      <c r="K23">
        <v>5.1769999999999996</v>
      </c>
    </row>
    <row r="24" spans="1:11" x14ac:dyDescent="0.45">
      <c r="A24" t="s">
        <v>124</v>
      </c>
      <c r="B24">
        <v>2013</v>
      </c>
      <c r="C24">
        <v>25.08</v>
      </c>
      <c r="D24">
        <v>37.22</v>
      </c>
      <c r="E24">
        <v>3.14</v>
      </c>
      <c r="F24">
        <v>0.01</v>
      </c>
      <c r="G24">
        <v>29.87</v>
      </c>
      <c r="H24">
        <v>-32.270000000000003</v>
      </c>
      <c r="I24">
        <v>68.7</v>
      </c>
      <c r="J24">
        <v>4.2649999999999997</v>
      </c>
      <c r="K24">
        <v>5.2530000000000001</v>
      </c>
    </row>
    <row r="25" spans="1:11" x14ac:dyDescent="0.45">
      <c r="A25" t="s">
        <v>124</v>
      </c>
      <c r="B25">
        <v>2014</v>
      </c>
      <c r="C25">
        <v>24.39</v>
      </c>
      <c r="D25">
        <v>36.18</v>
      </c>
      <c r="E25">
        <v>3.07</v>
      </c>
      <c r="F25">
        <v>0.02</v>
      </c>
      <c r="G25">
        <v>28.53</v>
      </c>
      <c r="H25">
        <v>-34.020000000000003</v>
      </c>
      <c r="I25">
        <v>70.069999999999993</v>
      </c>
      <c r="J25">
        <v>3.964</v>
      </c>
      <c r="K25">
        <v>4.6310000000000002</v>
      </c>
    </row>
    <row r="26" spans="1:11" x14ac:dyDescent="0.45">
      <c r="A26" t="s">
        <v>124</v>
      </c>
      <c r="B26">
        <v>2015</v>
      </c>
      <c r="C26">
        <v>24.04</v>
      </c>
      <c r="D26">
        <v>36.909999999999997</v>
      </c>
      <c r="E26">
        <v>3.14</v>
      </c>
      <c r="F26">
        <v>0.03</v>
      </c>
      <c r="G26">
        <v>34.03</v>
      </c>
      <c r="H26">
        <v>-35.07</v>
      </c>
      <c r="I26">
        <v>66.05</v>
      </c>
      <c r="J26">
        <v>4.3959999999999999</v>
      </c>
      <c r="K26">
        <v>5.141</v>
      </c>
    </row>
    <row r="27" spans="1:11" x14ac:dyDescent="0.45">
      <c r="A27" t="s">
        <v>124</v>
      </c>
      <c r="B27">
        <v>2016</v>
      </c>
      <c r="C27">
        <v>23.63</v>
      </c>
      <c r="D27">
        <v>37.06</v>
      </c>
      <c r="E27">
        <v>3.2</v>
      </c>
      <c r="F27">
        <v>0.04</v>
      </c>
      <c r="G27">
        <v>34.1</v>
      </c>
      <c r="H27">
        <v>-30.17</v>
      </c>
      <c r="I27">
        <v>61.09</v>
      </c>
      <c r="J27">
        <v>4.7640000000000002</v>
      </c>
      <c r="K27">
        <v>5.5330000000000004</v>
      </c>
    </row>
    <row r="28" spans="1:11" x14ac:dyDescent="0.45">
      <c r="A28" t="s">
        <v>124</v>
      </c>
      <c r="B28">
        <v>2017</v>
      </c>
      <c r="C28">
        <v>23.84</v>
      </c>
      <c r="D28">
        <v>37.200000000000003</v>
      </c>
      <c r="E28">
        <v>3.15</v>
      </c>
      <c r="F28">
        <v>0.05</v>
      </c>
      <c r="G28">
        <v>36.5</v>
      </c>
      <c r="H28">
        <v>-30.95</v>
      </c>
      <c r="I28">
        <v>60.14</v>
      </c>
      <c r="J28">
        <v>5.0389999999999997</v>
      </c>
      <c r="K28">
        <v>5.7549999999999999</v>
      </c>
    </row>
    <row r="29" spans="1:11" x14ac:dyDescent="0.45">
      <c r="A29" t="s">
        <v>124</v>
      </c>
      <c r="B29">
        <v>2018</v>
      </c>
      <c r="C29">
        <v>23.14</v>
      </c>
      <c r="D29">
        <v>36.99</v>
      </c>
      <c r="E29">
        <v>3.09</v>
      </c>
      <c r="F29">
        <v>0.08</v>
      </c>
      <c r="G29">
        <v>31.02</v>
      </c>
      <c r="H29">
        <v>-32.61</v>
      </c>
      <c r="I29">
        <v>66.290000000000006</v>
      </c>
      <c r="J29">
        <v>5.069</v>
      </c>
      <c r="K29">
        <v>5.6180000000000003</v>
      </c>
    </row>
    <row r="30" spans="1:11" x14ac:dyDescent="0.45">
      <c r="A30" t="s">
        <v>124</v>
      </c>
      <c r="B30">
        <v>2019</v>
      </c>
      <c r="C30">
        <v>23.1</v>
      </c>
      <c r="D30">
        <v>36.61</v>
      </c>
      <c r="E30">
        <v>3.04</v>
      </c>
      <c r="F30">
        <v>0.11</v>
      </c>
      <c r="G30">
        <v>29.5</v>
      </c>
      <c r="H30">
        <v>-35.76</v>
      </c>
      <c r="I30">
        <v>70.56</v>
      </c>
      <c r="J30">
        <v>5.681</v>
      </c>
      <c r="K30">
        <v>6.1829999999999998</v>
      </c>
    </row>
    <row r="31" spans="1:11" x14ac:dyDescent="0.45">
      <c r="A31" t="s">
        <v>124</v>
      </c>
      <c r="B31">
        <v>2020</v>
      </c>
      <c r="C31">
        <v>22.54</v>
      </c>
      <c r="D31">
        <v>35.92</v>
      </c>
      <c r="E31">
        <v>2.8</v>
      </c>
      <c r="F31">
        <v>0.14000000000000001</v>
      </c>
      <c r="G31">
        <v>26.99</v>
      </c>
      <c r="H31">
        <v>-32.549999999999997</v>
      </c>
      <c r="I31">
        <v>68.5</v>
      </c>
      <c r="J31">
        <v>5.6550000000000002</v>
      </c>
      <c r="K31">
        <v>6.0759999999999996</v>
      </c>
    </row>
    <row r="32" spans="1:11" x14ac:dyDescent="0.45">
      <c r="A32" t="s">
        <v>124</v>
      </c>
      <c r="B32">
        <v>2021</v>
      </c>
      <c r="C32">
        <v>23.73</v>
      </c>
      <c r="D32">
        <v>37.19</v>
      </c>
      <c r="E32">
        <v>2.93</v>
      </c>
      <c r="F32">
        <v>0.22</v>
      </c>
      <c r="G32">
        <v>31.53</v>
      </c>
      <c r="H32">
        <v>-29.12</v>
      </c>
      <c r="I32">
        <v>63.11</v>
      </c>
      <c r="J32">
        <v>6.0819999999999999</v>
      </c>
      <c r="K32">
        <v>6.4169999999999998</v>
      </c>
    </row>
    <row r="33" spans="1:11" x14ac:dyDescent="0.45">
      <c r="A33" t="s">
        <v>124</v>
      </c>
      <c r="B33">
        <v>2022</v>
      </c>
      <c r="C33">
        <v>23.76</v>
      </c>
      <c r="D33">
        <v>36.15</v>
      </c>
      <c r="E33">
        <v>2.98</v>
      </c>
      <c r="F33">
        <v>0.35</v>
      </c>
      <c r="G33">
        <v>33.119999999999997</v>
      </c>
      <c r="H33">
        <v>-29.73</v>
      </c>
      <c r="I33">
        <v>61.73</v>
      </c>
      <c r="J33">
        <v>5.6420000000000003</v>
      </c>
      <c r="K33">
        <v>6.0129999999999999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2026-06-26T11:35:23Z</dcterms:modified>
</cp:coreProperties>
</file>