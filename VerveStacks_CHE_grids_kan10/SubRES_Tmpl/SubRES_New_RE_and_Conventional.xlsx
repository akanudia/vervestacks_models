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bRES_Tmpl\"/>
    </mc:Choice>
  </mc:AlternateContent>
  <xr:revisionPtr revIDLastSave="0" documentId="8_{05489A44-B1A0-4BC5-A1F5-9B3B320A3B3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<sst xmlns="http://schemas.openxmlformats.org/spreadsheetml/2006/main" count="1354" uniqueCount="327">
  <si>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</si>
  <si>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</si>
  <si>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</si>
  <si>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</si>
  <si>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</si>
  <si>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</si>
  <si>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</si>
  <si>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</si>
  <si>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</si>
  <si>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</si>
  <si>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</si>
  <si>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</si>
  <si>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</si>
  <si>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</si>
  <si>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</si>
  <si>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</si>
  <si>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</si>
  <si>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</si>
  <si>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</si>
  <si>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</si>
  <si>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</si>
  <si>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</si>
  <si>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</si>
  <si>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</si>
  <si>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</si>
  <si>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</si>
  <si>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</si>
  <si>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</si>
  <si>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</si>
  <si>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</si>
  <si>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</si>
  <si>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</si>
  <si>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</si>
  <si>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</si>
  <si>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</si>
  <si>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</si>
  <si>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</si>
  <si>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</si>
  <si>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</si>
  <si>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</si>
  <si>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</si>
  <si>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</si>
  <si>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</si>
  <si>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</si>
  <si>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</si>
  <si>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</si>
  <si>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</si>
  <si>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</si>
  <si>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</si>
  <si>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</si>
  <si>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</si>
  <si>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</si>
  <si>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</si>
  <si>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</si>
  <si>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</si>
  <si>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</si>
  <si>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</si>
  <si>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</si>
  <si>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</si>
  <si>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</si>
  <si>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</si>
  <si>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</si>
  <si>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</si>
  <si>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</si>
  <si>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</si>
  <si>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</si>
  <si>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</si>
  <si>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</si>
  <si>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</si>
  <si>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</si>
  <si>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</si>
  <si>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</si>
  <si>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</si>
  <si>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</si>
  <si>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</si>
  <si>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</si>
  <si>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</si>
  <si>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</si>
  <si>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</si>
  <si>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</si>
  <si>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</si>
  <si>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</si>
  <si>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</si>
  <si>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</si>
  <si>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</si>
  <si>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</si>
  <si>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</si>
  <si>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</si>
  <si>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</si>
  <si>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</si>
  <si>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</si>
  <si>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</si>
  <si>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</si>
  <si>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</si>
  <si>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</si>
  <si>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</si>
  <si>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</si>
  <si>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</si>
  <si>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</si>
  <si>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</si>
  <si>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</si>
  <si>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</si>
  <si>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</si>
  <si>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</si>
  <si>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</si>
  <si>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</si>
  <si>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</si>
  <si>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</si>
  <si>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</si>
  <si>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</si>
  <si>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</si>
  <si>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</si>
  <si>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</si>
  <si>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</si>
  <si>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</si>
  <si>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</si>
  <si>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</si>
  <si>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</si>
  <si>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</si>
  <si>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</si>
  <si>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</si>
  <si>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</si>
  <si>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</si>
  <si>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</si>
  <si>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</si>
  <si>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</si>
  <si>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</si>
  <si>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</si>
  <si>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</si>
  <si>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</si>
  <si>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</si>
  <si>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</si>
  <si>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</si>
  <si>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</si>
  <si>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</si>
  <si>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</si>
  <si>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</si>
  <si>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</si>
  <si>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</si>
  <si>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</si>
  <si>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</si>
  <si>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</si>
  <si>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</si>
  <si>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</si>
  <si>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</si>
  <si>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</si>
  <si>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</si>
  <si>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</si>
  <si>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</si>
  <si>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</si>
  <si>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</si>
  <si>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</si>
  <si>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</si>
  <si>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</si>
  <si>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</si>
  <si>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</si>
  <si>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</si>
  <si>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</si>
  <si>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</si>
  <si>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</si>
  <si>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</si>
  <si>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</si>
  <si>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</si>
  <si>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</si>
  <si>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</si>
  <si>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</si>
  <si>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</si>
  <si>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</si>
  <si>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</si>
  <si>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</si>
  <si>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</si>
  <si>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</si>
  <si>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</si>
  <si>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e_spv_CHE_001</t>
  </si>
  <si>
    <t>solar resource in cluster 1</t>
  </si>
  <si>
    <t>annual</t>
  </si>
  <si>
    <t>no</t>
  </si>
  <si>
    <t>e_spv_CHE_002</t>
  </si>
  <si>
    <t>solar resource in cluster 2</t>
  </si>
  <si>
    <t>e_spv_CHE_003</t>
  </si>
  <si>
    <t>solar resource in cluster 3</t>
  </si>
  <si>
    <t>e_spv_CHE_004</t>
  </si>
  <si>
    <t>solar resource in cluster 4</t>
  </si>
  <si>
    <t>e_spv_CHE_005</t>
  </si>
  <si>
    <t>solar resource in cluster 5</t>
  </si>
  <si>
    <t>e_spv_CHE_006</t>
  </si>
  <si>
    <t>solar resource in cluster 6</t>
  </si>
  <si>
    <t>e_spv_CHE_007</t>
  </si>
  <si>
    <t>solar resource in cluster 7</t>
  </si>
  <si>
    <t>e_spv_CHE_008</t>
  </si>
  <si>
    <t>solar resource in cluster 8</t>
  </si>
  <si>
    <t>e_spv_CHE_009</t>
  </si>
  <si>
    <t>solar resource in cluster 9</t>
  </si>
  <si>
    <t>e_spv_CHE_010</t>
  </si>
  <si>
    <t>solar resource in cluster 10</t>
  </si>
  <si>
    <t>~fi_t</t>
  </si>
  <si>
    <t>comm-out</t>
  </si>
  <si>
    <t>cap_bnd</t>
  </si>
  <si>
    <t>af~fx</t>
  </si>
  <si>
    <t>elc_spv_CHE_001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</si>
  <si>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</si>
  <si>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</si>
  <si>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</si>
  <si>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</si>
  <si>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</si>
  <si>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</si>
  <si>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</si>
  <si>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</si>
  <si>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</si>
  <si>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primarycg</t>
  </si>
  <si>
    <t>pre</t>
  </si>
  <si>
    <t>distr_solelc_spv_CHE_002</t>
  </si>
  <si>
    <t>connecting solar to buses in cluster 2</t>
  </si>
  <si>
    <t>NRGI</t>
  </si>
  <si>
    <t>daynite</t>
  </si>
  <si>
    <t>distr_solelc_spv_CHE_007</t>
  </si>
  <si>
    <t>connecting solar to buses in cluster 7</t>
  </si>
  <si>
    <t>distr_solelc_spv_CHE_010</t>
  </si>
  <si>
    <t>connecting solar to buses in cluster 10</t>
  </si>
  <si>
    <t>distr_solelc_spv_CHE_001</t>
  </si>
  <si>
    <t>connecting solar to buses in cluster 1</t>
  </si>
  <si>
    <t>distr_solelc_spv_CHE_003</t>
  </si>
  <si>
    <t>connecting solar to buses in cluster 3</t>
  </si>
  <si>
    <t>distr_solelc_spv_CHE_009</t>
  </si>
  <si>
    <t>connecting solar to buses in cluster 9</t>
  </si>
  <si>
    <t>distr_solelc_spv_CHE_008</t>
  </si>
  <si>
    <t>connecting solar to buses in cluster 8</t>
  </si>
  <si>
    <t>distr_solelc_spv_CHE_006</t>
  </si>
  <si>
    <t>connecting solar to buses in cluster 6</t>
  </si>
  <si>
    <t>distr_solelc_spv_CHE_004</t>
  </si>
  <si>
    <t>connecting solar to buses in cluster 4</t>
  </si>
  <si>
    <t>distr_solelc_spv_CHE_005</t>
  </si>
  <si>
    <t>connecting solar to buses in cluster 5</t>
  </si>
  <si>
    <t>comm-in</t>
  </si>
  <si>
    <t>ncap_cost~USD21_alt</t>
  </si>
  <si>
    <t>e_w391576135-220_CHE,e_w281815404-220_CHE</t>
  </si>
  <si>
    <t>e_CH57-225_CHE,e_w802058337-220_CHE</t>
  </si>
  <si>
    <t>e_w111162936-220_CHE,e_w1105061707-220_CHE</t>
  </si>
  <si>
    <t>e_w281804158-380_CHE,e_w207991759-380_CHE</t>
  </si>
  <si>
    <t>e_w207993342-380_CHE,e_w207991759-380_CHE</t>
  </si>
  <si>
    <t>e_w127004407-380_CHE,e_w50319857-380_CHE</t>
  </si>
  <si>
    <t>e_w802058337-220_CHE,e_CH14-220_CHE,e_w969811258-380_CHE</t>
  </si>
  <si>
    <t>e_w50319857-380_CHE,e_w192677427-220_CHE,e_w455120191-220_CHE</t>
  </si>
  <si>
    <t>e_w207993342-380_CHE,e_r7933294-380_CHE</t>
  </si>
  <si>
    <t>e_w969811258-380_CHE,e_w35002638-220_CHE,e_w207993342-380_CHE</t>
  </si>
  <si>
    <t>distr_wonelc_won_CHE_002</t>
  </si>
  <si>
    <t>connecting wind onshore to buses in cluster 2</t>
  </si>
  <si>
    <t>distr_wonelc_won_CHE_001</t>
  </si>
  <si>
    <t>connecting wind onshore to buses in cluster 1</t>
  </si>
  <si>
    <t>distr_wonelc_won_CHE_003</t>
  </si>
  <si>
    <t>connecting wind onshore to buses in cluster 3</t>
  </si>
  <si>
    <t>distr_wonelc_won_CHE_004</t>
  </si>
  <si>
    <t>connecting wind onshore to buses in cluster 4</t>
  </si>
  <si>
    <t>distr_wonelc_won_CHE_005</t>
  </si>
  <si>
    <t>connecting wind onshore to buses in cluster 5</t>
  </si>
  <si>
    <t>distr_wonelc_won_CHE_006</t>
  </si>
  <si>
    <t>connecting wind onshore to buses in cluster 6</t>
  </si>
  <si>
    <t>elc_won_CHE_002</t>
  </si>
  <si>
    <t>e_w111162936-220_CHE</t>
  </si>
  <si>
    <t>elc_won_CHE_001</t>
  </si>
  <si>
    <t>elc_won_CHE_003</t>
  </si>
  <si>
    <t>e_w1105061707-220_CHE</t>
  </si>
  <si>
    <t>elc_won_CHE_004</t>
  </si>
  <si>
    <t>e_w127004407-380_CHE</t>
  </si>
  <si>
    <t>elc_won_CHE_005</t>
  </si>
  <si>
    <t>e_w50319857-380_CHE</t>
  </si>
  <si>
    <t>elc_won_CHE_006</t>
  </si>
  <si>
    <t>e_won_CHE_001</t>
  </si>
  <si>
    <t>wind resource in cluster 1</t>
  </si>
  <si>
    <t>e_won_CHE_002</t>
  </si>
  <si>
    <t>wind resource in cluster 2</t>
  </si>
  <si>
    <t>e_won_CHE_003</t>
  </si>
  <si>
    <t>wind resource in cluster 3</t>
  </si>
  <si>
    <t>e_won_CHE_004</t>
  </si>
  <si>
    <t>wind resource in cluster 4</t>
  </si>
  <si>
    <t>e_won_CHE_005</t>
  </si>
  <si>
    <t>wind resource in cluster 5</t>
  </si>
  <si>
    <t>e_won_CHE_006</t>
  </si>
  <si>
    <t>wind resource in cluster 6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</si>
  <si>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</si>
  <si>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</si>
  <si>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</si>
  <si>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</si>
  <si>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</si>
  <si>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</si>
  <si>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</si>
  <si>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</si>
  <si>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</si>
  <si>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</si>
  <si>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</si>
  <si>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</si>
  <si>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</si>
  <si>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</si>
  <si>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</si>
  <si>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</si>
  <si>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</si>
  <si>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</si>
  <si>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</si>
  <si>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</si>
  <si>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</si>
  <si>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</si>
  <si>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</si>
  <si>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</si>
  <si>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</si>
  <si>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</si>
  <si>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</si>
  <si>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</si>
  <si>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</si>
  <si>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</si>
  <si>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stepdown_w111162936_CHE_400to220</t>
  </si>
  <si>
    <t>e_w111162936-400_CHE</t>
  </si>
  <si>
    <t>stepup_w111162936_CHE_220to400</t>
  </si>
  <si>
    <t>stepdown_w127004407_CHE_400to380</t>
  </si>
  <si>
    <t>e_w127004407-400_CHE</t>
  </si>
  <si>
    <t>stepup_w127004407_CHE_380to400</t>
  </si>
  <si>
    <t>stepdown_w50319857_CHE_400to380</t>
  </si>
  <si>
    <t>e_w50319857-400_CHE</t>
  </si>
  <si>
    <t>stepup_w50319857_CHE_380to400</t>
  </si>
  <si>
    <t>activityunit</t>
  </si>
  <si>
    <t>capacityunit</t>
  </si>
  <si>
    <t>Transformer: e_w111162936-400_CHE → e_w111162936-220_CHE</t>
  </si>
  <si>
    <t>Transformer: e_w111162936-220_CHE → e_w111162936-400_CHE</t>
  </si>
  <si>
    <t>Transformer: e_w127004407-400_CHE → e_w127004407-380_CHE</t>
  </si>
  <si>
    <t>Transformer: e_w127004407-380_CHE → e_w127004407-400_CHE</t>
  </si>
  <si>
    <t>Transformer: e_w50319857-400_CHE → e_w50319857-380_CHE</t>
  </si>
  <si>
    <t>Transformer: e_w50319857-380_CHE → e_w50319857-400_CHE</t>
  </si>
  <si>
    <t>e_CH16-220_CHE,e_CH18-220_CHE,e_CH3-220_CHE,e_CH3-380_CHE,e_CH4-220_CHE,e_CH4-380_CHE,e_CH42-220_CHE,e_CH43-220_CHE,e_CH44-220_CHE,e_CH46-220_CHE,e_CH47-220_CHE,e_CH48-220_CHE,e_CH49-380_CHE,e_CH5-220_CHE,e_CH5-380_CHE,e_CH52-220_CHE,e_CH54-220_CHE,e_CH56-380_CHE,e_CH58-225_CHE,e_CH59-400_CHE,e_CH6-220_CHE,e_CH6-380_CHE,e_CH61-220_CHE,e_CH61-400_CHE,e_CH62-220_CHE,e_CH67-220_CHE,e_CH67-225_CHE,e_CH69-220_CHE,e_CH7-220_CHE,e_CH70-220_CHE,e_CH74-380_CHE,e_CH76-220_CHE,e_CH76-225_CHE,e_CH78-220_CHE,e_CH8-220_CHE,e_r7933294-380_CHE,e_w109037817-220_CHE,e_w1092884227-220_CHE,e_w127004407-380_CHE,e_w127004407-400_CHE,e_w132373704-220_CHE,e_w177392130-220_CHE,e_w177392130-400_CHE,e_w207991759-380_CHE,e_w211907009-220_CHE,e_w212498548-220_CHE,e_w228003081-220_CHE,e_w238138373-380_CHE,e_w239937062-220_CHE,e_w27107779-220_CHE,e_w27435934-220_CHE,e_w281804158-220_CHE,e_w281804158-380_CHE,e_w35487135-220_CHE,e_w35840165-380_CHE,e_w391576135-220_CHE,e_w391577741-220_CHE,e_w397960460-380_CHE,e_w397960460-400_CHE,e_w44496892-220_CHE,e_w455120191-220_CHE,e_w50319857-220_CHE,e_w50319857-380_CHE,e_w50319857-400_CHE,e_w803903329-220_CHE,e_w803903329-380_CHE,e_w83861269-220_CHE,e_w87281514-220_CHE,e_w98648381-220_CHE,e_w98648381-380_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</si>
</sst>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CH16-220_CHE,e_CH18-220_CHE,e_CH3-220_CHE,e_CH3-380_CHE,e_CH4-220_CHE,e_CH4-380_CHE,e_CH42-220_CHE,e_CH43-220_CHE,e_CH44-220_CHE,e_CH46-220_CHE,e_CH47-220_CHE,e_CH48-220_CHE,e_CH49-380_CHE,e_CH5-220_CHE,e_CH5-380_CHE,e_CH52-220_CHE,e_CH54-220_CHE,e_CH56-380_CHE,e_CH58-225_CHE,e_CH59-400_CHE,e_CH6-220_CHE,e_CH6-380_CHE,e_CH61-220_CHE,e_CH61-400_CHE,e_CH62-220_CHE,e_CH67-220_CHE,e_CH67-225_CHE,e_CH69-220_CHE,e_CH7-220_CHE,e_CH70-220_CHE,e_CH74-380_CHE,e_CH76-220_CHE,e_CH76-225_CHE,e_CH78-220_CHE,e_CH8-220_CHE,e_r7933294-380_CHE,e_w109037817-220_CHE,e_w1092884227-220_CHE,e_w127004407-380_CHE,e_w127004407-400_CHE,e_w132373704-220_CHE,e_w177392130-220_CHE,e_w177392130-400_CHE,e_w207991759-380_CHE,e_w211907009-220_CHE,e_w212498548-220_CHE,e_w228003081-220_CHE,e_w238138373-380_CHE,e_w239937062-220_CHE,e_w27107779-220_CHE,e_w27435934-220_CHE,e_w281804158-220_CHE,e_w281804158-380_CHE,e_w35487135-220_CHE,e_w35840165-380_CHE,e_w391576135-220_CHE,e_w391577741-220_CHE,e_w397960460-380_CHE,e_w397960460-400_CHE,e_w44496892-220_CHE,e_w455120191-220_CHE,e_w50319857-220_CHE,e_w50319857-380_CHE,e_w50319857-400_CHE,e_w803903329-220_CHE,e_w803903329-380_CHE,e_w83861269-220_CHE,e_w87281514-220_CHE,e_w98648381-220_CHE,e_w98648381-380_CHE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CH16-220_CHE,e_CH18-220_CHE,e_CH3-220_CHE,e_CH3-380_CHE,e_CH4-220_CHE,e_CH4-380_CHE,e_CH42-220_CHE,e_CH43-220_CHE,e_CH44-220_CHE,e_CH46-220_CHE,e_CH47-220_CHE,e_CH48-220_CHE,e_CH49-380_CHE,e_CH5-220_CHE,e_CH5-380_CHE,e_CH52-220_CHE,e_CH54-220_CHE,e_CH56-380_CHE,e_CH58-225_CHE,e_CH59-400_CHE,e_CH6-220_CHE,e_CH6-380_CHE,e_CH61-220_CHE,e_CH61-400_CHE,e_CH62-220_CHE,e_CH67-220_CHE,e_CH67-225_CHE,e_CH69-220_CHE,e_CH7-220_CHE,e_CH70-220_CHE,e_CH74-380_CHE,e_CH76-220_CHE,e_CH76-225_CHE,e_CH78-220_CHE,e_CH8-220_CHE,e_r7933294-380_CHE,e_w109037817-220_CHE,e_w1092884227-220_CHE,e_w127004407-380_CHE,e_w127004407-400_CHE,e_w132373704-220_CHE,e_w177392130-220_CHE,e_w177392130-400_CHE,e_w207991759-380_CHE,e_w211907009-220_CHE,e_w212498548-220_CHE,e_w228003081-220_CHE,e_w238138373-380_CHE,e_w239937062-220_CHE,e_w27107779-220_CHE,e_w27435934-220_CHE,e_w281804158-220_CHE,e_w281804158-380_CHE,e_w35487135-220_CHE,e_w35840165-380_CHE,e_w391576135-220_CHE,e_w391577741-220_CHE,e_w397960460-380_CHE,e_w397960460-400_CHE,e_w44496892-220_CHE,e_w455120191-220_CHE,e_w50319857-220_CHE,e_w50319857-380_CHE,e_w50319857-400_CHE,e_w803903329-220_CHE,e_w803903329-380_CHE,e_w83861269-220_CHE,e_w87281514-220_CHE,e_w98648381-220_CHE,e_w98648381-380_CHE</v>
      </c>
      <c r="P28">
        <v>0</v>
      </c>
      <c r="Q28">
        <v>3</v>
      </c>
      <c r="R28">
        <v>1000</v>
      </c>
      <c r="S28">
        <v>50</v>
      </c>
      <c r="V28" s="147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5B45-947C-4635-B44A-C603519D9402}">
  <dimension ref="B9:AP20"/>
  <sheetViews>
    <sheetView workbookViewId="0"/>
  </sheetViews>
  <sheetFormatPr defaultRowHeight="14.25"/>
  <sheetData>
    <row r="9" spans="2:42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0.26918113689664791</v>
      </c>
      <c r="M11">
        <v>0.17641157701724411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200</v>
      </c>
      <c r="Z11" t="s">
        <v>235</v>
      </c>
      <c r="AA11">
        <v>0.99967273321404648</v>
      </c>
      <c r="AB11">
        <v>5.9998910758152055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257</v>
      </c>
      <c r="AN11" t="s">
        <v>258</v>
      </c>
      <c r="AO11">
        <v>0.99742159695464216</v>
      </c>
      <c r="AP11">
        <v>47.270722498226846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0.4911602113856503</v>
      </c>
      <c r="M12">
        <v>0.17970864788847929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205</v>
      </c>
      <c r="Z12" t="s">
        <v>236</v>
      </c>
      <c r="AA12">
        <v>0.99879912800822523</v>
      </c>
      <c r="AB12">
        <v>22.015986515870722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259</v>
      </c>
      <c r="AN12" t="s">
        <v>258</v>
      </c>
      <c r="AO12">
        <v>0.99876232849079838</v>
      </c>
      <c r="AP12">
        <v>22.690644335363611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6.671224276168182E-3</v>
      </c>
      <c r="M13">
        <v>0.19431246807888031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208</v>
      </c>
      <c r="Z13" t="s">
        <v>237</v>
      </c>
      <c r="AA13">
        <v>0.99831932867232043</v>
      </c>
      <c r="AB13">
        <v>30.812307674124739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260</v>
      </c>
      <c r="AN13" t="s">
        <v>261</v>
      </c>
      <c r="AO13">
        <v>0.9984322870762935</v>
      </c>
      <c r="AP13">
        <v>28.741403601284926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0.29338279324634753</v>
      </c>
      <c r="M14">
        <v>0.1761744492725224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199</v>
      </c>
      <c r="Z14" t="s">
        <v>238</v>
      </c>
      <c r="AA14">
        <v>0.99867675147437585</v>
      </c>
      <c r="AB14">
        <v>24.259556303110259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262</v>
      </c>
      <c r="AN14" t="s">
        <v>263</v>
      </c>
      <c r="AO14">
        <v>0.99802067742128542</v>
      </c>
      <c r="AP14">
        <v>36.287580609767886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3.5241392261836175</v>
      </c>
      <c r="M15">
        <v>0.16787487371197901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201</v>
      </c>
      <c r="Z15" t="s">
        <v>239</v>
      </c>
      <c r="AA15">
        <v>0.99881238546482076</v>
      </c>
      <c r="AB15">
        <v>21.772933144952596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264</v>
      </c>
      <c r="AN15" t="s">
        <v>265</v>
      </c>
      <c r="AO15">
        <v>0.99988874723160792</v>
      </c>
      <c r="AP15">
        <v>2.0396340871881233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6.5319425460024529</v>
      </c>
      <c r="M16">
        <v>0.16007666298440651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207</v>
      </c>
      <c r="Z16" t="s">
        <v>240</v>
      </c>
      <c r="AA16">
        <v>0.99881730062236129</v>
      </c>
      <c r="AB16">
        <v>21.682821923375744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266</v>
      </c>
      <c r="AN16" t="s">
        <v>265</v>
      </c>
      <c r="AO16">
        <v>0.99967744185624652</v>
      </c>
      <c r="AP16">
        <v>5.913565968813888</v>
      </c>
    </row>
    <row r="17" spans="2:28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1.6118438873481176</v>
      </c>
      <c r="M17">
        <v>0.17663692810612591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206</v>
      </c>
      <c r="Z17" t="s">
        <v>241</v>
      </c>
      <c r="AA17">
        <v>0.99919025260762739</v>
      </c>
      <c r="AB17">
        <v>14.845368860164312</v>
      </c>
    </row>
    <row r="18" spans="2:28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0.28562060987027216</v>
      </c>
      <c r="M18">
        <v>0.191313369416966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204</v>
      </c>
      <c r="Z18" t="s">
        <v>242</v>
      </c>
      <c r="AA18">
        <v>0.99954624436631467</v>
      </c>
      <c r="AB18">
        <v>8.3188532842312952</v>
      </c>
    </row>
    <row r="19" spans="2:28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4.2448627882338394</v>
      </c>
      <c r="M19">
        <v>0.15554015486129311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202</v>
      </c>
      <c r="Z19" t="s">
        <v>243</v>
      </c>
      <c r="AA19">
        <v>0.9995648826853889</v>
      </c>
      <c r="AB19">
        <v>7.9771507678696141</v>
      </c>
    </row>
    <row r="20" spans="2:28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7.4239610565802305</v>
      </c>
      <c r="M20">
        <v>0.16655525330102719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203</v>
      </c>
      <c r="Z20" t="s">
        <v>244</v>
      </c>
      <c r="AA20">
        <v>0.99947609572561691</v>
      </c>
      <c r="AB20">
        <v>9.6049116970243134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5ECA-72ED-4AED-B4F3-6350F26B6964}">
  <dimension ref="B9:M16"/>
  <sheetViews>
    <sheetView workbookViewId="0"/>
  </sheetViews>
  <sheetFormatPr defaultRowHeight="14.25"/>
  <sheetData>
    <row r="9" spans="2:13">
      <c r="B9" t="s">
        <v>164</v>
      </c>
      <c r="J9" t="s">
        <v>195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</row>
    <row r="11" spans="2:13">
      <c r="B11" t="s">
        <v>172</v>
      </c>
      <c r="C11" t="s">
        <v>267</v>
      </c>
      <c r="D11" t="s">
        <v>268</v>
      </c>
      <c r="E11" t="s">
        <v>10</v>
      </c>
      <c r="F11" t="s">
        <v>21</v>
      </c>
      <c r="G11" t="s">
        <v>175</v>
      </c>
      <c r="H11" t="s">
        <v>176</v>
      </c>
      <c r="J11" t="s">
        <v>267</v>
      </c>
      <c r="K11" t="s">
        <v>259</v>
      </c>
      <c r="L11">
        <v>5.4484134852470127</v>
      </c>
      <c r="M11">
        <v>9.4605520907724894E-2</v>
      </c>
    </row>
    <row r="12" spans="2:13">
      <c r="B12" t="s">
        <v>172</v>
      </c>
      <c r="C12" t="s">
        <v>269</v>
      </c>
      <c r="D12" t="s">
        <v>270</v>
      </c>
      <c r="E12" t="s">
        <v>10</v>
      </c>
      <c r="F12" t="s">
        <v>21</v>
      </c>
      <c r="G12" t="s">
        <v>175</v>
      </c>
      <c r="H12" t="s">
        <v>176</v>
      </c>
      <c r="J12" t="s">
        <v>269</v>
      </c>
      <c r="K12" t="s">
        <v>257</v>
      </c>
      <c r="L12">
        <v>5.5160750395968261</v>
      </c>
      <c r="M12">
        <v>0.18337776623437799</v>
      </c>
    </row>
    <row r="13" spans="2:13">
      <c r="B13" t="s">
        <v>172</v>
      </c>
      <c r="C13" t="s">
        <v>271</v>
      </c>
      <c r="D13" t="s">
        <v>272</v>
      </c>
      <c r="E13" t="s">
        <v>10</v>
      </c>
      <c r="F13" t="s">
        <v>21</v>
      </c>
      <c r="G13" t="s">
        <v>175</v>
      </c>
      <c r="H13" t="s">
        <v>176</v>
      </c>
      <c r="J13" t="s">
        <v>271</v>
      </c>
      <c r="K13" t="s">
        <v>260</v>
      </c>
      <c r="L13">
        <v>4.8810223774085832</v>
      </c>
      <c r="M13">
        <v>0.1090484980957523</v>
      </c>
    </row>
    <row r="14" spans="2:13">
      <c r="B14" t="s">
        <v>172</v>
      </c>
      <c r="C14" t="s">
        <v>273</v>
      </c>
      <c r="D14" t="s">
        <v>274</v>
      </c>
      <c r="E14" t="s">
        <v>10</v>
      </c>
      <c r="F14" t="s">
        <v>21</v>
      </c>
      <c r="G14" t="s">
        <v>175</v>
      </c>
      <c r="H14" t="s">
        <v>176</v>
      </c>
      <c r="J14" t="s">
        <v>273</v>
      </c>
      <c r="K14" t="s">
        <v>262</v>
      </c>
      <c r="L14">
        <v>5.2347138388739625</v>
      </c>
      <c r="M14">
        <v>0.15124373583078479</v>
      </c>
    </row>
    <row r="15" spans="2:13">
      <c r="B15" t="s">
        <v>172</v>
      </c>
      <c r="C15" t="s">
        <v>275</v>
      </c>
      <c r="D15" t="s">
        <v>276</v>
      </c>
      <c r="E15" t="s">
        <v>10</v>
      </c>
      <c r="F15" t="s">
        <v>21</v>
      </c>
      <c r="G15" t="s">
        <v>175</v>
      </c>
      <c r="H15" t="s">
        <v>176</v>
      </c>
      <c r="J15" t="s">
        <v>275</v>
      </c>
      <c r="K15" t="s">
        <v>264</v>
      </c>
      <c r="L15">
        <v>4.5427400681867214</v>
      </c>
      <c r="M15">
        <v>9.1718896536609501E-2</v>
      </c>
    </row>
    <row r="16" spans="2:13">
      <c r="B16" t="s">
        <v>172</v>
      </c>
      <c r="C16" t="s">
        <v>277</v>
      </c>
      <c r="D16" t="s">
        <v>278</v>
      </c>
      <c r="E16" t="s">
        <v>10</v>
      </c>
      <c r="F16" t="s">
        <v>21</v>
      </c>
      <c r="G16" t="s">
        <v>175</v>
      </c>
      <c r="H16" t="s">
        <v>176</v>
      </c>
      <c r="J16" t="s">
        <v>277</v>
      </c>
      <c r="K16" t="s">
        <v>266</v>
      </c>
      <c r="L16">
        <v>5.7580877580207588</v>
      </c>
      <c r="M16">
        <v>8.4808315126564907E-2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36BC-7F6A-46AF-8D4D-D1533FF1543F}">
  <dimension ref="B9:S128"/>
  <sheetViews>
    <sheetView workbookViewId="0"/>
  </sheetViews>
  <sheetFormatPr defaultRowHeight="14.25"/>
  <sheetData>
    <row r="9" spans="2:19">
      <c r="B9" t="s">
        <v>195</v>
      </c>
      <c r="M9" t="s">
        <v>164</v>
      </c>
    </row>
    <row r="10" spans="2:19">
      <c r="B10" t="s">
        <v>166</v>
      </c>
      <c r="C10" t="s">
        <v>233</v>
      </c>
      <c r="D10" t="s">
        <v>196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279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280</v>
      </c>
      <c r="M11" t="s">
        <v>172</v>
      </c>
      <c r="N11" t="s">
        <v>279</v>
      </c>
      <c r="P11" t="s">
        <v>10</v>
      </c>
      <c r="Q11" t="s">
        <v>21</v>
      </c>
      <c r="R11" t="s">
        <v>214</v>
      </c>
      <c r="S11" t="s">
        <v>307</v>
      </c>
    </row>
    <row r="12" spans="2:19">
      <c r="B12" t="s">
        <v>279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281</v>
      </c>
      <c r="M12" t="s">
        <v>172</v>
      </c>
      <c r="N12" t="s">
        <v>285</v>
      </c>
      <c r="P12" t="s">
        <v>10</v>
      </c>
      <c r="Q12" t="s">
        <v>21</v>
      </c>
      <c r="R12" t="s">
        <v>214</v>
      </c>
      <c r="S12" t="s">
        <v>307</v>
      </c>
    </row>
    <row r="13" spans="2:19">
      <c r="B13" t="s">
        <v>279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282</v>
      </c>
      <c r="M13" t="s">
        <v>308</v>
      </c>
      <c r="N13" t="s">
        <v>286</v>
      </c>
      <c r="P13" t="s">
        <v>10</v>
      </c>
      <c r="Q13" t="s">
        <v>21</v>
      </c>
      <c r="R13" t="s">
        <v>214</v>
      </c>
      <c r="S13" t="s">
        <v>307</v>
      </c>
    </row>
    <row r="14" spans="2:19">
      <c r="B14" t="s">
        <v>279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289</v>
      </c>
      <c r="P14" t="s">
        <v>10</v>
      </c>
      <c r="Q14" t="s">
        <v>21</v>
      </c>
      <c r="R14" t="s">
        <v>214</v>
      </c>
      <c r="S14" t="s">
        <v>307</v>
      </c>
    </row>
    <row r="15" spans="2:19">
      <c r="B15" t="s">
        <v>279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283</v>
      </c>
      <c r="M15" t="s">
        <v>172</v>
      </c>
      <c r="N15" t="s">
        <v>290</v>
      </c>
      <c r="P15" t="s">
        <v>10</v>
      </c>
      <c r="Q15" t="s">
        <v>21</v>
      </c>
      <c r="R15" t="s">
        <v>214</v>
      </c>
      <c r="S15" t="s">
        <v>307</v>
      </c>
    </row>
    <row r="16" spans="2:19">
      <c r="B16" t="s">
        <v>279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284</v>
      </c>
      <c r="M16" t="s">
        <v>172</v>
      </c>
      <c r="N16" t="s">
        <v>292</v>
      </c>
      <c r="P16" t="s">
        <v>10</v>
      </c>
      <c r="Q16" t="s">
        <v>21</v>
      </c>
      <c r="R16" t="s">
        <v>214</v>
      </c>
      <c r="S16" t="s">
        <v>307</v>
      </c>
    </row>
    <row r="17" spans="2:19">
      <c r="B17" t="s">
        <v>285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280</v>
      </c>
      <c r="M17" t="s">
        <v>172</v>
      </c>
      <c r="N17" t="s">
        <v>293</v>
      </c>
      <c r="P17" t="s">
        <v>10</v>
      </c>
      <c r="Q17" t="s">
        <v>21</v>
      </c>
      <c r="R17" t="s">
        <v>214</v>
      </c>
      <c r="S17" t="s">
        <v>307</v>
      </c>
    </row>
    <row r="18" spans="2:19">
      <c r="B18" t="s">
        <v>285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281</v>
      </c>
      <c r="M18" t="s">
        <v>172</v>
      </c>
      <c r="N18" t="s">
        <v>294</v>
      </c>
      <c r="P18" t="s">
        <v>10</v>
      </c>
      <c r="Q18" t="s">
        <v>21</v>
      </c>
      <c r="R18" t="s">
        <v>214</v>
      </c>
      <c r="S18" t="s">
        <v>307</v>
      </c>
    </row>
    <row r="19" spans="2:19">
      <c r="B19" t="s">
        <v>285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282</v>
      </c>
      <c r="M19" t="s">
        <v>172</v>
      </c>
      <c r="N19" t="s">
        <v>295</v>
      </c>
      <c r="P19" t="s">
        <v>10</v>
      </c>
      <c r="Q19" t="s">
        <v>21</v>
      </c>
      <c r="R19" t="s">
        <v>214</v>
      </c>
      <c r="S19" t="s">
        <v>307</v>
      </c>
    </row>
    <row r="20" spans="2:19">
      <c r="B20" t="s">
        <v>285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296</v>
      </c>
      <c r="P20" t="s">
        <v>10</v>
      </c>
      <c r="Q20" t="s">
        <v>21</v>
      </c>
      <c r="R20" t="s">
        <v>214</v>
      </c>
      <c r="S20" t="s">
        <v>307</v>
      </c>
    </row>
    <row r="21" spans="2:19">
      <c r="B21" t="s">
        <v>285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283</v>
      </c>
      <c r="M21" t="s">
        <v>172</v>
      </c>
      <c r="N21" t="s">
        <v>297</v>
      </c>
      <c r="P21" t="s">
        <v>10</v>
      </c>
      <c r="Q21" t="s">
        <v>21</v>
      </c>
      <c r="R21" t="s">
        <v>214</v>
      </c>
      <c r="S21" t="s">
        <v>307</v>
      </c>
    </row>
    <row r="22" spans="2:19">
      <c r="B22" t="s">
        <v>285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284</v>
      </c>
      <c r="M22" t="s">
        <v>172</v>
      </c>
      <c r="N22" t="s">
        <v>298</v>
      </c>
      <c r="P22" t="s">
        <v>10</v>
      </c>
      <c r="Q22" t="s">
        <v>21</v>
      </c>
      <c r="R22" t="s">
        <v>214</v>
      </c>
      <c r="S22" t="s">
        <v>307</v>
      </c>
    </row>
    <row r="23" spans="2:19">
      <c r="B23" t="s">
        <v>286</v>
      </c>
      <c r="C23" t="s">
        <v>33</v>
      </c>
      <c r="D23" t="s">
        <v>287</v>
      </c>
      <c r="E23">
        <v>1300</v>
      </c>
      <c r="F23">
        <v>1300</v>
      </c>
      <c r="J23">
        <v>1300</v>
      </c>
      <c r="K23" t="s">
        <v>280</v>
      </c>
      <c r="M23" t="s">
        <v>172</v>
      </c>
      <c r="N23" t="s">
        <v>299</v>
      </c>
      <c r="P23" t="s">
        <v>10</v>
      </c>
      <c r="Q23" t="s">
        <v>21</v>
      </c>
      <c r="R23" t="s">
        <v>214</v>
      </c>
      <c r="S23" t="s">
        <v>307</v>
      </c>
    </row>
    <row r="24" spans="2:19">
      <c r="B24" t="s">
        <v>286</v>
      </c>
      <c r="C24" t="s">
        <v>33</v>
      </c>
      <c r="D24" t="s">
        <v>287</v>
      </c>
      <c r="E24">
        <v>40</v>
      </c>
      <c r="F24">
        <v>40</v>
      </c>
      <c r="J24">
        <v>40</v>
      </c>
      <c r="K24" t="s">
        <v>281</v>
      </c>
      <c r="M24" t="s">
        <v>172</v>
      </c>
      <c r="N24" t="s">
        <v>300</v>
      </c>
      <c r="P24" t="s">
        <v>10</v>
      </c>
      <c r="Q24" t="s">
        <v>21</v>
      </c>
      <c r="R24" t="s">
        <v>214</v>
      </c>
      <c r="S24" t="s">
        <v>307</v>
      </c>
    </row>
    <row r="25" spans="2:19">
      <c r="B25" t="s">
        <v>286</v>
      </c>
      <c r="C25" t="s">
        <v>33</v>
      </c>
      <c r="D25" t="s">
        <v>287</v>
      </c>
      <c r="E25">
        <v>0.69399999999999995</v>
      </c>
      <c r="F25">
        <v>0.69399999999999995</v>
      </c>
      <c r="J25">
        <v>0.69399999999999995</v>
      </c>
      <c r="K25" t="s">
        <v>282</v>
      </c>
      <c r="M25" t="s">
        <v>172</v>
      </c>
      <c r="N25" t="s">
        <v>301</v>
      </c>
      <c r="P25" t="s">
        <v>10</v>
      </c>
      <c r="Q25" t="s">
        <v>21</v>
      </c>
      <c r="R25" t="s">
        <v>214</v>
      </c>
      <c r="S25" t="s">
        <v>307</v>
      </c>
    </row>
    <row r="26" spans="2:19">
      <c r="B26" t="s">
        <v>286</v>
      </c>
      <c r="C26" t="s">
        <v>33</v>
      </c>
      <c r="D26" t="s">
        <v>287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303</v>
      </c>
      <c r="P26" t="s">
        <v>10</v>
      </c>
      <c r="Q26" t="s">
        <v>21</v>
      </c>
      <c r="R26" t="s">
        <v>214</v>
      </c>
      <c r="S26" t="s">
        <v>307</v>
      </c>
    </row>
    <row r="27" spans="2:19">
      <c r="B27" t="s">
        <v>286</v>
      </c>
      <c r="C27" t="s">
        <v>33</v>
      </c>
      <c r="D27" t="s">
        <v>287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283</v>
      </c>
      <c r="M27" t="s">
        <v>308</v>
      </c>
      <c r="N27" t="s">
        <v>304</v>
      </c>
      <c r="P27" t="s">
        <v>10</v>
      </c>
      <c r="Q27" t="s">
        <v>21</v>
      </c>
      <c r="R27" t="s">
        <v>214</v>
      </c>
      <c r="S27" t="s">
        <v>307</v>
      </c>
    </row>
    <row r="28" spans="2:19">
      <c r="B28" t="s">
        <v>286</v>
      </c>
      <c r="C28" t="s">
        <v>33</v>
      </c>
      <c r="D28" t="s">
        <v>287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284</v>
      </c>
      <c r="M28" t="s">
        <v>172</v>
      </c>
      <c r="N28" t="s">
        <v>305</v>
      </c>
      <c r="P28" t="s">
        <v>10</v>
      </c>
      <c r="Q28" t="s">
        <v>21</v>
      </c>
      <c r="R28" t="s">
        <v>214</v>
      </c>
      <c r="S28" t="s">
        <v>307</v>
      </c>
    </row>
    <row r="29" spans="2:19">
      <c r="B29" t="s">
        <v>286</v>
      </c>
      <c r="C29" t="s">
        <v>33</v>
      </c>
      <c r="D29" t="s">
        <v>287</v>
      </c>
      <c r="E29">
        <v>2.2797000000000001</v>
      </c>
      <c r="F29">
        <v>2.2797000000000001</v>
      </c>
      <c r="G29">
        <v>2.2797000000000001</v>
      </c>
      <c r="H29">
        <v>2.2797000000000001</v>
      </c>
      <c r="I29">
        <v>2.2797000000000001</v>
      </c>
      <c r="J29">
        <v>2.2797000000000001</v>
      </c>
      <c r="K29" t="s">
        <v>288</v>
      </c>
      <c r="M29" t="s">
        <v>172</v>
      </c>
      <c r="N29" t="s">
        <v>306</v>
      </c>
      <c r="P29" t="s">
        <v>10</v>
      </c>
      <c r="Q29" t="s">
        <v>21</v>
      </c>
      <c r="R29" t="s">
        <v>214</v>
      </c>
      <c r="S29" t="s">
        <v>307</v>
      </c>
    </row>
    <row r="30" spans="2:19">
      <c r="B30" t="s">
        <v>289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280</v>
      </c>
    </row>
    <row r="31" spans="2:19">
      <c r="B31" t="s">
        <v>289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281</v>
      </c>
    </row>
    <row r="32" spans="2:19">
      <c r="B32" t="s">
        <v>289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282</v>
      </c>
    </row>
    <row r="33" spans="2:11">
      <c r="B33" t="s">
        <v>289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289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283</v>
      </c>
    </row>
    <row r="35" spans="2:11">
      <c r="B35" t="s">
        <v>289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284</v>
      </c>
    </row>
    <row r="36" spans="2:11">
      <c r="B36" t="s">
        <v>290</v>
      </c>
      <c r="C36" t="s">
        <v>33</v>
      </c>
      <c r="D36" t="s">
        <v>291</v>
      </c>
      <c r="E36">
        <v>3100</v>
      </c>
      <c r="F36">
        <v>3100</v>
      </c>
      <c r="J36">
        <v>2500</v>
      </c>
      <c r="K36" t="s">
        <v>280</v>
      </c>
    </row>
    <row r="37" spans="2:11">
      <c r="B37" t="s">
        <v>290</v>
      </c>
      <c r="C37" t="s">
        <v>33</v>
      </c>
      <c r="D37" t="s">
        <v>291</v>
      </c>
      <c r="E37">
        <v>80</v>
      </c>
      <c r="F37">
        <v>75</v>
      </c>
      <c r="J37">
        <v>60</v>
      </c>
      <c r="K37" t="s">
        <v>281</v>
      </c>
    </row>
    <row r="38" spans="2:11">
      <c r="B38" t="s">
        <v>290</v>
      </c>
      <c r="C38" t="s">
        <v>33</v>
      </c>
      <c r="D38" t="s">
        <v>291</v>
      </c>
      <c r="E38">
        <v>1.35</v>
      </c>
      <c r="F38">
        <v>1.2</v>
      </c>
      <c r="J38">
        <v>0.98899999999999999</v>
      </c>
      <c r="K38" t="s">
        <v>282</v>
      </c>
    </row>
    <row r="39" spans="2:11">
      <c r="B39" t="s">
        <v>290</v>
      </c>
      <c r="C39" t="s">
        <v>33</v>
      </c>
      <c r="D39" t="s">
        <v>291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290</v>
      </c>
      <c r="C40" t="s">
        <v>33</v>
      </c>
      <c r="D40" t="s">
        <v>291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283</v>
      </c>
    </row>
    <row r="41" spans="2:11">
      <c r="B41" t="s">
        <v>290</v>
      </c>
      <c r="C41" t="s">
        <v>33</v>
      </c>
      <c r="D41" t="s">
        <v>291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284</v>
      </c>
    </row>
    <row r="42" spans="2:11">
      <c r="B42" t="s">
        <v>292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280</v>
      </c>
    </row>
    <row r="43" spans="2:11">
      <c r="B43" t="s">
        <v>292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281</v>
      </c>
    </row>
    <row r="44" spans="2:11">
      <c r="B44" t="s">
        <v>292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282</v>
      </c>
    </row>
    <row r="45" spans="2:11">
      <c r="B45" t="s">
        <v>292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292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283</v>
      </c>
    </row>
    <row r="47" spans="2:11">
      <c r="B47" t="s">
        <v>292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284</v>
      </c>
    </row>
    <row r="48" spans="2:11">
      <c r="B48" t="s">
        <v>293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280</v>
      </c>
    </row>
    <row r="49" spans="2:11">
      <c r="B49" t="s">
        <v>293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281</v>
      </c>
    </row>
    <row r="50" spans="2:11">
      <c r="B50" t="s">
        <v>293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282</v>
      </c>
    </row>
    <row r="51" spans="2:11">
      <c r="B51" t="s">
        <v>293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293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283</v>
      </c>
    </row>
    <row r="53" spans="2:11">
      <c r="B53" t="s">
        <v>293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284</v>
      </c>
    </row>
    <row r="54" spans="2:11">
      <c r="B54" t="s">
        <v>294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280</v>
      </c>
    </row>
    <row r="55" spans="2:11">
      <c r="B55" t="s">
        <v>294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281</v>
      </c>
    </row>
    <row r="56" spans="2:11">
      <c r="B56" t="s">
        <v>294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282</v>
      </c>
    </row>
    <row r="57" spans="2:11">
      <c r="B57" t="s">
        <v>294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294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283</v>
      </c>
    </row>
    <row r="59" spans="2:11">
      <c r="B59" t="s">
        <v>294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284</v>
      </c>
    </row>
    <row r="60" spans="2:11">
      <c r="B60" t="s">
        <v>295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280</v>
      </c>
    </row>
    <row r="61" spans="2:11">
      <c r="B61" t="s">
        <v>295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281</v>
      </c>
    </row>
    <row r="62" spans="2:11">
      <c r="B62" t="s">
        <v>295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295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283</v>
      </c>
    </row>
    <row r="64" spans="2:11">
      <c r="B64" t="s">
        <v>295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284</v>
      </c>
    </row>
    <row r="65" spans="2:11">
      <c r="B65" t="s">
        <v>296</v>
      </c>
      <c r="C65" t="s">
        <v>32</v>
      </c>
      <c r="D65" t="s">
        <v>291</v>
      </c>
      <c r="E65">
        <v>5500</v>
      </c>
      <c r="F65">
        <v>5500</v>
      </c>
      <c r="J65">
        <v>4500</v>
      </c>
      <c r="K65" t="s">
        <v>280</v>
      </c>
    </row>
    <row r="66" spans="2:11">
      <c r="B66" t="s">
        <v>296</v>
      </c>
      <c r="C66" t="s">
        <v>32</v>
      </c>
      <c r="D66" t="s">
        <v>291</v>
      </c>
      <c r="E66">
        <v>165</v>
      </c>
      <c r="F66">
        <v>165</v>
      </c>
      <c r="J66">
        <v>135</v>
      </c>
      <c r="K66" t="s">
        <v>281</v>
      </c>
    </row>
    <row r="67" spans="2:11">
      <c r="B67" t="s">
        <v>296</v>
      </c>
      <c r="C67" t="s">
        <v>32</v>
      </c>
      <c r="D67" t="s">
        <v>291</v>
      </c>
      <c r="E67">
        <v>4.4779999999999998</v>
      </c>
      <c r="F67">
        <v>4.1529999999999996</v>
      </c>
      <c r="J67">
        <v>3.7309999999999999</v>
      </c>
      <c r="K67" t="s">
        <v>282</v>
      </c>
    </row>
    <row r="68" spans="2:11">
      <c r="B68" t="s">
        <v>296</v>
      </c>
      <c r="C68" t="s">
        <v>32</v>
      </c>
      <c r="D68" t="s">
        <v>291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296</v>
      </c>
      <c r="C69" t="s">
        <v>32</v>
      </c>
      <c r="D69" t="s">
        <v>291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283</v>
      </c>
    </row>
    <row r="70" spans="2:11">
      <c r="B70" t="s">
        <v>296</v>
      </c>
      <c r="C70" t="s">
        <v>32</v>
      </c>
      <c r="D70" t="s">
        <v>291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284</v>
      </c>
    </row>
    <row r="71" spans="2:11">
      <c r="B71" t="s">
        <v>297</v>
      </c>
      <c r="C71" t="s">
        <v>32</v>
      </c>
      <c r="D71" t="s">
        <v>291</v>
      </c>
      <c r="E71">
        <v>5850</v>
      </c>
      <c r="F71">
        <v>5700</v>
      </c>
      <c r="J71">
        <v>5150</v>
      </c>
      <c r="K71" t="s">
        <v>280</v>
      </c>
    </row>
    <row r="72" spans="2:11">
      <c r="B72" t="s">
        <v>297</v>
      </c>
      <c r="C72" t="s">
        <v>32</v>
      </c>
      <c r="D72" t="s">
        <v>291</v>
      </c>
      <c r="E72">
        <v>205</v>
      </c>
      <c r="F72">
        <v>200</v>
      </c>
      <c r="J72">
        <v>180</v>
      </c>
      <c r="K72" t="s">
        <v>281</v>
      </c>
    </row>
    <row r="73" spans="2:11">
      <c r="B73" t="s">
        <v>297</v>
      </c>
      <c r="C73" t="s">
        <v>32</v>
      </c>
      <c r="D73" t="s">
        <v>291</v>
      </c>
      <c r="E73">
        <v>4.5830000000000002</v>
      </c>
      <c r="F73">
        <v>4.5830000000000002</v>
      </c>
      <c r="J73">
        <v>4.5830000000000002</v>
      </c>
      <c r="K73" t="s">
        <v>282</v>
      </c>
    </row>
    <row r="74" spans="2:11">
      <c r="B74" t="s">
        <v>297</v>
      </c>
      <c r="C74" t="s">
        <v>32</v>
      </c>
      <c r="D74" t="s">
        <v>291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297</v>
      </c>
      <c r="C75" t="s">
        <v>32</v>
      </c>
      <c r="D75" t="s">
        <v>291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283</v>
      </c>
    </row>
    <row r="76" spans="2:11">
      <c r="B76" t="s">
        <v>297</v>
      </c>
      <c r="C76" t="s">
        <v>32</v>
      </c>
      <c r="D76" t="s">
        <v>291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284</v>
      </c>
    </row>
    <row r="77" spans="2:11">
      <c r="B77" t="s">
        <v>298</v>
      </c>
      <c r="C77" t="s">
        <v>32</v>
      </c>
      <c r="D77" t="s">
        <v>291</v>
      </c>
      <c r="E77">
        <v>5700</v>
      </c>
      <c r="F77">
        <v>5700</v>
      </c>
      <c r="J77">
        <v>5150</v>
      </c>
      <c r="K77" t="s">
        <v>280</v>
      </c>
    </row>
    <row r="78" spans="2:11">
      <c r="B78" t="s">
        <v>298</v>
      </c>
      <c r="C78" t="s">
        <v>32</v>
      </c>
      <c r="D78" t="s">
        <v>291</v>
      </c>
      <c r="E78">
        <v>170</v>
      </c>
      <c r="F78">
        <v>170</v>
      </c>
      <c r="J78">
        <v>155</v>
      </c>
      <c r="K78" t="s">
        <v>281</v>
      </c>
    </row>
    <row r="79" spans="2:11">
      <c r="B79" t="s">
        <v>298</v>
      </c>
      <c r="C79" t="s">
        <v>32</v>
      </c>
      <c r="D79" t="s">
        <v>291</v>
      </c>
      <c r="E79">
        <v>4.306</v>
      </c>
      <c r="F79">
        <v>4.306</v>
      </c>
      <c r="J79">
        <v>4.306</v>
      </c>
      <c r="K79" t="s">
        <v>282</v>
      </c>
    </row>
    <row r="80" spans="2:11">
      <c r="B80" t="s">
        <v>298</v>
      </c>
      <c r="C80" t="s">
        <v>32</v>
      </c>
      <c r="D80" t="s">
        <v>291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298</v>
      </c>
      <c r="C81" t="s">
        <v>32</v>
      </c>
      <c r="D81" t="s">
        <v>291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283</v>
      </c>
    </row>
    <row r="82" spans="2:11">
      <c r="B82" t="s">
        <v>298</v>
      </c>
      <c r="C82" t="s">
        <v>32</v>
      </c>
      <c r="D82" t="s">
        <v>291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284</v>
      </c>
    </row>
    <row r="83" spans="2:11">
      <c r="B83" t="s">
        <v>299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280</v>
      </c>
    </row>
    <row r="84" spans="2:11">
      <c r="B84" t="s">
        <v>299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281</v>
      </c>
    </row>
    <row r="85" spans="2:11">
      <c r="B85" t="s">
        <v>299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282</v>
      </c>
    </row>
    <row r="86" spans="2:11">
      <c r="B86" t="s">
        <v>299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283</v>
      </c>
    </row>
    <row r="87" spans="2:11">
      <c r="B87" t="s">
        <v>299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284</v>
      </c>
    </row>
    <row r="88" spans="2:11">
      <c r="B88" t="s">
        <v>300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280</v>
      </c>
    </row>
    <row r="89" spans="2:11">
      <c r="B89" t="s">
        <v>300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281</v>
      </c>
    </row>
    <row r="90" spans="2:11">
      <c r="B90" t="s">
        <v>300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282</v>
      </c>
    </row>
    <row r="91" spans="2:11">
      <c r="B91" t="s">
        <v>300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283</v>
      </c>
    </row>
    <row r="92" spans="2:11">
      <c r="B92" t="s">
        <v>300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284</v>
      </c>
    </row>
    <row r="93" spans="2:11">
      <c r="B93" t="s">
        <v>301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280</v>
      </c>
    </row>
    <row r="94" spans="2:11">
      <c r="B94" t="s">
        <v>301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281</v>
      </c>
    </row>
    <row r="95" spans="2:11">
      <c r="B95" t="s">
        <v>301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282</v>
      </c>
    </row>
    <row r="96" spans="2:11">
      <c r="B96" t="s">
        <v>301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301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302</v>
      </c>
    </row>
    <row r="98" spans="2:11">
      <c r="B98" t="s">
        <v>301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283</v>
      </c>
    </row>
    <row r="99" spans="2:11">
      <c r="B99" t="s">
        <v>301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284</v>
      </c>
    </row>
    <row r="100" spans="2:11">
      <c r="B100" t="s">
        <v>303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280</v>
      </c>
    </row>
    <row r="101" spans="2:11">
      <c r="B101" t="s">
        <v>303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281</v>
      </c>
    </row>
    <row r="102" spans="2:11">
      <c r="B102" t="s">
        <v>303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282</v>
      </c>
    </row>
    <row r="103" spans="2:11">
      <c r="B103" t="s">
        <v>303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303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302</v>
      </c>
    </row>
    <row r="105" spans="2:11">
      <c r="B105" t="s">
        <v>303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283</v>
      </c>
    </row>
    <row r="106" spans="2:11">
      <c r="B106" t="s">
        <v>303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284</v>
      </c>
    </row>
    <row r="107" spans="2:11">
      <c r="B107" t="s">
        <v>304</v>
      </c>
      <c r="C107" t="s">
        <v>31</v>
      </c>
      <c r="D107" t="s">
        <v>287</v>
      </c>
      <c r="E107">
        <v>3750</v>
      </c>
      <c r="F107">
        <v>3650</v>
      </c>
      <c r="J107">
        <v>3550</v>
      </c>
      <c r="K107" t="s">
        <v>280</v>
      </c>
    </row>
    <row r="108" spans="2:11">
      <c r="B108" t="s">
        <v>304</v>
      </c>
      <c r="C108" t="s">
        <v>31</v>
      </c>
      <c r="D108" t="s">
        <v>287</v>
      </c>
      <c r="E108">
        <v>140</v>
      </c>
      <c r="F108">
        <v>140</v>
      </c>
      <c r="J108">
        <v>130</v>
      </c>
      <c r="K108" t="s">
        <v>281</v>
      </c>
    </row>
    <row r="109" spans="2:11">
      <c r="B109" t="s">
        <v>304</v>
      </c>
      <c r="C109" t="s">
        <v>31</v>
      </c>
      <c r="D109" t="s">
        <v>287</v>
      </c>
      <c r="E109">
        <v>1.667</v>
      </c>
      <c r="F109">
        <v>1.667</v>
      </c>
      <c r="J109">
        <v>1.667</v>
      </c>
      <c r="K109" t="s">
        <v>282</v>
      </c>
    </row>
    <row r="110" spans="2:11">
      <c r="B110" t="s">
        <v>304</v>
      </c>
      <c r="C110" t="s">
        <v>31</v>
      </c>
      <c r="D110" t="s">
        <v>287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304</v>
      </c>
      <c r="C111" t="s">
        <v>31</v>
      </c>
      <c r="D111" t="s">
        <v>287</v>
      </c>
      <c r="E111">
        <v>0.7</v>
      </c>
      <c r="F111">
        <v>0.7</v>
      </c>
      <c r="J111">
        <v>0.7</v>
      </c>
      <c r="K111" t="s">
        <v>302</v>
      </c>
    </row>
    <row r="112" spans="2:11">
      <c r="B112" t="s">
        <v>304</v>
      </c>
      <c r="C112" t="s">
        <v>31</v>
      </c>
      <c r="D112" t="s">
        <v>287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283</v>
      </c>
    </row>
    <row r="113" spans="2:11">
      <c r="B113" t="s">
        <v>304</v>
      </c>
      <c r="C113" t="s">
        <v>31</v>
      </c>
      <c r="D113" t="s">
        <v>287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284</v>
      </c>
    </row>
    <row r="114" spans="2:11">
      <c r="B114" t="s">
        <v>304</v>
      </c>
      <c r="C114" t="s">
        <v>31</v>
      </c>
      <c r="D114" t="s">
        <v>287</v>
      </c>
      <c r="E114">
        <v>2.2797000000000001</v>
      </c>
      <c r="F114">
        <v>2.2797000000000001</v>
      </c>
      <c r="G114">
        <v>2.2797000000000001</v>
      </c>
      <c r="H114">
        <v>2.2797000000000001</v>
      </c>
      <c r="I114">
        <v>2.2797000000000001</v>
      </c>
      <c r="J114">
        <v>2.2797000000000001</v>
      </c>
      <c r="K114" t="s">
        <v>288</v>
      </c>
    </row>
    <row r="115" spans="2:11">
      <c r="B115" t="s">
        <v>305</v>
      </c>
      <c r="C115" t="s">
        <v>31</v>
      </c>
      <c r="D115" t="s">
        <v>291</v>
      </c>
      <c r="E115">
        <v>5750</v>
      </c>
      <c r="F115">
        <v>5700</v>
      </c>
      <c r="J115">
        <v>5100</v>
      </c>
      <c r="K115" t="s">
        <v>280</v>
      </c>
    </row>
    <row r="116" spans="2:11">
      <c r="B116" t="s">
        <v>305</v>
      </c>
      <c r="C116" t="s">
        <v>31</v>
      </c>
      <c r="D116" t="s">
        <v>291</v>
      </c>
      <c r="E116">
        <v>205</v>
      </c>
      <c r="F116">
        <v>200</v>
      </c>
      <c r="J116">
        <v>180</v>
      </c>
      <c r="K116" t="s">
        <v>281</v>
      </c>
    </row>
    <row r="117" spans="2:11">
      <c r="B117" t="s">
        <v>305</v>
      </c>
      <c r="C117" t="s">
        <v>31</v>
      </c>
      <c r="D117" t="s">
        <v>291</v>
      </c>
      <c r="E117">
        <v>2.3610000000000002</v>
      </c>
      <c r="F117">
        <v>2.3610000000000002</v>
      </c>
      <c r="J117">
        <v>2.3610000000000002</v>
      </c>
      <c r="K117" t="s">
        <v>282</v>
      </c>
    </row>
    <row r="118" spans="2:11">
      <c r="B118" t="s">
        <v>305</v>
      </c>
      <c r="C118" t="s">
        <v>31</v>
      </c>
      <c r="D118" t="s">
        <v>291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305</v>
      </c>
      <c r="C119" t="s">
        <v>31</v>
      </c>
      <c r="D119" t="s">
        <v>291</v>
      </c>
      <c r="E119">
        <v>0.6</v>
      </c>
      <c r="F119">
        <v>0.6</v>
      </c>
      <c r="J119">
        <v>0.6</v>
      </c>
      <c r="K119" t="s">
        <v>302</v>
      </c>
    </row>
    <row r="120" spans="2:11">
      <c r="B120" t="s">
        <v>305</v>
      </c>
      <c r="C120" t="s">
        <v>31</v>
      </c>
      <c r="D120" t="s">
        <v>291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283</v>
      </c>
    </row>
    <row r="121" spans="2:11">
      <c r="B121" t="s">
        <v>305</v>
      </c>
      <c r="C121" t="s">
        <v>31</v>
      </c>
      <c r="D121" t="s">
        <v>291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284</v>
      </c>
    </row>
    <row r="122" spans="2:11">
      <c r="B122" t="s">
        <v>306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280</v>
      </c>
    </row>
    <row r="123" spans="2:11">
      <c r="B123" t="s">
        <v>306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281</v>
      </c>
    </row>
    <row r="124" spans="2:11">
      <c r="B124" t="s">
        <v>306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282</v>
      </c>
    </row>
    <row r="125" spans="2:11">
      <c r="B125" t="s">
        <v>306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306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302</v>
      </c>
    </row>
    <row r="127" spans="2:11">
      <c r="B127" t="s">
        <v>306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283</v>
      </c>
    </row>
    <row r="128" spans="2:11">
      <c r="B128" t="s">
        <v>306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0D8D-01C1-4C26-8C58-47EA01C14A6F}">
  <dimension ref="B2:M9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318</v>
      </c>
      <c r="L3" t="s">
        <v>319</v>
      </c>
      <c r="M3" t="s">
        <v>170</v>
      </c>
    </row>
    <row r="4" spans="2:13">
      <c r="B4" t="s">
        <v>309</v>
      </c>
      <c r="C4" t="s">
        <v>310</v>
      </c>
      <c r="D4" t="s">
        <v>258</v>
      </c>
      <c r="E4">
        <v>1</v>
      </c>
      <c r="H4" t="s">
        <v>210</v>
      </c>
      <c r="I4" t="s">
        <v>309</v>
      </c>
      <c r="J4" t="s">
        <v>320</v>
      </c>
      <c r="K4" t="s">
        <v>21</v>
      </c>
      <c r="L4" t="s">
        <v>10</v>
      </c>
      <c r="M4" t="s">
        <v>214</v>
      </c>
    </row>
    <row r="5" spans="2:13">
      <c r="B5" t="s">
        <v>311</v>
      </c>
      <c r="C5" t="s">
        <v>258</v>
      </c>
      <c r="D5" t="s">
        <v>310</v>
      </c>
      <c r="E5">
        <v>1</v>
      </c>
      <c r="H5" t="s">
        <v>210</v>
      </c>
      <c r="I5" t="s">
        <v>311</v>
      </c>
      <c r="J5" t="s">
        <v>321</v>
      </c>
      <c r="K5" t="s">
        <v>21</v>
      </c>
      <c r="L5" t="s">
        <v>10</v>
      </c>
      <c r="M5" t="s">
        <v>214</v>
      </c>
    </row>
    <row r="6" spans="2:13">
      <c r="B6" t="s">
        <v>312</v>
      </c>
      <c r="C6" t="s">
        <v>313</v>
      </c>
      <c r="D6" t="s">
        <v>263</v>
      </c>
      <c r="E6">
        <v>1</v>
      </c>
      <c r="H6" t="s">
        <v>210</v>
      </c>
      <c r="I6" t="s">
        <v>312</v>
      </c>
      <c r="J6" t="s">
        <v>322</v>
      </c>
      <c r="K6" t="s">
        <v>21</v>
      </c>
      <c r="L6" t="s">
        <v>10</v>
      </c>
      <c r="M6" t="s">
        <v>214</v>
      </c>
    </row>
    <row r="7" spans="2:13">
      <c r="B7" t="s">
        <v>314</v>
      </c>
      <c r="C7" t="s">
        <v>263</v>
      </c>
      <c r="D7" t="s">
        <v>313</v>
      </c>
      <c r="E7">
        <v>1</v>
      </c>
      <c r="H7" t="s">
        <v>210</v>
      </c>
      <c r="I7" t="s">
        <v>314</v>
      </c>
      <c r="J7" t="s">
        <v>323</v>
      </c>
      <c r="K7" t="s">
        <v>21</v>
      </c>
      <c r="L7" t="s">
        <v>10</v>
      </c>
      <c r="M7" t="s">
        <v>214</v>
      </c>
    </row>
    <row r="8" spans="2:13">
      <c r="B8" t="s">
        <v>315</v>
      </c>
      <c r="C8" t="s">
        <v>316</v>
      </c>
      <c r="D8" t="s">
        <v>265</v>
      </c>
      <c r="E8">
        <v>1</v>
      </c>
      <c r="H8" t="s">
        <v>210</v>
      </c>
      <c r="I8" t="s">
        <v>315</v>
      </c>
      <c r="J8" t="s">
        <v>324</v>
      </c>
      <c r="K8" t="s">
        <v>21</v>
      </c>
      <c r="L8" t="s">
        <v>10</v>
      </c>
      <c r="M8" t="s">
        <v>214</v>
      </c>
    </row>
    <row r="9" spans="2:13">
      <c r="B9" t="s">
        <v>317</v>
      </c>
      <c r="C9" t="s">
        <v>265</v>
      </c>
      <c r="D9" t="s">
        <v>316</v>
      </c>
      <c r="E9">
        <v>1</v>
      </c>
      <c r="H9" t="s">
        <v>210</v>
      </c>
      <c r="I9" t="s">
        <v>317</v>
      </c>
      <c r="J9" t="s">
        <v>325</v>
      </c>
      <c r="K9" t="s">
        <v>21</v>
      </c>
      <c r="L9" t="s">
        <v>10</v>
      </c>
      <c r="M9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2026-06-26T11:34:29Z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