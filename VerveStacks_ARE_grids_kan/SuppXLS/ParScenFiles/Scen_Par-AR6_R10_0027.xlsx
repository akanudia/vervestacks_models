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ARE_grids_kan\SuppXLS\"/>
    </mc:Choice>
  </mc:AlternateContent>
  <bookViews>
    <workbookView xWindow="-98" yWindow="-98" windowWidth="28996" windowHeight="17475" activeTab="0"/>
  </bookViews>
  <sheets>
    <sheet name="Veda" sheetId="1" r:id="rId3"/>
    <sheet name="fuel_prices" sheetId="4" r:id="rId4"/>
    <sheet name="iea_data" sheetId="2" r:id="rId5"/>
    <sheet name="ar6_r10" sheetId="3" r:id="rId6"/>
    <sheet name="ev_charging_uc" sheetId="6" r:id="rId7"/>
    <sheet name="ts_012" sheetId="7" r:id="rId8"/>
    <sheet name="ts_030" sheetId="8" r:id="rId9"/>
    <sheet name="ts_048" sheetId="9" r:id="rId10"/>
    <sheet name="ts_072" sheetId="10" r:id="rId11"/>
    <sheet name="ts_144" sheetId="11" r:id="rId12"/>
    <sheet name="ts_288" sheetId="12" r:id="rId13"/>
    <sheet name="ts_annual" sheetId="13" r:id="rId14"/>
    <sheet name="ts_12t" sheetId="14" r:id="rId1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<sst xmlns="http://schemas.openxmlformats.org/spreadsheetml/2006/main" count="34873" uniqueCount="414">
  <si>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</si>
  <si>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</si>
  <si>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</si>
  <si>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</si>
  <si>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</si>
  <si>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</si>
  <si>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</si>
  <si>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</si>
  <si>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</si>
  <si>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</si>
  <si>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</si>
  <si>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</si>
  <si>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</si>
  <si>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</si>
  <si>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</si>
  <si>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</si>
  <si>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</si>
  <si>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</si>
  <si>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</si>
  <si>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</si>
  <si>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</si>
  <si>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</si>
  <si>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</si>
  <si>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</si>
  <si>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</si>
  <si>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</si>
  <si>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</si>
  <si>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</si>
  <si>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</si>
  <si>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</si>
  <si>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</si>
  <si>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</si>
  <si>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</si>
  <si>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</si>
  <si>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</si>
  <si>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</si>
  <si>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</si>
  <si>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</si>
  <si>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</si>
  <si>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</si>
  <si>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</si>
  <si>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</si>
  <si>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</si>
  <si>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</si>
  <si>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</si>
  <si>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</si>
  <si>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</si>
  <si>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</si>
  <si>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</si>
  <si>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</si>
  <si>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</si>
  <si>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</si>
  <si>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</si>
  <si>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</si>
  <si>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</si>
  <si>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</si>
  <si>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</si>
  <si>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</si>
  <si>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</si>
  <si>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</si>
  <si>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</si>
  <si>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</si>
  <si>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</si>
  <si>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</si>
  <si>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</si>
  <si>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</si>
  <si>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</si>
  <si>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</si>
  <si>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</si>
  <si>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</si>
  <si>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</si>
  <si>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</si>
  <si>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</si>
  <si>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</si>
  <si>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</si>
  <si>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</si>
  <si>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</si>
  <si>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</si>
  <si>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</si>
  <si>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</si>
  <si>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</si>
  <si>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</si>
  <si>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</si>
  <si>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</si>
  <si>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</si>
  <si>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</si>
  <si>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</si>
  <si>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</si>
  <si>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</si>
  <si>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</si>
  <si>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</si>
  <si>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</si>
  <si>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</si>
  <si>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</si>
  <si>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</si>
  <si>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</si>
  <si>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</si>
  <si>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</si>
  <si>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</si>
  <si>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</si>
  <si>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</si>
  <si>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</si>
  <si>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</si>
  <si>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</si>
  <si>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</si>
  <si>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</si>
  <si>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</si>
  <si>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</si>
  <si>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</si>
  <si>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</si>
  <si>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</si>
  <si>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</si>
  <si>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</si>
  <si>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</si>
  <si>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</si>
  <si>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</si>
  <si>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</si>
  <si>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</si>
  <si>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</si>
  <si>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</si>
  <si>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</si>
  <si>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</si>
  <si>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</si>
  <si>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</si>
  <si>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</si>
  <si>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</si>
  <si>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</si>
  <si>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</si>
  <si>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</si>
  <si>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</si>
  <si>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</si>
  <si>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</si>
  <si>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</si>
  <si>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ARE</t>
  </si>
  <si>
    <t>R10MIDDLE_EAST</t>
  </si>
  <si>
    <t>Abundant gas, minimal biomass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</si>
  <si>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</si>
  <si>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</si>
  <si>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</si>
  <si>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</si>
  <si>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</si>
  <si>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</si>
  <si>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</si>
  <si>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</si>
  <si>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</si>
  <si>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</si>
  <si>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</si>
  <si>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</si>
  <si>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</si>
  <si>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</si>
  <si>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</si>
  <si>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elc_spv_ARE_001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</si>
  <si>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</si>
  <si>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</si>
  <si>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</si>
  <si>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</si>
  <si>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</si>
  <si>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</si>
  <si>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</si>
  <si>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</si>
  <si>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</si>
  <si>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</si>
  <si>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</si>
  <si>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</si>
  <si>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</si>
  <si>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elc_spv_ARE_002</t>
  </si>
  <si>
    <t>elc_spv_ARE_003</t>
  </si>
  <si>
    <t>elc_spv_ARE_004</t>
  </si>
  <si>
    <t>elc_spv_ARE_005</t>
  </si>
  <si>
    <t>elc_spv_ARE_006</t>
  </si>
  <si>
    <t>elc_spv_ARE_007</t>
  </si>
  <si>
    <t>elc_spv_ARE_008</t>
  </si>
  <si>
    <t>elc_spv_ARE_009</t>
  </si>
  <si>
    <t>elc_spv_ARE_010</t>
  </si>
  <si>
    <t>elc_won_ARE_001</t>
  </si>
  <si>
    <t>elc_won_ARE_002</t>
  </si>
  <si>
    <t>elc_won_ARE_003</t>
  </si>
  <si>
    <t>elc_won_ARE_004</t>
  </si>
  <si>
    <t>elc_won_ARE_005</t>
  </si>
  <si>
    <t>elc_won_ARE_006</t>
  </si>
  <si>
    <t>elc_won_ARE_007</t>
  </si>
  <si>
    <t>elc_won_ARE_008</t>
  </si>
  <si>
    <t>elc_won_ARE_009</t>
  </si>
  <si>
    <t>elc_won_ARE_010</t>
  </si>
  <si>
    <t>elc_wof_ARE_001</t>
  </si>
  <si>
    <t>elc_wof_ARE_002</t>
  </si>
  <si>
    <t>g_yrfr</t>
  </si>
  <si>
    <t>day_night</t>
  </si>
  <si>
    <t>D</t>
  </si>
  <si>
    <t>S04aH02,S03aH02,S01aH02,S02aH02</t>
  </si>
  <si>
    <t>N</t>
  </si>
  <si>
    <t>S01aH03,S02aH01,S01aH01,S04aH01,S04aH03,S02aH03,S03aH01,S03aH03</t>
  </si>
  <si>
    <t>com_pkflx</t>
  </si>
  <si>
    <t>ncap_afs</t>
  </si>
  <si>
    <t>pset_ci</t>
  </si>
  <si>
    <t>hydro</t>
  </si>
  <si>
    <t>S01,S02,S03,S04,S05</t>
  </si>
  <si>
    <t>H04</t>
  </si>
  <si>
    <t>S05</t>
  </si>
  <si>
    <t>H05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</si>
  <si>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</si>
  <si>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</si>
  <si>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</si>
  <si>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</si>
  <si>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</si>
  <si>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</si>
  <si>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</si>
  <si>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</si>
  <si>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</si>
  <si>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</si>
  <si>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</si>
  <si>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</si>
  <si>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</si>
  <si>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S04aH03,S04aH02,S01aH04,S01aH02,S04aH04,S02aH04,S02aH02,S02aH03,S01aH03,S05aH02,S05aH03,S05aH04,S03aH04,S03aH03,S03aH02</t>
  </si>
  <si>
    <t>S02aH01,S01aH05,S03aH05,S05aH05,S03aH01,S01aH01,S04aH01,S02aH05,S04aH05,S05aH01</t>
  </si>
  <si>
    <t>S01,S02,S03,S04,S05,S06</t>
  </si>
  <si>
    <t>S06</t>
  </si>
  <si>
    <t>H06</t>
  </si>
  <si>
    <t>S01aH06</t>
  </si>
  <si>
    <t>S02aH06</t>
  </si>
  <si>
    <t>S03aH06</t>
  </si>
  <si>
    <t>S04aH06</t>
  </si>
  <si>
    <t>S05aH06</t>
  </si>
  <si>
    <t>S06aH01</t>
  </si>
  <si>
    <t>S06aH02</t>
  </si>
  <si>
    <t>S06aH03</t>
  </si>
  <si>
    <t>S06aH04</t>
  </si>
  <si>
    <t>S06aH05</t>
  </si>
  <si>
    <t>S06aH06</t>
  </si>
  <si>
    <t>S03aH05,S05aH05,S06aH04,S04aH02,S01aH04,S02aH04,S02aH05,S05aH04,S06aH02,S06aH03,S02aH02,S01aH05,S06aH05,S01aH03,S05aH02,S05aH03,S03aH02,S04aH03,S04aH05,S02aH03,S03aH04,S01aH02,S04aH04,S03aH03</t>
  </si>
  <si>
    <t>S02aH06,S01aH06,S03aH01,S02aH01,S05aH06,S01aH01,S04aH01,S04aH06,S06aH01,S05aH01,S03aH06,S06aH06</t>
  </si>
  <si>
    <t>S01,S02,S03,S04,S05,S06,S07,S08,S09</t>
  </si>
  <si>
    <t>S07</t>
  </si>
  <si>
    <t>S08</t>
  </si>
  <si>
    <t>S09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</si>
  <si>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</si>
  <si>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</si>
  <si>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</si>
  <si>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</si>
  <si>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</si>
  <si>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</si>
  <si>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</si>
  <si>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</si>
  <si>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</si>
  <si>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</si>
  <si>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</si>
  <si>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</si>
  <si>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</si>
  <si>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</si>
  <si>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</si>
  <si>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</si>
  <si>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</si>
  <si>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</si>
  <si>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t>
  </si>
  <si>
    <t>S01aH06,S07aH01,S08aH06,S01aH01,S04aH01,S04aH06,S06aH06,S03aH01,S02aH06,S09aH01,S03aH06,S05aH01,S07aH06,S08aH01,S06aH01,S02aH01,S05aH06,S09aH06</t>
  </si>
  <si>
    <t>S01,S02,S03,S04,S05,S06,S07,S08,S09,S10,S11,S12,S13,S14,S15</t>
  </si>
  <si>
    <t>S10</t>
  </si>
  <si>
    <t>S11</t>
  </si>
  <si>
    <t>S12</t>
  </si>
  <si>
    <t>S13</t>
  </si>
  <si>
    <t>S14</t>
  </si>
  <si>
    <t>S15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</si>
  <si>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</si>
  <si>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</si>
  <si>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</si>
  <si>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</si>
  <si>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</si>
  <si>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</si>
  <si>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</si>
  <si>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</si>
  <si>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</si>
  <si>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</si>
  <si>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</si>
  <si>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</si>
  <si>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</si>
  <si>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</si>
  <si>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</si>
  <si>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</si>
  <si>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</si>
  <si>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</si>
  <si>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</si>
  <si>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</si>
  <si>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</si>
  <si>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</si>
  <si>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</si>
  <si>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</si>
  <si>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</si>
  <si>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</si>
  <si>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</si>
  <si>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</si>
  <si>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</si>
  <si>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</si>
  <si>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</si>
  <si>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</si>
  <si>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</si>
  <si>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</si>
  <si>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</si>
  <si>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</si>
  <si>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01aH03,S05aH02,S05aH03,S05aH04,S06aH02,S06aH03,S10aH04,S02aH04,S02aH05,S10aH03,S10aH05,S03aH02,S07aH05,S14aH02,S04aH03,S07aH04,S08aH03,S09aH04,S12aH02,S08aH02,S02aH03,S07aH03,S04aH02,S09aH02,S09aH03,S11aH03,S11aH04,S14aH03,S15aH03,S03aH04,S08aH05,S11aH05,S12aH03,S03aH05,S05aH05,S06aH04,S08aH04,S11aH02,S13aH02,S13aH03,S01aH05,S06aH05,S10aH02,S12aH04,S12aH05,S15aH04,S02aH02,S14aH04,S14aH05,S15aH05,S04aH05,S13aH04,S03aH03,S09aH05,S13aH05,S15aH02,S01aH04,S07aH02,S01aH02,S04aH04</t>
  </si>
  <si>
    <t>S09aH01,S13aH01,S14aH06,S01aH06,S07aH01,S08aH06,S02aH06,S12aH01,S15aH01,S02aH01,S05aH06,S06aH01,S14aH01,S01aH01,S04aH01,S04aH06,S11aH01,S12aH06,S13aH06,S15aH06,S05aH01,S07aH06,S03aH01,S09aH06,S06aH06,S08aH01,S10aH01,S03aH06,S10aH06,S11aH06</t>
  </si>
  <si>
    <t>S01,S02,S03,S04,S05,S06,S07,S08,S09,S10,S11,S12,S13,S14,S15,S16,S17,S18,S19,S20,S21</t>
  </si>
  <si>
    <t>H07</t>
  </si>
  <si>
    <t>H08</t>
  </si>
  <si>
    <t>S16</t>
  </si>
  <si>
    <t>S17</t>
  </si>
  <si>
    <t>S18</t>
  </si>
  <si>
    <t>S19</t>
  </si>
  <si>
    <t>S20</t>
  </si>
  <si>
    <t>S21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</si>
  <si>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</si>
  <si>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</si>
  <si>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</si>
  <si>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</si>
  <si>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</si>
  <si>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</si>
  <si>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</si>
  <si>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</si>
  <si>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</si>
  <si>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</si>
  <si>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</si>
  <si>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</si>
  <si>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</si>
  <si>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</si>
  <si>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</si>
  <si>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</si>
  <si>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</si>
  <si>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</si>
  <si>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</si>
  <si>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</si>
  <si>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</si>
  <si>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</si>
  <si>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</si>
  <si>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</si>
  <si>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</si>
  <si>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</si>
  <si>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</si>
  <si>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</si>
  <si>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</si>
  <si>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</si>
  <si>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S16aH01</t>
  </si>
  <si>
    <t>S16aH02</t>
  </si>
  <si>
    <t>S16aH03</t>
  </si>
  <si>
    <t>S16aH04</t>
  </si>
  <si>
    <t>S16aH05</t>
  </si>
  <si>
    <t>S16aH06</t>
  </si>
  <si>
    <t>S16aH07</t>
  </si>
  <si>
    <t>S16aH08</t>
  </si>
  <si>
    <t>S17aH01</t>
  </si>
  <si>
    <t>S17aH02</t>
  </si>
  <si>
    <t>S17aH03</t>
  </si>
  <si>
    <t>S17aH04</t>
  </si>
  <si>
    <t>S17aH05</t>
  </si>
  <si>
    <t>S17aH06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</si>
  <si>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</si>
  <si>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</si>
  <si>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</si>
  <si>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</si>
  <si>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</si>
  <si>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</si>
  <si>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</si>
  <si>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</si>
  <si>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</si>
  <si>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</si>
  <si>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S19aH01</t>
  </si>
  <si>
    <t>S19aH02</t>
  </si>
  <si>
    <t>S19aH03</t>
  </si>
  <si>
    <t>S19aH04</t>
  </si>
  <si>
    <t>S19aH05</t>
  </si>
  <si>
    <t>S19aH06</t>
  </si>
  <si>
    <t>S19aH07</t>
  </si>
  <si>
    <t>S19aH08</t>
  </si>
  <si>
    <t>S20aH01</t>
  </si>
  <si>
    <t>S20aH02</t>
  </si>
  <si>
    <t>S20aH03</t>
  </si>
  <si>
    <t>S20aH04</t>
  </si>
  <si>
    <t>S20aH05</t>
  </si>
  <si>
    <t>S20aH06</t>
  </si>
  <si>
    <t>S20aH07</t>
  </si>
  <si>
    <t>S20aH08</t>
  </si>
  <si>
    <t>S21aH01</t>
  </si>
  <si>
    <t>S21aH02</t>
  </si>
  <si>
    <t>S21aH03</t>
  </si>
  <si>
    <t>S21aH04</t>
  </si>
  <si>
    <t>S21aH05</t>
  </si>
  <si>
    <t>S21aH06</t>
  </si>
  <si>
    <t>S21aH07</t>
  </si>
  <si>
    <t>S21aH08</t>
  </si>
  <si>
    <t>S01aH06,S02aH03,S05aH07,S07aH03,S08aH06,S10aH07,S04aH05,S13aH04,S04aH03,S07aH04,S08aH03,S09aH04,S11aH07,S12aH02,S14aH06,S16aH03,S20aH07,S21aH06,S01aH03,S05aH02,S05aH03,S05aH06,S16aH07,S17aH04,S04aH02,S08aH07,S09aH02,S09aH03,S11aH03,S11aH04,S14aH03,S15aH03,S18aH03,S19aH02,S19aH03,S01aH05,S03aH06,S03aH07,S06aH05,S10aH02,S10aH06,S11aH06,S12aH04,S12aH05,S15aH04,S21aH03,S02aH06,S03aH05,S04aH07,S05aH05,S06aH04,S08aH04,S11aH02,S13aH02,S13aH03,S18aH04,S19aH07,S01aH02,S04aH04,S15aH07,S16aH02,S16aH06,S17aH03,S17aH06,S20aH06,S03aH04,S08aH05,S09aH07,S11aH05,S12aH03,S20aH04,S20aH05,S03aH02,S07aH05,S14aH02,S18aH07,S19aH05,S21aH04,S21aH07,S08aH02,S09aH06,S14aH07,S17aH07,S19aH04,S19aH06,S21aH02,S01aH04,S01aH07,S02aH07,S07aH02,S07aH06,S13aH07,S18aH02,S18aH06,S03aH03,S09aH05,S12aH07,S13aH05,S15aH02,S20aH02,S02aH04,S02aH05,S06aH07,S07aH07,S10aH03,S10aH05,S16aH05,S20aH03,S21aH05,S02aH02,S06aH06,S14aH04,S14aH05,S15aH05,S18aH05,S04aH06,S05aH04,S06aH02,S06aH03,S10aH04,S12aH06,S13aH06,S15aH06,S16aH04,S17aH02,S17aH05</t>
  </si>
  <si>
    <t>S01aH01,S04aH01,S09aH08,S11aH01,S05aH08,S10aH08,S20aH01,S02aH01,S19aH01,S09aH01,S13aH01,S16aH08,S18aH08,S21aH08,S17aH08,S14aH08,S19aH08,S07aH08,S08aH08,S15aH08,S01aH08,S02aH08,S05aH01,S15aH01,S16aH01,S20aH08,S04aH08,S06aH01,S12aH08,S13aH08,S14aH01,S08aH01,S10aH01,S11aH08,S21aH01,S03aH08,S06aH08,S12aH01,S03aH01,S07aH01,S17aH01,S18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</si>
  <si>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</si>
  <si>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</si>
  <si>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</si>
  <si>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</si>
  <si>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</si>
  <si>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</si>
  <si>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</si>
  <si>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</si>
  <si>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</si>
  <si>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</si>
  <si>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</si>
  <si>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</si>
  <si>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</si>
  <si>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</si>
  <si>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</si>
  <si>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</si>
  <si>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</si>
  <si>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</si>
  <si>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</si>
  <si>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</si>
  <si>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</si>
  <si>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RaD,WaD,SaD,RaP,WaP,FaD,FaP,SaP</t>
  </si>
  <si>
    <t>FaN,SaN,WaN,FaP,SaP,RaN,RaP,WaP</t>
  </si>
  <si>
    <t>26-30</t>
  </si>
  <si>
    <t>elc_stargate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</si>
</sst>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0003962517"/>
      <name val="Aptos Narrow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00072813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 style="thick">
        <color theme="4" tint="0.499949991703033"/>
      </bottom>
    </border>
  </borders>
  <cellStyleXfs count="3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>
      <alignment/>
      <protection/>
    </xf>
    <xf numFmtId="0" fontId="3" fillId="0" borderId="1">
      <alignment/>
      <protection/>
    </xf>
    <xf numFmtId="0" fontId="5" fillId="0" borderId="2">
      <alignment/>
      <protection/>
    </xf>
    <xf numFmtId="0" fontId="6" fillId="0" borderId="3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2" fillId="2" borderId="0">
      <alignment/>
      <protection/>
    </xf>
    <xf numFmtId="0" fontId="5" fillId="0" borderId="5">
      <alignment/>
      <protection/>
    </xf>
    <xf numFmtId="0" fontId="8" fillId="3" borderId="0">
      <alignment/>
      <protection/>
    </xf>
    <xf numFmtId="0" fontId="9" fillId="4" borderId="4">
      <alignment/>
      <protection/>
    </xf>
    <xf numFmtId="0" fontId="9" fillId="4" borderId="4" applyNumberFormat="0" applyAlignment="0" applyProtection="0"/>
    <xf numFmtId="0" fontId="5" fillId="0" borderId="5" applyNumberFormat="0" applyFill="0" applyAlignment="0" applyProtection="0"/>
  </cellStyleXfs>
  <cellXfs count="24">
    <xf numFmtId="0" fontId="0" fillId="0" borderId="0" xfId="0"/>
    <xf numFmtId="0" fontId="2" fillId="2" borderId="0" xfId="20">
      <alignment/>
      <protection/>
    </xf>
    <xf numFmtId="0" fontId="4" fillId="0" borderId="0" xfId="0" applyFont="1"/>
    <xf numFmtId="0" fontId="3" fillId="0" borderId="1" xfId="21">
      <alignment/>
      <protection/>
    </xf>
    <xf numFmtId="0" fontId="6" fillId="0" borderId="3" xfId="23">
      <alignment/>
      <protection/>
    </xf>
    <xf numFmtId="0" fontId="5" fillId="0" borderId="2" xfId="22">
      <alignment/>
      <protection/>
    </xf>
    <xf numFmtId="164" fontId="0" fillId="0" borderId="0" xfId="0" applyNumberFormat="1"/>
    <xf numFmtId="0" fontId="7" fillId="0" borderId="0" xfId="0" applyFont="1"/>
    <xf numFmtId="1" fontId="0" fillId="0" borderId="0" xfId="0" applyNumberFormat="1"/>
    <xf numFmtId="0" fontId="9" fillId="4" borderId="4" xfId="25">
      <alignment/>
      <protection/>
    </xf>
    <xf numFmtId="0" fontId="8" fillId="3" borderId="0" xfId="24">
      <alignment/>
      <protection/>
    </xf>
    <xf numFmtId="2" fontId="0" fillId="0" borderId="0" xfId="0" applyNumberFormat="1"/>
    <xf numFmtId="0" fontId="9" fillId="4" borderId="4" xfId="26"/>
    <xf numFmtId="0" fontId="5" fillId="0" borderId="2" xfId="27"/>
    <xf numFmtId="0" fontId="6" fillId="0" borderId="3" xfId="28"/>
    <xf numFmtId="0" fontId="0" fillId="5" borderId="0" xfId="0" applyFill="1"/>
    <xf numFmtId="0" fontId="10" fillId="0" borderId="0" xfId="0" applyFont="1"/>
    <xf numFmtId="0" fontId="0" fillId="6" borderId="0" xfId="0" applyFill="1"/>
    <xf numFmtId="49" fontId="0" fillId="0" borderId="0" xfId="0" applyNumberFormat="1" quotePrefix="1"/>
    <xf numFmtId="0" fontId="0" fillId="0" borderId="0" xfId="0"/>
    <xf numFmtId="0" fontId="6" fillId="0" borderId="3" xfId="23">
      <alignment/>
      <protection/>
    </xf>
    <xf numFmtId="0" fontId="5" fillId="0" borderId="5" xfId="30">
      <alignment/>
      <protection/>
    </xf>
    <xf numFmtId="164" fontId="0" fillId="0" borderId="0" xfId="0" applyNumberFormat="1"/>
    <xf numFmtId="0" fontId="8" fillId="3" borderId="0" xfId="31">
      <alignment/>
      <protection/>
    </xf>
  </cellXfs>
  <cellStyles count="2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Linked Cell" xfId="21" builtinId="24"/>
    <cellStyle name="Heading 2" xfId="22" builtinId="17"/>
    <cellStyle name="Heading 3" xfId="23" builtinId="18"/>
    <cellStyle name="Neutral" xfId="24" builtinId="28"/>
    <cellStyle name="Input" xfId="25" builtinId="20"/>
    <cellStyle name="Input 2" xfId="26"/>
    <cellStyle name="Heading 2 2" xfId="27"/>
    <cellStyle name="Heading 3 2" xfId="28"/>
    <cellStyle name="Good 2" xfId="29"/>
    <cellStyle name="Heading 2 3" xfId="30"/>
    <cellStyle name="Neutral 2" xfId="31"/>
    <cellStyle name="Input 3" xfId="32"/>
    <cellStyle name="Input 2 2" xfId="33"/>
    <cellStyle name="Heading 2 2 2" xf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chemeClr val="accent1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155.33</c:v>
                </c:pt>
                <c:pt idx="1">
                  <c:v>181.7361</c:v>
                </c:pt>
                <c:pt idx="2">
                  <c:v>217.462</c:v>
                </c:pt>
                <c:pt idx="3">
                  <c:v>254.7412</c:v>
                </c:pt>
                <c:pt idx="4">
                  <c:v>290.4671</c:v>
                </c:pt>
                <c:pt idx="5">
                  <c:v>366.5788</c:v>
                </c:pt>
                <c:pt idx="6">
                  <c:v>450.457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42586834"/>
        <c:axId val="6302963"/>
      </c:lineChart>
      <c:catAx>
        <c:axId val="4258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3"/>
        <c:crosses val="autoZero"/>
        <c:auto val="1"/>
        <c:lblOffset val="100"/>
        <c:noMultiLvlLbl val="0"/>
      </c:catAx>
      <c:valAx>
        <c:axId val="6302963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42586834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IN" sz="1500" b="1" i="0" u="none" baseline="0" cap="all" kern="1200" spc="10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layout/>
      <c:overlay val="0"/>
      <c:spPr>
        <a:noFill/>
        <a:ln w="12700">
          <a:noFill/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solidFill>
                <a:srgbClr val="156082"/>
              </a:solidFill>
              <a:ln w="12700">
                <a:noFill/>
                <a:prstDash val="solid"/>
              </a:ln>
              <a:effectLst/>
            </c:spPr>
            <c:txPr>
              <a:bodyPr vert="horz" rot="0" spcFirstLastPara="1" vertOverflow="ellipsis" anchor="ctr" anchorCtr="1" wrap="square" lIns="38100" tIns="19050" rIns="38100" bIns="19050">
                <a:spAutoFit/>
              </a:bodyPr>
              <a:lstStyle/>
              <a:p>
                <a:pPr algn="ctr">
                  <a:defRPr lang="en-US" sz="900" b="1" i="0" u="none" baseline="0" kern="12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49.21</c:v>
                </c:pt>
                <c:pt idx="3">
                  <c:v>100.47</c:v>
                </c:pt>
                <c:pt idx="4">
                  <c:v>127.66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dropLines>
          <c:spPr>
            <a:ln w="9525" cap="flat" cmpd="sng">
              <a:gradFill rotWithShape="1">
                <a:gsLst>
                  <a:gs pos="0">
                    <a:schemeClr val="bg1"/>
                  </a:gs>
                  <a:gs pos="100000">
                    <a:schemeClr val="bg1">
                      <a:alpha val="0"/>
                    </a:schemeClr>
                  </a:gs>
                </a:gsLst>
                <a:lin ang="5400000"/>
              </a:gradFill>
              <a:prstDash val="solid"/>
              <a:round/>
            </a:ln>
            <a:effectLst/>
          </c:spPr>
        </c:dropLines>
        <c:marker val="1"/>
        <c:axId val="8898516"/>
        <c:axId val="26334975"/>
      </c:lineChart>
      <c:catAx>
        <c:axId val="8898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>
            <a:noFill/>
            <a:prstDash val="solid"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 spc="3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75"/>
        <c:crosses val="autoZero"/>
        <c:auto val="1"/>
        <c:lblOffset val="100"/>
        <c:noMultiLvlLbl val="0"/>
      </c:catAx>
      <c:valAx>
        <c:axId val="26334975"/>
        <c:scaling>
          <c:orientation val="minMax"/>
        </c:scaling>
        <c:delete val="1"/>
        <c:axPos val="l"/>
        <c:majorTickMark val="none"/>
        <c:minorTickMark val="none"/>
        <c:tickLblPos val="nextTo"/>
        <c:spPr>
          <a:ln w="12700" cap="flat" cmpd="sng"/>
        </c:spPr>
        <c:crossAx val="8898516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>
      <a:solidFill>
        <a:schemeClr val="bg1">
          <a:lumMod val="85000"/>
        </a:schemeClr>
      </a:solidFill>
      <a:prstDash val="solid"/>
      <a:round/>
    </a:ln>
    <a:effectLst/>
  </c:spPr>
</c:chartSpac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4916150" y="142875"/>
        <a:ext cx="3286125" cy="21240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6629400" y="4562475"/>
        <a:ext cx="3533775" cy="1819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53225" y="9525"/>
          <a:ext cx="1057275" cy="25717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3925" y="9525"/>
          <a:ext cx="990600" cy="25717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10650" y="9525"/>
          <a:ext cx="990600" cy="257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 topLeftCell="A1">
      <selection pane="topLeft" activeCell="T35" sqref="T35"/>
    </sheetView>
  </sheetViews>
  <sheetFormatPr defaultRowHeight="14.25"/>
  <cols>
    <col min="1" max="1" width="6.5" bestFit="1" customWidth="1"/>
    <col min="2" max="2" width="19.125" bestFit="1" customWidth="1"/>
    <col min="3" max="3" width="7.25" bestFit="1" customWidth="1"/>
    <col min="4" max="4" width="12.125" bestFit="1" customWidth="1"/>
    <col min="5" max="5" width="9.5" customWidth="1"/>
    <col min="6" max="6" width="1.75" bestFit="1" customWidth="1"/>
    <col min="7" max="7" width="24.5" customWidth="1"/>
    <col min="8" max="8" width="9.625" bestFit="1" customWidth="1"/>
    <col min="9" max="10" width="5.25" bestFit="1" customWidth="1"/>
    <col min="11" max="11" width="7.25" bestFit="1" customWidth="1"/>
    <col min="12" max="14" width="5.25" bestFit="1" customWidth="1"/>
    <col min="15" max="15" width="6.25" bestFit="1" customWidth="1"/>
    <col min="19" max="19" width="14.625" bestFit="1" customWidth="1"/>
    <col min="33" max="33" width="2.75" bestFit="1" customWidth="1"/>
    <col min="34" max="34" width="9.25" bestFit="1" customWidth="1"/>
    <col min="35" max="35" width="6.25" bestFit="1" customWidth="1"/>
    <col min="36" max="36" width="2.75" bestFit="1" customWidth="1"/>
    <col min="37" max="37" width="2.875" bestFit="1" customWidth="1"/>
    <col min="38" max="38" width="12.625" bestFit="1" customWidth="1"/>
  </cols>
  <sheetData>
    <row r="1" spans="7:7" ht="14.25">
      <c r="G1" s="18" t="s">
        <v>412</v>
      </c>
    </row>
    <row r="2" spans="4:4" ht="14.25">
      <c r="D2" s="1" t="str">
        <f>"~Inputcell: "&amp;_xlfn.TEXTJOIN(",",TRUE,G1:EE1)</f>
        <v>~Inputcell: 26-30</v>
      </c>
    </row>
    <row r="3" spans="4:4" ht="14.25">
      <c r="D3" s="9">
        <v>27</v>
      </c>
    </row>
    <row r="5" spans="4:5" ht="14.25">
      <c r="D5" s="1" t="str">
        <f>VLOOKUP(D3,$C$9:$E$999,2,FALSE)</f>
        <v>ts_072</v>
      </c>
      <c r="E5" s="1" t="str">
        <f>VLOOKUP(D3,$C$9:$E$999,3,FALSE)</f>
        <v>C2</v>
      </c>
    </row>
    <row r="7" spans="2:2" ht="14.25">
      <c r="B7" s="16" t="s">
        <v>112</v>
      </c>
    </row>
    <row r="8" spans="1:39" ht="14.65" thickBot="1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ht="14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ht="14.25">
      <c r="A10">
        <v>5</v>
      </c>
      <c r="B10" t="str">
        <f t="shared" si="0" ref="B10:B48">VLOOKUP(E10,$AK$9:$AL$15,2,FALSE)&amp;"."&amp;VLOOKUP(D10,$AH$9:$AI$24,2,FALSE)</f>
        <v>d 1.5 deg OS.xAnn</v>
      </c>
      <c r="C10">
        <f>C9+1</f>
        <v>2</v>
      </c>
      <c r="D10" t="str">
        <f t="shared" si="1" ref="D10:D48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ht="14.25">
      <c r="A11">
        <v>5</v>
      </c>
      <c r="B11" t="str">
        <f t="shared" si="0"/>
        <v>c 2 deg (67%).xAnn</v>
      </c>
      <c r="C11">
        <f t="shared" si="2" ref="C11:C48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155.32999999999998</v>
      </c>
      <c r="T12" s="2" t="s">
        <v>57</v>
      </c>
      <c r="AG12">
        <v>4</v>
      </c>
      <c r="AH12" t="s">
        <v>124</v>
      </c>
      <c r="AI12" t="str">
        <f t="shared" si="3" ref="AI12:AI16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1.50</v>
      </c>
    </row>
    <row r="14" spans="1:36" ht="14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155.32999999999998</v>
      </c>
      <c r="U14" s="8">
        <f t="shared" si="4" ref="U14:Z14">$S$12*J15</f>
        <v>183.28939999999997</v>
      </c>
      <c r="V14" s="8">
        <f t="shared" si="4"/>
        <v>222.12189999999995</v>
      </c>
      <c r="W14" s="8">
        <f t="shared" si="4"/>
        <v>248.52799999999999</v>
      </c>
      <c r="X14" s="8">
        <f t="shared" si="4"/>
        <v>306.00009999999997</v>
      </c>
      <c r="Y14" s="8">
        <f t="shared" si="4"/>
        <v>372.79199999999997</v>
      </c>
      <c r="Z14" s="8">
        <f t="shared" si="4"/>
        <v>486.18289999999996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6" ht="14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si="5" ref="E15:E48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1.1799999999999999</v>
      </c>
      <c r="K15" s="11">
        <f>SUMIFS(ar6_r10!$F$2:$F$999,ar6_r10!$A$2:$A$999,Veda!$E$5,ar6_r10!$C$2:$C$999,Veda!K$17,ar6_r10!$M$2:$M$999,Veda!$G15)</f>
        <v>1.4299999999999999</v>
      </c>
      <c r="L15" s="11">
        <f>SUMIFS(ar6_r10!$F$2:$F$999,ar6_r10!$A$2:$A$999,Veda!$E$5,ar6_r10!$C$2:$C$999,Veda!L$17,ar6_r10!$M$2:$M$999,Veda!$G15)</f>
        <v>1.6000000000000001</v>
      </c>
      <c r="M15" s="11">
        <f>SUMIFS(ar6_r10!$F$2:$F$999,ar6_r10!$A$2:$A$999,Veda!$E$5,ar6_r10!$C$2:$C$999,Veda!M$17,ar6_r10!$M$2:$M$999,Veda!$G15)</f>
        <v>1.97</v>
      </c>
      <c r="N15" s="11">
        <f>SUMIFS(ar6_r10!$F$2:$F$999,ar6_r10!$A$2:$A$999,Veda!$E$5,ar6_r10!$C$2:$C$999,Veda!N$17,ar6_r10!$M$2:$M$999,Veda!$G15)</f>
        <v>2.3999999999999999</v>
      </c>
      <c r="O15" s="11">
        <f>SUMIFS(ar6_r10!$F$2:$F$999,ar6_r10!$A$2:$A$999,Veda!$E$5,ar6_r10!$C$2:$C$999,Veda!O$17,ar6_r10!$M$2:$M$999,Veda!$G15)</f>
        <v>3.1299999999999999</v>
      </c>
      <c r="AG15">
        <v>7</v>
      </c>
      <c r="AH15" t="s">
        <v>129</v>
      </c>
      <c r="AI15" t="str">
        <f t="shared" si="3"/>
        <v>ts_144</v>
      </c>
      <c r="AJ15" s="10">
        <f t="shared" si="6" ref="AJ15:AJ78">AJ10+1</f>
        <v>2</v>
      </c>
    </row>
    <row r="16" spans="1:36" ht="17.65" customHeight="1" thickBot="1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si="7" ref="J17:O1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ht="14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0.02</v>
      </c>
      <c r="M18" s="11">
        <f>SUMIFS(ar6_r10!$F$2:$F$999,ar6_r10!$A$2:$A$999,Veda!$E$5,ar6_r10!$C$2:$C$999,Veda!M$17,ar6_r10!$M$2:$M$999,Veda!$G18)</f>
        <v>0.040000000000000001</v>
      </c>
      <c r="N18" s="11">
        <f>SUMIFS(ar6_r10!$F$2:$F$999,ar6_r10!$A$2:$A$999,Veda!$E$5,ar6_r10!$C$2:$C$999,Veda!N$17,ar6_r10!$M$2:$M$999,Veda!$G18)</f>
        <v>0.059999999999999998</v>
      </c>
      <c r="O18" s="11">
        <f>SUMIFS(ar6_r10!$F$2:$F$999,ar6_r10!$A$2:$A$999,Veda!$E$5,ar6_r10!$C$2:$C$999,Veda!O$17,ar6_r10!$M$2:$M$999,Veda!$G18)</f>
        <v>0.080000000000000002</v>
      </c>
      <c r="S18" s="10" t="s">
        <v>16</v>
      </c>
      <c r="T18" s="6">
        <f t="shared" si="8" ref="T18:Z20">I18*T$14</f>
        <v>0</v>
      </c>
      <c r="U18" s="6">
        <f t="shared" si="8"/>
        <v>0</v>
      </c>
      <c r="V18" s="6">
        <f t="shared" si="8"/>
        <v>0</v>
      </c>
      <c r="W18" s="6">
        <f t="shared" si="8"/>
        <v>4.9705599999999999</v>
      </c>
      <c r="X18" s="6">
        <f t="shared" si="8"/>
        <v>12.240003999999999</v>
      </c>
      <c r="Y18" s="6">
        <f t="shared" si="8"/>
        <v>22.367519999999999</v>
      </c>
      <c r="Z18" s="6">
        <f t="shared" si="8"/>
        <v>38.894631999999994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ht="14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0.25</v>
      </c>
      <c r="J19" s="11">
        <f>SUMIFS(ar6_r10!$F$2:$F$999,ar6_r10!$A$2:$A$999,Veda!$E$5,ar6_r10!$C$2:$C$999,Veda!J$17,ar6_r10!$M$2:$M$999,Veda!$G19)</f>
        <v>0.27000000000000002</v>
      </c>
      <c r="K19" s="11">
        <f>SUMIFS(ar6_r10!$F$2:$F$999,ar6_r10!$A$2:$A$999,Veda!$E$5,ar6_r10!$C$2:$C$999,Veda!K$17,ar6_r10!$M$2:$M$999,Veda!$G19)</f>
        <v>0.27000000000000002</v>
      </c>
      <c r="L19" s="11">
        <f>SUMIFS(ar6_r10!$F$2:$F$999,ar6_r10!$A$2:$A$999,Veda!$E$5,ar6_r10!$C$2:$C$999,Veda!L$17,ar6_r10!$M$2:$M$999,Veda!$G19)</f>
        <v>0.29999999999999999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0.29999999999999999</v>
      </c>
      <c r="O19" s="11">
        <f>SUMIFS(ar6_r10!$F$2:$F$999,ar6_r10!$A$2:$A$999,Veda!$E$5,ar6_r10!$C$2:$C$999,Veda!O$17,ar6_r10!$M$2:$M$999,Veda!$G19)</f>
        <v>0.29999999999999999</v>
      </c>
      <c r="S19" s="10" t="s">
        <v>19</v>
      </c>
      <c r="T19" s="6">
        <f t="shared" si="8"/>
        <v>38.832499999999996</v>
      </c>
      <c r="U19" s="6">
        <f t="shared" si="8"/>
        <v>49.488137999999992</v>
      </c>
      <c r="V19" s="6">
        <f t="shared" si="8"/>
        <v>59.972912999999991</v>
      </c>
      <c r="W19" s="6">
        <f t="shared" si="8"/>
        <v>74.558399999999992</v>
      </c>
      <c r="X19" s="6">
        <f t="shared" si="8"/>
        <v>88.740028999999993</v>
      </c>
      <c r="Y19" s="6">
        <f t="shared" si="8"/>
        <v>111.83759999999999</v>
      </c>
      <c r="Z19" s="6">
        <f t="shared" si="8"/>
        <v>145.85486999999998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ht="14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0.73999999999999999</v>
      </c>
      <c r="J20" s="11">
        <f>SUMIFS(ar6_r10!$F$2:$F$999,ar6_r10!$A$2:$A$999,Veda!$E$5,ar6_r10!$C$2:$C$999,Veda!J$17,ar6_r10!$M$2:$M$999,Veda!$G20)</f>
        <v>0.70999999999999996</v>
      </c>
      <c r="K20" s="11">
        <f>SUMIFS(ar6_r10!$F$2:$F$999,ar6_r10!$A$2:$A$999,Veda!$E$5,ar6_r10!$C$2:$C$999,Veda!K$17,ar6_r10!$M$2:$M$999,Veda!$G20)</f>
        <v>0.68999999999999995</v>
      </c>
      <c r="L20" s="11">
        <f>SUMIFS(ar6_r10!$F$2:$F$999,ar6_r10!$A$2:$A$999,Veda!$E$5,ar6_r10!$C$2:$C$999,Veda!L$17,ar6_r10!$M$2:$M$999,Veda!$G20)</f>
        <v>0.66000000000000003</v>
      </c>
      <c r="M20" s="11">
        <f>SUMIFS(ar6_r10!$F$2:$F$999,ar6_r10!$A$2:$A$999,Veda!$E$5,ar6_r10!$C$2:$C$999,Veda!M$17,ar6_r10!$M$2:$M$999,Veda!$G20)</f>
        <v>0.64000000000000001</v>
      </c>
      <c r="N20" s="11">
        <f>SUMIFS(ar6_r10!$F$2:$F$999,ar6_r10!$A$2:$A$999,Veda!$E$5,ar6_r10!$C$2:$C$999,Veda!N$17,ar6_r10!$M$2:$M$999,Veda!$G20)</f>
        <v>0.59999999999999998</v>
      </c>
      <c r="O20" s="11">
        <f>SUMIFS(ar6_r10!$F$2:$F$999,ar6_r10!$A$2:$A$999,Veda!$E$5,ar6_r10!$C$2:$C$999,Veda!O$17,ar6_r10!$M$2:$M$999,Veda!$G20)</f>
        <v>0.58999999999999997</v>
      </c>
      <c r="S20" s="10" t="s">
        <v>22</v>
      </c>
      <c r="T20" s="6">
        <f t="shared" si="8"/>
        <v>114.94419999999998</v>
      </c>
      <c r="U20" s="6">
        <f t="shared" si="8"/>
        <v>130.13547399999999</v>
      </c>
      <c r="V20" s="6">
        <f t="shared" si="8"/>
        <v>153.26411099999996</v>
      </c>
      <c r="W20" s="6">
        <f t="shared" si="8"/>
        <v>164.02848</v>
      </c>
      <c r="X20" s="6">
        <f t="shared" si="8"/>
        <v>195.84006399999998</v>
      </c>
      <c r="Y20" s="6">
        <f t="shared" si="8"/>
        <v>223.67519999999999</v>
      </c>
      <c r="Z20" s="6">
        <f t="shared" si="8"/>
        <v>286.84791099999995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ht="14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0.029999999999999999</v>
      </c>
      <c r="L21" s="11">
        <f>SUMIFS(ar6_r10!$F$2:$F$999,ar6_r10!$A$2:$A$999,Veda!$E$5,ar6_r10!$C$2:$C$999,Veda!L$17,ar6_r10!$M$2:$M$999,Veda!$G21)</f>
        <v>0.040000000000000001</v>
      </c>
      <c r="M21" s="11">
        <f>SUMIFS(ar6_r10!$F$2:$F$999,ar6_r10!$A$2:$A$999,Veda!$E$5,ar6_r10!$C$2:$C$999,Veda!M$17,ar6_r10!$M$2:$M$999,Veda!$G21)</f>
        <v>0.080000000000000002</v>
      </c>
      <c r="N21" s="11">
        <f>SUMIFS(ar6_r10!$F$2:$F$999,ar6_r10!$A$2:$A$999,Veda!$E$5,ar6_r10!$C$2:$C$999,Veda!N$17,ar6_r10!$M$2:$M$999,Veda!$G21)</f>
        <v>0.080000000000000002</v>
      </c>
      <c r="O21" s="11">
        <f>SUMIFS(ar6_r10!$F$2:$F$999,ar6_r10!$A$2:$A$999,Veda!$E$5,ar6_r10!$C$2:$C$999,Veda!O$17,ar6_r10!$M$2:$M$999,Veda!$G21)</f>
        <v>0.10000000000000001</v>
      </c>
      <c r="S21" s="10" t="s">
        <v>24</v>
      </c>
      <c r="T21" s="6">
        <f>I21*T$14</f>
        <v>0</v>
      </c>
      <c r="U21" s="6">
        <f t="shared" si="9" ref="U21:Z21">T21</f>
        <v>0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0</v>
      </c>
      <c r="AA21" t="s">
        <v>17</v>
      </c>
      <c r="AC21" s="2" t="s">
        <v>20</v>
      </c>
      <c r="AJ21" s="10">
        <f t="shared" si="6"/>
        <v>3</v>
      </c>
    </row>
    <row r="22" spans="1:36" ht="14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si="10" ref="T22:Z22">T14-SUM(T19:T21)</f>
        <v>1.5533000000000072</v>
      </c>
      <c r="U22" s="6">
        <f t="shared" si="10"/>
        <v>3.6657879999999921</v>
      </c>
      <c r="V22" s="6">
        <f t="shared" si="10"/>
        <v>8.8848759999999913</v>
      </c>
      <c r="W22" s="6">
        <f t="shared" si="10"/>
        <v>9.9411199999999837</v>
      </c>
      <c r="X22" s="6">
        <f t="shared" si="10"/>
        <v>21.420006999999998</v>
      </c>
      <c r="Y22" s="6">
        <f t="shared" si="10"/>
        <v>37.279200000000003</v>
      </c>
      <c r="Z22" s="6">
        <f t="shared" si="10"/>
        <v>53.480119000000002</v>
      </c>
      <c r="AA22" t="s">
        <v>17</v>
      </c>
      <c r="AJ22" s="10">
        <f t="shared" si="6"/>
        <v>3</v>
      </c>
    </row>
    <row r="23" spans="1:36" ht="14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41.969999999999999</v>
      </c>
      <c r="L24" s="8">
        <f>SUMIFS(ar6_r10!$F$2:$F$999,ar6_r10!$A$2:$A$999,Veda!$E$5,ar6_r10!$C$2:$C$999,Veda!L$17,ar6_r10!$M$2:$M$999,Veda!$G24)</f>
        <v>129.56999999999999</v>
      </c>
      <c r="M24" s="8">
        <f>SUMIFS(ar6_r10!$F$2:$F$999,ar6_r10!$A$2:$A$999,Veda!$E$5,ar6_r10!$C$2:$C$999,Veda!M$17,ar6_r10!$M$2:$M$999,Veda!$G24)</f>
        <v>165.63999999999999</v>
      </c>
      <c r="N24" s="8">
        <f>SUMIFS(ar6_r10!$F$2:$F$999,ar6_r10!$A$2:$A$999,Veda!$E$5,ar6_r10!$C$2:$C$999,Veda!N$17,ar6_r10!$M$2:$M$999,Veda!$G24)</f>
        <v>249.21000000000001</v>
      </c>
      <c r="O24" s="8">
        <f>SUMIFS(ar6_r10!$F$2:$F$999,ar6_r10!$A$2:$A$999,Veda!$E$5,ar6_r10!$C$2:$C$999,Veda!O$17,ar6_r10!$M$2:$M$999,Veda!$G24)</f>
        <v>285.02999999999997</v>
      </c>
      <c r="S24" t="s">
        <v>28</v>
      </c>
      <c r="U24">
        <v>0</v>
      </c>
      <c r="V24" s="11">
        <f>K24/1000</f>
        <v>0.04197</v>
      </c>
      <c r="W24" s="11">
        <f>L24/1000</f>
        <v>0.12956999999999999</v>
      </c>
      <c r="X24" s="11">
        <f>M24/1000</f>
        <v>0.16563999999999998</v>
      </c>
      <c r="Y24" s="11">
        <f>N24/1000</f>
        <v>0.24921000000000001</v>
      </c>
      <c r="Z24" s="11">
        <f>O24/1000</f>
        <v>0.28502999999999995</v>
      </c>
      <c r="AA24" t="s">
        <v>29</v>
      </c>
      <c r="AJ24" s="10">
        <f t="shared" si="6"/>
        <v>4</v>
      </c>
    </row>
    <row r="25" spans="1:36" ht="14.65" customHeight="1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5" customHeight="1" thickBot="1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si="11" ref="T27:Z27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0.5</v>
      </c>
      <c r="S28" t="s">
        <v>32</v>
      </c>
      <c r="T28" s="3">
        <f>Q28</f>
        <v>0.5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-0.60999999999999999</v>
      </c>
      <c r="S29" t="s">
        <v>35</v>
      </c>
      <c r="T29" s="3">
        <f>-1*Q29</f>
        <v>0.60999999999999999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ht="14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ht="14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ht="17.65" thickBot="1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S33" s="21" t="s">
        <v>12</v>
      </c>
      <c r="T33" s="19"/>
      <c r="U33" s="19"/>
      <c r="V33" s="19"/>
      <c r="W33" s="19"/>
      <c r="X33" s="19"/>
      <c r="Y33" s="19"/>
      <c r="Z33" s="19"/>
      <c r="AA33" s="19"/>
      <c r="AJ33" s="10">
        <f t="shared" si="6"/>
        <v>5</v>
      </c>
    </row>
    <row r="34" spans="1:36" ht="15" thickTop="1" thickBot="1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S34" s="20" t="s">
        <v>13</v>
      </c>
      <c r="T34" s="20">
        <v>2025</v>
      </c>
      <c r="U34" s="20">
        <v>2026</v>
      </c>
      <c r="V34" s="20">
        <v>2028</v>
      </c>
      <c r="W34" s="20">
        <v>2032</v>
      </c>
      <c r="X34" s="20">
        <v>2035</v>
      </c>
      <c r="Y34" s="20">
        <v>2045</v>
      </c>
      <c r="Z34" s="20">
        <v>2050</v>
      </c>
      <c r="AA34" s="20" t="s">
        <v>14</v>
      </c>
      <c r="AJ34" s="10">
        <f t="shared" si="6"/>
        <v>6</v>
      </c>
    </row>
    <row r="35" spans="1:36" ht="14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S35" s="23" t="s">
        <v>413</v>
      </c>
      <c r="T35" s="22">
        <v>0</v>
      </c>
      <c r="U35" s="22">
        <v>1.752</v>
      </c>
      <c r="V35" s="22">
        <v>8.76</v>
      </c>
      <c r="W35" s="22">
        <v>26.28</v>
      </c>
      <c r="X35" s="22">
        <v>43.80</v>
      </c>
      <c r="Y35" s="22"/>
      <c r="Z35" s="22"/>
      <c r="AA35" s="19" t="s">
        <v>17</v>
      </c>
      <c r="AJ35" s="10">
        <f t="shared" si="6"/>
        <v>6</v>
      </c>
    </row>
    <row r="36" spans="1:36" ht="14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ht="14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1.1499999999999999</v>
      </c>
      <c r="K37" s="11">
        <f>SUMIFS(ar6_r10!$F$2:$F$999,ar6_r10!$A$2:$A$999,Veda!$G$36,ar6_r10!$C$2:$C$999,Veda!K$17,ar6_r10!$M$2:$M$999,Veda!$G37)</f>
        <v>1.28</v>
      </c>
      <c r="L37" s="11">
        <f>SUMIFS(ar6_r10!$F$2:$F$999,ar6_r10!$A$2:$A$999,Veda!$G$36,ar6_r10!$C$2:$C$999,Veda!L$17,ar6_r10!$M$2:$M$999,Veda!$G37)</f>
        <v>1.22</v>
      </c>
      <c r="M37" s="11">
        <f>SUMIFS(ar6_r10!$F$2:$F$999,ar6_r10!$A$2:$A$999,Veda!$G$36,ar6_r10!$C$2:$C$999,Veda!M$17,ar6_r10!$M$2:$M$999,Veda!$G37)</f>
        <v>1.4099999999999999</v>
      </c>
      <c r="N37" s="11">
        <f>SUMIFS(ar6_r10!$F$2:$F$999,ar6_r10!$A$2:$A$999,Veda!$G$36,ar6_r10!$C$2:$C$999,Veda!N$17,ar6_r10!$M$2:$M$999,Veda!$G37)</f>
        <v>1.47</v>
      </c>
      <c r="O37" s="11">
        <f>SUMIFS(ar6_r10!$F$2:$F$999,ar6_r10!$A$2:$A$999,Veda!$G$36,ar6_r10!$C$2:$C$999,Veda!O$17,ar6_r10!$M$2:$M$999,Veda!$G37)</f>
        <v>1.5900000000000001</v>
      </c>
      <c r="AJ37" s="10">
        <f t="shared" si="6"/>
        <v>6</v>
      </c>
    </row>
    <row r="38" spans="1:36" ht="14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1.0600000000000001</v>
      </c>
      <c r="L38" s="11">
        <f>SUMIFS(ar6_r10!$F$2:$F$999,ar6_r10!$A$2:$A$999,Veda!$G$36,ar6_r10!$C$2:$C$999,Veda!L$17,ar6_r10!$M$2:$M$999,Veda!$G38)</f>
        <v>1.0800000000000001</v>
      </c>
      <c r="M38" s="11">
        <f>SUMIFS(ar6_r10!$F$2:$F$999,ar6_r10!$A$2:$A$999,Veda!$G$36,ar6_r10!$C$2:$C$999,Veda!M$17,ar6_r10!$M$2:$M$999,Veda!$G38)</f>
        <v>1.1699999999999999</v>
      </c>
      <c r="N38" s="11">
        <f>SUMIFS(ar6_r10!$F$2:$F$999,ar6_r10!$A$2:$A$999,Veda!$G$36,ar6_r10!$C$2:$C$999,Veda!N$17,ar6_r10!$M$2:$M$999,Veda!$G38)</f>
        <v>1.21</v>
      </c>
      <c r="O38" s="11">
        <f>SUMIFS(ar6_r10!$F$2:$F$999,ar6_r10!$A$2:$A$999,Veda!$G$36,ar6_r10!$C$2:$C$999,Veda!O$17,ar6_r10!$M$2:$M$999,Veda!$G38)</f>
        <v>1.26</v>
      </c>
      <c r="AJ38" s="10">
        <f t="shared" si="6"/>
        <v>6</v>
      </c>
    </row>
    <row r="39" spans="1:36" ht="14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0.96999999999999997</v>
      </c>
      <c r="K39" s="11">
        <f>SUMIFS(ar6_r10!$F$2:$F$999,ar6_r10!$A$2:$A$999,Veda!$G$36,ar6_r10!$C$2:$C$999,Veda!K$17,ar6_r10!$M$2:$M$999,Veda!$G39)</f>
        <v>1.28</v>
      </c>
      <c r="L39" s="11">
        <f>SUMIFS(ar6_r10!$F$2:$F$999,ar6_r10!$A$2:$A$999,Veda!$G$36,ar6_r10!$C$2:$C$999,Veda!L$17,ar6_r10!$M$2:$M$999,Veda!$G39)</f>
        <v>1.0900000000000001</v>
      </c>
      <c r="M39" s="11">
        <f>SUMIFS(ar6_r10!$F$2:$F$999,ar6_r10!$A$2:$A$999,Veda!$G$36,ar6_r10!$C$2:$C$999,Veda!M$17,ar6_r10!$M$2:$M$999,Veda!$G39)</f>
        <v>1.3899999999999999</v>
      </c>
      <c r="N39" s="11">
        <f>SUMIFS(ar6_r10!$F$2:$F$999,ar6_r10!$A$2:$A$999,Veda!$G$36,ar6_r10!$C$2:$C$999,Veda!N$17,ar6_r10!$M$2:$M$999,Veda!$G39)</f>
        <v>1.53</v>
      </c>
      <c r="O39" s="11">
        <f>SUMIFS(ar6_r10!$F$2:$F$999,ar6_r10!$A$2:$A$999,Veda!$G$36,ar6_r10!$C$2:$C$999,Veda!O$17,ar6_r10!$M$2:$M$999,Veda!$G39)</f>
        <v>1.73</v>
      </c>
      <c r="AJ39" s="10">
        <f t="shared" si="6"/>
        <v>7</v>
      </c>
    </row>
    <row r="40" spans="1:36" ht="14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1.1000000000000001</v>
      </c>
      <c r="L40" s="11">
        <f>SUMIFS(ar6_r10!$F$2:$F$999,ar6_r10!$A$2:$A$999,Veda!$G$36,ar6_r10!$C$2:$C$999,Veda!L$17,ar6_r10!$M$2:$M$999,Veda!$G40)</f>
        <v>1.1599999999999999</v>
      </c>
      <c r="M40" s="11">
        <f>SUMIFS(ar6_r10!$F$2:$F$999,ar6_r10!$A$2:$A$999,Veda!$G$36,ar6_r10!$C$2:$C$999,Veda!M$17,ar6_r10!$M$2:$M$999,Veda!$G40)</f>
        <v>1.1699999999999999</v>
      </c>
      <c r="N40" s="11">
        <f>SUMIFS(ar6_r10!$F$2:$F$999,ar6_r10!$A$2:$A$999,Veda!$G$36,ar6_r10!$C$2:$C$999,Veda!N$17,ar6_r10!$M$2:$M$999,Veda!$G40)</f>
        <v>1.1599999999999999</v>
      </c>
      <c r="O40" s="11">
        <f>SUMIFS(ar6_r10!$F$2:$F$999,ar6_r10!$A$2:$A$999,Veda!$G$36,ar6_r10!$C$2:$C$999,Veda!O$17,ar6_r10!$M$2:$M$999,Veda!$G40)</f>
        <v>1.1699999999999999</v>
      </c>
      <c r="AJ40" s="10">
        <f t="shared" si="6"/>
        <v>7</v>
      </c>
    </row>
    <row r="41" spans="1:36" ht="14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ht="14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ht="14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ht="14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si="12" ref="K44:O44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ht="14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si="13" ref="I45:O48">AVERAGE($R45:$S45)*I37</f>
        <v>10.300000000000001</v>
      </c>
      <c r="J45">
        <f t="shared" si="13"/>
        <v>11.845000000000001</v>
      </c>
      <c r="K45">
        <f t="shared" si="13"/>
        <v>13.184000000000001</v>
      </c>
      <c r="L45">
        <f t="shared" si="13"/>
        <v>12.566000000000001</v>
      </c>
      <c r="M45">
        <f t="shared" si="13"/>
        <v>14.523</v>
      </c>
      <c r="N45">
        <f t="shared" si="13"/>
        <v>15.141</v>
      </c>
      <c r="O45">
        <f t="shared" si="13"/>
        <v>16.377000000000002</v>
      </c>
      <c r="R45">
        <f>HLOOKUP($G45&amp;"_"&amp;R$44,fuel_prices!$B$10:$I$11,2,FALSE)</f>
        <v>6.9000000000000004</v>
      </c>
      <c r="S45">
        <f>HLOOKUP($G45&amp;"_"&amp;S$44,fuel_prices!$B$10:$I$11,2,FALSE)</f>
        <v>13.699999999999999</v>
      </c>
      <c r="AJ45" s="10">
        <f t="shared" si="6"/>
        <v>8</v>
      </c>
    </row>
    <row r="46" spans="1:36" ht="14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si="14" ref="H46:H48">G46</f>
        <v>Coal</v>
      </c>
      <c r="I46">
        <f t="shared" si="13"/>
        <v>17.5</v>
      </c>
      <c r="J46">
        <f t="shared" si="13"/>
        <v>17.850000000000001</v>
      </c>
      <c r="K46">
        <f t="shared" si="13"/>
        <v>18.550000000000001</v>
      </c>
      <c r="L46">
        <f t="shared" si="13"/>
        <v>18.900000000000002</v>
      </c>
      <c r="M46">
        <f t="shared" si="13"/>
        <v>20.474999999999998</v>
      </c>
      <c r="N46">
        <f t="shared" si="13"/>
        <v>21.175000000000001</v>
      </c>
      <c r="O46">
        <f t="shared" si="13"/>
        <v>22.050000000000001</v>
      </c>
      <c r="R46">
        <f>HLOOKUP($G46&amp;"_"&amp;R$44,fuel_prices!$B$10:$I$11,2,FALSE)</f>
        <v>15.199999999999999</v>
      </c>
      <c r="S46">
        <f>HLOOKUP($G46&amp;"_"&amp;S$44,fuel_prices!$B$10:$I$11,2,FALSE)</f>
        <v>19.800000000000001</v>
      </c>
      <c r="AJ46" s="10">
        <f t="shared" si="6"/>
        <v>8</v>
      </c>
    </row>
    <row r="47" spans="1:36" ht="14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40</v>
      </c>
      <c r="J47">
        <f t="shared" si="13"/>
        <v>38.799999999999997</v>
      </c>
      <c r="K47">
        <f t="shared" si="13"/>
        <v>51.200000000000003</v>
      </c>
      <c r="L47">
        <f t="shared" si="13"/>
        <v>43.600000000000001</v>
      </c>
      <c r="M47">
        <f t="shared" si="13"/>
        <v>55.599999999999994</v>
      </c>
      <c r="N47">
        <f t="shared" si="13"/>
        <v>61.200000000000003</v>
      </c>
      <c r="O47">
        <f t="shared" si="13"/>
        <v>69.200000000000003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6"/>
        <v>8</v>
      </c>
    </row>
    <row r="48" spans="1:36" ht="14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99</v>
      </c>
      <c r="O48">
        <f>VLOOKUP($E$5,$AK$9:$AM$15,3,FALSE)*I48</f>
        <v>396</v>
      </c>
      <c r="R48">
        <f>HLOOKUP($G48&amp;"_"&amp;R$44,fuel_prices!$B$10:$I$11,2,FALSE)</f>
        <v>99</v>
      </c>
      <c r="S48">
        <f>HLOOKUP($G48&amp;"_"&amp;S$44,fuel_prices!$B$10:$I$11,2,FALSE)</f>
        <v>99</v>
      </c>
      <c r="AJ48" s="10">
        <f t="shared" si="6"/>
        <v>8</v>
      </c>
    </row>
    <row r="49" spans="36:36" ht="14.25">
      <c r="AJ49" s="10">
        <f t="shared" si="6"/>
        <v>9</v>
      </c>
    </row>
    <row r="50" spans="36:36" ht="14.25">
      <c r="AJ50" s="10">
        <f t="shared" si="6"/>
        <v>9</v>
      </c>
    </row>
    <row r="51" spans="36:36" ht="14.25">
      <c r="AJ51" s="10">
        <f t="shared" si="6"/>
        <v>9</v>
      </c>
    </row>
    <row r="52" spans="36:36" ht="14.25">
      <c r="AJ52" s="10">
        <f t="shared" si="6"/>
        <v>9</v>
      </c>
    </row>
    <row r="53" spans="36:36" ht="14.25">
      <c r="AJ53" s="10">
        <f t="shared" si="6"/>
        <v>9</v>
      </c>
    </row>
    <row r="54" spans="36:36" ht="14.25">
      <c r="AJ54" s="10">
        <f t="shared" si="6"/>
        <v>10</v>
      </c>
    </row>
    <row r="55" spans="36:36" ht="14.25">
      <c r="AJ55" s="10">
        <f t="shared" si="6"/>
        <v>10</v>
      </c>
    </row>
    <row r="56" spans="36:36" ht="14.25">
      <c r="AJ56" s="10">
        <f t="shared" si="6"/>
        <v>10</v>
      </c>
    </row>
    <row r="57" spans="36:36" ht="14.25">
      <c r="AJ57" s="10">
        <f t="shared" si="6"/>
        <v>10</v>
      </c>
    </row>
    <row r="58" spans="36:36" ht="14.25">
      <c r="AJ58" s="10">
        <f t="shared" si="6"/>
        <v>10</v>
      </c>
    </row>
    <row r="59" spans="36:36" ht="14.25">
      <c r="AJ59" s="10">
        <f t="shared" si="6"/>
        <v>11</v>
      </c>
    </row>
    <row r="60" spans="36:36" ht="14.25">
      <c r="AJ60" s="10">
        <f t="shared" si="6"/>
        <v>11</v>
      </c>
    </row>
    <row r="61" spans="36:36" ht="14.25">
      <c r="AJ61" s="10">
        <f t="shared" si="6"/>
        <v>11</v>
      </c>
    </row>
    <row r="62" spans="36:36" ht="14.25">
      <c r="AJ62" s="10">
        <f t="shared" si="6"/>
        <v>11</v>
      </c>
    </row>
    <row r="63" spans="36:36" ht="14.25">
      <c r="AJ63" s="10">
        <f t="shared" si="6"/>
        <v>11</v>
      </c>
    </row>
    <row r="64" spans="36:36" ht="14.25">
      <c r="AJ64" s="10">
        <f t="shared" si="6"/>
        <v>12</v>
      </c>
    </row>
    <row r="65" spans="36:36" ht="14.25">
      <c r="AJ65" s="10">
        <f t="shared" si="6"/>
        <v>12</v>
      </c>
    </row>
    <row r="66" spans="36:36" ht="14.25">
      <c r="AJ66" s="10">
        <f t="shared" si="6"/>
        <v>12</v>
      </c>
    </row>
    <row r="67" spans="36:36" ht="14.25">
      <c r="AJ67" s="10">
        <f t="shared" si="6"/>
        <v>12</v>
      </c>
    </row>
    <row r="68" spans="36:36" ht="14.25">
      <c r="AJ68" s="10">
        <f t="shared" si="6"/>
        <v>12</v>
      </c>
    </row>
    <row r="69" spans="36:36" ht="14.25">
      <c r="AJ69" s="10">
        <f t="shared" si="6"/>
        <v>13</v>
      </c>
    </row>
    <row r="70" spans="36:36" ht="14.25">
      <c r="AJ70" s="10">
        <f t="shared" si="6"/>
        <v>13</v>
      </c>
    </row>
    <row r="71" spans="36:36" ht="14.25">
      <c r="AJ71" s="10">
        <f t="shared" si="6"/>
        <v>13</v>
      </c>
    </row>
    <row r="72" spans="36:36" ht="14.25">
      <c r="AJ72" s="10">
        <f t="shared" si="6"/>
        <v>13</v>
      </c>
    </row>
    <row r="73" spans="36:36" ht="14.25">
      <c r="AJ73" s="10">
        <f t="shared" si="6"/>
        <v>13</v>
      </c>
    </row>
    <row r="74" spans="36:36" ht="14.25">
      <c r="AJ74" s="10">
        <f t="shared" si="6"/>
        <v>14</v>
      </c>
    </row>
    <row r="75" spans="36:36" ht="14.25">
      <c r="AJ75" s="10">
        <f t="shared" si="6"/>
        <v>14</v>
      </c>
    </row>
    <row r="76" spans="36:36" ht="14.25">
      <c r="AJ76" s="10">
        <f t="shared" si="6"/>
        <v>14</v>
      </c>
    </row>
    <row r="77" spans="36:36" ht="14.25">
      <c r="AJ77" s="10">
        <f t="shared" si="6"/>
        <v>14</v>
      </c>
    </row>
    <row r="78" spans="36:36" ht="14.25">
      <c r="AJ78" s="10">
        <f t="shared" si="6"/>
        <v>14</v>
      </c>
    </row>
  </sheetData>
  <pageMargins left="0.7" right="0.7" top="0.75" bottom="0.75" header="0.3" footer="0.3"/>
  <pageSetup orientation="portrait" paperSize="1" r:id="rId4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9:J11"/>
  <sheetViews>
    <sheetView workbookViewId="0" topLeftCell="A1">
      <selection pane="topLeft" activeCell="A1" sqref="A1:H1"/>
    </sheetView>
  </sheetViews>
  <sheetFormatPr defaultRowHeight="14.25"/>
  <cols>
    <col min="1" max="7" width="10.625" customWidth="1"/>
    <col min="8" max="8" width="13.375" bestFit="1" customWidth="1"/>
    <col min="9" max="9" width="14.125" bestFit="1" customWidth="1"/>
    <col min="10" max="10" width="26.375" bestFit="1" customWidth="1"/>
  </cols>
  <sheetData>
    <row r="1" ht="22.05" customHeight="1"/>
    <row r="9" spans="1:1" ht="14.25">
      <c r="A9" t="s">
        <v>60</v>
      </c>
    </row>
    <row r="10" spans="1:10" ht="14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ht="14.25">
      <c r="A11" t="s">
        <v>133</v>
      </c>
      <c r="B11">
        <v>6.90</v>
      </c>
      <c r="C11">
        <v>13.70</v>
      </c>
      <c r="D11">
        <v>15.20</v>
      </c>
      <c r="E11">
        <v>19.80</v>
      </c>
      <c r="F11">
        <v>35</v>
      </c>
      <c r="G11">
        <v>45</v>
      </c>
      <c r="H11">
        <v>99</v>
      </c>
      <c r="I11">
        <v>99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I33"/>
  <sheetViews>
    <sheetView workbookViewId="0" topLeftCell="A1">
      <selection pane="topLeft" activeCell="A1" sqref="A1:H1"/>
    </sheetView>
  </sheetViews>
  <sheetFormatPr defaultRowHeight="14.25"/>
  <cols>
    <col min="1" max="2" width="10.625" customWidth="1"/>
    <col min="3" max="3" width="11.75" bestFit="1" customWidth="1"/>
    <col min="4" max="4" width="16.875" bestFit="1" customWidth="1"/>
    <col min="5" max="5" width="21" bestFit="1" customWidth="1"/>
    <col min="6" max="6" width="17.625" bestFit="1" customWidth="1"/>
    <col min="7" max="7" width="11.5" bestFit="1" customWidth="1"/>
    <col min="8" max="8" width="11.25" bestFit="1" customWidth="1"/>
    <col min="9" max="9" width="19.25" bestFit="1" customWidth="1"/>
  </cols>
  <sheetData>
    <row r="1" ht="22.05" customHeight="1"/>
    <row r="9" spans="1:1" ht="14.25">
      <c r="A9" t="s">
        <v>58</v>
      </c>
    </row>
    <row r="10" spans="1:9" ht="14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ht="14.25">
      <c r="A11" t="s">
        <v>133</v>
      </c>
      <c r="B11">
        <v>2000</v>
      </c>
      <c r="C11">
        <v>9.3000000000000007</v>
      </c>
      <c r="D11">
        <v>30.16</v>
      </c>
      <c r="E11">
        <v>0</v>
      </c>
      <c r="F11">
        <v>0</v>
      </c>
      <c r="G11">
        <v>0</v>
      </c>
      <c r="H11">
        <v>0</v>
      </c>
      <c r="I11">
        <v>39.94</v>
      </c>
    </row>
    <row r="12" spans="1:9" ht="14.25">
      <c r="A12" t="s">
        <v>133</v>
      </c>
      <c r="B12">
        <v>2001</v>
      </c>
      <c r="C12">
        <v>10.039999999999999</v>
      </c>
      <c r="D12">
        <v>32.60</v>
      </c>
      <c r="E12">
        <v>0</v>
      </c>
      <c r="F12">
        <v>0</v>
      </c>
      <c r="G12">
        <v>0</v>
      </c>
      <c r="H12">
        <v>0</v>
      </c>
      <c r="I12">
        <v>43.17</v>
      </c>
    </row>
    <row r="13" spans="1:9" ht="14.25">
      <c r="A13" t="s">
        <v>133</v>
      </c>
      <c r="B13">
        <v>2002</v>
      </c>
      <c r="C13">
        <v>10.89</v>
      </c>
      <c r="D13">
        <v>35.380000000000003</v>
      </c>
      <c r="E13">
        <v>0</v>
      </c>
      <c r="F13">
        <v>0</v>
      </c>
      <c r="G13">
        <v>0</v>
      </c>
      <c r="H13">
        <v>0</v>
      </c>
      <c r="I13">
        <v>46.86</v>
      </c>
    </row>
    <row r="14" spans="1:9" ht="14.25">
      <c r="A14" t="s">
        <v>133</v>
      </c>
      <c r="B14">
        <v>2003</v>
      </c>
      <c r="C14">
        <v>11.56</v>
      </c>
      <c r="D14">
        <v>37.340000000000003</v>
      </c>
      <c r="E14">
        <v>0</v>
      </c>
      <c r="F14">
        <v>0</v>
      </c>
      <c r="G14">
        <v>0</v>
      </c>
      <c r="H14">
        <v>0</v>
      </c>
      <c r="I14">
        <v>49.45</v>
      </c>
    </row>
    <row r="15" spans="1:9" ht="14.25">
      <c r="A15" t="s">
        <v>133</v>
      </c>
      <c r="B15">
        <v>2004</v>
      </c>
      <c r="C15">
        <v>12.24</v>
      </c>
      <c r="D15">
        <v>39.58</v>
      </c>
      <c r="E15">
        <v>0</v>
      </c>
      <c r="F15">
        <v>0</v>
      </c>
      <c r="G15">
        <v>0</v>
      </c>
      <c r="H15">
        <v>0</v>
      </c>
      <c r="I15">
        <v>52.42</v>
      </c>
    </row>
    <row r="16" spans="1:9" ht="14.25">
      <c r="A16" t="s">
        <v>133</v>
      </c>
      <c r="B16">
        <v>2005</v>
      </c>
      <c r="C16">
        <v>13.94</v>
      </c>
      <c r="D16">
        <v>45.84</v>
      </c>
      <c r="E16">
        <v>0</v>
      </c>
      <c r="F16">
        <v>0</v>
      </c>
      <c r="G16">
        <v>0</v>
      </c>
      <c r="H16">
        <v>0</v>
      </c>
      <c r="I16">
        <v>60.70</v>
      </c>
    </row>
    <row r="17" spans="1:9" ht="14.25">
      <c r="A17" t="s">
        <v>133</v>
      </c>
      <c r="B17">
        <v>2006</v>
      </c>
      <c r="C17">
        <v>15.48</v>
      </c>
      <c r="D17">
        <v>50.42</v>
      </c>
      <c r="E17">
        <v>0</v>
      </c>
      <c r="F17">
        <v>0</v>
      </c>
      <c r="G17">
        <v>0</v>
      </c>
      <c r="H17">
        <v>0</v>
      </c>
      <c r="I17">
        <v>66.77</v>
      </c>
    </row>
    <row r="18" spans="1:9" ht="14.25">
      <c r="A18" t="s">
        <v>133</v>
      </c>
      <c r="B18">
        <v>2007</v>
      </c>
      <c r="C18">
        <v>18.02</v>
      </c>
      <c r="D18">
        <v>59.48</v>
      </c>
      <c r="E18">
        <v>0</v>
      </c>
      <c r="F18">
        <v>0</v>
      </c>
      <c r="G18">
        <v>0</v>
      </c>
      <c r="H18">
        <v>0</v>
      </c>
      <c r="I18">
        <v>78.760000000000005</v>
      </c>
    </row>
    <row r="19" spans="1:9" ht="14.25">
      <c r="A19" t="s">
        <v>133</v>
      </c>
      <c r="B19">
        <v>2008</v>
      </c>
      <c r="C19">
        <v>18.41</v>
      </c>
      <c r="D19">
        <v>60.90</v>
      </c>
      <c r="E19">
        <v>0</v>
      </c>
      <c r="F19">
        <v>0</v>
      </c>
      <c r="G19">
        <v>0</v>
      </c>
      <c r="H19">
        <v>0</v>
      </c>
      <c r="I19">
        <v>80.459999999999994</v>
      </c>
    </row>
    <row r="20" spans="1:9" ht="14.25">
      <c r="A20" t="s">
        <v>133</v>
      </c>
      <c r="B20">
        <v>2009</v>
      </c>
      <c r="C20">
        <v>19.61</v>
      </c>
      <c r="D20">
        <v>64.73</v>
      </c>
      <c r="E20">
        <v>0</v>
      </c>
      <c r="F20">
        <v>0</v>
      </c>
      <c r="G20">
        <v>0</v>
      </c>
      <c r="H20">
        <v>0</v>
      </c>
      <c r="I20">
        <v>85.70</v>
      </c>
    </row>
    <row r="21" spans="1:9" ht="14.25">
      <c r="A21" t="s">
        <v>133</v>
      </c>
      <c r="B21">
        <v>2010</v>
      </c>
      <c r="C21">
        <v>21.50</v>
      </c>
      <c r="D21">
        <v>70.59</v>
      </c>
      <c r="E21">
        <v>0</v>
      </c>
      <c r="F21">
        <v>0</v>
      </c>
      <c r="G21">
        <v>0</v>
      </c>
      <c r="H21">
        <v>0</v>
      </c>
      <c r="I21">
        <v>93.95</v>
      </c>
    </row>
    <row r="22" spans="1:9" ht="14.25">
      <c r="A22" t="s">
        <v>133</v>
      </c>
      <c r="B22">
        <v>2011</v>
      </c>
      <c r="C22">
        <v>22.68</v>
      </c>
      <c r="D22">
        <v>74.30</v>
      </c>
      <c r="E22">
        <v>0</v>
      </c>
      <c r="F22">
        <v>0</v>
      </c>
      <c r="G22">
        <v>0.02</v>
      </c>
      <c r="H22">
        <v>-0.04</v>
      </c>
      <c r="I22">
        <v>99.14</v>
      </c>
    </row>
    <row r="23" spans="1:9" ht="14.25">
      <c r="A23" t="s">
        <v>133</v>
      </c>
      <c r="B23">
        <v>2012</v>
      </c>
      <c r="C23">
        <v>24.30</v>
      </c>
      <c r="D23">
        <v>79.55</v>
      </c>
      <c r="E23">
        <v>0</v>
      </c>
      <c r="F23">
        <v>0</v>
      </c>
      <c r="G23">
        <v>0.22</v>
      </c>
      <c r="H23">
        <v>-0.25</v>
      </c>
      <c r="I23">
        <v>106.22</v>
      </c>
    </row>
    <row r="24" spans="1:9" ht="14.25">
      <c r="A24" t="s">
        <v>133</v>
      </c>
      <c r="B24">
        <v>2013</v>
      </c>
      <c r="C24">
        <v>25.81</v>
      </c>
      <c r="D24">
        <v>82.79</v>
      </c>
      <c r="E24">
        <v>0</v>
      </c>
      <c r="F24">
        <v>0</v>
      </c>
      <c r="G24">
        <v>0.23</v>
      </c>
      <c r="H24">
        <v>-0.24</v>
      </c>
      <c r="I24">
        <v>110</v>
      </c>
    </row>
    <row r="25" spans="1:9" ht="14.25">
      <c r="A25" t="s">
        <v>133</v>
      </c>
      <c r="B25">
        <v>2014</v>
      </c>
      <c r="C25">
        <v>27.23</v>
      </c>
      <c r="D25">
        <v>87.54</v>
      </c>
      <c r="E25">
        <v>0</v>
      </c>
      <c r="F25">
        <v>0</v>
      </c>
      <c r="G25">
        <v>0.25</v>
      </c>
      <c r="H25">
        <v>-0.28000000000000003</v>
      </c>
      <c r="I25">
        <v>116.54</v>
      </c>
    </row>
    <row r="26" spans="1:9" ht="14.25">
      <c r="A26" t="s">
        <v>133</v>
      </c>
      <c r="B26">
        <v>2015</v>
      </c>
      <c r="C26">
        <v>33.86</v>
      </c>
      <c r="D26">
        <v>93.78</v>
      </c>
      <c r="E26">
        <v>0</v>
      </c>
      <c r="F26">
        <v>0</v>
      </c>
      <c r="G26">
        <v>0.23</v>
      </c>
      <c r="H26">
        <v>-0.25</v>
      </c>
      <c r="I26">
        <v>127.38</v>
      </c>
    </row>
    <row r="27" spans="1:9" ht="14.25">
      <c r="A27" t="s">
        <v>133</v>
      </c>
      <c r="B27">
        <v>2016</v>
      </c>
      <c r="C27">
        <v>34.299999999999997</v>
      </c>
      <c r="D27">
        <v>95.01</v>
      </c>
      <c r="E27">
        <v>0</v>
      </c>
      <c r="F27">
        <v>0</v>
      </c>
      <c r="G27">
        <v>1.1399999999999999</v>
      </c>
      <c r="H27">
        <v>-0.51</v>
      </c>
      <c r="I27">
        <v>129.61000000000001</v>
      </c>
    </row>
    <row r="28" spans="1:9" ht="14.25">
      <c r="A28" t="s">
        <v>133</v>
      </c>
      <c r="B28">
        <v>2017</v>
      </c>
      <c r="C28">
        <v>35.11</v>
      </c>
      <c r="D28">
        <v>99.16</v>
      </c>
      <c r="E28">
        <v>0</v>
      </c>
      <c r="F28">
        <v>0</v>
      </c>
      <c r="G28">
        <v>0.51</v>
      </c>
      <c r="H28">
        <v>-0.62</v>
      </c>
      <c r="I28">
        <v>134.57</v>
      </c>
    </row>
    <row r="29" spans="1:9" ht="14.25">
      <c r="A29" t="s">
        <v>133</v>
      </c>
      <c r="B29">
        <v>2018</v>
      </c>
      <c r="C29">
        <v>34.869999999999997</v>
      </c>
      <c r="D29">
        <v>100.85</v>
      </c>
      <c r="E29">
        <v>0</v>
      </c>
      <c r="F29">
        <v>0</v>
      </c>
      <c r="G29">
        <v>0.49</v>
      </c>
      <c r="H29">
        <v>-0.52</v>
      </c>
      <c r="I29">
        <v>136.01</v>
      </c>
    </row>
    <row r="30" spans="1:9" ht="14.25">
      <c r="A30" t="s">
        <v>133</v>
      </c>
      <c r="B30">
        <v>2019</v>
      </c>
      <c r="C30">
        <v>35.49</v>
      </c>
      <c r="D30">
        <v>102.64</v>
      </c>
      <c r="E30">
        <v>0</v>
      </c>
      <c r="F30">
        <v>0</v>
      </c>
      <c r="G30">
        <v>0.24</v>
      </c>
      <c r="H30">
        <v>-0.26</v>
      </c>
      <c r="I30">
        <v>138.44999999999999</v>
      </c>
    </row>
    <row r="31" spans="1:9" ht="14.25">
      <c r="A31" t="s">
        <v>133</v>
      </c>
      <c r="B31">
        <v>2020</v>
      </c>
      <c r="C31">
        <v>33</v>
      </c>
      <c r="D31">
        <v>104.03</v>
      </c>
      <c r="E31">
        <v>0</v>
      </c>
      <c r="F31">
        <v>0</v>
      </c>
      <c r="G31">
        <v>0.21</v>
      </c>
      <c r="H31">
        <v>-0.23</v>
      </c>
      <c r="I31">
        <v>137.31</v>
      </c>
    </row>
    <row r="32" spans="1:9" ht="14.25">
      <c r="A32" t="s">
        <v>133</v>
      </c>
      <c r="B32">
        <v>2021</v>
      </c>
      <c r="C32">
        <v>34.64</v>
      </c>
      <c r="D32">
        <v>114.12</v>
      </c>
      <c r="E32">
        <v>0</v>
      </c>
      <c r="F32">
        <v>0</v>
      </c>
      <c r="G32">
        <v>0.87</v>
      </c>
      <c r="H32">
        <v>-0.66</v>
      </c>
      <c r="I32">
        <v>149.05000000000001</v>
      </c>
    </row>
    <row r="33" spans="1:9" ht="14.25">
      <c r="A33" t="s">
        <v>133</v>
      </c>
      <c r="B33">
        <v>2022</v>
      </c>
      <c r="C33">
        <v>38.340000000000003</v>
      </c>
      <c r="D33">
        <v>115.34</v>
      </c>
      <c r="E33">
        <v>0</v>
      </c>
      <c r="F33">
        <v>0</v>
      </c>
      <c r="G33">
        <v>0.50</v>
      </c>
      <c r="H33">
        <v>-0.61</v>
      </c>
      <c r="I33">
        <v>155.44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M360"/>
  <sheetViews>
    <sheetView workbookViewId="0" topLeftCell="A1">
      <selection pane="topLeft" activeCell="A1" sqref="A1:K1"/>
    </sheetView>
  </sheetViews>
  <sheetFormatPr defaultRowHeight="14.25"/>
  <cols>
    <col min="1" max="1" width="10.625" customWidth="1"/>
    <col min="2" max="2" width="11.125" bestFit="1" customWidth="1"/>
    <col min="3" max="11" width="10.625" customWidth="1"/>
    <col min="12" max="13" width="30.625" customWidth="1"/>
    <col min="14" max="86" width="12.375" bestFit="1" customWidth="1"/>
    <col min="87" max="87" width="126.875" bestFit="1" customWidth="1"/>
    <col min="88" max="88" width="22.125" bestFit="1" customWidth="1"/>
    <col min="89" max="89" width="11.125" bestFit="1" customWidth="1"/>
  </cols>
  <sheetData>
    <row r="1" ht="22.05" customHeight="1"/>
    <row r="9" spans="1:1" ht="14.25">
      <c r="A9" t="s">
        <v>59</v>
      </c>
    </row>
    <row r="10" spans="1:13" ht="14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ht="14.25">
      <c r="A11" t="s">
        <v>0</v>
      </c>
      <c r="B11" t="s">
        <v>134</v>
      </c>
      <c r="C11">
        <v>2020</v>
      </c>
      <c r="D11">
        <v>60</v>
      </c>
      <c r="E11">
        <v>2.90</v>
      </c>
      <c r="F11">
        <v>0.74</v>
      </c>
      <c r="G11">
        <v>3.32</v>
      </c>
      <c r="H11">
        <v>0</v>
      </c>
      <c r="I11">
        <v>15.11</v>
      </c>
      <c r="J11">
        <v>0</v>
      </c>
      <c r="K11">
        <v>5.64</v>
      </c>
      <c r="L11" t="s">
        <v>1</v>
      </c>
      <c r="M11" t="s">
        <v>27</v>
      </c>
    </row>
    <row r="12" spans="1:13" ht="14.25">
      <c r="A12" t="s">
        <v>0</v>
      </c>
      <c r="B12" t="s">
        <v>134</v>
      </c>
      <c r="C12">
        <v>2025</v>
      </c>
      <c r="D12">
        <v>60</v>
      </c>
      <c r="E12">
        <v>153.66999999999999</v>
      </c>
      <c r="F12">
        <v>131.07</v>
      </c>
      <c r="G12">
        <v>125.79</v>
      </c>
      <c r="H12">
        <v>0</v>
      </c>
      <c r="I12">
        <v>626.48</v>
      </c>
      <c r="J12">
        <v>101.54</v>
      </c>
      <c r="K12">
        <v>190.02</v>
      </c>
      <c r="L12" t="s">
        <v>1</v>
      </c>
      <c r="M12" t="s">
        <v>27</v>
      </c>
    </row>
    <row r="13" spans="1:13" ht="14.25">
      <c r="A13" t="s">
        <v>0</v>
      </c>
      <c r="B13" t="s">
        <v>134</v>
      </c>
      <c r="C13">
        <v>2030</v>
      </c>
      <c r="D13">
        <v>60</v>
      </c>
      <c r="E13">
        <v>220.76</v>
      </c>
      <c r="F13">
        <v>197.09</v>
      </c>
      <c r="G13">
        <v>111.16</v>
      </c>
      <c r="H13">
        <v>0</v>
      </c>
      <c r="I13">
        <v>673.46</v>
      </c>
      <c r="J13">
        <v>164.67</v>
      </c>
      <c r="K13">
        <v>241.99</v>
      </c>
      <c r="L13" t="s">
        <v>1</v>
      </c>
      <c r="M13" t="s">
        <v>27</v>
      </c>
    </row>
    <row r="14" spans="1:13" ht="14.25">
      <c r="A14" t="s">
        <v>0</v>
      </c>
      <c r="B14" t="s">
        <v>134</v>
      </c>
      <c r="C14">
        <v>2035</v>
      </c>
      <c r="D14">
        <v>60</v>
      </c>
      <c r="E14">
        <v>310.56</v>
      </c>
      <c r="F14">
        <v>256.63</v>
      </c>
      <c r="G14">
        <v>147.59</v>
      </c>
      <c r="H14">
        <v>92.60</v>
      </c>
      <c r="I14">
        <v>859.53</v>
      </c>
      <c r="J14">
        <v>220.16</v>
      </c>
      <c r="K14">
        <v>396.19</v>
      </c>
      <c r="L14" t="s">
        <v>1</v>
      </c>
      <c r="M14" t="s">
        <v>27</v>
      </c>
    </row>
    <row r="15" spans="1:13" ht="14.25">
      <c r="A15" t="s">
        <v>0</v>
      </c>
      <c r="B15" t="s">
        <v>134</v>
      </c>
      <c r="C15">
        <v>2040</v>
      </c>
      <c r="D15">
        <v>60</v>
      </c>
      <c r="E15">
        <v>420.22</v>
      </c>
      <c r="F15">
        <v>335.79</v>
      </c>
      <c r="G15">
        <v>205.86</v>
      </c>
      <c r="H15">
        <v>162.10</v>
      </c>
      <c r="I15">
        <v>1097.01</v>
      </c>
      <c r="J15">
        <v>287.98</v>
      </c>
      <c r="K15">
        <v>560.55999999999995</v>
      </c>
      <c r="L15" t="s">
        <v>1</v>
      </c>
      <c r="M15" t="s">
        <v>27</v>
      </c>
    </row>
    <row r="16" spans="1:13" ht="14.25">
      <c r="A16" t="s">
        <v>0</v>
      </c>
      <c r="B16" t="s">
        <v>134</v>
      </c>
      <c r="C16">
        <v>2045</v>
      </c>
      <c r="D16">
        <v>60</v>
      </c>
      <c r="E16">
        <v>529.59</v>
      </c>
      <c r="F16">
        <v>460.87</v>
      </c>
      <c r="G16">
        <v>243.64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ht="14.25">
      <c r="A17" t="s">
        <v>0</v>
      </c>
      <c r="B17" t="s">
        <v>134</v>
      </c>
      <c r="C17">
        <v>2050</v>
      </c>
      <c r="D17">
        <v>60</v>
      </c>
      <c r="E17">
        <v>625.34</v>
      </c>
      <c r="F17">
        <v>581.75</v>
      </c>
      <c r="G17">
        <v>256.99</v>
      </c>
      <c r="H17">
        <v>209.76</v>
      </c>
      <c r="I17">
        <v>1170.26</v>
      </c>
      <c r="J17">
        <v>412.98</v>
      </c>
      <c r="K17">
        <v>771.78</v>
      </c>
      <c r="L17" t="s">
        <v>1</v>
      </c>
      <c r="M17" t="s">
        <v>27</v>
      </c>
    </row>
    <row r="18" spans="1:13" ht="14.25">
      <c r="A18" t="s">
        <v>2</v>
      </c>
      <c r="B18" t="s">
        <v>134</v>
      </c>
      <c r="C18">
        <v>2020</v>
      </c>
      <c r="D18">
        <v>86</v>
      </c>
      <c r="E18">
        <v>3.36</v>
      </c>
      <c r="F18">
        <v>0.55000000000000004</v>
      </c>
      <c r="G18">
        <v>5.17</v>
      </c>
      <c r="H18">
        <v>0</v>
      </c>
      <c r="I18">
        <v>15.11</v>
      </c>
      <c r="J18">
        <v>0</v>
      </c>
      <c r="K18">
        <v>5.35</v>
      </c>
      <c r="L18" t="s">
        <v>3</v>
      </c>
      <c r="M18" t="s">
        <v>27</v>
      </c>
    </row>
    <row r="19" spans="1:13" ht="14.25">
      <c r="A19" t="s">
        <v>2</v>
      </c>
      <c r="B19" t="s">
        <v>134</v>
      </c>
      <c r="C19">
        <v>2025</v>
      </c>
      <c r="D19">
        <v>75</v>
      </c>
      <c r="E19">
        <v>37.47</v>
      </c>
      <c r="F19">
        <v>21.41</v>
      </c>
      <c r="G19">
        <v>46.36</v>
      </c>
      <c r="H19">
        <v>0</v>
      </c>
      <c r="I19">
        <v>174.97</v>
      </c>
      <c r="J19">
        <v>1.26</v>
      </c>
      <c r="K19">
        <v>55.72</v>
      </c>
      <c r="L19" t="s">
        <v>3</v>
      </c>
      <c r="M19" t="s">
        <v>27</v>
      </c>
    </row>
    <row r="20" spans="1:13" ht="14.25">
      <c r="A20" t="s">
        <v>2</v>
      </c>
      <c r="B20" t="s">
        <v>134</v>
      </c>
      <c r="C20">
        <v>2030</v>
      </c>
      <c r="D20">
        <v>86</v>
      </c>
      <c r="E20">
        <v>52.47</v>
      </c>
      <c r="F20">
        <v>41.97</v>
      </c>
      <c r="G20">
        <v>54.93</v>
      </c>
      <c r="H20">
        <v>0</v>
      </c>
      <c r="I20">
        <v>221.93</v>
      </c>
      <c r="J20">
        <v>1.28</v>
      </c>
      <c r="K20">
        <v>77.17</v>
      </c>
      <c r="L20" t="s">
        <v>3</v>
      </c>
      <c r="M20" t="s">
        <v>27</v>
      </c>
    </row>
    <row r="21" spans="1:13" ht="14.25">
      <c r="A21" t="s">
        <v>2</v>
      </c>
      <c r="B21" t="s">
        <v>134</v>
      </c>
      <c r="C21">
        <v>2035</v>
      </c>
      <c r="D21">
        <v>75</v>
      </c>
      <c r="E21">
        <v>208.06</v>
      </c>
      <c r="F21">
        <v>129.57</v>
      </c>
      <c r="G21">
        <v>312.60000000000002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ht="14.25">
      <c r="A22" t="s">
        <v>2</v>
      </c>
      <c r="B22" t="s">
        <v>134</v>
      </c>
      <c r="C22">
        <v>2040</v>
      </c>
      <c r="D22">
        <v>86</v>
      </c>
      <c r="E22">
        <v>247.16</v>
      </c>
      <c r="F22">
        <v>165.64</v>
      </c>
      <c r="G22">
        <v>360.30</v>
      </c>
      <c r="H22">
        <v>0</v>
      </c>
      <c r="I22">
        <v>2600</v>
      </c>
      <c r="J22">
        <v>108.54</v>
      </c>
      <c r="K22">
        <v>257.75</v>
      </c>
      <c r="L22" t="s">
        <v>3</v>
      </c>
      <c r="M22" t="s">
        <v>27</v>
      </c>
    </row>
    <row r="23" spans="1:13" ht="14.25">
      <c r="A23" t="s">
        <v>2</v>
      </c>
      <c r="B23" t="s">
        <v>134</v>
      </c>
      <c r="C23">
        <v>2045</v>
      </c>
      <c r="D23">
        <v>75</v>
      </c>
      <c r="E23">
        <v>295.19</v>
      </c>
      <c r="F23">
        <v>249.21</v>
      </c>
      <c r="G23">
        <v>189.80</v>
      </c>
      <c r="H23">
        <v>103.36</v>
      </c>
      <c r="I23">
        <v>1213.1199999999999</v>
      </c>
      <c r="J23">
        <v>164.30</v>
      </c>
      <c r="K23">
        <v>345.91</v>
      </c>
      <c r="L23" t="s">
        <v>3</v>
      </c>
      <c r="M23" t="s">
        <v>27</v>
      </c>
    </row>
    <row r="24" spans="1:13" ht="14.25">
      <c r="A24" t="s">
        <v>2</v>
      </c>
      <c r="B24" t="s">
        <v>134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195.50</v>
      </c>
      <c r="K24">
        <v>417.87</v>
      </c>
      <c r="L24" t="s">
        <v>3</v>
      </c>
      <c r="M24" t="s">
        <v>27</v>
      </c>
    </row>
    <row r="25" spans="1:13" ht="14.25">
      <c r="A25" t="s">
        <v>5</v>
      </c>
      <c r="B25" t="s">
        <v>134</v>
      </c>
      <c r="C25">
        <v>2020</v>
      </c>
      <c r="D25">
        <v>192</v>
      </c>
      <c r="E25">
        <v>5.84</v>
      </c>
      <c r="F25">
        <v>3.50</v>
      </c>
      <c r="G25">
        <v>11.85</v>
      </c>
      <c r="H25">
        <v>0</v>
      </c>
      <c r="I25">
        <v>125.19</v>
      </c>
      <c r="J25">
        <v>0</v>
      </c>
      <c r="K25">
        <v>6.33</v>
      </c>
      <c r="L25" t="s">
        <v>6</v>
      </c>
      <c r="M25" t="s">
        <v>27</v>
      </c>
    </row>
    <row r="26" spans="1:13" ht="14.25">
      <c r="A26" t="s">
        <v>5</v>
      </c>
      <c r="B26" t="s">
        <v>134</v>
      </c>
      <c r="C26">
        <v>2025</v>
      </c>
      <c r="D26">
        <v>169</v>
      </c>
      <c r="E26">
        <v>37.43</v>
      </c>
      <c r="F26">
        <v>33.590000000000003</v>
      </c>
      <c r="G26">
        <v>34.89</v>
      </c>
      <c r="H26">
        <v>0</v>
      </c>
      <c r="I26">
        <v>134.68</v>
      </c>
      <c r="J26">
        <v>0.53</v>
      </c>
      <c r="K26">
        <v>59.63</v>
      </c>
      <c r="L26" t="s">
        <v>6</v>
      </c>
      <c r="M26" t="s">
        <v>27</v>
      </c>
    </row>
    <row r="27" spans="1:13" ht="14.25">
      <c r="A27" t="s">
        <v>5</v>
      </c>
      <c r="B27" t="s">
        <v>134</v>
      </c>
      <c r="C27">
        <v>2030</v>
      </c>
      <c r="D27">
        <v>192</v>
      </c>
      <c r="E27">
        <v>54.17</v>
      </c>
      <c r="F27">
        <v>49.21</v>
      </c>
      <c r="G27">
        <v>44.70</v>
      </c>
      <c r="H27">
        <v>0</v>
      </c>
      <c r="I27">
        <v>216.75</v>
      </c>
      <c r="J27">
        <v>19.05</v>
      </c>
      <c r="K27">
        <v>80.62</v>
      </c>
      <c r="L27" t="s">
        <v>6</v>
      </c>
      <c r="M27" t="s">
        <v>27</v>
      </c>
    </row>
    <row r="28" spans="1:13" ht="14.25">
      <c r="A28" t="s">
        <v>5</v>
      </c>
      <c r="B28" t="s">
        <v>134</v>
      </c>
      <c r="C28">
        <v>2035</v>
      </c>
      <c r="D28">
        <v>169</v>
      </c>
      <c r="E28">
        <v>117.40</v>
      </c>
      <c r="F28">
        <v>100.47</v>
      </c>
      <c r="G28">
        <v>86.30</v>
      </c>
      <c r="H28">
        <v>22.73</v>
      </c>
      <c r="I28">
        <v>960.63</v>
      </c>
      <c r="J28">
        <v>72.41</v>
      </c>
      <c r="K28">
        <v>138.58000000000001</v>
      </c>
      <c r="L28" t="s">
        <v>6</v>
      </c>
      <c r="M28" t="s">
        <v>27</v>
      </c>
    </row>
    <row r="29" spans="1:13" ht="14.25">
      <c r="A29" t="s">
        <v>5</v>
      </c>
      <c r="B29" t="s">
        <v>134</v>
      </c>
      <c r="C29">
        <v>2040</v>
      </c>
      <c r="D29">
        <v>192</v>
      </c>
      <c r="E29">
        <v>155.91</v>
      </c>
      <c r="F29">
        <v>127.66</v>
      </c>
      <c r="G29">
        <v>109.49</v>
      </c>
      <c r="H29">
        <v>46.91</v>
      </c>
      <c r="I29">
        <v>1226.04</v>
      </c>
      <c r="J29">
        <v>96.45</v>
      </c>
      <c r="K29">
        <v>186.44</v>
      </c>
      <c r="L29" t="s">
        <v>6</v>
      </c>
      <c r="M29" t="s">
        <v>27</v>
      </c>
    </row>
    <row r="30" spans="1:13" ht="14.25">
      <c r="A30" t="s">
        <v>5</v>
      </c>
      <c r="B30" t="s">
        <v>134</v>
      </c>
      <c r="C30">
        <v>2045</v>
      </c>
      <c r="D30">
        <v>169</v>
      </c>
      <c r="E30">
        <v>199.88</v>
      </c>
      <c r="F30">
        <v>171.28</v>
      </c>
      <c r="G30">
        <v>143.03</v>
      </c>
      <c r="H30">
        <v>46.46</v>
      </c>
      <c r="I30">
        <v>1564.80</v>
      </c>
      <c r="J30">
        <v>120.13</v>
      </c>
      <c r="K30">
        <v>239.45</v>
      </c>
      <c r="L30" t="s">
        <v>6</v>
      </c>
      <c r="M30" t="s">
        <v>27</v>
      </c>
    </row>
    <row r="31" spans="1:13" ht="14.25">
      <c r="A31" t="s">
        <v>5</v>
      </c>
      <c r="B31" t="s">
        <v>134</v>
      </c>
      <c r="C31">
        <v>2050</v>
      </c>
      <c r="D31">
        <v>192</v>
      </c>
      <c r="E31">
        <v>240.12</v>
      </c>
      <c r="F31">
        <v>208.73</v>
      </c>
      <c r="G31">
        <v>123.97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ht="14.25">
      <c r="A32" t="s">
        <v>7</v>
      </c>
      <c r="B32" t="s">
        <v>134</v>
      </c>
      <c r="C32">
        <v>2020</v>
      </c>
      <c r="D32">
        <v>74</v>
      </c>
      <c r="E32">
        <v>4.54</v>
      </c>
      <c r="F32">
        <v>0.48</v>
      </c>
      <c r="G32">
        <v>6.19</v>
      </c>
      <c r="H32">
        <v>0</v>
      </c>
      <c r="I32">
        <v>15.11</v>
      </c>
      <c r="J32">
        <v>0</v>
      </c>
      <c r="K32">
        <v>10.33</v>
      </c>
      <c r="L32" t="s">
        <v>8</v>
      </c>
      <c r="M32" t="s">
        <v>27</v>
      </c>
    </row>
    <row r="33" spans="1:13" ht="14.25">
      <c r="A33" t="s">
        <v>7</v>
      </c>
      <c r="B33" t="s">
        <v>134</v>
      </c>
      <c r="C33">
        <v>2025</v>
      </c>
      <c r="D33">
        <v>68</v>
      </c>
      <c r="E33">
        <v>11.42</v>
      </c>
      <c r="F33">
        <v>7.24</v>
      </c>
      <c r="G33">
        <v>13.35</v>
      </c>
      <c r="H33">
        <v>0</v>
      </c>
      <c r="I33">
        <v>48.97</v>
      </c>
      <c r="J33">
        <v>0</v>
      </c>
      <c r="K33">
        <v>20.73</v>
      </c>
      <c r="L33" t="s">
        <v>8</v>
      </c>
      <c r="M33" t="s">
        <v>27</v>
      </c>
    </row>
    <row r="34" spans="1:13" ht="14.25">
      <c r="A34" t="s">
        <v>7</v>
      </c>
      <c r="B34" t="s">
        <v>134</v>
      </c>
      <c r="C34">
        <v>2030</v>
      </c>
      <c r="D34">
        <v>74</v>
      </c>
      <c r="E34">
        <v>22.65</v>
      </c>
      <c r="F34">
        <v>21.30</v>
      </c>
      <c r="G34">
        <v>21.46</v>
      </c>
      <c r="H34">
        <v>0</v>
      </c>
      <c r="I34">
        <v>82.50</v>
      </c>
      <c r="J34">
        <v>1.23</v>
      </c>
      <c r="K34">
        <v>33.01</v>
      </c>
      <c r="L34" t="s">
        <v>8</v>
      </c>
      <c r="M34" t="s">
        <v>27</v>
      </c>
    </row>
    <row r="35" spans="1:13" ht="14.25">
      <c r="A35" t="s">
        <v>7</v>
      </c>
      <c r="B35" t="s">
        <v>134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ht="14.25">
      <c r="A36" t="s">
        <v>7</v>
      </c>
      <c r="B36" t="s">
        <v>134</v>
      </c>
      <c r="C36">
        <v>2040</v>
      </c>
      <c r="D36">
        <v>74</v>
      </c>
      <c r="E36">
        <v>86.47</v>
      </c>
      <c r="F36">
        <v>75.80</v>
      </c>
      <c r="G36">
        <v>43.44</v>
      </c>
      <c r="H36">
        <v>31.83</v>
      </c>
      <c r="I36">
        <v>283.33</v>
      </c>
      <c r="J36">
        <v>57.10</v>
      </c>
      <c r="K36">
        <v>108.19</v>
      </c>
      <c r="L36" t="s">
        <v>8</v>
      </c>
      <c r="M36" t="s">
        <v>27</v>
      </c>
    </row>
    <row r="37" spans="1:13" ht="14.25">
      <c r="A37" t="s">
        <v>7</v>
      </c>
      <c r="B37" t="s">
        <v>134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ht="14.25">
      <c r="A38" t="s">
        <v>7</v>
      </c>
      <c r="B38" t="s">
        <v>134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331.70</v>
      </c>
      <c r="J38">
        <v>92.51</v>
      </c>
      <c r="K38">
        <v>161.43</v>
      </c>
      <c r="L38" t="s">
        <v>8</v>
      </c>
      <c r="M38" t="s">
        <v>27</v>
      </c>
    </row>
    <row r="39" spans="1:13" ht="14.25">
      <c r="A39" t="s">
        <v>9</v>
      </c>
      <c r="B39" t="s">
        <v>134</v>
      </c>
      <c r="C39">
        <v>2020</v>
      </c>
      <c r="D39">
        <v>58</v>
      </c>
      <c r="E39">
        <v>1.62</v>
      </c>
      <c r="F39">
        <v>0</v>
      </c>
      <c r="G39">
        <v>3.08</v>
      </c>
      <c r="H39">
        <v>0</v>
      </c>
      <c r="I39">
        <v>15.11</v>
      </c>
      <c r="J39">
        <v>0</v>
      </c>
      <c r="K39">
        <v>0.56999999999999995</v>
      </c>
      <c r="L39" t="s">
        <v>10</v>
      </c>
      <c r="M39" t="s">
        <v>27</v>
      </c>
    </row>
    <row r="40" spans="1:13" ht="14.25">
      <c r="A40" t="s">
        <v>9</v>
      </c>
      <c r="B40" t="s">
        <v>134</v>
      </c>
      <c r="C40">
        <v>2025</v>
      </c>
      <c r="D40">
        <v>53</v>
      </c>
      <c r="E40">
        <v>1.07</v>
      </c>
      <c r="F40">
        <v>0</v>
      </c>
      <c r="G40">
        <v>1.96</v>
      </c>
      <c r="H40">
        <v>0</v>
      </c>
      <c r="I40">
        <v>5.96</v>
      </c>
      <c r="J40">
        <v>0</v>
      </c>
      <c r="K40">
        <v>0.89</v>
      </c>
      <c r="L40" t="s">
        <v>10</v>
      </c>
      <c r="M40" t="s">
        <v>27</v>
      </c>
    </row>
    <row r="41" spans="1:13" ht="14.25">
      <c r="A41" t="s">
        <v>9</v>
      </c>
      <c r="B41" t="s">
        <v>134</v>
      </c>
      <c r="C41">
        <v>2030</v>
      </c>
      <c r="D41">
        <v>58</v>
      </c>
      <c r="E41">
        <v>1.53</v>
      </c>
      <c r="F41">
        <v>0</v>
      </c>
      <c r="G41">
        <v>3</v>
      </c>
      <c r="H41">
        <v>0</v>
      </c>
      <c r="I41">
        <v>17.87</v>
      </c>
      <c r="J41">
        <v>0</v>
      </c>
      <c r="K41">
        <v>1.25</v>
      </c>
      <c r="L41" t="s">
        <v>10</v>
      </c>
      <c r="M41" t="s">
        <v>27</v>
      </c>
    </row>
    <row r="42" spans="1:13" ht="14.25">
      <c r="A42" t="s">
        <v>9</v>
      </c>
      <c r="B42" t="s">
        <v>134</v>
      </c>
      <c r="C42">
        <v>2035</v>
      </c>
      <c r="D42">
        <v>53</v>
      </c>
      <c r="E42">
        <v>1.40</v>
      </c>
      <c r="F42">
        <v>0</v>
      </c>
      <c r="G42">
        <v>2.0099999999999998</v>
      </c>
      <c r="H42">
        <v>0</v>
      </c>
      <c r="I42">
        <v>5.95</v>
      </c>
      <c r="J42">
        <v>0</v>
      </c>
      <c r="K42">
        <v>1.66</v>
      </c>
      <c r="L42" t="s">
        <v>10</v>
      </c>
      <c r="M42" t="s">
        <v>27</v>
      </c>
    </row>
    <row r="43" spans="1:13" ht="14.25">
      <c r="A43" t="s">
        <v>9</v>
      </c>
      <c r="B43" t="s">
        <v>134</v>
      </c>
      <c r="C43">
        <v>2040</v>
      </c>
      <c r="D43">
        <v>58</v>
      </c>
      <c r="E43">
        <v>1.52</v>
      </c>
      <c r="F43">
        <v>0</v>
      </c>
      <c r="G43">
        <v>2.19</v>
      </c>
      <c r="H43">
        <v>0</v>
      </c>
      <c r="I43">
        <v>6.02</v>
      </c>
      <c r="J43">
        <v>0</v>
      </c>
      <c r="K43">
        <v>2.11</v>
      </c>
      <c r="L43" t="s">
        <v>10</v>
      </c>
      <c r="M43" t="s">
        <v>27</v>
      </c>
    </row>
    <row r="44" spans="1:13" ht="14.25">
      <c r="A44" t="s">
        <v>9</v>
      </c>
      <c r="B44" t="s">
        <v>134</v>
      </c>
      <c r="C44">
        <v>2045</v>
      </c>
      <c r="D44">
        <v>53</v>
      </c>
      <c r="E44">
        <v>1.95</v>
      </c>
      <c r="F44">
        <v>0</v>
      </c>
      <c r="G44">
        <v>2.62</v>
      </c>
      <c r="H44">
        <v>0</v>
      </c>
      <c r="I44">
        <v>8.50</v>
      </c>
      <c r="J44">
        <v>0</v>
      </c>
      <c r="K44">
        <v>2.69</v>
      </c>
      <c r="L44" t="s">
        <v>10</v>
      </c>
      <c r="M44" t="s">
        <v>27</v>
      </c>
    </row>
    <row r="45" spans="1:13" ht="14.25">
      <c r="A45" t="s">
        <v>9</v>
      </c>
      <c r="B45" t="s">
        <v>134</v>
      </c>
      <c r="C45">
        <v>2050</v>
      </c>
      <c r="D45">
        <v>58</v>
      </c>
      <c r="E45">
        <v>2.09</v>
      </c>
      <c r="F45">
        <v>0</v>
      </c>
      <c r="G45">
        <v>3.08</v>
      </c>
      <c r="H45">
        <v>0</v>
      </c>
      <c r="I45">
        <v>11.45</v>
      </c>
      <c r="J45">
        <v>0</v>
      </c>
      <c r="K45">
        <v>3.18</v>
      </c>
      <c r="L45" t="s">
        <v>10</v>
      </c>
      <c r="M45" t="s">
        <v>27</v>
      </c>
    </row>
    <row r="46" spans="1:13" ht="14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ht="14.25">
      <c r="A47" t="s">
        <v>0</v>
      </c>
      <c r="B47" t="s">
        <v>134</v>
      </c>
      <c r="C47">
        <v>2025</v>
      </c>
      <c r="D47">
        <v>64</v>
      </c>
      <c r="E47">
        <v>1.1499999999999999</v>
      </c>
      <c r="F47">
        <v>1.1299999999999999</v>
      </c>
      <c r="G47">
        <v>0.12</v>
      </c>
      <c r="H47">
        <v>0.92</v>
      </c>
      <c r="I47">
        <v>1.79</v>
      </c>
      <c r="J47">
        <v>1.08</v>
      </c>
      <c r="K47">
        <v>1.19</v>
      </c>
      <c r="L47" t="s">
        <v>1</v>
      </c>
      <c r="M47" t="s">
        <v>11</v>
      </c>
    </row>
    <row r="48" spans="1:13" ht="14.25">
      <c r="A48" t="s">
        <v>0</v>
      </c>
      <c r="B48" t="s">
        <v>134</v>
      </c>
      <c r="C48">
        <v>2030</v>
      </c>
      <c r="D48">
        <v>64</v>
      </c>
      <c r="E48">
        <v>1.35</v>
      </c>
      <c r="F48">
        <v>1.33</v>
      </c>
      <c r="G48">
        <v>0.27</v>
      </c>
      <c r="H48">
        <v>0.93</v>
      </c>
      <c r="I48">
        <v>2.42</v>
      </c>
      <c r="J48">
        <v>1.25</v>
      </c>
      <c r="K48">
        <v>1.40</v>
      </c>
      <c r="L48" t="s">
        <v>1</v>
      </c>
      <c r="M48" t="s">
        <v>11</v>
      </c>
    </row>
    <row r="49" spans="1:13" ht="14.25">
      <c r="A49" t="s">
        <v>0</v>
      </c>
      <c r="B49" t="s">
        <v>134</v>
      </c>
      <c r="C49">
        <v>2035</v>
      </c>
      <c r="D49">
        <v>64</v>
      </c>
      <c r="E49">
        <v>1.64</v>
      </c>
      <c r="F49">
        <v>1.61</v>
      </c>
      <c r="G49">
        <v>0.42</v>
      </c>
      <c r="H49">
        <v>0.92</v>
      </c>
      <c r="I49">
        <v>3.44</v>
      </c>
      <c r="J49">
        <v>1.46</v>
      </c>
      <c r="K49">
        <v>1.82</v>
      </c>
      <c r="L49" t="s">
        <v>1</v>
      </c>
      <c r="M49" t="s">
        <v>11</v>
      </c>
    </row>
    <row r="50" spans="1:13" ht="14.25">
      <c r="A50" t="s">
        <v>0</v>
      </c>
      <c r="B50" t="s">
        <v>134</v>
      </c>
      <c r="C50">
        <v>2040</v>
      </c>
      <c r="D50">
        <v>64</v>
      </c>
      <c r="E50">
        <v>2.14</v>
      </c>
      <c r="F50">
        <v>2.1800000000000002</v>
      </c>
      <c r="G50">
        <v>0.56000000000000005</v>
      </c>
      <c r="H50">
        <v>0.95</v>
      </c>
      <c r="I50">
        <v>4.5999999999999996</v>
      </c>
      <c r="J50">
        <v>1.83</v>
      </c>
      <c r="K50">
        <v>2.36</v>
      </c>
      <c r="L50" t="s">
        <v>1</v>
      </c>
      <c r="M50" t="s">
        <v>11</v>
      </c>
    </row>
    <row r="51" spans="1:13" ht="14.25">
      <c r="A51" t="s">
        <v>0</v>
      </c>
      <c r="B51" t="s">
        <v>134</v>
      </c>
      <c r="C51">
        <v>2045</v>
      </c>
      <c r="D51">
        <v>64</v>
      </c>
      <c r="E51">
        <v>2.79</v>
      </c>
      <c r="F51">
        <v>2.81</v>
      </c>
      <c r="G51">
        <v>0.68</v>
      </c>
      <c r="H51">
        <v>1.40</v>
      </c>
      <c r="I51">
        <v>5.94</v>
      </c>
      <c r="J51">
        <v>2.46</v>
      </c>
      <c r="K51">
        <v>3.11</v>
      </c>
      <c r="L51" t="s">
        <v>1</v>
      </c>
      <c r="M51" t="s">
        <v>11</v>
      </c>
    </row>
    <row r="52" spans="1:13" ht="14.25">
      <c r="A52" t="s">
        <v>0</v>
      </c>
      <c r="B52" t="s">
        <v>134</v>
      </c>
      <c r="C52">
        <v>2050</v>
      </c>
      <c r="D52">
        <v>64</v>
      </c>
      <c r="E52">
        <v>3.44</v>
      </c>
      <c r="F52">
        <v>3.45</v>
      </c>
      <c r="G52">
        <v>0.71</v>
      </c>
      <c r="H52">
        <v>2.33</v>
      </c>
      <c r="I52">
        <v>7</v>
      </c>
      <c r="J52">
        <v>3.03</v>
      </c>
      <c r="K52">
        <v>3.83</v>
      </c>
      <c r="L52" t="s">
        <v>1</v>
      </c>
      <c r="M52" t="s">
        <v>11</v>
      </c>
    </row>
    <row r="53" spans="1:13" ht="14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ht="14.25">
      <c r="A54" t="s">
        <v>2</v>
      </c>
      <c r="B54" t="s">
        <v>134</v>
      </c>
      <c r="C54">
        <v>2025</v>
      </c>
      <c r="D54">
        <v>89</v>
      </c>
      <c r="E54">
        <v>1.18</v>
      </c>
      <c r="F54">
        <v>1.18</v>
      </c>
      <c r="G54">
        <v>0.05</v>
      </c>
      <c r="H54">
        <v>1.01</v>
      </c>
      <c r="I54">
        <v>1.32</v>
      </c>
      <c r="J54">
        <v>1.1499999999999999</v>
      </c>
      <c r="K54">
        <v>1.22</v>
      </c>
      <c r="L54" t="s">
        <v>3</v>
      </c>
      <c r="M54" t="s">
        <v>11</v>
      </c>
    </row>
    <row r="55" spans="1:13" ht="14.25">
      <c r="A55" t="s">
        <v>2</v>
      </c>
      <c r="B55" t="s">
        <v>134</v>
      </c>
      <c r="C55">
        <v>2030</v>
      </c>
      <c r="D55">
        <v>100</v>
      </c>
      <c r="E55">
        <v>1.43</v>
      </c>
      <c r="F55">
        <v>1.43</v>
      </c>
      <c r="G55">
        <v>0.11</v>
      </c>
      <c r="H55">
        <v>1.1399999999999999</v>
      </c>
      <c r="I55">
        <v>1.68</v>
      </c>
      <c r="J55">
        <v>1.36</v>
      </c>
      <c r="K55">
        <v>1.50</v>
      </c>
      <c r="L55" t="s">
        <v>3</v>
      </c>
      <c r="M55" t="s">
        <v>11</v>
      </c>
    </row>
    <row r="56" spans="1:13" ht="14.25">
      <c r="A56" t="s">
        <v>2</v>
      </c>
      <c r="B56" t="s">
        <v>134</v>
      </c>
      <c r="C56">
        <v>2035</v>
      </c>
      <c r="D56">
        <v>89</v>
      </c>
      <c r="E56">
        <v>1.62</v>
      </c>
      <c r="F56">
        <v>1.60</v>
      </c>
      <c r="G56">
        <v>0.19</v>
      </c>
      <c r="H56">
        <v>1.26</v>
      </c>
      <c r="I56">
        <v>2.08</v>
      </c>
      <c r="J56">
        <v>1.52</v>
      </c>
      <c r="K56">
        <v>1.76</v>
      </c>
      <c r="L56" t="s">
        <v>3</v>
      </c>
      <c r="M56" t="s">
        <v>11</v>
      </c>
    </row>
    <row r="57" spans="1:13" ht="14.25">
      <c r="A57" t="s">
        <v>2</v>
      </c>
      <c r="B57" t="s">
        <v>134</v>
      </c>
      <c r="C57">
        <v>2040</v>
      </c>
      <c r="D57">
        <v>100</v>
      </c>
      <c r="E57">
        <v>2.0099999999999998</v>
      </c>
      <c r="F57">
        <v>1.97</v>
      </c>
      <c r="G57">
        <v>0.34</v>
      </c>
      <c r="H57">
        <v>1.29</v>
      </c>
      <c r="I57">
        <v>2.67</v>
      </c>
      <c r="J57">
        <v>1.78</v>
      </c>
      <c r="K57">
        <v>2.29</v>
      </c>
      <c r="L57" t="s">
        <v>3</v>
      </c>
      <c r="M57" t="s">
        <v>11</v>
      </c>
    </row>
    <row r="58" spans="1:13" ht="14.25">
      <c r="A58" t="s">
        <v>2</v>
      </c>
      <c r="B58" t="s">
        <v>134</v>
      </c>
      <c r="C58">
        <v>2045</v>
      </c>
      <c r="D58">
        <v>89</v>
      </c>
      <c r="E58">
        <v>2.4500000000000002</v>
      </c>
      <c r="F58">
        <v>2.40</v>
      </c>
      <c r="G58">
        <v>0.37</v>
      </c>
      <c r="H58">
        <v>1.47</v>
      </c>
      <c r="I58">
        <v>3.09</v>
      </c>
      <c r="J58">
        <v>2.23</v>
      </c>
      <c r="K58">
        <v>2.82</v>
      </c>
      <c r="L58" t="s">
        <v>3</v>
      </c>
      <c r="M58" t="s">
        <v>11</v>
      </c>
    </row>
    <row r="59" spans="1:13" ht="14.25">
      <c r="A59" t="s">
        <v>2</v>
      </c>
      <c r="B59" t="s">
        <v>134</v>
      </c>
      <c r="C59">
        <v>2050</v>
      </c>
      <c r="D59">
        <v>100</v>
      </c>
      <c r="E59">
        <v>3.20</v>
      </c>
      <c r="F59">
        <v>3.13</v>
      </c>
      <c r="G59">
        <v>0.48</v>
      </c>
      <c r="H59">
        <v>1.93</v>
      </c>
      <c r="I59">
        <v>4.1100000000000003</v>
      </c>
      <c r="J59">
        <v>2.84</v>
      </c>
      <c r="K59">
        <v>3.49</v>
      </c>
      <c r="L59" t="s">
        <v>3</v>
      </c>
      <c r="M59" t="s">
        <v>11</v>
      </c>
    </row>
    <row r="60" spans="1:13" ht="14.25">
      <c r="A60" t="s">
        <v>5</v>
      </c>
      <c r="B60" t="s">
        <v>134</v>
      </c>
      <c r="C60">
        <v>2020</v>
      </c>
      <c r="D60">
        <v>232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ht="14.25">
      <c r="A61" t="s">
        <v>5</v>
      </c>
      <c r="B61" t="s">
        <v>134</v>
      </c>
      <c r="C61">
        <v>2025</v>
      </c>
      <c r="D61">
        <v>209</v>
      </c>
      <c r="E61">
        <v>1.17</v>
      </c>
      <c r="F61">
        <v>1.17</v>
      </c>
      <c r="G61">
        <v>0.08</v>
      </c>
      <c r="H61">
        <v>1.01</v>
      </c>
      <c r="I61">
        <v>1.97</v>
      </c>
      <c r="J61">
        <v>1.1299999999999999</v>
      </c>
      <c r="K61">
        <v>1.21</v>
      </c>
      <c r="L61" t="s">
        <v>6</v>
      </c>
      <c r="M61" t="s">
        <v>11</v>
      </c>
    </row>
    <row r="62" spans="1:13" ht="14.25">
      <c r="A62" t="s">
        <v>5</v>
      </c>
      <c r="B62" t="s">
        <v>134</v>
      </c>
      <c r="C62">
        <v>2030</v>
      </c>
      <c r="D62">
        <v>232</v>
      </c>
      <c r="E62">
        <v>1.40</v>
      </c>
      <c r="F62">
        <v>1.40</v>
      </c>
      <c r="G62">
        <v>0.16</v>
      </c>
      <c r="H62">
        <v>0.93</v>
      </c>
      <c r="I62">
        <v>2.61</v>
      </c>
      <c r="J62">
        <v>1.35</v>
      </c>
      <c r="K62">
        <v>1.48</v>
      </c>
      <c r="L62" t="s">
        <v>6</v>
      </c>
      <c r="M62" t="s">
        <v>11</v>
      </c>
    </row>
    <row r="63" spans="1:13" ht="14.25">
      <c r="A63" t="s">
        <v>5</v>
      </c>
      <c r="B63" t="s">
        <v>134</v>
      </c>
      <c r="C63">
        <v>2035</v>
      </c>
      <c r="D63">
        <v>209</v>
      </c>
      <c r="E63">
        <v>1.63</v>
      </c>
      <c r="F63">
        <v>1.64</v>
      </c>
      <c r="G63">
        <v>0.40</v>
      </c>
      <c r="H63">
        <v>0.92</v>
      </c>
      <c r="I63">
        <v>4.9000000000000004</v>
      </c>
      <c r="J63">
        <v>1.49</v>
      </c>
      <c r="K63">
        <v>1.72</v>
      </c>
      <c r="L63" t="s">
        <v>6</v>
      </c>
      <c r="M63" t="s">
        <v>11</v>
      </c>
    </row>
    <row r="64" spans="1:13" ht="14.25">
      <c r="A64" t="s">
        <v>5</v>
      </c>
      <c r="B64" t="s">
        <v>134</v>
      </c>
      <c r="C64">
        <v>2040</v>
      </c>
      <c r="D64">
        <v>232</v>
      </c>
      <c r="E64">
        <v>1.92</v>
      </c>
      <c r="F64">
        <v>1.87</v>
      </c>
      <c r="G64">
        <v>0.53</v>
      </c>
      <c r="H64">
        <v>1.1200000000000001</v>
      </c>
      <c r="I64">
        <v>5.72</v>
      </c>
      <c r="J64">
        <v>1.76</v>
      </c>
      <c r="K64">
        <v>2.08</v>
      </c>
      <c r="L64" t="s">
        <v>6</v>
      </c>
      <c r="M64" t="s">
        <v>11</v>
      </c>
    </row>
    <row r="65" spans="1:13" ht="14.25">
      <c r="A65" t="s">
        <v>5</v>
      </c>
      <c r="B65" t="s">
        <v>134</v>
      </c>
      <c r="C65">
        <v>2045</v>
      </c>
      <c r="D65">
        <v>209</v>
      </c>
      <c r="E65">
        <v>2.39</v>
      </c>
      <c r="F65">
        <v>2.36</v>
      </c>
      <c r="G65">
        <v>0.71</v>
      </c>
      <c r="H65">
        <v>1.21</v>
      </c>
      <c r="I65">
        <v>6.27</v>
      </c>
      <c r="J65">
        <v>2.04</v>
      </c>
      <c r="K65">
        <v>2.64</v>
      </c>
      <c r="L65" t="s">
        <v>6</v>
      </c>
      <c r="M65" t="s">
        <v>11</v>
      </c>
    </row>
    <row r="66" spans="1:13" ht="14.25">
      <c r="A66" t="s">
        <v>5</v>
      </c>
      <c r="B66" t="s">
        <v>134</v>
      </c>
      <c r="C66">
        <v>2050</v>
      </c>
      <c r="D66">
        <v>232</v>
      </c>
      <c r="E66">
        <v>2.99</v>
      </c>
      <c r="F66">
        <v>2.90</v>
      </c>
      <c r="G66">
        <v>0.81</v>
      </c>
      <c r="H66">
        <v>1.37</v>
      </c>
      <c r="I66">
        <v>7.04</v>
      </c>
      <c r="J66">
        <v>2.50</v>
      </c>
      <c r="K66">
        <v>3.32</v>
      </c>
      <c r="L66" t="s">
        <v>6</v>
      </c>
      <c r="M66" t="s">
        <v>11</v>
      </c>
    </row>
    <row r="67" spans="1:13" ht="14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ht="14.25">
      <c r="A68" t="s">
        <v>7</v>
      </c>
      <c r="B68" t="s">
        <v>134</v>
      </c>
      <c r="C68">
        <v>2025</v>
      </c>
      <c r="D68">
        <v>96</v>
      </c>
      <c r="E68">
        <v>1.1599999999999999</v>
      </c>
      <c r="F68">
        <v>1.1499999999999999</v>
      </c>
      <c r="G68">
        <v>0.04</v>
      </c>
      <c r="H68">
        <v>1.08</v>
      </c>
      <c r="I68">
        <v>1.23</v>
      </c>
      <c r="J68">
        <v>1.1299999999999999</v>
      </c>
      <c r="K68">
        <v>1.20</v>
      </c>
      <c r="L68" t="s">
        <v>8</v>
      </c>
      <c r="M68" t="s">
        <v>11</v>
      </c>
    </row>
    <row r="69" spans="1:13" ht="14.25">
      <c r="A69" t="s">
        <v>7</v>
      </c>
      <c r="B69" t="s">
        <v>134</v>
      </c>
      <c r="C69">
        <v>2030</v>
      </c>
      <c r="D69">
        <v>102</v>
      </c>
      <c r="E69">
        <v>1.37</v>
      </c>
      <c r="F69">
        <v>1.36</v>
      </c>
      <c r="G69">
        <v>0.09</v>
      </c>
      <c r="H69">
        <v>1.1299999999999999</v>
      </c>
      <c r="I69">
        <v>1.52</v>
      </c>
      <c r="J69">
        <v>1.32</v>
      </c>
      <c r="K69">
        <v>1.44</v>
      </c>
      <c r="L69" t="s">
        <v>8</v>
      </c>
      <c r="M69" t="s">
        <v>11</v>
      </c>
    </row>
    <row r="70" spans="1:13" ht="14.25">
      <c r="A70" t="s">
        <v>7</v>
      </c>
      <c r="B70" t="s">
        <v>134</v>
      </c>
      <c r="C70">
        <v>2035</v>
      </c>
      <c r="D70">
        <v>96</v>
      </c>
      <c r="E70">
        <v>1.51</v>
      </c>
      <c r="F70">
        <v>1.52</v>
      </c>
      <c r="G70">
        <v>0.23</v>
      </c>
      <c r="H70">
        <v>1.1100000000000001</v>
      </c>
      <c r="I70">
        <v>1.90</v>
      </c>
      <c r="J70">
        <v>1.26</v>
      </c>
      <c r="K70">
        <v>1.73</v>
      </c>
      <c r="L70" t="s">
        <v>8</v>
      </c>
      <c r="M70" t="s">
        <v>11</v>
      </c>
    </row>
    <row r="71" spans="1:13" ht="14.25">
      <c r="A71" t="s">
        <v>7</v>
      </c>
      <c r="B71" t="s">
        <v>134</v>
      </c>
      <c r="C71">
        <v>2040</v>
      </c>
      <c r="D71">
        <v>102</v>
      </c>
      <c r="E71">
        <v>1.75</v>
      </c>
      <c r="F71">
        <v>1.79</v>
      </c>
      <c r="G71">
        <v>0.31</v>
      </c>
      <c r="H71">
        <v>1.1599999999999999</v>
      </c>
      <c r="I71">
        <v>2.3199999999999998</v>
      </c>
      <c r="J71">
        <v>1.44</v>
      </c>
      <c r="K71">
        <v>2.0499999999999998</v>
      </c>
      <c r="L71" t="s">
        <v>8</v>
      </c>
      <c r="M71" t="s">
        <v>11</v>
      </c>
    </row>
    <row r="72" spans="1:13" ht="14.25">
      <c r="A72" t="s">
        <v>7</v>
      </c>
      <c r="B72" t="s">
        <v>134</v>
      </c>
      <c r="C72">
        <v>2045</v>
      </c>
      <c r="D72">
        <v>96</v>
      </c>
      <c r="E72">
        <v>2.08</v>
      </c>
      <c r="F72">
        <v>2.06</v>
      </c>
      <c r="G72">
        <v>0.42</v>
      </c>
      <c r="H72">
        <v>1.20</v>
      </c>
      <c r="I72">
        <v>2.72</v>
      </c>
      <c r="J72">
        <v>1.76</v>
      </c>
      <c r="K72">
        <v>2.46</v>
      </c>
      <c r="L72" t="s">
        <v>8</v>
      </c>
      <c r="M72" t="s">
        <v>11</v>
      </c>
    </row>
    <row r="73" spans="1:13" ht="14.25">
      <c r="A73" t="s">
        <v>7</v>
      </c>
      <c r="B73" t="s">
        <v>134</v>
      </c>
      <c r="C73">
        <v>2050</v>
      </c>
      <c r="D73">
        <v>102</v>
      </c>
      <c r="E73">
        <v>2.4700000000000002</v>
      </c>
      <c r="F73">
        <v>2.4300000000000002</v>
      </c>
      <c r="G73">
        <v>0.52</v>
      </c>
      <c r="H73">
        <v>1.30</v>
      </c>
      <c r="I73">
        <v>3.33</v>
      </c>
      <c r="J73">
        <v>2.2200000000000002</v>
      </c>
      <c r="K73">
        <v>2.90</v>
      </c>
      <c r="L73" t="s">
        <v>8</v>
      </c>
      <c r="M73" t="s">
        <v>11</v>
      </c>
    </row>
    <row r="74" spans="1:13" ht="14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ht="14.25">
      <c r="A75" t="s">
        <v>9</v>
      </c>
      <c r="B75" t="s">
        <v>134</v>
      </c>
      <c r="C75">
        <v>2025</v>
      </c>
      <c r="D75">
        <v>56</v>
      </c>
      <c r="E75">
        <v>1.21</v>
      </c>
      <c r="F75">
        <v>1.22</v>
      </c>
      <c r="G75">
        <v>0.03</v>
      </c>
      <c r="H75">
        <v>1.1299999999999999</v>
      </c>
      <c r="I75">
        <v>1.25</v>
      </c>
      <c r="J75">
        <v>1.17</v>
      </c>
      <c r="K75">
        <v>1.23</v>
      </c>
      <c r="L75" t="s">
        <v>10</v>
      </c>
      <c r="M75" t="s">
        <v>11</v>
      </c>
    </row>
    <row r="76" spans="1:13" ht="14.25">
      <c r="A76" t="s">
        <v>9</v>
      </c>
      <c r="B76" t="s">
        <v>134</v>
      </c>
      <c r="C76">
        <v>2030</v>
      </c>
      <c r="D76">
        <v>61</v>
      </c>
      <c r="E76">
        <v>1.45</v>
      </c>
      <c r="F76">
        <v>1.46</v>
      </c>
      <c r="G76">
        <v>0.08</v>
      </c>
      <c r="H76">
        <v>1.19</v>
      </c>
      <c r="I76">
        <v>1.61</v>
      </c>
      <c r="J76">
        <v>1.39</v>
      </c>
      <c r="K76">
        <v>1.51</v>
      </c>
      <c r="L76" t="s">
        <v>10</v>
      </c>
      <c r="M76" t="s">
        <v>11</v>
      </c>
    </row>
    <row r="77" spans="1:13" ht="14.25">
      <c r="A77" t="s">
        <v>9</v>
      </c>
      <c r="B77" t="s">
        <v>134</v>
      </c>
      <c r="C77">
        <v>2035</v>
      </c>
      <c r="D77">
        <v>56</v>
      </c>
      <c r="E77">
        <v>1.70</v>
      </c>
      <c r="F77">
        <v>1.70</v>
      </c>
      <c r="G77">
        <v>0.14000000000000001</v>
      </c>
      <c r="H77">
        <v>1.26</v>
      </c>
      <c r="I77">
        <v>2.08</v>
      </c>
      <c r="J77">
        <v>1.61</v>
      </c>
      <c r="K77">
        <v>1.78</v>
      </c>
      <c r="L77" t="s">
        <v>10</v>
      </c>
      <c r="M77" t="s">
        <v>11</v>
      </c>
    </row>
    <row r="78" spans="1:13" ht="14.25">
      <c r="A78" t="s">
        <v>9</v>
      </c>
      <c r="B78" t="s">
        <v>134</v>
      </c>
      <c r="C78">
        <v>2040</v>
      </c>
      <c r="D78">
        <v>61</v>
      </c>
      <c r="E78">
        <v>1.95</v>
      </c>
      <c r="F78">
        <v>1.94</v>
      </c>
      <c r="G78">
        <v>0.18</v>
      </c>
      <c r="H78">
        <v>1.44</v>
      </c>
      <c r="I78">
        <v>2.54</v>
      </c>
      <c r="J78">
        <v>1.81</v>
      </c>
      <c r="K78">
        <v>2.0299999999999998</v>
      </c>
      <c r="L78" t="s">
        <v>10</v>
      </c>
      <c r="M78" t="s">
        <v>11</v>
      </c>
    </row>
    <row r="79" spans="1:13" ht="14.25">
      <c r="A79" t="s">
        <v>9</v>
      </c>
      <c r="B79" t="s">
        <v>134</v>
      </c>
      <c r="C79">
        <v>2045</v>
      </c>
      <c r="D79">
        <v>56</v>
      </c>
      <c r="E79">
        <v>2.21</v>
      </c>
      <c r="F79">
        <v>2.2000000000000002</v>
      </c>
      <c r="G79">
        <v>0.25</v>
      </c>
      <c r="H79">
        <v>1.57</v>
      </c>
      <c r="I79">
        <v>3</v>
      </c>
      <c r="J79">
        <v>2.0499999999999998</v>
      </c>
      <c r="K79">
        <v>2.34</v>
      </c>
      <c r="L79" t="s">
        <v>10</v>
      </c>
      <c r="M79" t="s">
        <v>11</v>
      </c>
    </row>
    <row r="80" spans="1:13" ht="14.25">
      <c r="A80" t="s">
        <v>9</v>
      </c>
      <c r="B80" t="s">
        <v>134</v>
      </c>
      <c r="C80">
        <v>2050</v>
      </c>
      <c r="D80">
        <v>61</v>
      </c>
      <c r="E80">
        <v>2.4700000000000002</v>
      </c>
      <c r="F80">
        <v>2.4300000000000002</v>
      </c>
      <c r="G80">
        <v>0.28999999999999998</v>
      </c>
      <c r="H80">
        <v>1.71</v>
      </c>
      <c r="I80">
        <v>3.41</v>
      </c>
      <c r="J80">
        <v>2.29</v>
      </c>
      <c r="K80">
        <v>2.61</v>
      </c>
      <c r="L80" t="s">
        <v>10</v>
      </c>
      <c r="M80" t="s">
        <v>11</v>
      </c>
    </row>
    <row r="81" spans="1:13" ht="14.25">
      <c r="A81" t="s">
        <v>0</v>
      </c>
      <c r="B81" t="s">
        <v>134</v>
      </c>
      <c r="C81">
        <v>2020</v>
      </c>
      <c r="D81">
        <v>58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ht="14.25">
      <c r="A82" t="s">
        <v>0</v>
      </c>
      <c r="B82" t="s">
        <v>134</v>
      </c>
      <c r="C82">
        <v>2025</v>
      </c>
      <c r="D82">
        <v>58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ht="14.25">
      <c r="A83" t="s">
        <v>0</v>
      </c>
      <c r="B83" t="s">
        <v>134</v>
      </c>
      <c r="C83">
        <v>2030</v>
      </c>
      <c r="D83">
        <v>58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ht="14.25">
      <c r="A84" t="s">
        <v>0</v>
      </c>
      <c r="B84" t="s">
        <v>134</v>
      </c>
      <c r="C84">
        <v>2035</v>
      </c>
      <c r="D84">
        <v>58</v>
      </c>
      <c r="E84">
        <v>0.03</v>
      </c>
      <c r="F84">
        <v>0.02</v>
      </c>
      <c r="G84">
        <v>0.02</v>
      </c>
      <c r="H84">
        <v>0</v>
      </c>
      <c r="I84">
        <v>0.14000000000000001</v>
      </c>
      <c r="J84">
        <v>0.02</v>
      </c>
      <c r="K84">
        <v>0.04</v>
      </c>
      <c r="L84" t="s">
        <v>1</v>
      </c>
      <c r="M84" t="s">
        <v>15</v>
      </c>
    </row>
    <row r="85" spans="1:13" ht="14.25">
      <c r="A85" t="s">
        <v>0</v>
      </c>
      <c r="B85" t="s">
        <v>134</v>
      </c>
      <c r="C85">
        <v>2040</v>
      </c>
      <c r="D85">
        <v>58</v>
      </c>
      <c r="E85">
        <v>0.05</v>
      </c>
      <c r="F85">
        <v>0.04</v>
      </c>
      <c r="G85">
        <v>0.03</v>
      </c>
      <c r="H85">
        <v>0</v>
      </c>
      <c r="I85">
        <v>0.16</v>
      </c>
      <c r="J85">
        <v>0.03</v>
      </c>
      <c r="K85">
        <v>0.070000000000000007</v>
      </c>
      <c r="L85" t="s">
        <v>1</v>
      </c>
      <c r="M85" t="s">
        <v>15</v>
      </c>
    </row>
    <row r="86" spans="1:13" ht="14.25">
      <c r="A86" t="s">
        <v>0</v>
      </c>
      <c r="B86" t="s">
        <v>134</v>
      </c>
      <c r="C86">
        <v>2045</v>
      </c>
      <c r="D86">
        <v>58</v>
      </c>
      <c r="E86">
        <v>0.070000000000000007</v>
      </c>
      <c r="F86">
        <v>0.06</v>
      </c>
      <c r="G86">
        <v>0.04</v>
      </c>
      <c r="H86">
        <v>0</v>
      </c>
      <c r="I86">
        <v>0.19</v>
      </c>
      <c r="J86">
        <v>0.05</v>
      </c>
      <c r="K86">
        <v>0.08</v>
      </c>
      <c r="L86" t="s">
        <v>1</v>
      </c>
      <c r="M86" t="s">
        <v>15</v>
      </c>
    </row>
    <row r="87" spans="1:13" ht="14.25">
      <c r="A87" t="s">
        <v>0</v>
      </c>
      <c r="B87" t="s">
        <v>134</v>
      </c>
      <c r="C87">
        <v>2050</v>
      </c>
      <c r="D87">
        <v>58</v>
      </c>
      <c r="E87">
        <v>0.10</v>
      </c>
      <c r="F87">
        <v>0.08</v>
      </c>
      <c r="G87">
        <v>0.05</v>
      </c>
      <c r="H87">
        <v>0</v>
      </c>
      <c r="I87">
        <v>0.25</v>
      </c>
      <c r="J87">
        <v>0.06</v>
      </c>
      <c r="K87">
        <v>0.14000000000000001</v>
      </c>
      <c r="L87" t="s">
        <v>1</v>
      </c>
      <c r="M87" t="s">
        <v>15</v>
      </c>
    </row>
    <row r="88" spans="1:13" ht="14.25">
      <c r="A88" t="s">
        <v>2</v>
      </c>
      <c r="B88" t="s">
        <v>134</v>
      </c>
      <c r="C88">
        <v>2020</v>
      </c>
      <c r="D88">
        <v>92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ht="14.25">
      <c r="A89" t="s">
        <v>2</v>
      </c>
      <c r="B89" t="s">
        <v>134</v>
      </c>
      <c r="C89">
        <v>2025</v>
      </c>
      <c r="D89">
        <v>81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ht="14.25">
      <c r="A90" t="s">
        <v>2</v>
      </c>
      <c r="B90" t="s">
        <v>134</v>
      </c>
      <c r="C90">
        <v>2030</v>
      </c>
      <c r="D90">
        <v>92</v>
      </c>
      <c r="E90">
        <v>0.01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ht="14.25">
      <c r="A91" t="s">
        <v>2</v>
      </c>
      <c r="B91" t="s">
        <v>134</v>
      </c>
      <c r="C91">
        <v>2035</v>
      </c>
      <c r="D91">
        <v>81</v>
      </c>
      <c r="E91">
        <v>0.02</v>
      </c>
      <c r="F91">
        <v>0.02</v>
      </c>
      <c r="G91">
        <v>0.01</v>
      </c>
      <c r="H91">
        <v>0</v>
      </c>
      <c r="I91">
        <v>0.06</v>
      </c>
      <c r="J91">
        <v>0.01</v>
      </c>
      <c r="K91">
        <v>0.02</v>
      </c>
      <c r="L91" t="s">
        <v>3</v>
      </c>
      <c r="M91" t="s">
        <v>15</v>
      </c>
    </row>
    <row r="92" spans="1:13" ht="14.25">
      <c r="A92" t="s">
        <v>2</v>
      </c>
      <c r="B92" t="s">
        <v>134</v>
      </c>
      <c r="C92">
        <v>2040</v>
      </c>
      <c r="D92">
        <v>92</v>
      </c>
      <c r="E92">
        <v>0.04</v>
      </c>
      <c r="F92">
        <v>0.04</v>
      </c>
      <c r="G92">
        <v>0.03</v>
      </c>
      <c r="H92">
        <v>0</v>
      </c>
      <c r="I92">
        <v>0.10</v>
      </c>
      <c r="J92">
        <v>0.03</v>
      </c>
      <c r="K92">
        <v>0.06</v>
      </c>
      <c r="L92" t="s">
        <v>3</v>
      </c>
      <c r="M92" t="s">
        <v>15</v>
      </c>
    </row>
    <row r="93" spans="1:13" ht="14.25">
      <c r="A93" t="s">
        <v>2</v>
      </c>
      <c r="B93" t="s">
        <v>134</v>
      </c>
      <c r="C93">
        <v>2045</v>
      </c>
      <c r="D93">
        <v>81</v>
      </c>
      <c r="E93">
        <v>0.06</v>
      </c>
      <c r="F93">
        <v>0.06</v>
      </c>
      <c r="G93">
        <v>0.04</v>
      </c>
      <c r="H93">
        <v>0</v>
      </c>
      <c r="I93">
        <v>0.16</v>
      </c>
      <c r="J93">
        <v>0.04</v>
      </c>
      <c r="K93">
        <v>0.070000000000000007</v>
      </c>
      <c r="L93" t="s">
        <v>3</v>
      </c>
      <c r="M93" t="s">
        <v>15</v>
      </c>
    </row>
    <row r="94" spans="1:13" ht="14.25">
      <c r="A94" t="s">
        <v>2</v>
      </c>
      <c r="B94" t="s">
        <v>134</v>
      </c>
      <c r="C94">
        <v>2050</v>
      </c>
      <c r="D94">
        <v>92</v>
      </c>
      <c r="E94">
        <v>0.09</v>
      </c>
      <c r="F94">
        <v>0.08</v>
      </c>
      <c r="G94">
        <v>0.06</v>
      </c>
      <c r="H94">
        <v>0</v>
      </c>
      <c r="I94">
        <v>0.33</v>
      </c>
      <c r="J94">
        <v>0.06</v>
      </c>
      <c r="K94">
        <v>0.11</v>
      </c>
      <c r="L94" t="s">
        <v>3</v>
      </c>
      <c r="M94" t="s">
        <v>15</v>
      </c>
    </row>
    <row r="95" spans="1:13" ht="14.25">
      <c r="A95" t="s">
        <v>5</v>
      </c>
      <c r="B95" t="s">
        <v>134</v>
      </c>
      <c r="C95">
        <v>2020</v>
      </c>
      <c r="D95">
        <v>223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ht="14.25">
      <c r="A96" t="s">
        <v>5</v>
      </c>
      <c r="B96" t="s">
        <v>134</v>
      </c>
      <c r="C96">
        <v>2025</v>
      </c>
      <c r="D96">
        <v>200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ht="14.25">
      <c r="A97" t="s">
        <v>5</v>
      </c>
      <c r="B97" t="s">
        <v>134</v>
      </c>
      <c r="C97">
        <v>2030</v>
      </c>
      <c r="D97">
        <v>223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ht="14.25">
      <c r="A98" t="s">
        <v>5</v>
      </c>
      <c r="B98" t="s">
        <v>134</v>
      </c>
      <c r="C98">
        <v>2035</v>
      </c>
      <c r="D98">
        <v>200</v>
      </c>
      <c r="E98">
        <v>0.01</v>
      </c>
      <c r="F98">
        <v>0.02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ht="14.25">
      <c r="A99" t="s">
        <v>5</v>
      </c>
      <c r="B99" t="s">
        <v>134</v>
      </c>
      <c r="C99">
        <v>2040</v>
      </c>
      <c r="D99">
        <v>223</v>
      </c>
      <c r="E99">
        <v>0.03</v>
      </c>
      <c r="F99">
        <v>0.03</v>
      </c>
      <c r="G99">
        <v>0.03</v>
      </c>
      <c r="H99">
        <v>0</v>
      </c>
      <c r="I99">
        <v>0.13</v>
      </c>
      <c r="J99">
        <v>0.01</v>
      </c>
      <c r="K99">
        <v>0.05</v>
      </c>
      <c r="L99" t="s">
        <v>6</v>
      </c>
      <c r="M99" t="s">
        <v>15</v>
      </c>
    </row>
    <row r="100" spans="1:13" ht="14.25">
      <c r="A100" t="s">
        <v>5</v>
      </c>
      <c r="B100" t="s">
        <v>134</v>
      </c>
      <c r="C100">
        <v>2045</v>
      </c>
      <c r="D100">
        <v>200</v>
      </c>
      <c r="E100">
        <v>0.04</v>
      </c>
      <c r="F100">
        <v>0.04</v>
      </c>
      <c r="G100">
        <v>0.03</v>
      </c>
      <c r="H100">
        <v>0</v>
      </c>
      <c r="I100">
        <v>0.16</v>
      </c>
      <c r="J100">
        <v>0.02</v>
      </c>
      <c r="K100">
        <v>0.06</v>
      </c>
      <c r="L100" t="s">
        <v>6</v>
      </c>
      <c r="M100" t="s">
        <v>15</v>
      </c>
    </row>
    <row r="101" spans="1:13" ht="14.25">
      <c r="A101" t="s">
        <v>5</v>
      </c>
      <c r="B101" t="s">
        <v>134</v>
      </c>
      <c r="C101">
        <v>2050</v>
      </c>
      <c r="D101">
        <v>223</v>
      </c>
      <c r="E101">
        <v>0.070000000000000007</v>
      </c>
      <c r="F101">
        <v>0.06</v>
      </c>
      <c r="G101">
        <v>0.06</v>
      </c>
      <c r="H101">
        <v>0</v>
      </c>
      <c r="I101">
        <v>0.35</v>
      </c>
      <c r="J101">
        <v>0.03</v>
      </c>
      <c r="K101">
        <v>0.09</v>
      </c>
      <c r="L101" t="s">
        <v>6</v>
      </c>
      <c r="M101" t="s">
        <v>15</v>
      </c>
    </row>
    <row r="102" spans="1:13" ht="14.25">
      <c r="A102" t="s">
        <v>7</v>
      </c>
      <c r="B102" t="s">
        <v>134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ht="14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ht="14.25">
      <c r="A104" t="s">
        <v>7</v>
      </c>
      <c r="B104" t="s">
        <v>134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</v>
      </c>
      <c r="L104" t="s">
        <v>8</v>
      </c>
      <c r="M104" t="s">
        <v>15</v>
      </c>
    </row>
    <row r="105" spans="1:13" ht="14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ht="14.25">
      <c r="A106" t="s">
        <v>7</v>
      </c>
      <c r="B106" t="s">
        <v>134</v>
      </c>
      <c r="C106">
        <v>2040</v>
      </c>
      <c r="D106">
        <v>102</v>
      </c>
      <c r="E106">
        <v>0.01</v>
      </c>
      <c r="F106">
        <v>0.01</v>
      </c>
      <c r="G106">
        <v>0.02</v>
      </c>
      <c r="H106">
        <v>0</v>
      </c>
      <c r="I106">
        <v>0.09</v>
      </c>
      <c r="J106">
        <v>0</v>
      </c>
      <c r="K106">
        <v>0.02</v>
      </c>
      <c r="L106" t="s">
        <v>8</v>
      </c>
      <c r="M106" t="s">
        <v>15</v>
      </c>
    </row>
    <row r="107" spans="1:13" ht="14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0.01</v>
      </c>
      <c r="G107">
        <v>0.02</v>
      </c>
      <c r="H107">
        <v>0</v>
      </c>
      <c r="I107">
        <v>0.06</v>
      </c>
      <c r="J107">
        <v>0</v>
      </c>
      <c r="K107">
        <v>0.03</v>
      </c>
      <c r="L107" t="s">
        <v>8</v>
      </c>
      <c r="M107" t="s">
        <v>15</v>
      </c>
    </row>
    <row r="108" spans="1:13" ht="14.25">
      <c r="A108" t="s">
        <v>7</v>
      </c>
      <c r="B108" t="s">
        <v>134</v>
      </c>
      <c r="C108">
        <v>2050</v>
      </c>
      <c r="D108">
        <v>102</v>
      </c>
      <c r="E108">
        <v>0.03</v>
      </c>
      <c r="F108">
        <v>0.02</v>
      </c>
      <c r="G108">
        <v>0.04</v>
      </c>
      <c r="H108">
        <v>0</v>
      </c>
      <c r="I108">
        <v>0.13</v>
      </c>
      <c r="J108">
        <v>0</v>
      </c>
      <c r="K108">
        <v>0.05</v>
      </c>
      <c r="L108" t="s">
        <v>8</v>
      </c>
      <c r="M108" t="s">
        <v>15</v>
      </c>
    </row>
    <row r="109" spans="1:13" ht="14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ht="14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ht="14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ht="14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ht="14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</v>
      </c>
      <c r="K113">
        <v>0.03</v>
      </c>
      <c r="L113" t="s">
        <v>10</v>
      </c>
      <c r="M113" t="s">
        <v>15</v>
      </c>
    </row>
    <row r="114" spans="1:13" ht="14.25">
      <c r="A114" t="s">
        <v>9</v>
      </c>
      <c r="B114" t="s">
        <v>134</v>
      </c>
      <c r="C114">
        <v>2045</v>
      </c>
      <c r="D114">
        <v>54</v>
      </c>
      <c r="E114">
        <v>0.03</v>
      </c>
      <c r="F114">
        <v>0.03</v>
      </c>
      <c r="G114">
        <v>0.03</v>
      </c>
      <c r="H114">
        <v>0</v>
      </c>
      <c r="I114">
        <v>0.11</v>
      </c>
      <c r="J114">
        <v>0</v>
      </c>
      <c r="K114">
        <v>0.05</v>
      </c>
      <c r="L114" t="s">
        <v>10</v>
      </c>
      <c r="M114" t="s">
        <v>15</v>
      </c>
    </row>
    <row r="115" spans="1:13" ht="14.25">
      <c r="A115" t="s">
        <v>9</v>
      </c>
      <c r="B115" t="s">
        <v>134</v>
      </c>
      <c r="C115">
        <v>2050</v>
      </c>
      <c r="D115">
        <v>59</v>
      </c>
      <c r="E115">
        <v>0.04</v>
      </c>
      <c r="F115">
        <v>0.04</v>
      </c>
      <c r="G115">
        <v>0.03</v>
      </c>
      <c r="H115">
        <v>0</v>
      </c>
      <c r="I115">
        <v>0.15</v>
      </c>
      <c r="J115">
        <v>0</v>
      </c>
      <c r="K115">
        <v>0.05</v>
      </c>
      <c r="L115" t="s">
        <v>10</v>
      </c>
      <c r="M115" t="s">
        <v>15</v>
      </c>
    </row>
    <row r="116" spans="1:13" ht="14.25">
      <c r="A116" t="s">
        <v>0</v>
      </c>
      <c r="B116" t="s">
        <v>134</v>
      </c>
      <c r="C116">
        <v>2020</v>
      </c>
      <c r="D116">
        <v>64</v>
      </c>
      <c r="E116">
        <v>0.27</v>
      </c>
      <c r="F116">
        <v>0.25</v>
      </c>
      <c r="G116">
        <v>0.04</v>
      </c>
      <c r="H116">
        <v>0.21</v>
      </c>
      <c r="I116">
        <v>0.35</v>
      </c>
      <c r="J116">
        <v>0.25</v>
      </c>
      <c r="K116">
        <v>0.28999999999999998</v>
      </c>
      <c r="L116" t="s">
        <v>1</v>
      </c>
      <c r="M116" t="s">
        <v>18</v>
      </c>
    </row>
    <row r="117" spans="1:13" ht="14.25">
      <c r="A117" t="s">
        <v>0</v>
      </c>
      <c r="B117" t="s">
        <v>134</v>
      </c>
      <c r="C117">
        <v>2025</v>
      </c>
      <c r="D117">
        <v>64</v>
      </c>
      <c r="E117">
        <v>0.27</v>
      </c>
      <c r="F117">
        <v>0.27</v>
      </c>
      <c r="G117">
        <v>0.070000000000000007</v>
      </c>
      <c r="H117">
        <v>0.12</v>
      </c>
      <c r="I117">
        <v>0.55000000000000004</v>
      </c>
      <c r="J117">
        <v>0.25</v>
      </c>
      <c r="K117">
        <v>0.30</v>
      </c>
      <c r="L117" t="s">
        <v>1</v>
      </c>
      <c r="M117" t="s">
        <v>18</v>
      </c>
    </row>
    <row r="118" spans="1:13" ht="14.25">
      <c r="A118" t="s">
        <v>0</v>
      </c>
      <c r="B118" t="s">
        <v>134</v>
      </c>
      <c r="C118">
        <v>2030</v>
      </c>
      <c r="D118">
        <v>64</v>
      </c>
      <c r="E118">
        <v>0.28999999999999998</v>
      </c>
      <c r="F118">
        <v>0.31</v>
      </c>
      <c r="G118">
        <v>0.08</v>
      </c>
      <c r="H118">
        <v>0.12</v>
      </c>
      <c r="I118">
        <v>0.60</v>
      </c>
      <c r="J118">
        <v>0.26</v>
      </c>
      <c r="K118">
        <v>0.31</v>
      </c>
      <c r="L118" t="s">
        <v>1</v>
      </c>
      <c r="M118" t="s">
        <v>18</v>
      </c>
    </row>
    <row r="119" spans="1:13" ht="14.25">
      <c r="A119" t="s">
        <v>0</v>
      </c>
      <c r="B119" t="s">
        <v>134</v>
      </c>
      <c r="C119">
        <v>2035</v>
      </c>
      <c r="D119">
        <v>64</v>
      </c>
      <c r="E119">
        <v>0.31</v>
      </c>
      <c r="F119">
        <v>0.31</v>
      </c>
      <c r="G119">
        <v>0.09</v>
      </c>
      <c r="H119">
        <v>0.12</v>
      </c>
      <c r="I119">
        <v>0.57999999999999996</v>
      </c>
      <c r="J119">
        <v>0.27</v>
      </c>
      <c r="K119">
        <v>0.34</v>
      </c>
      <c r="L119" t="s">
        <v>1</v>
      </c>
      <c r="M119" t="s">
        <v>18</v>
      </c>
    </row>
    <row r="120" spans="1:13" ht="14.25">
      <c r="A120" t="s">
        <v>0</v>
      </c>
      <c r="B120" t="s">
        <v>134</v>
      </c>
      <c r="C120">
        <v>2040</v>
      </c>
      <c r="D120">
        <v>64</v>
      </c>
      <c r="E120">
        <v>0.33</v>
      </c>
      <c r="F120">
        <v>0.34</v>
      </c>
      <c r="G120">
        <v>0.11</v>
      </c>
      <c r="H120">
        <v>0.13</v>
      </c>
      <c r="I120">
        <v>0.59</v>
      </c>
      <c r="J120">
        <v>0.27</v>
      </c>
      <c r="K120">
        <v>0.39</v>
      </c>
      <c r="L120" t="s">
        <v>1</v>
      </c>
      <c r="M120" t="s">
        <v>18</v>
      </c>
    </row>
    <row r="121" spans="1:13" ht="14.25">
      <c r="A121" t="s">
        <v>0</v>
      </c>
      <c r="B121" t="s">
        <v>134</v>
      </c>
      <c r="C121">
        <v>2045</v>
      </c>
      <c r="D121">
        <v>64</v>
      </c>
      <c r="E121">
        <v>0.35</v>
      </c>
      <c r="F121">
        <v>0.39</v>
      </c>
      <c r="G121">
        <v>0.12</v>
      </c>
      <c r="H121">
        <v>0.13</v>
      </c>
      <c r="I121">
        <v>0.63</v>
      </c>
      <c r="J121">
        <v>0.27</v>
      </c>
      <c r="K121">
        <v>0.43</v>
      </c>
      <c r="L121" t="s">
        <v>1</v>
      </c>
      <c r="M121" t="s">
        <v>18</v>
      </c>
    </row>
    <row r="122" spans="1:13" ht="14.25">
      <c r="A122" t="s">
        <v>0</v>
      </c>
      <c r="B122" t="s">
        <v>134</v>
      </c>
      <c r="C122">
        <v>2050</v>
      </c>
      <c r="D122">
        <v>64</v>
      </c>
      <c r="E122">
        <v>0.37</v>
      </c>
      <c r="F122">
        <v>0.42</v>
      </c>
      <c r="G122">
        <v>0.14000000000000001</v>
      </c>
      <c r="H122">
        <v>0.13</v>
      </c>
      <c r="I122">
        <v>0.67</v>
      </c>
      <c r="J122">
        <v>0.27</v>
      </c>
      <c r="K122">
        <v>0.45</v>
      </c>
      <c r="L122" t="s">
        <v>1</v>
      </c>
      <c r="M122" t="s">
        <v>18</v>
      </c>
    </row>
    <row r="123" spans="1:13" ht="14.25">
      <c r="A123" t="s">
        <v>2</v>
      </c>
      <c r="B123" t="s">
        <v>134</v>
      </c>
      <c r="C123">
        <v>2020</v>
      </c>
      <c r="D123">
        <v>100</v>
      </c>
      <c r="E123">
        <v>0.24</v>
      </c>
      <c r="F123">
        <v>0.25</v>
      </c>
      <c r="G123">
        <v>0.05</v>
      </c>
      <c r="H123">
        <v>0.14000000000000001</v>
      </c>
      <c r="I123">
        <v>0.35</v>
      </c>
      <c r="J123">
        <v>0.23</v>
      </c>
      <c r="K123">
        <v>0.27</v>
      </c>
      <c r="L123" t="s">
        <v>3</v>
      </c>
      <c r="M123" t="s">
        <v>18</v>
      </c>
    </row>
    <row r="124" spans="1:13" ht="14.25">
      <c r="A124" t="s">
        <v>2</v>
      </c>
      <c r="B124" t="s">
        <v>134</v>
      </c>
      <c r="C124">
        <v>2025</v>
      </c>
      <c r="D124">
        <v>89</v>
      </c>
      <c r="E124">
        <v>0.26</v>
      </c>
      <c r="F124">
        <v>0.27</v>
      </c>
      <c r="G124">
        <v>0.04</v>
      </c>
      <c r="H124">
        <v>0.16</v>
      </c>
      <c r="I124">
        <v>0.34</v>
      </c>
      <c r="J124">
        <v>0.24</v>
      </c>
      <c r="K124">
        <v>0.28000000000000003</v>
      </c>
      <c r="L124" t="s">
        <v>3</v>
      </c>
      <c r="M124" t="s">
        <v>18</v>
      </c>
    </row>
    <row r="125" spans="1:13" ht="14.25">
      <c r="A125" t="s">
        <v>2</v>
      </c>
      <c r="B125" t="s">
        <v>134</v>
      </c>
      <c r="C125">
        <v>2030</v>
      </c>
      <c r="D125">
        <v>100</v>
      </c>
      <c r="E125">
        <v>0.26</v>
      </c>
      <c r="F125">
        <v>0.27</v>
      </c>
      <c r="G125">
        <v>0.070000000000000007</v>
      </c>
      <c r="H125">
        <v>0</v>
      </c>
      <c r="I125">
        <v>0.39</v>
      </c>
      <c r="J125">
        <v>0.22</v>
      </c>
      <c r="K125">
        <v>0.31</v>
      </c>
      <c r="L125" t="s">
        <v>3</v>
      </c>
      <c r="M125" t="s">
        <v>18</v>
      </c>
    </row>
    <row r="126" spans="1:13" ht="14.25">
      <c r="A126" t="s">
        <v>2</v>
      </c>
      <c r="B126" t="s">
        <v>134</v>
      </c>
      <c r="C126">
        <v>2035</v>
      </c>
      <c r="D126">
        <v>89</v>
      </c>
      <c r="E126">
        <v>0.28000000000000003</v>
      </c>
      <c r="F126">
        <v>0.30</v>
      </c>
      <c r="G126">
        <v>0.070000000000000007</v>
      </c>
      <c r="H126">
        <v>0.13</v>
      </c>
      <c r="I126">
        <v>0.43</v>
      </c>
      <c r="J126">
        <v>0.23</v>
      </c>
      <c r="K126">
        <v>0.32</v>
      </c>
      <c r="L126" t="s">
        <v>3</v>
      </c>
      <c r="M126" t="s">
        <v>18</v>
      </c>
    </row>
    <row r="127" spans="1:13" ht="14.25">
      <c r="A127" t="s">
        <v>2</v>
      </c>
      <c r="B127" t="s">
        <v>134</v>
      </c>
      <c r="C127">
        <v>2040</v>
      </c>
      <c r="D127">
        <v>100</v>
      </c>
      <c r="E127">
        <v>0.28000000000000003</v>
      </c>
      <c r="F127">
        <v>0.28999999999999998</v>
      </c>
      <c r="G127">
        <v>0.09</v>
      </c>
      <c r="H127">
        <v>0.12</v>
      </c>
      <c r="I127">
        <v>0.44</v>
      </c>
      <c r="J127">
        <v>0.21</v>
      </c>
      <c r="K127">
        <v>0.35</v>
      </c>
      <c r="L127" t="s">
        <v>3</v>
      </c>
      <c r="M127" t="s">
        <v>18</v>
      </c>
    </row>
    <row r="128" spans="1:13" ht="14.25">
      <c r="A128" t="s">
        <v>2</v>
      </c>
      <c r="B128" t="s">
        <v>134</v>
      </c>
      <c r="C128">
        <v>2045</v>
      </c>
      <c r="D128">
        <v>89</v>
      </c>
      <c r="E128">
        <v>0.31</v>
      </c>
      <c r="F128">
        <v>0.30</v>
      </c>
      <c r="G128">
        <v>0.09</v>
      </c>
      <c r="H128">
        <v>0.13</v>
      </c>
      <c r="I128">
        <v>0.46</v>
      </c>
      <c r="J128">
        <v>0.20</v>
      </c>
      <c r="K128">
        <v>0.39</v>
      </c>
      <c r="L128" t="s">
        <v>3</v>
      </c>
      <c r="M128" t="s">
        <v>18</v>
      </c>
    </row>
    <row r="129" spans="1:13" ht="14.25">
      <c r="A129" t="s">
        <v>2</v>
      </c>
      <c r="B129" t="s">
        <v>134</v>
      </c>
      <c r="C129">
        <v>2050</v>
      </c>
      <c r="D129">
        <v>100</v>
      </c>
      <c r="E129">
        <v>0.31</v>
      </c>
      <c r="F129">
        <v>0.30</v>
      </c>
      <c r="G129">
        <v>0.13</v>
      </c>
      <c r="H129">
        <v>0.13</v>
      </c>
      <c r="I129">
        <v>0.57999999999999996</v>
      </c>
      <c r="J129">
        <v>0.18</v>
      </c>
      <c r="K129">
        <v>0.43</v>
      </c>
      <c r="L129" t="s">
        <v>3</v>
      </c>
      <c r="M129" t="s">
        <v>18</v>
      </c>
    </row>
    <row r="130" spans="1:13" ht="14.25">
      <c r="A130" t="s">
        <v>5</v>
      </c>
      <c r="B130" t="s">
        <v>134</v>
      </c>
      <c r="C130">
        <v>2020</v>
      </c>
      <c r="D130">
        <v>232</v>
      </c>
      <c r="E130">
        <v>0.25</v>
      </c>
      <c r="F130">
        <v>0.25</v>
      </c>
      <c r="G130">
        <v>0.03</v>
      </c>
      <c r="H130">
        <v>0.14000000000000001</v>
      </c>
      <c r="I130">
        <v>0.35</v>
      </c>
      <c r="J130">
        <v>0.23</v>
      </c>
      <c r="K130">
        <v>0.25</v>
      </c>
      <c r="L130" t="s">
        <v>6</v>
      </c>
      <c r="M130" t="s">
        <v>18</v>
      </c>
    </row>
    <row r="131" spans="1:13" ht="14.25">
      <c r="A131" t="s">
        <v>5</v>
      </c>
      <c r="B131" t="s">
        <v>134</v>
      </c>
      <c r="C131">
        <v>2025</v>
      </c>
      <c r="D131">
        <v>209</v>
      </c>
      <c r="E131">
        <v>0.25</v>
      </c>
      <c r="F131">
        <v>0.27</v>
      </c>
      <c r="G131">
        <v>0.06</v>
      </c>
      <c r="H131">
        <v>0.12</v>
      </c>
      <c r="I131">
        <v>0.55000000000000004</v>
      </c>
      <c r="J131">
        <v>0.22</v>
      </c>
      <c r="K131">
        <v>0.27</v>
      </c>
      <c r="L131" t="s">
        <v>6</v>
      </c>
      <c r="M131" t="s">
        <v>18</v>
      </c>
    </row>
    <row r="132" spans="1:13" ht="14.25">
      <c r="A132" t="s">
        <v>5</v>
      </c>
      <c r="B132" t="s">
        <v>134</v>
      </c>
      <c r="C132">
        <v>2030</v>
      </c>
      <c r="D132">
        <v>232</v>
      </c>
      <c r="E132">
        <v>0.25</v>
      </c>
      <c r="F132">
        <v>0.28999999999999998</v>
      </c>
      <c r="G132">
        <v>0.10</v>
      </c>
      <c r="H132">
        <v>0</v>
      </c>
      <c r="I132">
        <v>0.56999999999999995</v>
      </c>
      <c r="J132">
        <v>0.20</v>
      </c>
      <c r="K132">
        <v>0.31</v>
      </c>
      <c r="L132" t="s">
        <v>6</v>
      </c>
      <c r="M132" t="s">
        <v>18</v>
      </c>
    </row>
    <row r="133" spans="1:13" ht="14.25">
      <c r="A133" t="s">
        <v>5</v>
      </c>
      <c r="B133" t="s">
        <v>134</v>
      </c>
      <c r="C133">
        <v>2035</v>
      </c>
      <c r="D133">
        <v>209</v>
      </c>
      <c r="E133">
        <v>0.27</v>
      </c>
      <c r="F133">
        <v>0.30</v>
      </c>
      <c r="G133">
        <v>0.10</v>
      </c>
      <c r="H133">
        <v>0.13</v>
      </c>
      <c r="I133">
        <v>0.61</v>
      </c>
      <c r="J133">
        <v>0.17</v>
      </c>
      <c r="K133">
        <v>0.32</v>
      </c>
      <c r="L133" t="s">
        <v>6</v>
      </c>
      <c r="M133" t="s">
        <v>18</v>
      </c>
    </row>
    <row r="134" spans="1:13" ht="14.25">
      <c r="A134" t="s">
        <v>5</v>
      </c>
      <c r="B134" t="s">
        <v>134</v>
      </c>
      <c r="C134">
        <v>2040</v>
      </c>
      <c r="D134">
        <v>232</v>
      </c>
      <c r="E134">
        <v>0.28000000000000003</v>
      </c>
      <c r="F134">
        <v>0.31</v>
      </c>
      <c r="G134">
        <v>0.11</v>
      </c>
      <c r="H134">
        <v>0.12</v>
      </c>
      <c r="I134">
        <v>0.64</v>
      </c>
      <c r="J134">
        <v>0.18</v>
      </c>
      <c r="K134">
        <v>0.33</v>
      </c>
      <c r="L134" t="s">
        <v>6</v>
      </c>
      <c r="M134" t="s">
        <v>18</v>
      </c>
    </row>
    <row r="135" spans="1:13" ht="14.25">
      <c r="A135" t="s">
        <v>5</v>
      </c>
      <c r="B135" t="s">
        <v>134</v>
      </c>
      <c r="C135">
        <v>2045</v>
      </c>
      <c r="D135">
        <v>209</v>
      </c>
      <c r="E135">
        <v>0.30</v>
      </c>
      <c r="F135">
        <v>0.33</v>
      </c>
      <c r="G135">
        <v>0.12</v>
      </c>
      <c r="H135">
        <v>0.13</v>
      </c>
      <c r="I135">
        <v>0.66</v>
      </c>
      <c r="J135">
        <v>0.18</v>
      </c>
      <c r="K135">
        <v>0.37</v>
      </c>
      <c r="L135" t="s">
        <v>6</v>
      </c>
      <c r="M135" t="s">
        <v>18</v>
      </c>
    </row>
    <row r="136" spans="1:13" ht="14.25">
      <c r="A136" t="s">
        <v>5</v>
      </c>
      <c r="B136" t="s">
        <v>134</v>
      </c>
      <c r="C136">
        <v>2050</v>
      </c>
      <c r="D136">
        <v>232</v>
      </c>
      <c r="E136">
        <v>0.31</v>
      </c>
      <c r="F136">
        <v>0.33</v>
      </c>
      <c r="G136">
        <v>0.14000000000000001</v>
      </c>
      <c r="H136">
        <v>0.13</v>
      </c>
      <c r="I136">
        <v>0.67</v>
      </c>
      <c r="J136">
        <v>0.18</v>
      </c>
      <c r="K136">
        <v>0.40</v>
      </c>
      <c r="L136" t="s">
        <v>6</v>
      </c>
      <c r="M136" t="s">
        <v>18</v>
      </c>
    </row>
    <row r="137" spans="1:13" ht="14.25">
      <c r="A137" t="s">
        <v>7</v>
      </c>
      <c r="B137" t="s">
        <v>134</v>
      </c>
      <c r="C137">
        <v>2020</v>
      </c>
      <c r="D137">
        <v>102</v>
      </c>
      <c r="E137">
        <v>0.25</v>
      </c>
      <c r="F137">
        <v>0.23</v>
      </c>
      <c r="G137">
        <v>0.03</v>
      </c>
      <c r="H137">
        <v>0.21</v>
      </c>
      <c r="I137">
        <v>0.32</v>
      </c>
      <c r="J137">
        <v>0.23</v>
      </c>
      <c r="K137">
        <v>0.25</v>
      </c>
      <c r="L137" t="s">
        <v>8</v>
      </c>
      <c r="M137" t="s">
        <v>18</v>
      </c>
    </row>
    <row r="138" spans="1:13" ht="14.25">
      <c r="A138" t="s">
        <v>7</v>
      </c>
      <c r="B138" t="s">
        <v>134</v>
      </c>
      <c r="C138">
        <v>2025</v>
      </c>
      <c r="D138">
        <v>96</v>
      </c>
      <c r="E138">
        <v>0.23</v>
      </c>
      <c r="F138">
        <v>0.23</v>
      </c>
      <c r="G138">
        <v>0.05</v>
      </c>
      <c r="H138">
        <v>0.12</v>
      </c>
      <c r="I138">
        <v>0.32</v>
      </c>
      <c r="J138">
        <v>0.22</v>
      </c>
      <c r="K138">
        <v>0.27</v>
      </c>
      <c r="L138" t="s">
        <v>8</v>
      </c>
      <c r="M138" t="s">
        <v>18</v>
      </c>
    </row>
    <row r="139" spans="1:13" ht="14.25">
      <c r="A139" t="s">
        <v>7</v>
      </c>
      <c r="B139" t="s">
        <v>134</v>
      </c>
      <c r="C139">
        <v>2030</v>
      </c>
      <c r="D139">
        <v>102</v>
      </c>
      <c r="E139">
        <v>0.23</v>
      </c>
      <c r="F139">
        <v>0.25</v>
      </c>
      <c r="G139">
        <v>0.09</v>
      </c>
      <c r="H139">
        <v>0</v>
      </c>
      <c r="I139">
        <v>0.36</v>
      </c>
      <c r="J139">
        <v>0.16</v>
      </c>
      <c r="K139">
        <v>0.30</v>
      </c>
      <c r="L139" t="s">
        <v>8</v>
      </c>
      <c r="M139" t="s">
        <v>18</v>
      </c>
    </row>
    <row r="140" spans="1:13" ht="14.25">
      <c r="A140" t="s">
        <v>7</v>
      </c>
      <c r="B140" t="s">
        <v>134</v>
      </c>
      <c r="C140">
        <v>2035</v>
      </c>
      <c r="D140">
        <v>96</v>
      </c>
      <c r="E140">
        <v>0.23</v>
      </c>
      <c r="F140">
        <v>0.24</v>
      </c>
      <c r="G140">
        <v>0.070000000000000007</v>
      </c>
      <c r="H140">
        <v>0.13</v>
      </c>
      <c r="I140">
        <v>0.38</v>
      </c>
      <c r="J140">
        <v>0.15</v>
      </c>
      <c r="K140">
        <v>0.30</v>
      </c>
      <c r="L140" t="s">
        <v>8</v>
      </c>
      <c r="M140" t="s">
        <v>18</v>
      </c>
    </row>
    <row r="141" spans="1:13" ht="14.25">
      <c r="A141" t="s">
        <v>7</v>
      </c>
      <c r="B141" t="s">
        <v>134</v>
      </c>
      <c r="C141">
        <v>2040</v>
      </c>
      <c r="D141">
        <v>102</v>
      </c>
      <c r="E141">
        <v>0.23</v>
      </c>
      <c r="F141">
        <v>0.26</v>
      </c>
      <c r="G141">
        <v>0.08</v>
      </c>
      <c r="H141">
        <v>0.13</v>
      </c>
      <c r="I141">
        <v>0.42</v>
      </c>
      <c r="J141">
        <v>0.16</v>
      </c>
      <c r="K141">
        <v>0.31</v>
      </c>
      <c r="L141" t="s">
        <v>8</v>
      </c>
      <c r="M141" t="s">
        <v>18</v>
      </c>
    </row>
    <row r="142" spans="1:13" ht="14.25">
      <c r="A142" t="s">
        <v>7</v>
      </c>
      <c r="B142" t="s">
        <v>134</v>
      </c>
      <c r="C142">
        <v>2045</v>
      </c>
      <c r="D142">
        <v>96</v>
      </c>
      <c r="E142">
        <v>0.25</v>
      </c>
      <c r="F142">
        <v>0.26</v>
      </c>
      <c r="G142">
        <v>0.09</v>
      </c>
      <c r="H142">
        <v>0.12</v>
      </c>
      <c r="I142">
        <v>0.45</v>
      </c>
      <c r="J142">
        <v>0.16</v>
      </c>
      <c r="K142">
        <v>0.32</v>
      </c>
      <c r="L142" t="s">
        <v>8</v>
      </c>
      <c r="M142" t="s">
        <v>18</v>
      </c>
    </row>
    <row r="143" spans="1:13" ht="14.25">
      <c r="A143" t="s">
        <v>7</v>
      </c>
      <c r="B143" t="s">
        <v>134</v>
      </c>
      <c r="C143">
        <v>2050</v>
      </c>
      <c r="D143">
        <v>102</v>
      </c>
      <c r="E143">
        <v>0.25</v>
      </c>
      <c r="F143">
        <v>0.25</v>
      </c>
      <c r="G143">
        <v>0.10</v>
      </c>
      <c r="H143">
        <v>0.11</v>
      </c>
      <c r="I143">
        <v>0.47</v>
      </c>
      <c r="J143">
        <v>0.16</v>
      </c>
      <c r="K143">
        <v>0.34</v>
      </c>
      <c r="L143" t="s">
        <v>8</v>
      </c>
      <c r="M143" t="s">
        <v>18</v>
      </c>
    </row>
    <row r="144" spans="1:13" ht="14.25">
      <c r="A144" t="s">
        <v>9</v>
      </c>
      <c r="B144" t="s">
        <v>134</v>
      </c>
      <c r="C144">
        <v>2020</v>
      </c>
      <c r="D144">
        <v>61</v>
      </c>
      <c r="E144">
        <v>0.27</v>
      </c>
      <c r="F144">
        <v>0.25</v>
      </c>
      <c r="G144">
        <v>0.04</v>
      </c>
      <c r="H144">
        <v>0.21</v>
      </c>
      <c r="I144">
        <v>0.35</v>
      </c>
      <c r="J144">
        <v>0.25</v>
      </c>
      <c r="K144">
        <v>0.28999999999999998</v>
      </c>
      <c r="L144" t="s">
        <v>10</v>
      </c>
      <c r="M144" t="s">
        <v>18</v>
      </c>
    </row>
    <row r="145" spans="1:13" ht="14.25">
      <c r="A145" t="s">
        <v>9</v>
      </c>
      <c r="B145" t="s">
        <v>134</v>
      </c>
      <c r="C145">
        <v>2025</v>
      </c>
      <c r="D145">
        <v>56</v>
      </c>
      <c r="E145">
        <v>0.27</v>
      </c>
      <c r="F145">
        <v>0.27</v>
      </c>
      <c r="G145">
        <v>0.03</v>
      </c>
      <c r="H145">
        <v>0.17</v>
      </c>
      <c r="I145">
        <v>0.33</v>
      </c>
      <c r="J145">
        <v>0.27</v>
      </c>
      <c r="K145">
        <v>0.28999999999999998</v>
      </c>
      <c r="L145" t="s">
        <v>10</v>
      </c>
      <c r="M145" t="s">
        <v>18</v>
      </c>
    </row>
    <row r="146" spans="1:13" ht="14.25">
      <c r="A146" t="s">
        <v>9</v>
      </c>
      <c r="B146" t="s">
        <v>134</v>
      </c>
      <c r="C146">
        <v>2030</v>
      </c>
      <c r="D146">
        <v>61</v>
      </c>
      <c r="E146">
        <v>0.28000000000000003</v>
      </c>
      <c r="F146">
        <v>0.28999999999999998</v>
      </c>
      <c r="G146">
        <v>0.04</v>
      </c>
      <c r="H146">
        <v>0.16</v>
      </c>
      <c r="I146">
        <v>0.37</v>
      </c>
      <c r="J146">
        <v>0.25</v>
      </c>
      <c r="K146">
        <v>0.31</v>
      </c>
      <c r="L146" t="s">
        <v>10</v>
      </c>
      <c r="M146" t="s">
        <v>18</v>
      </c>
    </row>
    <row r="147" spans="1:13" ht="14.25">
      <c r="A147" t="s">
        <v>9</v>
      </c>
      <c r="B147" t="s">
        <v>134</v>
      </c>
      <c r="C147">
        <v>2035</v>
      </c>
      <c r="D147">
        <v>56</v>
      </c>
      <c r="E147">
        <v>0.28999999999999998</v>
      </c>
      <c r="F147">
        <v>0.30</v>
      </c>
      <c r="G147">
        <v>0.05</v>
      </c>
      <c r="H147">
        <v>0.15</v>
      </c>
      <c r="I147">
        <v>0.41</v>
      </c>
      <c r="J147">
        <v>0.27</v>
      </c>
      <c r="K147">
        <v>0.31</v>
      </c>
      <c r="L147" t="s">
        <v>10</v>
      </c>
      <c r="M147" t="s">
        <v>18</v>
      </c>
    </row>
    <row r="148" spans="1:13" ht="14.25">
      <c r="A148" t="s">
        <v>9</v>
      </c>
      <c r="B148" t="s">
        <v>134</v>
      </c>
      <c r="C148">
        <v>2040</v>
      </c>
      <c r="D148">
        <v>61</v>
      </c>
      <c r="E148">
        <v>0.28000000000000003</v>
      </c>
      <c r="F148">
        <v>0.28999999999999998</v>
      </c>
      <c r="G148">
        <v>0.06</v>
      </c>
      <c r="H148">
        <v>0.14000000000000001</v>
      </c>
      <c r="I148">
        <v>0.42</v>
      </c>
      <c r="J148">
        <v>0.25</v>
      </c>
      <c r="K148">
        <v>0.32</v>
      </c>
      <c r="L148" t="s">
        <v>10</v>
      </c>
      <c r="M148" t="s">
        <v>18</v>
      </c>
    </row>
    <row r="149" spans="1:13" ht="14.25">
      <c r="A149" t="s">
        <v>9</v>
      </c>
      <c r="B149" t="s">
        <v>134</v>
      </c>
      <c r="C149">
        <v>2045</v>
      </c>
      <c r="D149">
        <v>56</v>
      </c>
      <c r="E149">
        <v>0.28999999999999998</v>
      </c>
      <c r="F149">
        <v>0.28999999999999998</v>
      </c>
      <c r="G149">
        <v>0.06</v>
      </c>
      <c r="H149">
        <v>0.13</v>
      </c>
      <c r="I149">
        <v>0.44</v>
      </c>
      <c r="J149">
        <v>0.26</v>
      </c>
      <c r="K149">
        <v>0.32</v>
      </c>
      <c r="L149" t="s">
        <v>10</v>
      </c>
      <c r="M149" t="s">
        <v>18</v>
      </c>
    </row>
    <row r="150" spans="1:13" ht="14.25">
      <c r="A150" t="s">
        <v>9</v>
      </c>
      <c r="B150" t="s">
        <v>134</v>
      </c>
      <c r="C150">
        <v>2050</v>
      </c>
      <c r="D150">
        <v>61</v>
      </c>
      <c r="E150">
        <v>0.28000000000000003</v>
      </c>
      <c r="F150">
        <v>0.28000000000000003</v>
      </c>
      <c r="G150">
        <v>0.06</v>
      </c>
      <c r="H150">
        <v>0.13</v>
      </c>
      <c r="I150">
        <v>0.46</v>
      </c>
      <c r="J150">
        <v>0.25</v>
      </c>
      <c r="K150">
        <v>0.32</v>
      </c>
      <c r="L150" t="s">
        <v>10</v>
      </c>
      <c r="M150" t="s">
        <v>18</v>
      </c>
    </row>
    <row r="151" spans="1:13" ht="14.25">
      <c r="A151" t="s">
        <v>0</v>
      </c>
      <c r="B151" t="s">
        <v>134</v>
      </c>
      <c r="C151">
        <v>2020</v>
      </c>
      <c r="D151">
        <v>64</v>
      </c>
      <c r="E151">
        <v>0.72</v>
      </c>
      <c r="F151">
        <v>0.73</v>
      </c>
      <c r="G151">
        <v>0.04</v>
      </c>
      <c r="H151">
        <v>0.65</v>
      </c>
      <c r="I151">
        <v>0.78</v>
      </c>
      <c r="J151">
        <v>0.69</v>
      </c>
      <c r="K151">
        <v>0.74</v>
      </c>
      <c r="L151" t="s">
        <v>1</v>
      </c>
      <c r="M151" t="s">
        <v>21</v>
      </c>
    </row>
    <row r="152" spans="1:13" ht="14.25">
      <c r="A152" t="s">
        <v>0</v>
      </c>
      <c r="B152" t="s">
        <v>134</v>
      </c>
      <c r="C152">
        <v>2025</v>
      </c>
      <c r="D152">
        <v>64</v>
      </c>
      <c r="E152">
        <v>0.70</v>
      </c>
      <c r="F152">
        <v>0.71</v>
      </c>
      <c r="G152">
        <v>0.05</v>
      </c>
      <c r="H152">
        <v>0.43</v>
      </c>
      <c r="I152">
        <v>0.82</v>
      </c>
      <c r="J152">
        <v>0.67</v>
      </c>
      <c r="K152">
        <v>0.73</v>
      </c>
      <c r="L152" t="s">
        <v>1</v>
      </c>
      <c r="M152" t="s">
        <v>21</v>
      </c>
    </row>
    <row r="153" spans="1:13" ht="14.25">
      <c r="A153" t="s">
        <v>0</v>
      </c>
      <c r="B153" t="s">
        <v>134</v>
      </c>
      <c r="C153">
        <v>2030</v>
      </c>
      <c r="D153">
        <v>64</v>
      </c>
      <c r="E153">
        <v>0.67</v>
      </c>
      <c r="F153">
        <v>0.66</v>
      </c>
      <c r="G153">
        <v>0.070000000000000007</v>
      </c>
      <c r="H153">
        <v>0.38</v>
      </c>
      <c r="I153">
        <v>0.78</v>
      </c>
      <c r="J153">
        <v>0.64</v>
      </c>
      <c r="K153">
        <v>0.71</v>
      </c>
      <c r="L153" t="s">
        <v>1</v>
      </c>
      <c r="M153" t="s">
        <v>21</v>
      </c>
    </row>
    <row r="154" spans="1:13" ht="14.25">
      <c r="A154" t="s">
        <v>0</v>
      </c>
      <c r="B154" t="s">
        <v>134</v>
      </c>
      <c r="C154">
        <v>2035</v>
      </c>
      <c r="D154">
        <v>64</v>
      </c>
      <c r="E154">
        <v>0.63</v>
      </c>
      <c r="F154">
        <v>0.63</v>
      </c>
      <c r="G154">
        <v>0.08</v>
      </c>
      <c r="H154">
        <v>0.40</v>
      </c>
      <c r="I154">
        <v>0.76</v>
      </c>
      <c r="J154">
        <v>0.59</v>
      </c>
      <c r="K154">
        <v>0.67</v>
      </c>
      <c r="L154" t="s">
        <v>1</v>
      </c>
      <c r="M154" t="s">
        <v>21</v>
      </c>
    </row>
    <row r="155" spans="1:13" ht="14.25">
      <c r="A155" t="s">
        <v>0</v>
      </c>
      <c r="B155" t="s">
        <v>134</v>
      </c>
      <c r="C155">
        <v>2040</v>
      </c>
      <c r="D155">
        <v>64</v>
      </c>
      <c r="E155">
        <v>0.59</v>
      </c>
      <c r="F155">
        <v>0.56999999999999995</v>
      </c>
      <c r="G155">
        <v>0.09</v>
      </c>
      <c r="H155">
        <v>0.39</v>
      </c>
      <c r="I155">
        <v>0.75</v>
      </c>
      <c r="J155">
        <v>0.54</v>
      </c>
      <c r="K155">
        <v>0.64</v>
      </c>
      <c r="L155" t="s">
        <v>1</v>
      </c>
      <c r="M155" t="s">
        <v>21</v>
      </c>
    </row>
    <row r="156" spans="1:13" ht="14.25">
      <c r="A156" t="s">
        <v>0</v>
      </c>
      <c r="B156" t="s">
        <v>134</v>
      </c>
      <c r="C156">
        <v>2045</v>
      </c>
      <c r="D156">
        <v>64</v>
      </c>
      <c r="E156">
        <v>0.55000000000000004</v>
      </c>
      <c r="F156">
        <v>0.51</v>
      </c>
      <c r="G156">
        <v>0.10</v>
      </c>
      <c r="H156">
        <v>0.35</v>
      </c>
      <c r="I156">
        <v>0.75</v>
      </c>
      <c r="J156">
        <v>0.48</v>
      </c>
      <c r="K156">
        <v>0.62</v>
      </c>
      <c r="L156" t="s">
        <v>1</v>
      </c>
      <c r="M156" t="s">
        <v>21</v>
      </c>
    </row>
    <row r="157" spans="1:13" ht="14.25">
      <c r="A157" t="s">
        <v>0</v>
      </c>
      <c r="B157" t="s">
        <v>134</v>
      </c>
      <c r="C157">
        <v>2050</v>
      </c>
      <c r="D157">
        <v>64</v>
      </c>
      <c r="E157">
        <v>0.53</v>
      </c>
      <c r="F157">
        <v>0.48</v>
      </c>
      <c r="G157">
        <v>0.12</v>
      </c>
      <c r="H157">
        <v>0.31</v>
      </c>
      <c r="I157">
        <v>0.75</v>
      </c>
      <c r="J157">
        <v>0.43</v>
      </c>
      <c r="K157">
        <v>0.60</v>
      </c>
      <c r="L157" t="s">
        <v>1</v>
      </c>
      <c r="M157" t="s">
        <v>21</v>
      </c>
    </row>
    <row r="158" spans="1:13" ht="14.25">
      <c r="A158" t="s">
        <v>2</v>
      </c>
      <c r="B158" t="s">
        <v>134</v>
      </c>
      <c r="C158">
        <v>2020</v>
      </c>
      <c r="D158">
        <v>97</v>
      </c>
      <c r="E158">
        <v>0.74</v>
      </c>
      <c r="F158">
        <v>0.74</v>
      </c>
      <c r="G158">
        <v>0.05</v>
      </c>
      <c r="H158">
        <v>0.65</v>
      </c>
      <c r="I158">
        <v>0.86</v>
      </c>
      <c r="J158">
        <v>0.71</v>
      </c>
      <c r="K158">
        <v>0.75</v>
      </c>
      <c r="L158" t="s">
        <v>3</v>
      </c>
      <c r="M158" t="s">
        <v>21</v>
      </c>
    </row>
    <row r="159" spans="1:13" ht="14.25">
      <c r="A159" t="s">
        <v>2</v>
      </c>
      <c r="B159" t="s">
        <v>134</v>
      </c>
      <c r="C159">
        <v>2025</v>
      </c>
      <c r="D159">
        <v>86</v>
      </c>
      <c r="E159">
        <v>0.72</v>
      </c>
      <c r="F159">
        <v>0.71</v>
      </c>
      <c r="G159">
        <v>0.05</v>
      </c>
      <c r="H159">
        <v>0.65</v>
      </c>
      <c r="I159">
        <v>0.83</v>
      </c>
      <c r="J159">
        <v>0.68</v>
      </c>
      <c r="K159">
        <v>0.74</v>
      </c>
      <c r="L159" t="s">
        <v>3</v>
      </c>
      <c r="M159" t="s">
        <v>21</v>
      </c>
    </row>
    <row r="160" spans="1:13" ht="14.25">
      <c r="A160" t="s">
        <v>2</v>
      </c>
      <c r="B160" t="s">
        <v>134</v>
      </c>
      <c r="C160">
        <v>2030</v>
      </c>
      <c r="D160">
        <v>97</v>
      </c>
      <c r="E160">
        <v>0.71</v>
      </c>
      <c r="F160">
        <v>0.69</v>
      </c>
      <c r="G160">
        <v>0.070000000000000007</v>
      </c>
      <c r="H160">
        <v>0.59</v>
      </c>
      <c r="I160">
        <v>0.84</v>
      </c>
      <c r="J160">
        <v>0.66</v>
      </c>
      <c r="K160">
        <v>0.74</v>
      </c>
      <c r="L160" t="s">
        <v>3</v>
      </c>
      <c r="M160" t="s">
        <v>21</v>
      </c>
    </row>
    <row r="161" spans="1:13" ht="14.25">
      <c r="A161" t="s">
        <v>2</v>
      </c>
      <c r="B161" t="s">
        <v>134</v>
      </c>
      <c r="C161">
        <v>2035</v>
      </c>
      <c r="D161">
        <v>86</v>
      </c>
      <c r="E161">
        <v>0.67</v>
      </c>
      <c r="F161">
        <v>0.66</v>
      </c>
      <c r="G161">
        <v>0.070000000000000007</v>
      </c>
      <c r="H161">
        <v>0.55000000000000004</v>
      </c>
      <c r="I161">
        <v>0.82</v>
      </c>
      <c r="J161">
        <v>0.62</v>
      </c>
      <c r="K161">
        <v>0.71</v>
      </c>
      <c r="L161" t="s">
        <v>3</v>
      </c>
      <c r="M161" t="s">
        <v>21</v>
      </c>
    </row>
    <row r="162" spans="1:13" ht="14.25">
      <c r="A162" t="s">
        <v>2</v>
      </c>
      <c r="B162" t="s">
        <v>134</v>
      </c>
      <c r="C162">
        <v>2040</v>
      </c>
      <c r="D162">
        <v>97</v>
      </c>
      <c r="E162">
        <v>0.65</v>
      </c>
      <c r="F162">
        <v>0.64</v>
      </c>
      <c r="G162">
        <v>0.08</v>
      </c>
      <c r="H162">
        <v>0.41</v>
      </c>
      <c r="I162">
        <v>0.79</v>
      </c>
      <c r="J162">
        <v>0.57999999999999996</v>
      </c>
      <c r="K162">
        <v>0.71</v>
      </c>
      <c r="L162" t="s">
        <v>3</v>
      </c>
      <c r="M162" t="s">
        <v>21</v>
      </c>
    </row>
    <row r="163" spans="1:13" ht="14.25">
      <c r="A163" t="s">
        <v>2</v>
      </c>
      <c r="B163" t="s">
        <v>134</v>
      </c>
      <c r="C163">
        <v>2045</v>
      </c>
      <c r="D163">
        <v>86</v>
      </c>
      <c r="E163">
        <v>0.61</v>
      </c>
      <c r="F163">
        <v>0.60</v>
      </c>
      <c r="G163">
        <v>0.09</v>
      </c>
      <c r="H163">
        <v>0.42</v>
      </c>
      <c r="I163">
        <v>0.77</v>
      </c>
      <c r="J163">
        <v>0.54</v>
      </c>
      <c r="K163">
        <v>0.68</v>
      </c>
      <c r="L163" t="s">
        <v>3</v>
      </c>
      <c r="M163" t="s">
        <v>21</v>
      </c>
    </row>
    <row r="164" spans="1:13" ht="14.25">
      <c r="A164" t="s">
        <v>2</v>
      </c>
      <c r="B164" t="s">
        <v>134</v>
      </c>
      <c r="C164">
        <v>2050</v>
      </c>
      <c r="D164">
        <v>97</v>
      </c>
      <c r="E164">
        <v>0.57999999999999996</v>
      </c>
      <c r="F164">
        <v>0.59</v>
      </c>
      <c r="G164">
        <v>0.10</v>
      </c>
      <c r="H164">
        <v>0.39</v>
      </c>
      <c r="I164">
        <v>0.74</v>
      </c>
      <c r="J164">
        <v>0.50</v>
      </c>
      <c r="K164">
        <v>0.66</v>
      </c>
      <c r="L164" t="s">
        <v>3</v>
      </c>
      <c r="M164" t="s">
        <v>21</v>
      </c>
    </row>
    <row r="165" spans="1:13" ht="14.25">
      <c r="A165" t="s">
        <v>5</v>
      </c>
      <c r="B165" t="s">
        <v>134</v>
      </c>
      <c r="C165">
        <v>2020</v>
      </c>
      <c r="D165">
        <v>232</v>
      </c>
      <c r="E165">
        <v>0.72</v>
      </c>
      <c r="F165">
        <v>0.73</v>
      </c>
      <c r="G165">
        <v>0.04</v>
      </c>
      <c r="H165">
        <v>0.65</v>
      </c>
      <c r="I165">
        <v>0.86</v>
      </c>
      <c r="J165">
        <v>0.68</v>
      </c>
      <c r="K165">
        <v>0.74</v>
      </c>
      <c r="L165" t="s">
        <v>6</v>
      </c>
      <c r="M165" t="s">
        <v>21</v>
      </c>
    </row>
    <row r="166" spans="1:13" ht="14.25">
      <c r="A166" t="s">
        <v>5</v>
      </c>
      <c r="B166" t="s">
        <v>134</v>
      </c>
      <c r="C166">
        <v>2025</v>
      </c>
      <c r="D166">
        <v>209</v>
      </c>
      <c r="E166">
        <v>0.72</v>
      </c>
      <c r="F166">
        <v>0.71</v>
      </c>
      <c r="G166">
        <v>0.05</v>
      </c>
      <c r="H166">
        <v>0.42</v>
      </c>
      <c r="I166">
        <v>0.83</v>
      </c>
      <c r="J166">
        <v>0.68</v>
      </c>
      <c r="K166">
        <v>0.75</v>
      </c>
      <c r="L166" t="s">
        <v>6</v>
      </c>
      <c r="M166" t="s">
        <v>21</v>
      </c>
    </row>
    <row r="167" spans="1:13" ht="14.25">
      <c r="A167" t="s">
        <v>5</v>
      </c>
      <c r="B167" t="s">
        <v>134</v>
      </c>
      <c r="C167">
        <v>2030</v>
      </c>
      <c r="D167">
        <v>232</v>
      </c>
      <c r="E167">
        <v>0.70</v>
      </c>
      <c r="F167">
        <v>0.69</v>
      </c>
      <c r="G167">
        <v>0.070000000000000007</v>
      </c>
      <c r="H167">
        <v>0.41</v>
      </c>
      <c r="I167">
        <v>0.84</v>
      </c>
      <c r="J167">
        <v>0.66</v>
      </c>
      <c r="K167">
        <v>0.75</v>
      </c>
      <c r="L167" t="s">
        <v>6</v>
      </c>
      <c r="M167" t="s">
        <v>21</v>
      </c>
    </row>
    <row r="168" spans="1:13" ht="14.25">
      <c r="A168" t="s">
        <v>5</v>
      </c>
      <c r="B168" t="s">
        <v>134</v>
      </c>
      <c r="C168">
        <v>2035</v>
      </c>
      <c r="D168">
        <v>209</v>
      </c>
      <c r="E168">
        <v>0.68</v>
      </c>
      <c r="F168">
        <v>0.65</v>
      </c>
      <c r="G168">
        <v>0.09</v>
      </c>
      <c r="H168">
        <v>0.37</v>
      </c>
      <c r="I168">
        <v>0.82</v>
      </c>
      <c r="J168">
        <v>0.63</v>
      </c>
      <c r="K168">
        <v>0.75</v>
      </c>
      <c r="L168" t="s">
        <v>6</v>
      </c>
      <c r="M168" t="s">
        <v>21</v>
      </c>
    </row>
    <row r="169" spans="1:13" ht="14.25">
      <c r="A169" t="s">
        <v>5</v>
      </c>
      <c r="B169" t="s">
        <v>134</v>
      </c>
      <c r="C169">
        <v>2040</v>
      </c>
      <c r="D169">
        <v>232</v>
      </c>
      <c r="E169">
        <v>0.66</v>
      </c>
      <c r="F169">
        <v>0.64</v>
      </c>
      <c r="G169">
        <v>0.10</v>
      </c>
      <c r="H169">
        <v>0.34</v>
      </c>
      <c r="I169">
        <v>0.80</v>
      </c>
      <c r="J169">
        <v>0.60</v>
      </c>
      <c r="K169">
        <v>0.75</v>
      </c>
      <c r="L169" t="s">
        <v>6</v>
      </c>
      <c r="M169" t="s">
        <v>21</v>
      </c>
    </row>
    <row r="170" spans="1:13" ht="14.25">
      <c r="A170" t="s">
        <v>5</v>
      </c>
      <c r="B170" t="s">
        <v>134</v>
      </c>
      <c r="C170">
        <v>2045</v>
      </c>
      <c r="D170">
        <v>209</v>
      </c>
      <c r="E170">
        <v>0.62</v>
      </c>
      <c r="F170">
        <v>0.59</v>
      </c>
      <c r="G170">
        <v>0.10</v>
      </c>
      <c r="H170">
        <v>0.32</v>
      </c>
      <c r="I170">
        <v>0.78</v>
      </c>
      <c r="J170">
        <v>0.55000000000000004</v>
      </c>
      <c r="K170">
        <v>0.72</v>
      </c>
      <c r="L170" t="s">
        <v>6</v>
      </c>
      <c r="M170" t="s">
        <v>21</v>
      </c>
    </row>
    <row r="171" spans="1:13" ht="14.25">
      <c r="A171" t="s">
        <v>5</v>
      </c>
      <c r="B171" t="s">
        <v>134</v>
      </c>
      <c r="C171">
        <v>2050</v>
      </c>
      <c r="D171">
        <v>232</v>
      </c>
      <c r="E171">
        <v>0.60</v>
      </c>
      <c r="F171">
        <v>0.57999999999999996</v>
      </c>
      <c r="G171">
        <v>0.12</v>
      </c>
      <c r="H171">
        <v>0.31</v>
      </c>
      <c r="I171">
        <v>0.81</v>
      </c>
      <c r="J171">
        <v>0.51</v>
      </c>
      <c r="K171">
        <v>0.72</v>
      </c>
      <c r="L171" t="s">
        <v>6</v>
      </c>
      <c r="M171" t="s">
        <v>21</v>
      </c>
    </row>
    <row r="172" spans="1:13" ht="14.25">
      <c r="A172" t="s">
        <v>7</v>
      </c>
      <c r="B172" t="s">
        <v>134</v>
      </c>
      <c r="C172">
        <v>2020</v>
      </c>
      <c r="D172">
        <v>102</v>
      </c>
      <c r="E172">
        <v>0.72</v>
      </c>
      <c r="F172">
        <v>0.72</v>
      </c>
      <c r="G172">
        <v>0.04</v>
      </c>
      <c r="H172">
        <v>0.67</v>
      </c>
      <c r="I172">
        <v>0.78</v>
      </c>
      <c r="J172">
        <v>0.67</v>
      </c>
      <c r="K172">
        <v>0.75</v>
      </c>
      <c r="L172" t="s">
        <v>8</v>
      </c>
      <c r="M172" t="s">
        <v>21</v>
      </c>
    </row>
    <row r="173" spans="1:13" ht="14.25">
      <c r="A173" t="s">
        <v>7</v>
      </c>
      <c r="B173" t="s">
        <v>134</v>
      </c>
      <c r="C173">
        <v>2025</v>
      </c>
      <c r="D173">
        <v>96</v>
      </c>
      <c r="E173">
        <v>0.73</v>
      </c>
      <c r="F173">
        <v>0.73</v>
      </c>
      <c r="G173">
        <v>0.05</v>
      </c>
      <c r="H173">
        <v>0.67</v>
      </c>
      <c r="I173">
        <v>0.83</v>
      </c>
      <c r="J173">
        <v>0.68</v>
      </c>
      <c r="K173">
        <v>0.77</v>
      </c>
      <c r="L173" t="s">
        <v>8</v>
      </c>
      <c r="M173" t="s">
        <v>21</v>
      </c>
    </row>
    <row r="174" spans="1:13" ht="14.25">
      <c r="A174" t="s">
        <v>7</v>
      </c>
      <c r="B174" t="s">
        <v>134</v>
      </c>
      <c r="C174">
        <v>2030</v>
      </c>
      <c r="D174">
        <v>102</v>
      </c>
      <c r="E174">
        <v>0.71</v>
      </c>
      <c r="F174">
        <v>0.72</v>
      </c>
      <c r="G174">
        <v>0.10</v>
      </c>
      <c r="H174">
        <v>0.01</v>
      </c>
      <c r="I174">
        <v>0.83</v>
      </c>
      <c r="J174">
        <v>0.67</v>
      </c>
      <c r="K174">
        <v>0.77</v>
      </c>
      <c r="L174" t="s">
        <v>8</v>
      </c>
      <c r="M174" t="s">
        <v>21</v>
      </c>
    </row>
    <row r="175" spans="1:13" ht="14.25">
      <c r="A175" t="s">
        <v>7</v>
      </c>
      <c r="B175" t="s">
        <v>134</v>
      </c>
      <c r="C175">
        <v>2035</v>
      </c>
      <c r="D175">
        <v>96</v>
      </c>
      <c r="E175">
        <v>0.73</v>
      </c>
      <c r="F175">
        <v>0.71</v>
      </c>
      <c r="G175">
        <v>0.06</v>
      </c>
      <c r="H175">
        <v>0.61</v>
      </c>
      <c r="I175">
        <v>0.84</v>
      </c>
      <c r="J175">
        <v>0.67</v>
      </c>
      <c r="K175">
        <v>0.77</v>
      </c>
      <c r="L175" t="s">
        <v>8</v>
      </c>
      <c r="M175" t="s">
        <v>21</v>
      </c>
    </row>
    <row r="176" spans="1:13" ht="14.25">
      <c r="A176" t="s">
        <v>7</v>
      </c>
      <c r="B176" t="s">
        <v>134</v>
      </c>
      <c r="C176">
        <v>2040</v>
      </c>
      <c r="D176">
        <v>102</v>
      </c>
      <c r="E176">
        <v>0.71</v>
      </c>
      <c r="F176">
        <v>0.71</v>
      </c>
      <c r="G176">
        <v>0.070000000000000007</v>
      </c>
      <c r="H176">
        <v>0.56999999999999995</v>
      </c>
      <c r="I176">
        <v>0.83</v>
      </c>
      <c r="J176">
        <v>0.65</v>
      </c>
      <c r="K176">
        <v>0.77</v>
      </c>
      <c r="L176" t="s">
        <v>8</v>
      </c>
      <c r="M176" t="s">
        <v>21</v>
      </c>
    </row>
    <row r="177" spans="1:13" ht="14.25">
      <c r="A177" t="s">
        <v>7</v>
      </c>
      <c r="B177" t="s">
        <v>134</v>
      </c>
      <c r="C177">
        <v>2045</v>
      </c>
      <c r="D177">
        <v>96</v>
      </c>
      <c r="E177">
        <v>0.69</v>
      </c>
      <c r="F177">
        <v>0.70</v>
      </c>
      <c r="G177">
        <v>0.070000000000000007</v>
      </c>
      <c r="H177">
        <v>0.54</v>
      </c>
      <c r="I177">
        <v>0.80</v>
      </c>
      <c r="J177">
        <v>0.63</v>
      </c>
      <c r="K177">
        <v>0.75</v>
      </c>
      <c r="L177" t="s">
        <v>8</v>
      </c>
      <c r="M177" t="s">
        <v>21</v>
      </c>
    </row>
    <row r="178" spans="1:13" ht="14.25">
      <c r="A178" t="s">
        <v>7</v>
      </c>
      <c r="B178" t="s">
        <v>134</v>
      </c>
      <c r="C178">
        <v>2050</v>
      </c>
      <c r="D178">
        <v>102</v>
      </c>
      <c r="E178">
        <v>0.67</v>
      </c>
      <c r="F178">
        <v>0.69</v>
      </c>
      <c r="G178">
        <v>0.08</v>
      </c>
      <c r="H178">
        <v>0.50</v>
      </c>
      <c r="I178">
        <v>0.81</v>
      </c>
      <c r="J178">
        <v>0.60</v>
      </c>
      <c r="K178">
        <v>0.75</v>
      </c>
      <c r="L178" t="s">
        <v>8</v>
      </c>
      <c r="M178" t="s">
        <v>21</v>
      </c>
    </row>
    <row r="179" spans="1:13" ht="14.25">
      <c r="A179" t="s">
        <v>9</v>
      </c>
      <c r="B179" t="s">
        <v>134</v>
      </c>
      <c r="C179">
        <v>2020</v>
      </c>
      <c r="D179">
        <v>58</v>
      </c>
      <c r="E179">
        <v>0.71</v>
      </c>
      <c r="F179">
        <v>0.72</v>
      </c>
      <c r="G179">
        <v>0.04</v>
      </c>
      <c r="H179">
        <v>0.65</v>
      </c>
      <c r="I179">
        <v>0.78</v>
      </c>
      <c r="J179">
        <v>0.68</v>
      </c>
      <c r="K179">
        <v>0.74</v>
      </c>
      <c r="L179" t="s">
        <v>10</v>
      </c>
      <c r="M179" t="s">
        <v>21</v>
      </c>
    </row>
    <row r="180" spans="1:13" ht="14.25">
      <c r="A180" t="s">
        <v>9</v>
      </c>
      <c r="B180" t="s">
        <v>134</v>
      </c>
      <c r="C180">
        <v>2025</v>
      </c>
      <c r="D180">
        <v>53</v>
      </c>
      <c r="E180">
        <v>0.70</v>
      </c>
      <c r="F180">
        <v>0.70</v>
      </c>
      <c r="G180">
        <v>0.04</v>
      </c>
      <c r="H180">
        <v>0.66</v>
      </c>
      <c r="I180">
        <v>0.83</v>
      </c>
      <c r="J180">
        <v>0.68</v>
      </c>
      <c r="K180">
        <v>0.71</v>
      </c>
      <c r="L180" t="s">
        <v>10</v>
      </c>
      <c r="M180" t="s">
        <v>21</v>
      </c>
    </row>
    <row r="181" spans="1:13" ht="14.25">
      <c r="A181" t="s">
        <v>9</v>
      </c>
      <c r="B181" t="s">
        <v>134</v>
      </c>
      <c r="C181">
        <v>2030</v>
      </c>
      <c r="D181">
        <v>58</v>
      </c>
      <c r="E181">
        <v>0.69</v>
      </c>
      <c r="F181">
        <v>0.68</v>
      </c>
      <c r="G181">
        <v>0.04</v>
      </c>
      <c r="H181">
        <v>0.62</v>
      </c>
      <c r="I181">
        <v>0.83</v>
      </c>
      <c r="J181">
        <v>0.67</v>
      </c>
      <c r="K181">
        <v>0.70</v>
      </c>
      <c r="L181" t="s">
        <v>10</v>
      </c>
      <c r="M181" t="s">
        <v>21</v>
      </c>
    </row>
    <row r="182" spans="1:13" ht="14.25">
      <c r="A182" t="s">
        <v>9</v>
      </c>
      <c r="B182" t="s">
        <v>134</v>
      </c>
      <c r="C182">
        <v>2035</v>
      </c>
      <c r="D182">
        <v>53</v>
      </c>
      <c r="E182">
        <v>0.68</v>
      </c>
      <c r="F182">
        <v>0.67</v>
      </c>
      <c r="G182">
        <v>0.05</v>
      </c>
      <c r="H182">
        <v>0.59</v>
      </c>
      <c r="I182">
        <v>0.85</v>
      </c>
      <c r="J182">
        <v>0.65</v>
      </c>
      <c r="K182">
        <v>0.69</v>
      </c>
      <c r="L182" t="s">
        <v>10</v>
      </c>
      <c r="M182" t="s">
        <v>21</v>
      </c>
    </row>
    <row r="183" spans="1:13" ht="14.25">
      <c r="A183" t="s">
        <v>9</v>
      </c>
      <c r="B183" t="s">
        <v>134</v>
      </c>
      <c r="C183">
        <v>2040</v>
      </c>
      <c r="D183">
        <v>58</v>
      </c>
      <c r="E183">
        <v>0.68</v>
      </c>
      <c r="F183">
        <v>0.67</v>
      </c>
      <c r="G183">
        <v>0.070000000000000007</v>
      </c>
      <c r="H183">
        <v>0.56000000000000005</v>
      </c>
      <c r="I183">
        <v>0.86</v>
      </c>
      <c r="J183">
        <v>0.63</v>
      </c>
      <c r="K183">
        <v>0.70</v>
      </c>
      <c r="L183" t="s">
        <v>10</v>
      </c>
      <c r="M183" t="s">
        <v>21</v>
      </c>
    </row>
    <row r="184" spans="1:13" ht="14.25">
      <c r="A184" t="s">
        <v>9</v>
      </c>
      <c r="B184" t="s">
        <v>134</v>
      </c>
      <c r="C184">
        <v>2045</v>
      </c>
      <c r="D184">
        <v>53</v>
      </c>
      <c r="E184">
        <v>0.66</v>
      </c>
      <c r="F184">
        <v>0.66</v>
      </c>
      <c r="G184">
        <v>0.070000000000000007</v>
      </c>
      <c r="H184">
        <v>0.53</v>
      </c>
      <c r="I184">
        <v>0.87</v>
      </c>
      <c r="J184">
        <v>0.60</v>
      </c>
      <c r="K184">
        <v>0.69</v>
      </c>
      <c r="L184" t="s">
        <v>10</v>
      </c>
      <c r="M184" t="s">
        <v>21</v>
      </c>
    </row>
    <row r="185" spans="1:13" ht="14.25">
      <c r="A185" t="s">
        <v>9</v>
      </c>
      <c r="B185" t="s">
        <v>134</v>
      </c>
      <c r="C185">
        <v>2050</v>
      </c>
      <c r="D185">
        <v>58</v>
      </c>
      <c r="E185">
        <v>0.66</v>
      </c>
      <c r="F185">
        <v>0.66</v>
      </c>
      <c r="G185">
        <v>0.09</v>
      </c>
      <c r="H185">
        <v>0.49</v>
      </c>
      <c r="I185">
        <v>0.86</v>
      </c>
      <c r="J185">
        <v>0.57999999999999996</v>
      </c>
      <c r="K185">
        <v>0.70</v>
      </c>
      <c r="L185" t="s">
        <v>10</v>
      </c>
      <c r="M185" t="s">
        <v>21</v>
      </c>
    </row>
    <row r="186" spans="1:13" ht="14.25">
      <c r="A186" t="s">
        <v>0</v>
      </c>
      <c r="B186" t="s">
        <v>134</v>
      </c>
      <c r="C186">
        <v>2020</v>
      </c>
      <c r="D186">
        <v>64</v>
      </c>
      <c r="E186">
        <v>0.01</v>
      </c>
      <c r="F186">
        <v>0.01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ht="14.25">
      <c r="A187" t="s">
        <v>0</v>
      </c>
      <c r="B187" t="s">
        <v>134</v>
      </c>
      <c r="C187">
        <v>2025</v>
      </c>
      <c r="D187">
        <v>64</v>
      </c>
      <c r="E187">
        <v>0.01</v>
      </c>
      <c r="F187">
        <v>0.02</v>
      </c>
      <c r="G187">
        <v>0.01</v>
      </c>
      <c r="H187">
        <v>0</v>
      </c>
      <c r="I187">
        <v>0.04</v>
      </c>
      <c r="J187">
        <v>0</v>
      </c>
      <c r="K187">
        <v>0.02</v>
      </c>
      <c r="L187" t="s">
        <v>1</v>
      </c>
      <c r="M187" t="s">
        <v>23</v>
      </c>
    </row>
    <row r="188" spans="1:13" ht="14.25">
      <c r="A188" t="s">
        <v>0</v>
      </c>
      <c r="B188" t="s">
        <v>134</v>
      </c>
      <c r="C188">
        <v>2030</v>
      </c>
      <c r="D188">
        <v>64</v>
      </c>
      <c r="E188">
        <v>0.03</v>
      </c>
      <c r="F188">
        <v>0.03</v>
      </c>
      <c r="G188">
        <v>0.02</v>
      </c>
      <c r="H188">
        <v>0</v>
      </c>
      <c r="I188">
        <v>0.070000000000000007</v>
      </c>
      <c r="J188">
        <v>0.01</v>
      </c>
      <c r="K188">
        <v>0.04</v>
      </c>
      <c r="L188" t="s">
        <v>1</v>
      </c>
      <c r="M188" t="s">
        <v>23</v>
      </c>
    </row>
    <row r="189" spans="1:13" ht="14.25">
      <c r="A189" t="s">
        <v>0</v>
      </c>
      <c r="B189" t="s">
        <v>134</v>
      </c>
      <c r="C189">
        <v>2035</v>
      </c>
      <c r="D189">
        <v>64</v>
      </c>
      <c r="E189">
        <v>0.04</v>
      </c>
      <c r="F189">
        <v>0.05</v>
      </c>
      <c r="G189">
        <v>0.03</v>
      </c>
      <c r="H189">
        <v>0</v>
      </c>
      <c r="I189">
        <v>0.12</v>
      </c>
      <c r="J189">
        <v>0.01</v>
      </c>
      <c r="K189">
        <v>0.070000000000000007</v>
      </c>
      <c r="L189" t="s">
        <v>1</v>
      </c>
      <c r="M189" t="s">
        <v>23</v>
      </c>
    </row>
    <row r="190" spans="1:13" ht="14.25">
      <c r="A190" t="s">
        <v>0</v>
      </c>
      <c r="B190" t="s">
        <v>134</v>
      </c>
      <c r="C190">
        <v>2040</v>
      </c>
      <c r="D190">
        <v>64</v>
      </c>
      <c r="E190">
        <v>0.06</v>
      </c>
      <c r="F190">
        <v>0.08</v>
      </c>
      <c r="G190">
        <v>0.04</v>
      </c>
      <c r="H190">
        <v>0</v>
      </c>
      <c r="I190">
        <v>0.16</v>
      </c>
      <c r="J190">
        <v>0.04</v>
      </c>
      <c r="K190">
        <v>0.08</v>
      </c>
      <c r="L190" t="s">
        <v>1</v>
      </c>
      <c r="M190" t="s">
        <v>23</v>
      </c>
    </row>
    <row r="191" spans="1:13" ht="14.25">
      <c r="A191" t="s">
        <v>0</v>
      </c>
      <c r="B191" t="s">
        <v>134</v>
      </c>
      <c r="C191">
        <v>2045</v>
      </c>
      <c r="D191">
        <v>64</v>
      </c>
      <c r="E191">
        <v>0.08</v>
      </c>
      <c r="F191">
        <v>0.09</v>
      </c>
      <c r="G191">
        <v>0.04</v>
      </c>
      <c r="H191">
        <v>0</v>
      </c>
      <c r="I191">
        <v>0.19</v>
      </c>
      <c r="J191">
        <v>0.06</v>
      </c>
      <c r="K191">
        <v>0.11</v>
      </c>
      <c r="L191" t="s">
        <v>1</v>
      </c>
      <c r="M191" t="s">
        <v>23</v>
      </c>
    </row>
    <row r="192" spans="1:13" ht="14.25">
      <c r="A192" t="s">
        <v>0</v>
      </c>
      <c r="B192" t="s">
        <v>134</v>
      </c>
      <c r="C192">
        <v>2050</v>
      </c>
      <c r="D192">
        <v>64</v>
      </c>
      <c r="E192">
        <v>0.09</v>
      </c>
      <c r="F192">
        <v>0.10</v>
      </c>
      <c r="G192">
        <v>0.05</v>
      </c>
      <c r="H192">
        <v>0</v>
      </c>
      <c r="I192">
        <v>0.21</v>
      </c>
      <c r="J192">
        <v>0.05</v>
      </c>
      <c r="K192">
        <v>0.13</v>
      </c>
      <c r="L192" t="s">
        <v>1</v>
      </c>
      <c r="M192" t="s">
        <v>23</v>
      </c>
    </row>
    <row r="193" spans="1:13" ht="14.2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ht="14.2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0.04</v>
      </c>
      <c r="J194">
        <v>0</v>
      </c>
      <c r="K194">
        <v>0.02</v>
      </c>
      <c r="L194" t="s">
        <v>3</v>
      </c>
      <c r="M194" t="s">
        <v>23</v>
      </c>
    </row>
    <row r="195" spans="1:13" ht="14.2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0.01</v>
      </c>
      <c r="K195">
        <v>0.03</v>
      </c>
      <c r="L195" t="s">
        <v>3</v>
      </c>
      <c r="M195" t="s">
        <v>23</v>
      </c>
    </row>
    <row r="196" spans="1:13" ht="14.2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0.04</v>
      </c>
      <c r="G196">
        <v>0.03</v>
      </c>
      <c r="H196">
        <v>0</v>
      </c>
      <c r="I196">
        <v>0.11</v>
      </c>
      <c r="J196">
        <v>0.01</v>
      </c>
      <c r="K196">
        <v>0.06</v>
      </c>
      <c r="L196" t="s">
        <v>3</v>
      </c>
      <c r="M196" t="s">
        <v>23</v>
      </c>
    </row>
    <row r="197" spans="1:13" ht="14.25">
      <c r="A197" t="s">
        <v>2</v>
      </c>
      <c r="B197" t="s">
        <v>134</v>
      </c>
      <c r="C197">
        <v>2040</v>
      </c>
      <c r="D197">
        <v>100</v>
      </c>
      <c r="E197">
        <v>0.06</v>
      </c>
      <c r="F197">
        <v>0.08</v>
      </c>
      <c r="G197">
        <v>0.04</v>
      </c>
      <c r="H197">
        <v>0</v>
      </c>
      <c r="I197">
        <v>0.14000000000000001</v>
      </c>
      <c r="J197">
        <v>0.02</v>
      </c>
      <c r="K197">
        <v>0.09</v>
      </c>
      <c r="L197" t="s">
        <v>3</v>
      </c>
      <c r="M197" t="s">
        <v>23</v>
      </c>
    </row>
    <row r="198" spans="1:13" ht="14.25">
      <c r="A198" t="s">
        <v>2</v>
      </c>
      <c r="B198" t="s">
        <v>134</v>
      </c>
      <c r="C198">
        <v>2045</v>
      </c>
      <c r="D198">
        <v>89</v>
      </c>
      <c r="E198">
        <v>0.070000000000000007</v>
      </c>
      <c r="F198">
        <v>0.08</v>
      </c>
      <c r="G198">
        <v>0.05</v>
      </c>
      <c r="H198">
        <v>0</v>
      </c>
      <c r="I198">
        <v>0.16</v>
      </c>
      <c r="J198">
        <v>0.02</v>
      </c>
      <c r="K198">
        <v>0.12</v>
      </c>
      <c r="L198" t="s">
        <v>3</v>
      </c>
      <c r="M198" t="s">
        <v>23</v>
      </c>
    </row>
    <row r="199" spans="1:13" ht="14.25">
      <c r="A199" t="s">
        <v>2</v>
      </c>
      <c r="B199" t="s">
        <v>134</v>
      </c>
      <c r="C199">
        <v>2050</v>
      </c>
      <c r="D199">
        <v>100</v>
      </c>
      <c r="E199">
        <v>0.10</v>
      </c>
      <c r="F199">
        <v>0.10</v>
      </c>
      <c r="G199">
        <v>0.06</v>
      </c>
      <c r="H199">
        <v>0</v>
      </c>
      <c r="I199">
        <v>0.19</v>
      </c>
      <c r="J199">
        <v>0.04</v>
      </c>
      <c r="K199">
        <v>0.16</v>
      </c>
      <c r="L199" t="s">
        <v>3</v>
      </c>
      <c r="M199" t="s">
        <v>23</v>
      </c>
    </row>
    <row r="200" spans="1:13" ht="14.25">
      <c r="A200" t="s">
        <v>5</v>
      </c>
      <c r="B200" t="s">
        <v>134</v>
      </c>
      <c r="C200">
        <v>2020</v>
      </c>
      <c r="D200">
        <v>232</v>
      </c>
      <c r="E200">
        <v>0</v>
      </c>
      <c r="F200">
        <v>0</v>
      </c>
      <c r="G200">
        <v>0</v>
      </c>
      <c r="H200">
        <v>0</v>
      </c>
      <c r="I200">
        <v>0.01</v>
      </c>
      <c r="J200">
        <v>0</v>
      </c>
      <c r="K200">
        <v>0.01</v>
      </c>
      <c r="L200" t="s">
        <v>6</v>
      </c>
      <c r="M200" t="s">
        <v>23</v>
      </c>
    </row>
    <row r="201" spans="1:13" ht="14.25">
      <c r="A201" t="s">
        <v>5</v>
      </c>
      <c r="B201" t="s">
        <v>134</v>
      </c>
      <c r="C201">
        <v>2025</v>
      </c>
      <c r="D201">
        <v>209</v>
      </c>
      <c r="E201">
        <v>0.01</v>
      </c>
      <c r="F201">
        <v>0.01</v>
      </c>
      <c r="G201">
        <v>0.01</v>
      </c>
      <c r="H201">
        <v>0</v>
      </c>
      <c r="I201">
        <v>0.03</v>
      </c>
      <c r="J201">
        <v>0</v>
      </c>
      <c r="K201">
        <v>0.02</v>
      </c>
      <c r="L201" t="s">
        <v>6</v>
      </c>
      <c r="M201" t="s">
        <v>23</v>
      </c>
    </row>
    <row r="202" spans="1:13" ht="14.25">
      <c r="A202" t="s">
        <v>5</v>
      </c>
      <c r="B202" t="s">
        <v>134</v>
      </c>
      <c r="C202">
        <v>2030</v>
      </c>
      <c r="D202">
        <v>232</v>
      </c>
      <c r="E202">
        <v>0.02</v>
      </c>
      <c r="F202">
        <v>0.01</v>
      </c>
      <c r="G202">
        <v>0.03</v>
      </c>
      <c r="H202">
        <v>0</v>
      </c>
      <c r="I202">
        <v>0.30</v>
      </c>
      <c r="J202">
        <v>0</v>
      </c>
      <c r="K202">
        <v>0.03</v>
      </c>
      <c r="L202" t="s">
        <v>6</v>
      </c>
      <c r="M202" t="s">
        <v>23</v>
      </c>
    </row>
    <row r="203" spans="1:13" ht="14.25">
      <c r="A203" t="s">
        <v>5</v>
      </c>
      <c r="B203" t="s">
        <v>134</v>
      </c>
      <c r="C203">
        <v>2035</v>
      </c>
      <c r="D203">
        <v>209</v>
      </c>
      <c r="E203">
        <v>0.03</v>
      </c>
      <c r="F203">
        <v>0.01</v>
      </c>
      <c r="G203">
        <v>0.02</v>
      </c>
      <c r="H203">
        <v>0</v>
      </c>
      <c r="I203">
        <v>0.10</v>
      </c>
      <c r="J203">
        <v>0</v>
      </c>
      <c r="K203">
        <v>0.05</v>
      </c>
      <c r="L203" t="s">
        <v>6</v>
      </c>
      <c r="M203" t="s">
        <v>23</v>
      </c>
    </row>
    <row r="204" spans="1:13" ht="14.25">
      <c r="A204" t="s">
        <v>5</v>
      </c>
      <c r="B204" t="s">
        <v>134</v>
      </c>
      <c r="C204">
        <v>2040</v>
      </c>
      <c r="D204">
        <v>232</v>
      </c>
      <c r="E204">
        <v>0.04</v>
      </c>
      <c r="F204">
        <v>0.03</v>
      </c>
      <c r="G204">
        <v>0.04</v>
      </c>
      <c r="H204">
        <v>0</v>
      </c>
      <c r="I204">
        <v>0.16</v>
      </c>
      <c r="J204">
        <v>0.01</v>
      </c>
      <c r="K204">
        <v>0.08</v>
      </c>
      <c r="L204" t="s">
        <v>6</v>
      </c>
      <c r="M204" t="s">
        <v>23</v>
      </c>
    </row>
    <row r="205" spans="1:13" ht="14.25">
      <c r="A205" t="s">
        <v>5</v>
      </c>
      <c r="B205" t="s">
        <v>134</v>
      </c>
      <c r="C205">
        <v>2045</v>
      </c>
      <c r="D205">
        <v>209</v>
      </c>
      <c r="E205">
        <v>0.06</v>
      </c>
      <c r="F205">
        <v>0.05</v>
      </c>
      <c r="G205">
        <v>0.05</v>
      </c>
      <c r="H205">
        <v>0</v>
      </c>
      <c r="I205">
        <v>0.19</v>
      </c>
      <c r="J205">
        <v>0.01</v>
      </c>
      <c r="K205">
        <v>0.10</v>
      </c>
      <c r="L205" t="s">
        <v>6</v>
      </c>
      <c r="M205" t="s">
        <v>23</v>
      </c>
    </row>
    <row r="206" spans="1:13" ht="14.25">
      <c r="A206" t="s">
        <v>5</v>
      </c>
      <c r="B206" t="s">
        <v>134</v>
      </c>
      <c r="C206">
        <v>2050</v>
      </c>
      <c r="D206">
        <v>232</v>
      </c>
      <c r="E206">
        <v>0.070000000000000007</v>
      </c>
      <c r="F206">
        <v>0.070000000000000007</v>
      </c>
      <c r="G206">
        <v>0.06</v>
      </c>
      <c r="H206">
        <v>0</v>
      </c>
      <c r="I206">
        <v>0.20</v>
      </c>
      <c r="J206">
        <v>0.01</v>
      </c>
      <c r="K206">
        <v>0.11</v>
      </c>
      <c r="L206" t="s">
        <v>6</v>
      </c>
      <c r="M206" t="s">
        <v>23</v>
      </c>
    </row>
    <row r="207" spans="1:13" ht="14.25">
      <c r="A207" t="s">
        <v>7</v>
      </c>
      <c r="B207" t="s">
        <v>134</v>
      </c>
      <c r="C207">
        <v>2020</v>
      </c>
      <c r="D207">
        <v>102</v>
      </c>
      <c r="E207">
        <v>0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ht="14.2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</v>
      </c>
      <c r="G208">
        <v>0.01</v>
      </c>
      <c r="H208">
        <v>0</v>
      </c>
      <c r="I208">
        <v>0.03</v>
      </c>
      <c r="J208">
        <v>0</v>
      </c>
      <c r="K208">
        <v>0</v>
      </c>
      <c r="L208" t="s">
        <v>8</v>
      </c>
      <c r="M208" t="s">
        <v>23</v>
      </c>
    </row>
    <row r="209" spans="1:13" ht="14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</v>
      </c>
      <c r="G209">
        <v>0.10</v>
      </c>
      <c r="H209">
        <v>0</v>
      </c>
      <c r="I209">
        <v>0.99</v>
      </c>
      <c r="J209">
        <v>0</v>
      </c>
      <c r="K209">
        <v>0.01</v>
      </c>
      <c r="L209" t="s">
        <v>8</v>
      </c>
      <c r="M209" t="s">
        <v>23</v>
      </c>
    </row>
    <row r="210" spans="1:13" ht="14.25">
      <c r="A210" t="s">
        <v>7</v>
      </c>
      <c r="B210" t="s">
        <v>134</v>
      </c>
      <c r="C210">
        <v>2035</v>
      </c>
      <c r="D210">
        <v>96</v>
      </c>
      <c r="E210">
        <v>0.01</v>
      </c>
      <c r="F210">
        <v>0.01</v>
      </c>
      <c r="G210">
        <v>0.02</v>
      </c>
      <c r="H210">
        <v>0</v>
      </c>
      <c r="I210">
        <v>0.06</v>
      </c>
      <c r="J210">
        <v>0</v>
      </c>
      <c r="K210">
        <v>0.01</v>
      </c>
      <c r="L210" t="s">
        <v>8</v>
      </c>
      <c r="M210" t="s">
        <v>23</v>
      </c>
    </row>
    <row r="211" spans="1:13" ht="14.25">
      <c r="A211" t="s">
        <v>7</v>
      </c>
      <c r="B211" t="s">
        <v>134</v>
      </c>
      <c r="C211">
        <v>2040</v>
      </c>
      <c r="D211">
        <v>102</v>
      </c>
      <c r="E211">
        <v>0.02</v>
      </c>
      <c r="F211">
        <v>0.01</v>
      </c>
      <c r="G211">
        <v>0.03</v>
      </c>
      <c r="H211">
        <v>0</v>
      </c>
      <c r="I211">
        <v>0.09</v>
      </c>
      <c r="J211">
        <v>0</v>
      </c>
      <c r="K211">
        <v>0.03</v>
      </c>
      <c r="L211" t="s">
        <v>8</v>
      </c>
      <c r="M211" t="s">
        <v>23</v>
      </c>
    </row>
    <row r="212" spans="1:13" ht="14.25">
      <c r="A212" t="s">
        <v>7</v>
      </c>
      <c r="B212" t="s">
        <v>134</v>
      </c>
      <c r="C212">
        <v>2045</v>
      </c>
      <c r="D212">
        <v>96</v>
      </c>
      <c r="E212">
        <v>0.04</v>
      </c>
      <c r="F212">
        <v>0.01</v>
      </c>
      <c r="G212">
        <v>0.04</v>
      </c>
      <c r="H212">
        <v>0</v>
      </c>
      <c r="I212">
        <v>0.13</v>
      </c>
      <c r="J212">
        <v>0</v>
      </c>
      <c r="K212">
        <v>0.05</v>
      </c>
      <c r="L212" t="s">
        <v>8</v>
      </c>
      <c r="M212" t="s">
        <v>23</v>
      </c>
    </row>
    <row r="213" spans="1:13" ht="14.25">
      <c r="A213" t="s">
        <v>7</v>
      </c>
      <c r="B213" t="s">
        <v>134</v>
      </c>
      <c r="C213">
        <v>2050</v>
      </c>
      <c r="D213">
        <v>102</v>
      </c>
      <c r="E213">
        <v>0.05</v>
      </c>
      <c r="F213">
        <v>0.02</v>
      </c>
      <c r="G213">
        <v>0.06</v>
      </c>
      <c r="H213">
        <v>0</v>
      </c>
      <c r="I213">
        <v>0.19</v>
      </c>
      <c r="J213">
        <v>0</v>
      </c>
      <c r="K213">
        <v>0.08</v>
      </c>
      <c r="L213" t="s">
        <v>8</v>
      </c>
      <c r="M213" t="s">
        <v>23</v>
      </c>
    </row>
    <row r="214" spans="1:13" ht="14.25">
      <c r="A214" t="s">
        <v>9</v>
      </c>
      <c r="B214" t="s">
        <v>134</v>
      </c>
      <c r="C214">
        <v>2020</v>
      </c>
      <c r="D214">
        <v>61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ht="14.25">
      <c r="A215" t="s">
        <v>9</v>
      </c>
      <c r="B215" t="s">
        <v>134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</v>
      </c>
      <c r="K215">
        <v>0.02</v>
      </c>
      <c r="L215" t="s">
        <v>10</v>
      </c>
      <c r="M215" t="s">
        <v>23</v>
      </c>
    </row>
    <row r="216" spans="1:13" ht="14.25">
      <c r="A216" t="s">
        <v>9</v>
      </c>
      <c r="B216" t="s">
        <v>134</v>
      </c>
      <c r="C216">
        <v>2030</v>
      </c>
      <c r="D216">
        <v>61</v>
      </c>
      <c r="E216">
        <v>0.02</v>
      </c>
      <c r="F216">
        <v>0.02</v>
      </c>
      <c r="G216">
        <v>0.02</v>
      </c>
      <c r="H216">
        <v>0</v>
      </c>
      <c r="I216">
        <v>0.06</v>
      </c>
      <c r="J216">
        <v>0</v>
      </c>
      <c r="K216">
        <v>0.03</v>
      </c>
      <c r="L216" t="s">
        <v>10</v>
      </c>
      <c r="M216" t="s">
        <v>23</v>
      </c>
    </row>
    <row r="217" spans="1:13" ht="14.25">
      <c r="A217" t="s">
        <v>9</v>
      </c>
      <c r="B217" t="s">
        <v>134</v>
      </c>
      <c r="C217">
        <v>2035</v>
      </c>
      <c r="D217">
        <v>56</v>
      </c>
      <c r="E217">
        <v>0.02</v>
      </c>
      <c r="F217">
        <v>0.02</v>
      </c>
      <c r="G217">
        <v>0.02</v>
      </c>
      <c r="H217">
        <v>0</v>
      </c>
      <c r="I217">
        <v>0.070000000000000007</v>
      </c>
      <c r="J217">
        <v>0</v>
      </c>
      <c r="K217">
        <v>0.04</v>
      </c>
      <c r="L217" t="s">
        <v>10</v>
      </c>
      <c r="M217" t="s">
        <v>23</v>
      </c>
    </row>
    <row r="218" spans="1:13" ht="14.25">
      <c r="A218" t="s">
        <v>9</v>
      </c>
      <c r="B218" t="s">
        <v>134</v>
      </c>
      <c r="C218">
        <v>2040</v>
      </c>
      <c r="D218">
        <v>61</v>
      </c>
      <c r="E218">
        <v>0.03</v>
      </c>
      <c r="F218">
        <v>0.02</v>
      </c>
      <c r="G218">
        <v>0.03</v>
      </c>
      <c r="H218">
        <v>0</v>
      </c>
      <c r="I218">
        <v>0.08</v>
      </c>
      <c r="J218">
        <v>0</v>
      </c>
      <c r="K218">
        <v>0.06</v>
      </c>
      <c r="L218" t="s">
        <v>10</v>
      </c>
      <c r="M218" t="s">
        <v>23</v>
      </c>
    </row>
    <row r="219" spans="1:13" ht="14.25">
      <c r="A219" t="s">
        <v>9</v>
      </c>
      <c r="B219" t="s">
        <v>134</v>
      </c>
      <c r="C219">
        <v>2045</v>
      </c>
      <c r="D219">
        <v>56</v>
      </c>
      <c r="E219">
        <v>0.04</v>
      </c>
      <c r="F219">
        <v>0.02</v>
      </c>
      <c r="G219">
        <v>0.03</v>
      </c>
      <c r="H219">
        <v>0</v>
      </c>
      <c r="I219">
        <v>0.09</v>
      </c>
      <c r="J219">
        <v>0.01</v>
      </c>
      <c r="K219">
        <v>0.08</v>
      </c>
      <c r="L219" t="s">
        <v>10</v>
      </c>
      <c r="M219" t="s">
        <v>23</v>
      </c>
    </row>
    <row r="220" spans="1:13" ht="14.2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0.02</v>
      </c>
      <c r="G220">
        <v>0.04</v>
      </c>
      <c r="H220">
        <v>0</v>
      </c>
      <c r="I220">
        <v>0.13</v>
      </c>
      <c r="J220">
        <v>0.01</v>
      </c>
      <c r="K220">
        <v>0.10</v>
      </c>
      <c r="L220" t="s">
        <v>10</v>
      </c>
      <c r="M220" t="s">
        <v>23</v>
      </c>
    </row>
    <row r="221" spans="1:13" ht="14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ht="14.25">
      <c r="A222" t="s">
        <v>0</v>
      </c>
      <c r="B222" t="s">
        <v>134</v>
      </c>
      <c r="C222">
        <v>2025</v>
      </c>
      <c r="D222">
        <v>45</v>
      </c>
      <c r="E222">
        <v>2.75</v>
      </c>
      <c r="F222">
        <v>2.66</v>
      </c>
      <c r="G222">
        <v>1.55</v>
      </c>
      <c r="H222">
        <v>1</v>
      </c>
      <c r="I222">
        <v>9.4600000000000009</v>
      </c>
      <c r="J222">
        <v>1.77</v>
      </c>
      <c r="K222">
        <v>3.09</v>
      </c>
      <c r="L222" t="s">
        <v>1</v>
      </c>
      <c r="M222" t="s">
        <v>70</v>
      </c>
    </row>
    <row r="223" spans="1:13" ht="14.25">
      <c r="A223" t="s">
        <v>0</v>
      </c>
      <c r="B223" t="s">
        <v>134</v>
      </c>
      <c r="C223">
        <v>2030</v>
      </c>
      <c r="D223">
        <v>45</v>
      </c>
      <c r="E223">
        <v>7.63</v>
      </c>
      <c r="F223">
        <v>3.97</v>
      </c>
      <c r="G223">
        <v>9.01</v>
      </c>
      <c r="H223">
        <v>1</v>
      </c>
      <c r="I223">
        <v>29.87</v>
      </c>
      <c r="J223">
        <v>3.38</v>
      </c>
      <c r="K223">
        <v>5.41</v>
      </c>
      <c r="L223" t="s">
        <v>1</v>
      </c>
      <c r="M223" t="s">
        <v>70</v>
      </c>
    </row>
    <row r="224" spans="1:13" ht="14.25">
      <c r="A224" t="s">
        <v>0</v>
      </c>
      <c r="B224" t="s">
        <v>134</v>
      </c>
      <c r="C224">
        <v>2035</v>
      </c>
      <c r="D224">
        <v>45</v>
      </c>
      <c r="E224">
        <v>13.26</v>
      </c>
      <c r="F224">
        <v>5.01</v>
      </c>
      <c r="G224">
        <v>20.05</v>
      </c>
      <c r="H224">
        <v>2.76</v>
      </c>
      <c r="I224">
        <v>63.48</v>
      </c>
      <c r="J224">
        <v>4.46</v>
      </c>
      <c r="K224">
        <v>7.76</v>
      </c>
      <c r="L224" t="s">
        <v>1</v>
      </c>
      <c r="M224" t="s">
        <v>70</v>
      </c>
    </row>
    <row r="225" spans="1:13" ht="14.25">
      <c r="A225" t="s">
        <v>0</v>
      </c>
      <c r="B225" t="s">
        <v>134</v>
      </c>
      <c r="C225">
        <v>2040</v>
      </c>
      <c r="D225">
        <v>45</v>
      </c>
      <c r="E225">
        <v>19.760000000000002</v>
      </c>
      <c r="F225">
        <v>6.17</v>
      </c>
      <c r="G225">
        <v>30.93</v>
      </c>
      <c r="H225">
        <v>3.56</v>
      </c>
      <c r="I225">
        <v>91.93</v>
      </c>
      <c r="J225">
        <v>5.32</v>
      </c>
      <c r="K225">
        <v>9.7899999999999991</v>
      </c>
      <c r="L225" t="s">
        <v>1</v>
      </c>
      <c r="M225" t="s">
        <v>70</v>
      </c>
    </row>
    <row r="226" spans="1:13" ht="14.25">
      <c r="A226" t="s">
        <v>0</v>
      </c>
      <c r="B226" t="s">
        <v>134</v>
      </c>
      <c r="C226">
        <v>2045</v>
      </c>
      <c r="D226">
        <v>45</v>
      </c>
      <c r="E226">
        <v>25.01</v>
      </c>
      <c r="F226">
        <v>7.79</v>
      </c>
      <c r="G226">
        <v>39.97</v>
      </c>
      <c r="H226">
        <v>4.04</v>
      </c>
      <c r="I226">
        <v>122.38</v>
      </c>
      <c r="J226">
        <v>6.45</v>
      </c>
      <c r="K226">
        <v>12.08</v>
      </c>
      <c r="L226" t="s">
        <v>1</v>
      </c>
      <c r="M226" t="s">
        <v>70</v>
      </c>
    </row>
    <row r="227" spans="1:13" ht="14.25">
      <c r="A227" t="s">
        <v>0</v>
      </c>
      <c r="B227" t="s">
        <v>134</v>
      </c>
      <c r="C227">
        <v>2050</v>
      </c>
      <c r="D227">
        <v>45</v>
      </c>
      <c r="E227">
        <v>28.31</v>
      </c>
      <c r="F227">
        <v>8.77</v>
      </c>
      <c r="G227">
        <v>46.28</v>
      </c>
      <c r="H227">
        <v>4.32</v>
      </c>
      <c r="I227">
        <v>135.41999999999999</v>
      </c>
      <c r="J227">
        <v>7.19</v>
      </c>
      <c r="K227">
        <v>12.54</v>
      </c>
      <c r="L227" t="s">
        <v>1</v>
      </c>
      <c r="M227" t="s">
        <v>70</v>
      </c>
    </row>
    <row r="228" spans="1:13" ht="14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ht="14.25">
      <c r="A229" t="s">
        <v>2</v>
      </c>
      <c r="B229" t="s">
        <v>134</v>
      </c>
      <c r="C229">
        <v>2025</v>
      </c>
      <c r="D229">
        <v>44</v>
      </c>
      <c r="E229">
        <v>1.31</v>
      </c>
      <c r="F229">
        <v>1.1399999999999999</v>
      </c>
      <c r="G229">
        <v>0.49</v>
      </c>
      <c r="H229">
        <v>0</v>
      </c>
      <c r="I229">
        <v>2.70</v>
      </c>
      <c r="J229">
        <v>1.07</v>
      </c>
      <c r="K229">
        <v>1.43</v>
      </c>
      <c r="L229" t="s">
        <v>3</v>
      </c>
      <c r="M229" t="s">
        <v>70</v>
      </c>
    </row>
    <row r="230" spans="1:13" ht="14.25">
      <c r="A230" t="s">
        <v>2</v>
      </c>
      <c r="B230" t="s">
        <v>134</v>
      </c>
      <c r="C230">
        <v>2030</v>
      </c>
      <c r="D230">
        <v>44</v>
      </c>
      <c r="E230">
        <v>2</v>
      </c>
      <c r="F230">
        <v>1.70</v>
      </c>
      <c r="G230">
        <v>1.38</v>
      </c>
      <c r="H230">
        <v>0</v>
      </c>
      <c r="I230">
        <v>6.85</v>
      </c>
      <c r="J230">
        <v>1.19</v>
      </c>
      <c r="K230">
        <v>1.99</v>
      </c>
      <c r="L230" t="s">
        <v>3</v>
      </c>
      <c r="M230" t="s">
        <v>70</v>
      </c>
    </row>
    <row r="231" spans="1:13" ht="14.25">
      <c r="A231" t="s">
        <v>2</v>
      </c>
      <c r="B231" t="s">
        <v>134</v>
      </c>
      <c r="C231">
        <v>2035</v>
      </c>
      <c r="D231">
        <v>44</v>
      </c>
      <c r="E231">
        <v>9.4600000000000009</v>
      </c>
      <c r="F231">
        <v>2.84</v>
      </c>
      <c r="G231">
        <v>25.11</v>
      </c>
      <c r="H231">
        <v>0</v>
      </c>
      <c r="I231">
        <v>162.18</v>
      </c>
      <c r="J231">
        <v>2.2200000000000002</v>
      </c>
      <c r="K231">
        <v>4.76</v>
      </c>
      <c r="L231" t="s">
        <v>3</v>
      </c>
      <c r="M231" t="s">
        <v>70</v>
      </c>
    </row>
    <row r="232" spans="1:13" ht="14.25">
      <c r="A232" t="s">
        <v>2</v>
      </c>
      <c r="B232" t="s">
        <v>134</v>
      </c>
      <c r="C232">
        <v>2040</v>
      </c>
      <c r="D232">
        <v>44</v>
      </c>
      <c r="E232">
        <v>11.78</v>
      </c>
      <c r="F232">
        <v>4.33</v>
      </c>
      <c r="G232">
        <v>24.01</v>
      </c>
      <c r="H232">
        <v>0</v>
      </c>
      <c r="I232">
        <v>137.15</v>
      </c>
      <c r="J232">
        <v>2.67</v>
      </c>
      <c r="K232">
        <v>5.82</v>
      </c>
      <c r="L232" t="s">
        <v>3</v>
      </c>
      <c r="M232" t="s">
        <v>70</v>
      </c>
    </row>
    <row r="233" spans="1:13" ht="14.25">
      <c r="A233" t="s">
        <v>2</v>
      </c>
      <c r="B233" t="s">
        <v>134</v>
      </c>
      <c r="C233">
        <v>2045</v>
      </c>
      <c r="D233">
        <v>44</v>
      </c>
      <c r="E233">
        <v>11.35</v>
      </c>
      <c r="F233">
        <v>5.44</v>
      </c>
      <c r="G233">
        <v>19.84</v>
      </c>
      <c r="H233">
        <v>0</v>
      </c>
      <c r="I233">
        <v>115.18</v>
      </c>
      <c r="J233">
        <v>3.23</v>
      </c>
      <c r="K233">
        <v>7.50</v>
      </c>
      <c r="L233" t="s">
        <v>3</v>
      </c>
      <c r="M233" t="s">
        <v>70</v>
      </c>
    </row>
    <row r="234" spans="1:13" ht="14.25">
      <c r="A234" t="s">
        <v>2</v>
      </c>
      <c r="B234" t="s">
        <v>134</v>
      </c>
      <c r="C234">
        <v>2050</v>
      </c>
      <c r="D234">
        <v>44</v>
      </c>
      <c r="E234">
        <v>9.06</v>
      </c>
      <c r="F234">
        <v>6.50</v>
      </c>
      <c r="G234">
        <v>8.84</v>
      </c>
      <c r="H234">
        <v>0</v>
      </c>
      <c r="I234">
        <v>44.14</v>
      </c>
      <c r="J234">
        <v>3.94</v>
      </c>
      <c r="K234">
        <v>9.09</v>
      </c>
      <c r="L234" t="s">
        <v>3</v>
      </c>
      <c r="M234" t="s">
        <v>70</v>
      </c>
    </row>
    <row r="235" spans="1:13" ht="14.2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ht="14.25">
      <c r="A236" t="s">
        <v>5</v>
      </c>
      <c r="B236" t="s">
        <v>134</v>
      </c>
      <c r="C236">
        <v>2025</v>
      </c>
      <c r="D236">
        <v>111</v>
      </c>
      <c r="E236">
        <v>1.75</v>
      </c>
      <c r="F236">
        <v>1.67</v>
      </c>
      <c r="G236">
        <v>0.60</v>
      </c>
      <c r="H236">
        <v>0.78</v>
      </c>
      <c r="I236">
        <v>3.55</v>
      </c>
      <c r="J236">
        <v>1.18</v>
      </c>
      <c r="K236">
        <v>2.2200000000000002</v>
      </c>
      <c r="L236" t="s">
        <v>6</v>
      </c>
      <c r="M236" t="s">
        <v>70</v>
      </c>
    </row>
    <row r="237" spans="1:13" ht="14.25">
      <c r="A237" t="s">
        <v>5</v>
      </c>
      <c r="B237" t="s">
        <v>134</v>
      </c>
      <c r="C237">
        <v>2030</v>
      </c>
      <c r="D237">
        <v>111</v>
      </c>
      <c r="E237">
        <v>2.2400000000000002</v>
      </c>
      <c r="F237">
        <v>1.98</v>
      </c>
      <c r="G237">
        <v>0.82</v>
      </c>
      <c r="H237">
        <v>1</v>
      </c>
      <c r="I237">
        <v>5.20</v>
      </c>
      <c r="J237">
        <v>1.70</v>
      </c>
      <c r="K237">
        <v>2.61</v>
      </c>
      <c r="L237" t="s">
        <v>6</v>
      </c>
      <c r="M237" t="s">
        <v>70</v>
      </c>
    </row>
    <row r="238" spans="1:13" ht="14.25">
      <c r="A238" t="s">
        <v>5</v>
      </c>
      <c r="B238" t="s">
        <v>134</v>
      </c>
      <c r="C238">
        <v>2035</v>
      </c>
      <c r="D238">
        <v>111</v>
      </c>
      <c r="E238">
        <v>3.72</v>
      </c>
      <c r="F238">
        <v>3.25</v>
      </c>
      <c r="G238">
        <v>1.99</v>
      </c>
      <c r="H238">
        <v>1.05</v>
      </c>
      <c r="I238">
        <v>13.44</v>
      </c>
      <c r="J238">
        <v>2.46</v>
      </c>
      <c r="K238">
        <v>4.1900000000000004</v>
      </c>
      <c r="L238" t="s">
        <v>6</v>
      </c>
      <c r="M238" t="s">
        <v>70</v>
      </c>
    </row>
    <row r="239" spans="1:13" ht="14.25">
      <c r="A239" t="s">
        <v>5</v>
      </c>
      <c r="B239" t="s">
        <v>134</v>
      </c>
      <c r="C239">
        <v>2040</v>
      </c>
      <c r="D239">
        <v>111</v>
      </c>
      <c r="E239">
        <v>4.47</v>
      </c>
      <c r="F239">
        <v>4.05</v>
      </c>
      <c r="G239">
        <v>2.21</v>
      </c>
      <c r="H239">
        <v>1.06</v>
      </c>
      <c r="I239">
        <v>19.11</v>
      </c>
      <c r="J239">
        <v>2.98</v>
      </c>
      <c r="K239">
        <v>5.20</v>
      </c>
      <c r="L239" t="s">
        <v>6</v>
      </c>
      <c r="M239" t="s">
        <v>70</v>
      </c>
    </row>
    <row r="240" spans="1:13" ht="14.25">
      <c r="A240" t="s">
        <v>5</v>
      </c>
      <c r="B240" t="s">
        <v>134</v>
      </c>
      <c r="C240">
        <v>2045</v>
      </c>
      <c r="D240">
        <v>111</v>
      </c>
      <c r="E240">
        <v>5.42</v>
      </c>
      <c r="F240">
        <v>4.87</v>
      </c>
      <c r="G240">
        <v>2.83</v>
      </c>
      <c r="H240">
        <v>1.08</v>
      </c>
      <c r="I240">
        <v>25.86</v>
      </c>
      <c r="J240">
        <v>3.58</v>
      </c>
      <c r="K240">
        <v>6.50</v>
      </c>
      <c r="L240" t="s">
        <v>6</v>
      </c>
      <c r="M240" t="s">
        <v>70</v>
      </c>
    </row>
    <row r="241" spans="1:13" ht="14.25">
      <c r="A241" t="s">
        <v>5</v>
      </c>
      <c r="B241" t="s">
        <v>134</v>
      </c>
      <c r="C241">
        <v>2050</v>
      </c>
      <c r="D241">
        <v>111</v>
      </c>
      <c r="E241">
        <v>6.10</v>
      </c>
      <c r="F241">
        <v>5.72</v>
      </c>
      <c r="G241">
        <v>2.5499999999999998</v>
      </c>
      <c r="H241">
        <v>1.1100000000000001</v>
      </c>
      <c r="I241">
        <v>13.76</v>
      </c>
      <c r="J241">
        <v>3.94</v>
      </c>
      <c r="K241">
        <v>7.33</v>
      </c>
      <c r="L241" t="s">
        <v>6</v>
      </c>
      <c r="M241" t="s">
        <v>70</v>
      </c>
    </row>
    <row r="242" spans="1:13" ht="14.25">
      <c r="A242" t="s">
        <v>7</v>
      </c>
      <c r="B242" t="s">
        <v>134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ht="14.25">
      <c r="A243" t="s">
        <v>7</v>
      </c>
      <c r="B243" t="s">
        <v>134</v>
      </c>
      <c r="C243">
        <v>2025</v>
      </c>
      <c r="D243">
        <v>28</v>
      </c>
      <c r="E243">
        <v>1.38</v>
      </c>
      <c r="F243">
        <v>1.30</v>
      </c>
      <c r="G243">
        <v>0.28999999999999998</v>
      </c>
      <c r="H243">
        <v>1.02</v>
      </c>
      <c r="I243">
        <v>2.0299999999999998</v>
      </c>
      <c r="J243">
        <v>1.1499999999999999</v>
      </c>
      <c r="K243">
        <v>1.45</v>
      </c>
      <c r="L243" t="s">
        <v>8</v>
      </c>
      <c r="M243" t="s">
        <v>70</v>
      </c>
    </row>
    <row r="244" spans="1:13" ht="14.25">
      <c r="A244" t="s">
        <v>7</v>
      </c>
      <c r="B244" t="s">
        <v>134</v>
      </c>
      <c r="C244">
        <v>2030</v>
      </c>
      <c r="D244">
        <v>28</v>
      </c>
      <c r="E244">
        <v>1.90</v>
      </c>
      <c r="F244">
        <v>1.83</v>
      </c>
      <c r="G244">
        <v>0.43</v>
      </c>
      <c r="H244">
        <v>1.01</v>
      </c>
      <c r="I244">
        <v>2.78</v>
      </c>
      <c r="J244">
        <v>1.64</v>
      </c>
      <c r="K244">
        <v>2.2200000000000002</v>
      </c>
      <c r="L244" t="s">
        <v>8</v>
      </c>
      <c r="M244" t="s">
        <v>70</v>
      </c>
    </row>
    <row r="245" spans="1:13" ht="14.25">
      <c r="A245" t="s">
        <v>7</v>
      </c>
      <c r="B245" t="s">
        <v>134</v>
      </c>
      <c r="C245">
        <v>2035</v>
      </c>
      <c r="D245">
        <v>28</v>
      </c>
      <c r="E245">
        <v>2.4900000000000002</v>
      </c>
      <c r="F245">
        <v>2.59</v>
      </c>
      <c r="G245">
        <v>0.73</v>
      </c>
      <c r="H245">
        <v>0.84</v>
      </c>
      <c r="I245">
        <v>3.97</v>
      </c>
      <c r="J245">
        <v>1.82</v>
      </c>
      <c r="K245">
        <v>2.97</v>
      </c>
      <c r="L245" t="s">
        <v>8</v>
      </c>
      <c r="M245" t="s">
        <v>70</v>
      </c>
    </row>
    <row r="246" spans="1:13" ht="14.25">
      <c r="A246" t="s">
        <v>7</v>
      </c>
      <c r="B246" t="s">
        <v>134</v>
      </c>
      <c r="C246">
        <v>2040</v>
      </c>
      <c r="D246">
        <v>28</v>
      </c>
      <c r="E246">
        <v>3.09</v>
      </c>
      <c r="F246">
        <v>3.34</v>
      </c>
      <c r="G246">
        <v>0.90</v>
      </c>
      <c r="H246">
        <v>0.95</v>
      </c>
      <c r="I246">
        <v>4.83</v>
      </c>
      <c r="J246">
        <v>2.15</v>
      </c>
      <c r="K246">
        <v>3.76</v>
      </c>
      <c r="L246" t="s">
        <v>8</v>
      </c>
      <c r="M246" t="s">
        <v>70</v>
      </c>
    </row>
    <row r="247" spans="1:13" ht="14.25">
      <c r="A247" t="s">
        <v>7</v>
      </c>
      <c r="B247" t="s">
        <v>134</v>
      </c>
      <c r="C247">
        <v>2045</v>
      </c>
      <c r="D247">
        <v>28</v>
      </c>
      <c r="E247">
        <v>3.46</v>
      </c>
      <c r="F247">
        <v>3.75</v>
      </c>
      <c r="G247">
        <v>0.99</v>
      </c>
      <c r="H247">
        <v>0.93</v>
      </c>
      <c r="I247">
        <v>4.6500000000000004</v>
      </c>
      <c r="J247">
        <v>2.60</v>
      </c>
      <c r="K247">
        <v>4.32</v>
      </c>
      <c r="L247" t="s">
        <v>8</v>
      </c>
      <c r="M247" t="s">
        <v>70</v>
      </c>
    </row>
    <row r="248" spans="1:13" ht="14.25">
      <c r="A248" t="s">
        <v>7</v>
      </c>
      <c r="B248" t="s">
        <v>134</v>
      </c>
      <c r="C248">
        <v>2050</v>
      </c>
      <c r="D248">
        <v>28</v>
      </c>
      <c r="E248">
        <v>3.73</v>
      </c>
      <c r="F248">
        <v>3.91</v>
      </c>
      <c r="G248">
        <v>1.1000000000000001</v>
      </c>
      <c r="H248">
        <v>0.92</v>
      </c>
      <c r="I248">
        <v>5.35</v>
      </c>
      <c r="J248">
        <v>2.75</v>
      </c>
      <c r="K248">
        <v>4.55</v>
      </c>
      <c r="L248" t="s">
        <v>8</v>
      </c>
      <c r="M248" t="s">
        <v>70</v>
      </c>
    </row>
    <row r="249" spans="1:13" ht="14.25">
      <c r="A249" t="s">
        <v>9</v>
      </c>
      <c r="B249" t="s">
        <v>134</v>
      </c>
      <c r="C249">
        <v>2020</v>
      </c>
      <c r="D249">
        <v>41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ht="14.25">
      <c r="A250" t="s">
        <v>9</v>
      </c>
      <c r="B250" t="s">
        <v>134</v>
      </c>
      <c r="C250">
        <v>2025</v>
      </c>
      <c r="D250">
        <v>41</v>
      </c>
      <c r="E250">
        <v>1.1100000000000001</v>
      </c>
      <c r="F250">
        <v>1.1499999999999999</v>
      </c>
      <c r="G250">
        <v>0.11</v>
      </c>
      <c r="H250">
        <v>0.78</v>
      </c>
      <c r="I250">
        <v>1.28</v>
      </c>
      <c r="J250">
        <v>1.06</v>
      </c>
      <c r="K250">
        <v>1.17</v>
      </c>
      <c r="L250" t="s">
        <v>10</v>
      </c>
      <c r="M250" t="s">
        <v>70</v>
      </c>
    </row>
    <row r="251" spans="1:13" ht="14.25">
      <c r="A251" t="s">
        <v>9</v>
      </c>
      <c r="B251" t="s">
        <v>134</v>
      </c>
      <c r="C251">
        <v>2030</v>
      </c>
      <c r="D251">
        <v>41</v>
      </c>
      <c r="E251">
        <v>1.24</v>
      </c>
      <c r="F251">
        <v>1.28</v>
      </c>
      <c r="G251">
        <v>0.14000000000000001</v>
      </c>
      <c r="H251">
        <v>1.01</v>
      </c>
      <c r="I251">
        <v>1.60</v>
      </c>
      <c r="J251">
        <v>1.1499999999999999</v>
      </c>
      <c r="K251">
        <v>1.33</v>
      </c>
      <c r="L251" t="s">
        <v>10</v>
      </c>
      <c r="M251" t="s">
        <v>70</v>
      </c>
    </row>
    <row r="252" spans="1:13" ht="14.25">
      <c r="A252" t="s">
        <v>9</v>
      </c>
      <c r="B252" t="s">
        <v>134</v>
      </c>
      <c r="C252">
        <v>2035</v>
      </c>
      <c r="D252">
        <v>41</v>
      </c>
      <c r="E252">
        <v>1.28</v>
      </c>
      <c r="F252">
        <v>1.22</v>
      </c>
      <c r="G252">
        <v>0.18</v>
      </c>
      <c r="H252">
        <v>0.98</v>
      </c>
      <c r="I252">
        <v>1.75</v>
      </c>
      <c r="J252">
        <v>1.19</v>
      </c>
      <c r="K252">
        <v>1.37</v>
      </c>
      <c r="L252" t="s">
        <v>10</v>
      </c>
      <c r="M252" t="s">
        <v>70</v>
      </c>
    </row>
    <row r="253" spans="1:13" ht="14.25">
      <c r="A253" t="s">
        <v>9</v>
      </c>
      <c r="B253" t="s">
        <v>134</v>
      </c>
      <c r="C253">
        <v>2040</v>
      </c>
      <c r="D253">
        <v>41</v>
      </c>
      <c r="E253">
        <v>1.41</v>
      </c>
      <c r="F253">
        <v>1.41</v>
      </c>
      <c r="G253">
        <v>0.18</v>
      </c>
      <c r="H253">
        <v>1.03</v>
      </c>
      <c r="I253">
        <v>1.88</v>
      </c>
      <c r="J253">
        <v>1.37</v>
      </c>
      <c r="K253">
        <v>1.45</v>
      </c>
      <c r="L253" t="s">
        <v>10</v>
      </c>
      <c r="M253" t="s">
        <v>70</v>
      </c>
    </row>
    <row r="254" spans="1:13" ht="14.25">
      <c r="A254" t="s">
        <v>9</v>
      </c>
      <c r="B254" t="s">
        <v>134</v>
      </c>
      <c r="C254">
        <v>2045</v>
      </c>
      <c r="D254">
        <v>41</v>
      </c>
      <c r="E254">
        <v>1.49</v>
      </c>
      <c r="F254">
        <v>1.47</v>
      </c>
      <c r="G254">
        <v>0.23</v>
      </c>
      <c r="H254">
        <v>1.05</v>
      </c>
      <c r="I254">
        <v>2.14</v>
      </c>
      <c r="J254">
        <v>1.41</v>
      </c>
      <c r="K254">
        <v>1.64</v>
      </c>
      <c r="L254" t="s">
        <v>10</v>
      </c>
      <c r="M254" t="s">
        <v>70</v>
      </c>
    </row>
    <row r="255" spans="1:13" ht="14.25">
      <c r="A255" t="s">
        <v>9</v>
      </c>
      <c r="B255" t="s">
        <v>134</v>
      </c>
      <c r="C255">
        <v>2050</v>
      </c>
      <c r="D255">
        <v>41</v>
      </c>
      <c r="E255">
        <v>1.58</v>
      </c>
      <c r="F255">
        <v>1.59</v>
      </c>
      <c r="G255">
        <v>0.24</v>
      </c>
      <c r="H255">
        <v>1.07</v>
      </c>
      <c r="I255">
        <v>2.27</v>
      </c>
      <c r="J255">
        <v>1.53</v>
      </c>
      <c r="K255">
        <v>1.67</v>
      </c>
      <c r="L255" t="s">
        <v>10</v>
      </c>
      <c r="M255" t="s">
        <v>70</v>
      </c>
    </row>
    <row r="256" spans="1:13" ht="14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ht="14.25">
      <c r="A257" t="s">
        <v>0</v>
      </c>
      <c r="B257" t="s">
        <v>134</v>
      </c>
      <c r="C257">
        <v>2025</v>
      </c>
      <c r="D257">
        <v>50</v>
      </c>
      <c r="E257">
        <v>1.55</v>
      </c>
      <c r="F257">
        <v>1.04</v>
      </c>
      <c r="G257">
        <v>1.21</v>
      </c>
      <c r="H257">
        <v>-0.11</v>
      </c>
      <c r="I257">
        <v>6.79</v>
      </c>
      <c r="J257">
        <v>0.96</v>
      </c>
      <c r="K257">
        <v>1.69</v>
      </c>
      <c r="L257" t="s">
        <v>1</v>
      </c>
      <c r="M257" t="s">
        <v>71</v>
      </c>
    </row>
    <row r="258" spans="1:13" ht="14.25">
      <c r="A258" t="s">
        <v>0</v>
      </c>
      <c r="B258" t="s">
        <v>134</v>
      </c>
      <c r="C258">
        <v>2030</v>
      </c>
      <c r="D258">
        <v>50</v>
      </c>
      <c r="E258">
        <v>2.77</v>
      </c>
      <c r="F258">
        <v>2.2999999999999998</v>
      </c>
      <c r="G258">
        <v>1.78</v>
      </c>
      <c r="H258">
        <v>-0.11</v>
      </c>
      <c r="I258">
        <v>10.199999999999999</v>
      </c>
      <c r="J258">
        <v>1.94</v>
      </c>
      <c r="K258">
        <v>3.87</v>
      </c>
      <c r="L258" t="s">
        <v>1</v>
      </c>
      <c r="M258" t="s">
        <v>71</v>
      </c>
    </row>
    <row r="259" spans="1:13" ht="14.25">
      <c r="A259" t="s">
        <v>0</v>
      </c>
      <c r="B259" t="s">
        <v>134</v>
      </c>
      <c r="C259">
        <v>2035</v>
      </c>
      <c r="D259">
        <v>50</v>
      </c>
      <c r="E259">
        <v>3.45</v>
      </c>
      <c r="F259">
        <v>2.36</v>
      </c>
      <c r="G259">
        <v>2.59</v>
      </c>
      <c r="H259">
        <v>-0.28000000000000003</v>
      </c>
      <c r="I259">
        <v>12.48</v>
      </c>
      <c r="J259">
        <v>1.98</v>
      </c>
      <c r="K259">
        <v>5.03</v>
      </c>
      <c r="L259" t="s">
        <v>1</v>
      </c>
      <c r="M259" t="s">
        <v>71</v>
      </c>
    </row>
    <row r="260" spans="1:13" ht="14.25">
      <c r="A260" t="s">
        <v>0</v>
      </c>
      <c r="B260" t="s">
        <v>134</v>
      </c>
      <c r="C260">
        <v>2040</v>
      </c>
      <c r="D260">
        <v>50</v>
      </c>
      <c r="E260">
        <v>4.6399999999999997</v>
      </c>
      <c r="F260">
        <v>3.19</v>
      </c>
      <c r="G260">
        <v>3.26</v>
      </c>
      <c r="H260">
        <v>0</v>
      </c>
      <c r="I260">
        <v>14.85</v>
      </c>
      <c r="J260">
        <v>2.80</v>
      </c>
      <c r="K260">
        <v>5.98</v>
      </c>
      <c r="L260" t="s">
        <v>1</v>
      </c>
      <c r="M260" t="s">
        <v>71</v>
      </c>
    </row>
    <row r="261" spans="1:13" ht="14.25">
      <c r="A261" t="s">
        <v>0</v>
      </c>
      <c r="B261" t="s">
        <v>134</v>
      </c>
      <c r="C261">
        <v>2045</v>
      </c>
      <c r="D261">
        <v>50</v>
      </c>
      <c r="E261">
        <v>5.24</v>
      </c>
      <c r="F261">
        <v>3.90</v>
      </c>
      <c r="G261">
        <v>4.28</v>
      </c>
      <c r="H261">
        <v>-0.45</v>
      </c>
      <c r="I261">
        <v>18.14</v>
      </c>
      <c r="J261">
        <v>3.10</v>
      </c>
      <c r="K261">
        <v>5.94</v>
      </c>
      <c r="L261" t="s">
        <v>1</v>
      </c>
      <c r="M261" t="s">
        <v>71</v>
      </c>
    </row>
    <row r="262" spans="1:13" ht="14.25">
      <c r="A262" t="s">
        <v>0</v>
      </c>
      <c r="B262" t="s">
        <v>134</v>
      </c>
      <c r="C262">
        <v>2050</v>
      </c>
      <c r="D262">
        <v>50</v>
      </c>
      <c r="E262">
        <v>5.75</v>
      </c>
      <c r="F262">
        <v>4.5599999999999996</v>
      </c>
      <c r="G262">
        <v>4.8899999999999997</v>
      </c>
      <c r="H262">
        <v>-0.14000000000000001</v>
      </c>
      <c r="I262">
        <v>19.57</v>
      </c>
      <c r="J262">
        <v>3.38</v>
      </c>
      <c r="K262">
        <v>7.26</v>
      </c>
      <c r="L262" t="s">
        <v>1</v>
      </c>
      <c r="M262" t="s">
        <v>71</v>
      </c>
    </row>
    <row r="263" spans="1:13" ht="14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ht="14.25">
      <c r="A264" t="s">
        <v>2</v>
      </c>
      <c r="B264" t="s">
        <v>134</v>
      </c>
      <c r="C264">
        <v>2025</v>
      </c>
      <c r="D264">
        <v>52</v>
      </c>
      <c r="E264">
        <v>1</v>
      </c>
      <c r="F264">
        <v>1.04</v>
      </c>
      <c r="G264">
        <v>0.33</v>
      </c>
      <c r="H264">
        <v>0</v>
      </c>
      <c r="I264">
        <v>1.65</v>
      </c>
      <c r="J264">
        <v>0.73</v>
      </c>
      <c r="K264">
        <v>1.27</v>
      </c>
      <c r="L264" t="s">
        <v>3</v>
      </c>
      <c r="M264" t="s">
        <v>71</v>
      </c>
    </row>
    <row r="265" spans="1:13" ht="14.25">
      <c r="A265" t="s">
        <v>2</v>
      </c>
      <c r="B265" t="s">
        <v>134</v>
      </c>
      <c r="C265">
        <v>2030</v>
      </c>
      <c r="D265">
        <v>63</v>
      </c>
      <c r="E265">
        <v>1.80</v>
      </c>
      <c r="F265">
        <v>1.36</v>
      </c>
      <c r="G265">
        <v>1.58</v>
      </c>
      <c r="H265">
        <v>0</v>
      </c>
      <c r="I265">
        <v>8.5500000000000007</v>
      </c>
      <c r="J265">
        <v>1.1100000000000001</v>
      </c>
      <c r="K265">
        <v>1.72</v>
      </c>
      <c r="L265" t="s">
        <v>3</v>
      </c>
      <c r="M265" t="s">
        <v>71</v>
      </c>
    </row>
    <row r="266" spans="1:13" ht="14.25">
      <c r="A266" t="s">
        <v>2</v>
      </c>
      <c r="B266" t="s">
        <v>134</v>
      </c>
      <c r="C266">
        <v>2035</v>
      </c>
      <c r="D266">
        <v>52</v>
      </c>
      <c r="E266">
        <v>2.5299999999999998</v>
      </c>
      <c r="F266">
        <v>1.74</v>
      </c>
      <c r="G266">
        <v>2.95</v>
      </c>
      <c r="H266">
        <v>0</v>
      </c>
      <c r="I266">
        <v>16.47</v>
      </c>
      <c r="J266">
        <v>1.1299999999999999</v>
      </c>
      <c r="K266">
        <v>2.2599999999999998</v>
      </c>
      <c r="L266" t="s">
        <v>3</v>
      </c>
      <c r="M266" t="s">
        <v>71</v>
      </c>
    </row>
    <row r="267" spans="1:13" ht="14.25">
      <c r="A267" t="s">
        <v>2</v>
      </c>
      <c r="B267" t="s">
        <v>134</v>
      </c>
      <c r="C267">
        <v>2040</v>
      </c>
      <c r="D267">
        <v>63</v>
      </c>
      <c r="E267">
        <v>3.60</v>
      </c>
      <c r="F267">
        <v>2.4300000000000002</v>
      </c>
      <c r="G267">
        <v>3.66</v>
      </c>
      <c r="H267">
        <v>0</v>
      </c>
      <c r="I267">
        <v>15</v>
      </c>
      <c r="J267">
        <v>1.49</v>
      </c>
      <c r="K267">
        <v>3.11</v>
      </c>
      <c r="L267" t="s">
        <v>3</v>
      </c>
      <c r="M267" t="s">
        <v>71</v>
      </c>
    </row>
    <row r="268" spans="1:13" ht="14.25">
      <c r="A268" t="s">
        <v>2</v>
      </c>
      <c r="B268" t="s">
        <v>134</v>
      </c>
      <c r="C268">
        <v>2045</v>
      </c>
      <c r="D268">
        <v>52</v>
      </c>
      <c r="E268">
        <v>2.96</v>
      </c>
      <c r="F268">
        <v>2.60</v>
      </c>
      <c r="G268">
        <v>2.34</v>
      </c>
      <c r="H268">
        <v>-0.10</v>
      </c>
      <c r="I268">
        <v>12.01</v>
      </c>
      <c r="J268">
        <v>1.68</v>
      </c>
      <c r="K268">
        <v>3.35</v>
      </c>
      <c r="L268" t="s">
        <v>3</v>
      </c>
      <c r="M268" t="s">
        <v>71</v>
      </c>
    </row>
    <row r="269" spans="1:13" ht="14.25">
      <c r="A269" t="s">
        <v>2</v>
      </c>
      <c r="B269" t="s">
        <v>134</v>
      </c>
      <c r="C269">
        <v>2050</v>
      </c>
      <c r="D269">
        <v>63</v>
      </c>
      <c r="E269">
        <v>3.44</v>
      </c>
      <c r="F269">
        <v>2.0099999999999998</v>
      </c>
      <c r="G269">
        <v>4.50</v>
      </c>
      <c r="H269">
        <v>-0.56000000000000005</v>
      </c>
      <c r="I269">
        <v>21.03</v>
      </c>
      <c r="J269">
        <v>1.19</v>
      </c>
      <c r="K269">
        <v>3.44</v>
      </c>
      <c r="L269" t="s">
        <v>3</v>
      </c>
      <c r="M269" t="s">
        <v>71</v>
      </c>
    </row>
    <row r="270" spans="1:13" ht="14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ht="14.25">
      <c r="A271" t="s">
        <v>5</v>
      </c>
      <c r="B271" t="s">
        <v>134</v>
      </c>
      <c r="C271">
        <v>2025</v>
      </c>
      <c r="D271">
        <v>160</v>
      </c>
      <c r="E271">
        <v>1.1499999999999999</v>
      </c>
      <c r="F271">
        <v>1.17</v>
      </c>
      <c r="G271">
        <v>0.52</v>
      </c>
      <c r="H271">
        <v>0.46</v>
      </c>
      <c r="I271">
        <v>3.51</v>
      </c>
      <c r="J271">
        <v>0.67</v>
      </c>
      <c r="K271">
        <v>1.38</v>
      </c>
      <c r="L271" t="s">
        <v>6</v>
      </c>
      <c r="M271" t="s">
        <v>71</v>
      </c>
    </row>
    <row r="272" spans="1:13" ht="14.25">
      <c r="A272" t="s">
        <v>5</v>
      </c>
      <c r="B272" t="s">
        <v>134</v>
      </c>
      <c r="C272">
        <v>2030</v>
      </c>
      <c r="D272">
        <v>163</v>
      </c>
      <c r="E272">
        <v>1.73</v>
      </c>
      <c r="F272">
        <v>1.51</v>
      </c>
      <c r="G272">
        <v>0.70</v>
      </c>
      <c r="H272">
        <v>0.87</v>
      </c>
      <c r="I272">
        <v>5.30</v>
      </c>
      <c r="J272">
        <v>1.36</v>
      </c>
      <c r="K272">
        <v>1.90</v>
      </c>
      <c r="L272" t="s">
        <v>6</v>
      </c>
      <c r="M272" t="s">
        <v>71</v>
      </c>
    </row>
    <row r="273" spans="1:13" ht="14.25">
      <c r="A273" t="s">
        <v>5</v>
      </c>
      <c r="B273" t="s">
        <v>134</v>
      </c>
      <c r="C273">
        <v>2035</v>
      </c>
      <c r="D273">
        <v>160</v>
      </c>
      <c r="E273">
        <v>2.25</v>
      </c>
      <c r="F273">
        <v>1.56</v>
      </c>
      <c r="G273">
        <v>1.36</v>
      </c>
      <c r="H273">
        <v>0.86</v>
      </c>
      <c r="I273">
        <v>7.06</v>
      </c>
      <c r="J273">
        <v>1.36</v>
      </c>
      <c r="K273">
        <v>2.88</v>
      </c>
      <c r="L273" t="s">
        <v>6</v>
      </c>
      <c r="M273" t="s">
        <v>71</v>
      </c>
    </row>
    <row r="274" spans="1:13" ht="14.25">
      <c r="A274" t="s">
        <v>5</v>
      </c>
      <c r="B274" t="s">
        <v>134</v>
      </c>
      <c r="C274">
        <v>2040</v>
      </c>
      <c r="D274">
        <v>163</v>
      </c>
      <c r="E274">
        <v>2.86</v>
      </c>
      <c r="F274">
        <v>2.09</v>
      </c>
      <c r="G274">
        <v>1.95</v>
      </c>
      <c r="H274">
        <v>0.94</v>
      </c>
      <c r="I274">
        <v>11.67</v>
      </c>
      <c r="J274">
        <v>1.69</v>
      </c>
      <c r="K274">
        <v>3.48</v>
      </c>
      <c r="L274" t="s">
        <v>6</v>
      </c>
      <c r="M274" t="s">
        <v>71</v>
      </c>
    </row>
    <row r="275" spans="1:13" ht="14.25">
      <c r="A275" t="s">
        <v>5</v>
      </c>
      <c r="B275" t="s">
        <v>134</v>
      </c>
      <c r="C275">
        <v>2045</v>
      </c>
      <c r="D275">
        <v>160</v>
      </c>
      <c r="E275">
        <v>3.43</v>
      </c>
      <c r="F275">
        <v>2.40</v>
      </c>
      <c r="G275">
        <v>2.38</v>
      </c>
      <c r="H275">
        <v>0.26</v>
      </c>
      <c r="I275">
        <v>13.52</v>
      </c>
      <c r="J275">
        <v>2.04</v>
      </c>
      <c r="K275">
        <v>4.58</v>
      </c>
      <c r="L275" t="s">
        <v>6</v>
      </c>
      <c r="M275" t="s">
        <v>71</v>
      </c>
    </row>
    <row r="276" spans="1:13" ht="14.25">
      <c r="A276" t="s">
        <v>5</v>
      </c>
      <c r="B276" t="s">
        <v>134</v>
      </c>
      <c r="C276">
        <v>2050</v>
      </c>
      <c r="D276">
        <v>163</v>
      </c>
      <c r="E276">
        <v>3.63</v>
      </c>
      <c r="F276">
        <v>2.65</v>
      </c>
      <c r="G276">
        <v>2.82</v>
      </c>
      <c r="H276">
        <v>-0.18</v>
      </c>
      <c r="I276">
        <v>15.47</v>
      </c>
      <c r="J276">
        <v>2.0299999999999998</v>
      </c>
      <c r="K276">
        <v>4.87</v>
      </c>
      <c r="L276" t="s">
        <v>6</v>
      </c>
      <c r="M276" t="s">
        <v>71</v>
      </c>
    </row>
    <row r="277" spans="1:13" ht="14.2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ht="14.25">
      <c r="A278" t="s">
        <v>7</v>
      </c>
      <c r="B278" t="s">
        <v>134</v>
      </c>
      <c r="C278">
        <v>2025</v>
      </c>
      <c r="D278">
        <v>51</v>
      </c>
      <c r="E278">
        <v>1.38</v>
      </c>
      <c r="F278">
        <v>1.36</v>
      </c>
      <c r="G278">
        <v>0.18</v>
      </c>
      <c r="H278">
        <v>1.01</v>
      </c>
      <c r="I278">
        <v>1.93</v>
      </c>
      <c r="J278">
        <v>1.34</v>
      </c>
      <c r="K278">
        <v>1.38</v>
      </c>
      <c r="L278" t="s">
        <v>8</v>
      </c>
      <c r="M278" t="s">
        <v>71</v>
      </c>
    </row>
    <row r="279" spans="1:13" ht="14.25">
      <c r="A279" t="s">
        <v>7</v>
      </c>
      <c r="B279" t="s">
        <v>134</v>
      </c>
      <c r="C279">
        <v>2030</v>
      </c>
      <c r="D279">
        <v>51</v>
      </c>
      <c r="E279">
        <v>1.63</v>
      </c>
      <c r="F279">
        <v>1.50</v>
      </c>
      <c r="G279">
        <v>0.43</v>
      </c>
      <c r="H279">
        <v>1</v>
      </c>
      <c r="I279">
        <v>2.78</v>
      </c>
      <c r="J279">
        <v>1.29</v>
      </c>
      <c r="K279">
        <v>1.92</v>
      </c>
      <c r="L279" t="s">
        <v>8</v>
      </c>
      <c r="M279" t="s">
        <v>71</v>
      </c>
    </row>
    <row r="280" spans="1:13" ht="14.25">
      <c r="A280" t="s">
        <v>7</v>
      </c>
      <c r="B280" t="s">
        <v>134</v>
      </c>
      <c r="C280">
        <v>2035</v>
      </c>
      <c r="D280">
        <v>51</v>
      </c>
      <c r="E280">
        <v>1.90</v>
      </c>
      <c r="F280">
        <v>1.46</v>
      </c>
      <c r="G280">
        <v>0.74</v>
      </c>
      <c r="H280">
        <v>1.01</v>
      </c>
      <c r="I280">
        <v>3.49</v>
      </c>
      <c r="J280">
        <v>1.30</v>
      </c>
      <c r="K280">
        <v>2.54</v>
      </c>
      <c r="L280" t="s">
        <v>8</v>
      </c>
      <c r="M280" t="s">
        <v>71</v>
      </c>
    </row>
    <row r="281" spans="1:13" ht="14.25">
      <c r="A281" t="s">
        <v>7</v>
      </c>
      <c r="B281" t="s">
        <v>134</v>
      </c>
      <c r="C281">
        <v>2040</v>
      </c>
      <c r="D281">
        <v>51</v>
      </c>
      <c r="E281">
        <v>2.44</v>
      </c>
      <c r="F281">
        <v>1.78</v>
      </c>
      <c r="G281">
        <v>1.07</v>
      </c>
      <c r="H281">
        <v>0.99</v>
      </c>
      <c r="I281">
        <v>5.72</v>
      </c>
      <c r="J281">
        <v>1.55</v>
      </c>
      <c r="K281">
        <v>3.34</v>
      </c>
      <c r="L281" t="s">
        <v>8</v>
      </c>
      <c r="M281" t="s">
        <v>71</v>
      </c>
    </row>
    <row r="282" spans="1:13" ht="14.25">
      <c r="A282" t="s">
        <v>7</v>
      </c>
      <c r="B282" t="s">
        <v>134</v>
      </c>
      <c r="C282">
        <v>2045</v>
      </c>
      <c r="D282">
        <v>51</v>
      </c>
      <c r="E282">
        <v>2.85</v>
      </c>
      <c r="F282">
        <v>1.95</v>
      </c>
      <c r="G282">
        <v>1.38</v>
      </c>
      <c r="H282">
        <v>0.99</v>
      </c>
      <c r="I282">
        <v>6.89</v>
      </c>
      <c r="J282">
        <v>1.81</v>
      </c>
      <c r="K282">
        <v>3.77</v>
      </c>
      <c r="L282" t="s">
        <v>8</v>
      </c>
      <c r="M282" t="s">
        <v>71</v>
      </c>
    </row>
    <row r="283" spans="1:13" ht="14.25">
      <c r="A283" t="s">
        <v>7</v>
      </c>
      <c r="B283" t="s">
        <v>134</v>
      </c>
      <c r="C283">
        <v>2050</v>
      </c>
      <c r="D283">
        <v>51</v>
      </c>
      <c r="E283">
        <v>3.04</v>
      </c>
      <c r="F283">
        <v>2.15</v>
      </c>
      <c r="G283">
        <v>1.61</v>
      </c>
      <c r="H283">
        <v>0.92</v>
      </c>
      <c r="I283">
        <v>8.0299999999999994</v>
      </c>
      <c r="J283">
        <v>1.70</v>
      </c>
      <c r="K283">
        <v>4.3099999999999996</v>
      </c>
      <c r="L283" t="s">
        <v>8</v>
      </c>
      <c r="M283" t="s">
        <v>71</v>
      </c>
    </row>
    <row r="284" spans="1:13" ht="14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ht="14.25">
      <c r="A285" t="s">
        <v>9</v>
      </c>
      <c r="B285" t="s">
        <v>134</v>
      </c>
      <c r="C285">
        <v>2025</v>
      </c>
      <c r="D285">
        <v>40</v>
      </c>
      <c r="E285">
        <v>0.92</v>
      </c>
      <c r="F285">
        <v>0.97</v>
      </c>
      <c r="G285">
        <v>0.35</v>
      </c>
      <c r="H285">
        <v>0.45</v>
      </c>
      <c r="I285">
        <v>1.48</v>
      </c>
      <c r="J285">
        <v>0.56000000000000005</v>
      </c>
      <c r="K285">
        <v>1.17</v>
      </c>
      <c r="L285" t="s">
        <v>10</v>
      </c>
      <c r="M285" t="s">
        <v>71</v>
      </c>
    </row>
    <row r="286" spans="1:13" ht="14.25">
      <c r="A286" t="s">
        <v>9</v>
      </c>
      <c r="B286" t="s">
        <v>134</v>
      </c>
      <c r="C286">
        <v>2030</v>
      </c>
      <c r="D286">
        <v>40</v>
      </c>
      <c r="E286">
        <v>1.30</v>
      </c>
      <c r="F286">
        <v>1.28</v>
      </c>
      <c r="G286">
        <v>0.23</v>
      </c>
      <c r="H286">
        <v>0.97</v>
      </c>
      <c r="I286">
        <v>1.78</v>
      </c>
      <c r="J286">
        <v>1.17</v>
      </c>
      <c r="K286">
        <v>1.47</v>
      </c>
      <c r="L286" t="s">
        <v>10</v>
      </c>
      <c r="M286" t="s">
        <v>71</v>
      </c>
    </row>
    <row r="287" spans="1:13" ht="14.25">
      <c r="A287" t="s">
        <v>9</v>
      </c>
      <c r="B287" t="s">
        <v>134</v>
      </c>
      <c r="C287">
        <v>2035</v>
      </c>
      <c r="D287">
        <v>40</v>
      </c>
      <c r="E287">
        <v>1.26</v>
      </c>
      <c r="F287">
        <v>1.0900000000000001</v>
      </c>
      <c r="G287">
        <v>0.32</v>
      </c>
      <c r="H287">
        <v>0.96</v>
      </c>
      <c r="I287">
        <v>1.93</v>
      </c>
      <c r="J287">
        <v>0.99</v>
      </c>
      <c r="K287">
        <v>1.53</v>
      </c>
      <c r="L287" t="s">
        <v>10</v>
      </c>
      <c r="M287" t="s">
        <v>71</v>
      </c>
    </row>
    <row r="288" spans="1:13" ht="14.25">
      <c r="A288" t="s">
        <v>9</v>
      </c>
      <c r="B288" t="s">
        <v>134</v>
      </c>
      <c r="C288">
        <v>2040</v>
      </c>
      <c r="D288">
        <v>40</v>
      </c>
      <c r="E288">
        <v>1.50</v>
      </c>
      <c r="F288">
        <v>1.39</v>
      </c>
      <c r="G288">
        <v>0.35</v>
      </c>
      <c r="H288">
        <v>0.96</v>
      </c>
      <c r="I288">
        <v>2.09</v>
      </c>
      <c r="J288">
        <v>1.30</v>
      </c>
      <c r="K288">
        <v>1.81</v>
      </c>
      <c r="L288" t="s">
        <v>10</v>
      </c>
      <c r="M288" t="s">
        <v>71</v>
      </c>
    </row>
    <row r="289" spans="1:13" ht="14.25">
      <c r="A289" t="s">
        <v>9</v>
      </c>
      <c r="B289" t="s">
        <v>134</v>
      </c>
      <c r="C289">
        <v>2045</v>
      </c>
      <c r="D289">
        <v>40</v>
      </c>
      <c r="E289">
        <v>1.64</v>
      </c>
      <c r="F289">
        <v>1.53</v>
      </c>
      <c r="G289">
        <v>0.40</v>
      </c>
      <c r="H289">
        <v>0.96</v>
      </c>
      <c r="I289">
        <v>2.23</v>
      </c>
      <c r="J289">
        <v>1.48</v>
      </c>
      <c r="K289">
        <v>2.06</v>
      </c>
      <c r="L289" t="s">
        <v>10</v>
      </c>
      <c r="M289" t="s">
        <v>71</v>
      </c>
    </row>
    <row r="290" spans="1:13" ht="14.25">
      <c r="A290" t="s">
        <v>9</v>
      </c>
      <c r="B290" t="s">
        <v>134</v>
      </c>
      <c r="C290">
        <v>2050</v>
      </c>
      <c r="D290">
        <v>40</v>
      </c>
      <c r="E290">
        <v>1.82</v>
      </c>
      <c r="F290">
        <v>1.73</v>
      </c>
      <c r="G290">
        <v>0.48</v>
      </c>
      <c r="H290">
        <v>0.96</v>
      </c>
      <c r="I290">
        <v>2.5099999999999998</v>
      </c>
      <c r="J290">
        <v>1.65</v>
      </c>
      <c r="K290">
        <v>2.2999999999999998</v>
      </c>
      <c r="L290" t="s">
        <v>10</v>
      </c>
      <c r="M290" t="s">
        <v>71</v>
      </c>
    </row>
    <row r="291" spans="1:13" ht="14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ht="14.25">
      <c r="A292" t="s">
        <v>0</v>
      </c>
      <c r="B292" t="s">
        <v>134</v>
      </c>
      <c r="C292">
        <v>2025</v>
      </c>
      <c r="D292">
        <v>20</v>
      </c>
      <c r="E292">
        <v>3.10</v>
      </c>
      <c r="F292">
        <v>3.38</v>
      </c>
      <c r="G292">
        <v>1.87</v>
      </c>
      <c r="H292">
        <v>1.03</v>
      </c>
      <c r="I292">
        <v>7.70</v>
      </c>
      <c r="J292">
        <v>1.04</v>
      </c>
      <c r="K292">
        <v>3.90</v>
      </c>
      <c r="L292" t="s">
        <v>1</v>
      </c>
      <c r="M292" t="s">
        <v>72</v>
      </c>
    </row>
    <row r="293" spans="1:13" ht="14.25">
      <c r="A293" t="s">
        <v>0</v>
      </c>
      <c r="B293" t="s">
        <v>134</v>
      </c>
      <c r="C293">
        <v>2030</v>
      </c>
      <c r="D293">
        <v>20</v>
      </c>
      <c r="E293">
        <v>6.66</v>
      </c>
      <c r="F293">
        <v>6.52</v>
      </c>
      <c r="G293">
        <v>2.58</v>
      </c>
      <c r="H293">
        <v>1.1000000000000001</v>
      </c>
      <c r="I293">
        <v>12.95</v>
      </c>
      <c r="J293">
        <v>5.34</v>
      </c>
      <c r="K293">
        <v>6.98</v>
      </c>
      <c r="L293" t="s">
        <v>1</v>
      </c>
      <c r="M293" t="s">
        <v>72</v>
      </c>
    </row>
    <row r="294" spans="1:13" ht="14.25">
      <c r="A294" t="s">
        <v>0</v>
      </c>
      <c r="B294" t="s">
        <v>134</v>
      </c>
      <c r="C294">
        <v>2035</v>
      </c>
      <c r="D294">
        <v>20</v>
      </c>
      <c r="E294">
        <v>8.89</v>
      </c>
      <c r="F294">
        <v>7.58</v>
      </c>
      <c r="G294">
        <v>3.68</v>
      </c>
      <c r="H294">
        <v>3.41</v>
      </c>
      <c r="I294">
        <v>14.33</v>
      </c>
      <c r="J294">
        <v>5.71</v>
      </c>
      <c r="K294">
        <v>12.80</v>
      </c>
      <c r="L294" t="s">
        <v>1</v>
      </c>
      <c r="M294" t="s">
        <v>72</v>
      </c>
    </row>
    <row r="295" spans="1:13" ht="14.25">
      <c r="A295" t="s">
        <v>0</v>
      </c>
      <c r="B295" t="s">
        <v>134</v>
      </c>
      <c r="C295">
        <v>2040</v>
      </c>
      <c r="D295">
        <v>20</v>
      </c>
      <c r="E295">
        <v>11.19</v>
      </c>
      <c r="F295">
        <v>9.41</v>
      </c>
      <c r="G295">
        <v>5.83</v>
      </c>
      <c r="H295">
        <v>4.38</v>
      </c>
      <c r="I295">
        <v>17.94</v>
      </c>
      <c r="J295">
        <v>5.08</v>
      </c>
      <c r="K295">
        <v>17.77</v>
      </c>
      <c r="L295" t="s">
        <v>1</v>
      </c>
      <c r="M295" t="s">
        <v>72</v>
      </c>
    </row>
    <row r="296" spans="1:13" ht="14.25">
      <c r="A296" t="s">
        <v>0</v>
      </c>
      <c r="B296" t="s">
        <v>134</v>
      </c>
      <c r="C296">
        <v>2045</v>
      </c>
      <c r="D296">
        <v>20</v>
      </c>
      <c r="E296">
        <v>13.15</v>
      </c>
      <c r="F296">
        <v>9.35</v>
      </c>
      <c r="G296">
        <v>8</v>
      </c>
      <c r="H296">
        <v>4.2300000000000004</v>
      </c>
      <c r="I296">
        <v>23.39</v>
      </c>
      <c r="J296">
        <v>5.03</v>
      </c>
      <c r="K296">
        <v>22.13</v>
      </c>
      <c r="L296" t="s">
        <v>1</v>
      </c>
      <c r="M296" t="s">
        <v>72</v>
      </c>
    </row>
    <row r="297" spans="1:13" ht="14.25">
      <c r="A297" t="s">
        <v>0</v>
      </c>
      <c r="B297" t="s">
        <v>134</v>
      </c>
      <c r="C297">
        <v>2050</v>
      </c>
      <c r="D297">
        <v>20</v>
      </c>
      <c r="E297">
        <v>14.54</v>
      </c>
      <c r="F297">
        <v>10.220000000000001</v>
      </c>
      <c r="G297">
        <v>9.49</v>
      </c>
      <c r="H297">
        <v>4.33</v>
      </c>
      <c r="I297">
        <v>25.87</v>
      </c>
      <c r="J297">
        <v>5.29</v>
      </c>
      <c r="K297">
        <v>25.62</v>
      </c>
      <c r="L297" t="s">
        <v>1</v>
      </c>
      <c r="M297" t="s">
        <v>72</v>
      </c>
    </row>
    <row r="298" spans="1:13" ht="14.2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ht="14.25">
      <c r="A299" t="s">
        <v>2</v>
      </c>
      <c r="B299" t="s">
        <v>134</v>
      </c>
      <c r="C299">
        <v>2025</v>
      </c>
      <c r="D299">
        <v>17</v>
      </c>
      <c r="E299">
        <v>1.37</v>
      </c>
      <c r="F299">
        <v>1.1399999999999999</v>
      </c>
      <c r="G299">
        <v>0.70</v>
      </c>
      <c r="H299">
        <v>1.04</v>
      </c>
      <c r="I299">
        <v>3.29</v>
      </c>
      <c r="J299">
        <v>1.05</v>
      </c>
      <c r="K299">
        <v>1.19</v>
      </c>
      <c r="L299" t="s">
        <v>3</v>
      </c>
      <c r="M299" t="s">
        <v>72</v>
      </c>
    </row>
    <row r="300" spans="1:13" ht="14.25">
      <c r="A300" t="s">
        <v>2</v>
      </c>
      <c r="B300" t="s">
        <v>134</v>
      </c>
      <c r="C300">
        <v>2030</v>
      </c>
      <c r="D300">
        <v>17</v>
      </c>
      <c r="E300">
        <v>2.13</v>
      </c>
      <c r="F300">
        <v>1.71</v>
      </c>
      <c r="G300">
        <v>0.92</v>
      </c>
      <c r="H300">
        <v>1.0900000000000001</v>
      </c>
      <c r="I300">
        <v>4.34</v>
      </c>
      <c r="J300">
        <v>1.61</v>
      </c>
      <c r="K300">
        <v>2.60</v>
      </c>
      <c r="L300" t="s">
        <v>3</v>
      </c>
      <c r="M300" t="s">
        <v>72</v>
      </c>
    </row>
    <row r="301" spans="1:13" ht="14.25">
      <c r="A301" t="s">
        <v>2</v>
      </c>
      <c r="B301" t="s">
        <v>134</v>
      </c>
      <c r="C301">
        <v>2035</v>
      </c>
      <c r="D301">
        <v>17</v>
      </c>
      <c r="E301">
        <v>6.16</v>
      </c>
      <c r="F301">
        <v>4.25</v>
      </c>
      <c r="G301">
        <v>6.48</v>
      </c>
      <c r="H301">
        <v>3.28</v>
      </c>
      <c r="I301">
        <v>30.43</v>
      </c>
      <c r="J301">
        <v>3.62</v>
      </c>
      <c r="K301">
        <v>4.99</v>
      </c>
      <c r="L301" t="s">
        <v>3</v>
      </c>
      <c r="M301" t="s">
        <v>72</v>
      </c>
    </row>
    <row r="302" spans="1:13" ht="14.25">
      <c r="A302" t="s">
        <v>2</v>
      </c>
      <c r="B302" t="s">
        <v>134</v>
      </c>
      <c r="C302">
        <v>2040</v>
      </c>
      <c r="D302">
        <v>17</v>
      </c>
      <c r="E302">
        <v>7.53</v>
      </c>
      <c r="F302">
        <v>4.95</v>
      </c>
      <c r="G302">
        <v>6.16</v>
      </c>
      <c r="H302">
        <v>3.64</v>
      </c>
      <c r="I302">
        <v>25.79</v>
      </c>
      <c r="J302">
        <v>4.12</v>
      </c>
      <c r="K302">
        <v>5.51</v>
      </c>
      <c r="L302" t="s">
        <v>3</v>
      </c>
      <c r="M302" t="s">
        <v>72</v>
      </c>
    </row>
    <row r="303" spans="1:13" ht="14.25">
      <c r="A303" t="s">
        <v>2</v>
      </c>
      <c r="B303" t="s">
        <v>134</v>
      </c>
      <c r="C303">
        <v>2045</v>
      </c>
      <c r="D303">
        <v>17</v>
      </c>
      <c r="E303">
        <v>6.73</v>
      </c>
      <c r="F303">
        <v>4.76</v>
      </c>
      <c r="G303">
        <v>4.6399999999999997</v>
      </c>
      <c r="H303">
        <v>4.13</v>
      </c>
      <c r="I303">
        <v>22.09</v>
      </c>
      <c r="J303">
        <v>4.29</v>
      </c>
      <c r="K303">
        <v>5.43</v>
      </c>
      <c r="L303" t="s">
        <v>3</v>
      </c>
      <c r="M303" t="s">
        <v>72</v>
      </c>
    </row>
    <row r="304" spans="1:13" ht="14.25">
      <c r="A304" t="s">
        <v>2</v>
      </c>
      <c r="B304" t="s">
        <v>134</v>
      </c>
      <c r="C304">
        <v>2050</v>
      </c>
      <c r="D304">
        <v>17</v>
      </c>
      <c r="E304">
        <v>5.25</v>
      </c>
      <c r="F304">
        <v>4.8899999999999997</v>
      </c>
      <c r="G304">
        <v>0.86</v>
      </c>
      <c r="H304">
        <v>4.0999999999999996</v>
      </c>
      <c r="I304">
        <v>7.63</v>
      </c>
      <c r="J304">
        <v>4.71</v>
      </c>
      <c r="K304">
        <v>5.61</v>
      </c>
      <c r="L304" t="s">
        <v>3</v>
      </c>
      <c r="M304" t="s">
        <v>72</v>
      </c>
    </row>
    <row r="305" spans="1:13" ht="14.2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ht="14.25">
      <c r="A306" t="s">
        <v>5</v>
      </c>
      <c r="B306" t="s">
        <v>134</v>
      </c>
      <c r="C306">
        <v>2025</v>
      </c>
      <c r="D306">
        <v>69</v>
      </c>
      <c r="E306">
        <v>1.61</v>
      </c>
      <c r="F306">
        <v>1.19</v>
      </c>
      <c r="G306">
        <v>0.78</v>
      </c>
      <c r="H306">
        <v>1.02</v>
      </c>
      <c r="I306">
        <v>4.1100000000000003</v>
      </c>
      <c r="J306">
        <v>1.04</v>
      </c>
      <c r="K306">
        <v>2.06</v>
      </c>
      <c r="L306" t="s">
        <v>6</v>
      </c>
      <c r="M306" t="s">
        <v>72</v>
      </c>
    </row>
    <row r="307" spans="1:13" ht="14.25">
      <c r="A307" t="s">
        <v>5</v>
      </c>
      <c r="B307" t="s">
        <v>134</v>
      </c>
      <c r="C307">
        <v>2030</v>
      </c>
      <c r="D307">
        <v>69</v>
      </c>
      <c r="E307">
        <v>2.33</v>
      </c>
      <c r="F307">
        <v>1.74</v>
      </c>
      <c r="G307">
        <v>1.1000000000000001</v>
      </c>
      <c r="H307">
        <v>1.1000000000000001</v>
      </c>
      <c r="I307">
        <v>6.07</v>
      </c>
      <c r="J307">
        <v>1.60</v>
      </c>
      <c r="K307">
        <v>3.02</v>
      </c>
      <c r="L307" t="s">
        <v>6</v>
      </c>
      <c r="M307" t="s">
        <v>72</v>
      </c>
    </row>
    <row r="308" spans="1:13" ht="14.25">
      <c r="A308" t="s">
        <v>5</v>
      </c>
      <c r="B308" t="s">
        <v>134</v>
      </c>
      <c r="C308">
        <v>2035</v>
      </c>
      <c r="D308">
        <v>69</v>
      </c>
      <c r="E308">
        <v>3.94</v>
      </c>
      <c r="F308">
        <v>3.57</v>
      </c>
      <c r="G308">
        <v>1.40</v>
      </c>
      <c r="H308">
        <v>2.2200000000000002</v>
      </c>
      <c r="I308">
        <v>8.14</v>
      </c>
      <c r="J308">
        <v>2.88</v>
      </c>
      <c r="K308">
        <v>4.72</v>
      </c>
      <c r="L308" t="s">
        <v>6</v>
      </c>
      <c r="M308" t="s">
        <v>72</v>
      </c>
    </row>
    <row r="309" spans="1:13" ht="14.25">
      <c r="A309" t="s">
        <v>5</v>
      </c>
      <c r="B309" t="s">
        <v>134</v>
      </c>
      <c r="C309">
        <v>2040</v>
      </c>
      <c r="D309">
        <v>69</v>
      </c>
      <c r="E309">
        <v>4.93</v>
      </c>
      <c r="F309">
        <v>4.4000000000000004</v>
      </c>
      <c r="G309">
        <v>2.35</v>
      </c>
      <c r="H309">
        <v>2.36</v>
      </c>
      <c r="I309">
        <v>14.40</v>
      </c>
      <c r="J309">
        <v>3.07</v>
      </c>
      <c r="K309">
        <v>6</v>
      </c>
      <c r="L309" t="s">
        <v>6</v>
      </c>
      <c r="M309" t="s">
        <v>72</v>
      </c>
    </row>
    <row r="310" spans="1:13" ht="14.25">
      <c r="A310" t="s">
        <v>5</v>
      </c>
      <c r="B310" t="s">
        <v>134</v>
      </c>
      <c r="C310">
        <v>2045</v>
      </c>
      <c r="D310">
        <v>69</v>
      </c>
      <c r="E310">
        <v>5.52</v>
      </c>
      <c r="F310">
        <v>4.51</v>
      </c>
      <c r="G310">
        <v>2.77</v>
      </c>
      <c r="H310">
        <v>2.39</v>
      </c>
      <c r="I310">
        <v>13.33</v>
      </c>
      <c r="J310">
        <v>3.34</v>
      </c>
      <c r="K310">
        <v>6.94</v>
      </c>
      <c r="L310" t="s">
        <v>6</v>
      </c>
      <c r="M310" t="s">
        <v>72</v>
      </c>
    </row>
    <row r="311" spans="1:13" ht="14.25">
      <c r="A311" t="s">
        <v>5</v>
      </c>
      <c r="B311" t="s">
        <v>134</v>
      </c>
      <c r="C311">
        <v>2050</v>
      </c>
      <c r="D311">
        <v>69</v>
      </c>
      <c r="E311">
        <v>5.90</v>
      </c>
      <c r="F311">
        <v>4.46</v>
      </c>
      <c r="G311">
        <v>3.09</v>
      </c>
      <c r="H311">
        <v>2.52</v>
      </c>
      <c r="I311">
        <v>14.20</v>
      </c>
      <c r="J311">
        <v>3.27</v>
      </c>
      <c r="K311">
        <v>7.58</v>
      </c>
      <c r="L311" t="s">
        <v>6</v>
      </c>
      <c r="M311" t="s">
        <v>72</v>
      </c>
    </row>
    <row r="312" spans="1:13" ht="14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ht="14.25">
      <c r="A313" t="s">
        <v>7</v>
      </c>
      <c r="B313" t="s">
        <v>134</v>
      </c>
      <c r="C313">
        <v>2025</v>
      </c>
      <c r="D313">
        <v>27</v>
      </c>
      <c r="E313">
        <v>1.30</v>
      </c>
      <c r="F313">
        <v>1.1399999999999999</v>
      </c>
      <c r="G313">
        <v>0.38</v>
      </c>
      <c r="H313">
        <v>0.98</v>
      </c>
      <c r="I313">
        <v>2.16</v>
      </c>
      <c r="J313">
        <v>1.02</v>
      </c>
      <c r="K313">
        <v>1.50</v>
      </c>
      <c r="L313" t="s">
        <v>8</v>
      </c>
      <c r="M313" t="s">
        <v>72</v>
      </c>
    </row>
    <row r="314" spans="1:13" ht="14.25">
      <c r="A314" t="s">
        <v>7</v>
      </c>
      <c r="B314" t="s">
        <v>134</v>
      </c>
      <c r="C314">
        <v>2030</v>
      </c>
      <c r="D314">
        <v>27</v>
      </c>
      <c r="E314">
        <v>1.92</v>
      </c>
      <c r="F314">
        <v>1.74</v>
      </c>
      <c r="G314">
        <v>0.54</v>
      </c>
      <c r="H314">
        <v>1.05</v>
      </c>
      <c r="I314">
        <v>2.96</v>
      </c>
      <c r="J314">
        <v>1.55</v>
      </c>
      <c r="K314">
        <v>2.27</v>
      </c>
      <c r="L314" t="s">
        <v>8</v>
      </c>
      <c r="M314" t="s">
        <v>72</v>
      </c>
    </row>
    <row r="315" spans="1:13" ht="14.25">
      <c r="A315" t="s">
        <v>7</v>
      </c>
      <c r="B315" t="s">
        <v>134</v>
      </c>
      <c r="C315">
        <v>2035</v>
      </c>
      <c r="D315">
        <v>27</v>
      </c>
      <c r="E315">
        <v>2.78</v>
      </c>
      <c r="F315">
        <v>2.66</v>
      </c>
      <c r="G315">
        <v>0.90</v>
      </c>
      <c r="H315">
        <v>1.58</v>
      </c>
      <c r="I315">
        <v>5.01</v>
      </c>
      <c r="J315">
        <v>2.21</v>
      </c>
      <c r="K315">
        <v>3.23</v>
      </c>
      <c r="L315" t="s">
        <v>8</v>
      </c>
      <c r="M315" t="s">
        <v>72</v>
      </c>
    </row>
    <row r="316" spans="1:13" ht="14.25">
      <c r="A316" t="s">
        <v>7</v>
      </c>
      <c r="B316" t="s">
        <v>134</v>
      </c>
      <c r="C316">
        <v>2040</v>
      </c>
      <c r="D316">
        <v>27</v>
      </c>
      <c r="E316">
        <v>3.69</v>
      </c>
      <c r="F316">
        <v>3.42</v>
      </c>
      <c r="G316">
        <v>1.49</v>
      </c>
      <c r="H316">
        <v>1.86</v>
      </c>
      <c r="I316">
        <v>8.9499999999999993</v>
      </c>
      <c r="J316">
        <v>2.97</v>
      </c>
      <c r="K316">
        <v>4.04</v>
      </c>
      <c r="L316" t="s">
        <v>8</v>
      </c>
      <c r="M316" t="s">
        <v>72</v>
      </c>
    </row>
    <row r="317" spans="1:13" ht="14.25">
      <c r="A317" t="s">
        <v>7</v>
      </c>
      <c r="B317" t="s">
        <v>134</v>
      </c>
      <c r="C317">
        <v>2045</v>
      </c>
      <c r="D317">
        <v>27</v>
      </c>
      <c r="E317">
        <v>4.22</v>
      </c>
      <c r="F317">
        <v>4</v>
      </c>
      <c r="G317">
        <v>1.91</v>
      </c>
      <c r="H317">
        <v>1.89</v>
      </c>
      <c r="I317">
        <v>10.76</v>
      </c>
      <c r="J317">
        <v>3.32</v>
      </c>
      <c r="K317">
        <v>4.62</v>
      </c>
      <c r="L317" t="s">
        <v>8</v>
      </c>
      <c r="M317" t="s">
        <v>72</v>
      </c>
    </row>
    <row r="318" spans="1:13" ht="14.25">
      <c r="A318" t="s">
        <v>7</v>
      </c>
      <c r="B318" t="s">
        <v>134</v>
      </c>
      <c r="C318">
        <v>2050</v>
      </c>
      <c r="D318">
        <v>27</v>
      </c>
      <c r="E318">
        <v>4.33</v>
      </c>
      <c r="F318">
        <v>4.38</v>
      </c>
      <c r="G318">
        <v>1.59</v>
      </c>
      <c r="H318">
        <v>2.11</v>
      </c>
      <c r="I318">
        <v>8.31</v>
      </c>
      <c r="J318">
        <v>3.45</v>
      </c>
      <c r="K318">
        <v>5.05</v>
      </c>
      <c r="L318" t="s">
        <v>8</v>
      </c>
      <c r="M318" t="s">
        <v>72</v>
      </c>
    </row>
    <row r="319" spans="1:13" ht="14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ht="14.25">
      <c r="A320" t="s">
        <v>9</v>
      </c>
      <c r="B320" t="s">
        <v>134</v>
      </c>
      <c r="C320">
        <v>2025</v>
      </c>
      <c r="D320">
        <v>14</v>
      </c>
      <c r="E320">
        <v>0.98</v>
      </c>
      <c r="F320">
        <v>1.02</v>
      </c>
      <c r="G320">
        <v>0.12</v>
      </c>
      <c r="H320">
        <v>0.73</v>
      </c>
      <c r="I320">
        <v>1.1299999999999999</v>
      </c>
      <c r="J320">
        <v>1.02</v>
      </c>
      <c r="K320">
        <v>1.03</v>
      </c>
      <c r="L320" t="s">
        <v>10</v>
      </c>
      <c r="M320" t="s">
        <v>72</v>
      </c>
    </row>
    <row r="321" spans="1:13" ht="14.25">
      <c r="A321" t="s">
        <v>9</v>
      </c>
      <c r="B321" t="s">
        <v>134</v>
      </c>
      <c r="C321">
        <v>2030</v>
      </c>
      <c r="D321">
        <v>14</v>
      </c>
      <c r="E321">
        <v>1.1100000000000001</v>
      </c>
      <c r="F321">
        <v>1.06</v>
      </c>
      <c r="G321">
        <v>0.09</v>
      </c>
      <c r="H321">
        <v>1.05</v>
      </c>
      <c r="I321">
        <v>1.32</v>
      </c>
      <c r="J321">
        <v>1.05</v>
      </c>
      <c r="K321">
        <v>1.1100000000000001</v>
      </c>
      <c r="L321" t="s">
        <v>10</v>
      </c>
      <c r="M321" t="s">
        <v>72</v>
      </c>
    </row>
    <row r="322" spans="1:13" ht="14.25">
      <c r="A322" t="s">
        <v>9</v>
      </c>
      <c r="B322" t="s">
        <v>134</v>
      </c>
      <c r="C322">
        <v>2035</v>
      </c>
      <c r="D322">
        <v>14</v>
      </c>
      <c r="E322">
        <v>1.1200000000000001</v>
      </c>
      <c r="F322">
        <v>1.08</v>
      </c>
      <c r="G322">
        <v>0.09</v>
      </c>
      <c r="H322">
        <v>0.99</v>
      </c>
      <c r="I322">
        <v>1.35</v>
      </c>
      <c r="J322">
        <v>1.07</v>
      </c>
      <c r="K322">
        <v>1.18</v>
      </c>
      <c r="L322" t="s">
        <v>10</v>
      </c>
      <c r="M322" t="s">
        <v>72</v>
      </c>
    </row>
    <row r="323" spans="1:13" ht="14.25">
      <c r="A323" t="s">
        <v>9</v>
      </c>
      <c r="B323" t="s">
        <v>134</v>
      </c>
      <c r="C323">
        <v>2040</v>
      </c>
      <c r="D323">
        <v>14</v>
      </c>
      <c r="E323">
        <v>1.20</v>
      </c>
      <c r="F323">
        <v>1.17</v>
      </c>
      <c r="G323">
        <v>0.14000000000000001</v>
      </c>
      <c r="H323">
        <v>1.05</v>
      </c>
      <c r="I323">
        <v>1.44</v>
      </c>
      <c r="J323">
        <v>1.0900000000000001</v>
      </c>
      <c r="K323">
        <v>1.30</v>
      </c>
      <c r="L323" t="s">
        <v>10</v>
      </c>
      <c r="M323" t="s">
        <v>72</v>
      </c>
    </row>
    <row r="324" spans="1:13" ht="14.25">
      <c r="A324" t="s">
        <v>9</v>
      </c>
      <c r="B324" t="s">
        <v>134</v>
      </c>
      <c r="C324">
        <v>2045</v>
      </c>
      <c r="D324">
        <v>14</v>
      </c>
      <c r="E324">
        <v>1.25</v>
      </c>
      <c r="F324">
        <v>1.21</v>
      </c>
      <c r="G324">
        <v>0.19</v>
      </c>
      <c r="H324">
        <v>1.03</v>
      </c>
      <c r="I324">
        <v>1.54</v>
      </c>
      <c r="J324">
        <v>1.1100000000000001</v>
      </c>
      <c r="K324">
        <v>1.43</v>
      </c>
      <c r="L324" t="s">
        <v>10</v>
      </c>
      <c r="M324" t="s">
        <v>72</v>
      </c>
    </row>
    <row r="325" spans="1:13" ht="14.25">
      <c r="A325" t="s">
        <v>9</v>
      </c>
      <c r="B325" t="s">
        <v>134</v>
      </c>
      <c r="C325">
        <v>2050</v>
      </c>
      <c r="D325">
        <v>14</v>
      </c>
      <c r="E325">
        <v>1.31</v>
      </c>
      <c r="F325">
        <v>1.26</v>
      </c>
      <c r="G325">
        <v>0.25</v>
      </c>
      <c r="H325">
        <v>1.01</v>
      </c>
      <c r="I325">
        <v>1.69</v>
      </c>
      <c r="J325">
        <v>1.1200000000000001</v>
      </c>
      <c r="K325">
        <v>1.50</v>
      </c>
      <c r="L325" t="s">
        <v>10</v>
      </c>
      <c r="M325" t="s">
        <v>72</v>
      </c>
    </row>
    <row r="326" spans="1:13" ht="14.2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ht="14.25">
      <c r="A327" t="s">
        <v>0</v>
      </c>
      <c r="B327" t="s">
        <v>134</v>
      </c>
      <c r="C327">
        <v>2025</v>
      </c>
      <c r="D327">
        <v>6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ht="14.25">
      <c r="A328" t="s">
        <v>0</v>
      </c>
      <c r="B328" t="s">
        <v>134</v>
      </c>
      <c r="C328">
        <v>2030</v>
      </c>
      <c r="D328">
        <v>6</v>
      </c>
      <c r="E328">
        <v>1.1000000000000001</v>
      </c>
      <c r="F328">
        <v>1.1000000000000001</v>
      </c>
      <c r="G328">
        <v>0</v>
      </c>
      <c r="H328">
        <v>1.1000000000000001</v>
      </c>
      <c r="I328">
        <v>1.1000000000000001</v>
      </c>
      <c r="J328">
        <v>1.1000000000000001</v>
      </c>
      <c r="K328">
        <v>1.1000000000000001</v>
      </c>
      <c r="L328" t="s">
        <v>1</v>
      </c>
      <c r="M328" t="s">
        <v>73</v>
      </c>
    </row>
    <row r="329" spans="1:13" ht="14.25">
      <c r="A329" t="s">
        <v>0</v>
      </c>
      <c r="B329" t="s">
        <v>134</v>
      </c>
      <c r="C329">
        <v>2035</v>
      </c>
      <c r="D329">
        <v>6</v>
      </c>
      <c r="E329">
        <v>1.1599999999999999</v>
      </c>
      <c r="F329">
        <v>1.1599999999999999</v>
      </c>
      <c r="G329">
        <v>0</v>
      </c>
      <c r="H329">
        <v>1.1599999999999999</v>
      </c>
      <c r="I329">
        <v>1.1599999999999999</v>
      </c>
      <c r="J329">
        <v>1.1599999999999999</v>
      </c>
      <c r="K329">
        <v>1.1599999999999999</v>
      </c>
      <c r="L329" t="s">
        <v>1</v>
      </c>
      <c r="M329" t="s">
        <v>73</v>
      </c>
    </row>
    <row r="330" spans="1:13" ht="14.25">
      <c r="A330" t="s">
        <v>0</v>
      </c>
      <c r="B330" t="s">
        <v>134</v>
      </c>
      <c r="C330">
        <v>2040</v>
      </c>
      <c r="D330">
        <v>6</v>
      </c>
      <c r="E330">
        <v>1.22</v>
      </c>
      <c r="F330">
        <v>1.22</v>
      </c>
      <c r="G330">
        <v>0</v>
      </c>
      <c r="H330">
        <v>1.22</v>
      </c>
      <c r="I330">
        <v>1.22</v>
      </c>
      <c r="J330">
        <v>1.22</v>
      </c>
      <c r="K330">
        <v>1.22</v>
      </c>
      <c r="L330" t="s">
        <v>1</v>
      </c>
      <c r="M330" t="s">
        <v>73</v>
      </c>
    </row>
    <row r="331" spans="1:13" ht="14.25">
      <c r="A331" t="s">
        <v>0</v>
      </c>
      <c r="B331" t="s">
        <v>134</v>
      </c>
      <c r="C331">
        <v>2045</v>
      </c>
      <c r="D331">
        <v>6</v>
      </c>
      <c r="E331">
        <v>1.28</v>
      </c>
      <c r="F331">
        <v>1.28</v>
      </c>
      <c r="G331">
        <v>0.01</v>
      </c>
      <c r="H331">
        <v>1.26</v>
      </c>
      <c r="I331">
        <v>1.28</v>
      </c>
      <c r="J331">
        <v>1.28</v>
      </c>
      <c r="K331">
        <v>1.28</v>
      </c>
      <c r="L331" t="s">
        <v>1</v>
      </c>
      <c r="M331" t="s">
        <v>73</v>
      </c>
    </row>
    <row r="332" spans="1:13" ht="14.25">
      <c r="A332" t="s">
        <v>0</v>
      </c>
      <c r="B332" t="s">
        <v>134</v>
      </c>
      <c r="C332">
        <v>2050</v>
      </c>
      <c r="D332">
        <v>6</v>
      </c>
      <c r="E332">
        <v>1.25</v>
      </c>
      <c r="F332">
        <v>1.24</v>
      </c>
      <c r="G332">
        <v>0.02</v>
      </c>
      <c r="H332">
        <v>1.21</v>
      </c>
      <c r="I332">
        <v>1.28</v>
      </c>
      <c r="J332">
        <v>1.24</v>
      </c>
      <c r="K332">
        <v>1.26</v>
      </c>
      <c r="L332" t="s">
        <v>1</v>
      </c>
      <c r="M332" t="s">
        <v>73</v>
      </c>
    </row>
    <row r="333" spans="1:13" ht="14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ht="14.25">
      <c r="A334" t="s">
        <v>2</v>
      </c>
      <c r="B334" t="s">
        <v>134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1.05</v>
      </c>
      <c r="J334">
        <v>1.05</v>
      </c>
      <c r="K334">
        <v>1.05</v>
      </c>
      <c r="L334" t="s">
        <v>3</v>
      </c>
      <c r="M334" t="s">
        <v>73</v>
      </c>
    </row>
    <row r="335" spans="1:13" ht="14.25">
      <c r="A335" t="s">
        <v>2</v>
      </c>
      <c r="B335" t="s">
        <v>134</v>
      </c>
      <c r="C335">
        <v>2030</v>
      </c>
      <c r="D335">
        <v>7</v>
      </c>
      <c r="E335">
        <v>1.1000000000000001</v>
      </c>
      <c r="F335">
        <v>1.1000000000000001</v>
      </c>
      <c r="G335">
        <v>0</v>
      </c>
      <c r="H335">
        <v>1.1000000000000001</v>
      </c>
      <c r="I335">
        <v>1.1000000000000001</v>
      </c>
      <c r="J335">
        <v>1.1000000000000001</v>
      </c>
      <c r="K335">
        <v>1.1000000000000001</v>
      </c>
      <c r="L335" t="s">
        <v>3</v>
      </c>
      <c r="M335" t="s">
        <v>73</v>
      </c>
    </row>
    <row r="336" spans="1:13" ht="14.25">
      <c r="A336" t="s">
        <v>2</v>
      </c>
      <c r="B336" t="s">
        <v>134</v>
      </c>
      <c r="C336">
        <v>2035</v>
      </c>
      <c r="D336">
        <v>7</v>
      </c>
      <c r="E336">
        <v>1.1599999999999999</v>
      </c>
      <c r="F336">
        <v>1.1599999999999999</v>
      </c>
      <c r="G336">
        <v>0</v>
      </c>
      <c r="H336">
        <v>1.1599999999999999</v>
      </c>
      <c r="I336">
        <v>1.1599999999999999</v>
      </c>
      <c r="J336">
        <v>1.1599999999999999</v>
      </c>
      <c r="K336">
        <v>1.1599999999999999</v>
      </c>
      <c r="L336" t="s">
        <v>3</v>
      </c>
      <c r="M336" t="s">
        <v>73</v>
      </c>
    </row>
    <row r="337" spans="1:13" ht="14.25">
      <c r="A337" t="s">
        <v>2</v>
      </c>
      <c r="B337" t="s">
        <v>134</v>
      </c>
      <c r="C337">
        <v>2040</v>
      </c>
      <c r="D337">
        <v>7</v>
      </c>
      <c r="E337">
        <v>1.22</v>
      </c>
      <c r="F337">
        <v>1.22</v>
      </c>
      <c r="G337">
        <v>0</v>
      </c>
      <c r="H337">
        <v>1.22</v>
      </c>
      <c r="I337">
        <v>1.22</v>
      </c>
      <c r="J337">
        <v>1.22</v>
      </c>
      <c r="K337">
        <v>1.22</v>
      </c>
      <c r="L337" t="s">
        <v>3</v>
      </c>
      <c r="M337" t="s">
        <v>73</v>
      </c>
    </row>
    <row r="338" spans="1:13" ht="14.25">
      <c r="A338" t="s">
        <v>2</v>
      </c>
      <c r="B338" t="s">
        <v>134</v>
      </c>
      <c r="C338">
        <v>2045</v>
      </c>
      <c r="D338">
        <v>7</v>
      </c>
      <c r="E338">
        <v>1.28</v>
      </c>
      <c r="F338">
        <v>1.28</v>
      </c>
      <c r="G338">
        <v>0</v>
      </c>
      <c r="H338">
        <v>1.28</v>
      </c>
      <c r="I338">
        <v>1.28</v>
      </c>
      <c r="J338">
        <v>1.28</v>
      </c>
      <c r="K338">
        <v>1.28</v>
      </c>
      <c r="L338" t="s">
        <v>3</v>
      </c>
      <c r="M338" t="s">
        <v>73</v>
      </c>
    </row>
    <row r="339" spans="1:13" ht="14.25">
      <c r="A339" t="s">
        <v>2</v>
      </c>
      <c r="B339" t="s">
        <v>134</v>
      </c>
      <c r="C339">
        <v>2050</v>
      </c>
      <c r="D339">
        <v>7</v>
      </c>
      <c r="E339">
        <v>1.35</v>
      </c>
      <c r="F339">
        <v>1.35</v>
      </c>
      <c r="G339">
        <v>0</v>
      </c>
      <c r="H339">
        <v>1.35</v>
      </c>
      <c r="I339">
        <v>1.35</v>
      </c>
      <c r="J339">
        <v>1.35</v>
      </c>
      <c r="K339">
        <v>1.35</v>
      </c>
      <c r="L339" t="s">
        <v>3</v>
      </c>
      <c r="M339" t="s">
        <v>73</v>
      </c>
    </row>
    <row r="340" spans="1:13" ht="14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ht="14.25">
      <c r="A341" t="s">
        <v>5</v>
      </c>
      <c r="B341" t="s">
        <v>134</v>
      </c>
      <c r="C341">
        <v>2025</v>
      </c>
      <c r="D341">
        <v>15</v>
      </c>
      <c r="E341">
        <v>1.04</v>
      </c>
      <c r="F341">
        <v>1.05</v>
      </c>
      <c r="G341">
        <v>0.02</v>
      </c>
      <c r="H341">
        <v>0.97</v>
      </c>
      <c r="I341">
        <v>1.05</v>
      </c>
      <c r="J341">
        <v>1.04</v>
      </c>
      <c r="K341">
        <v>1.05</v>
      </c>
      <c r="L341" t="s">
        <v>6</v>
      </c>
      <c r="M341" t="s">
        <v>73</v>
      </c>
    </row>
    <row r="342" spans="1:13" ht="14.25">
      <c r="A342" t="s">
        <v>5</v>
      </c>
      <c r="B342" t="s">
        <v>134</v>
      </c>
      <c r="C342">
        <v>2030</v>
      </c>
      <c r="D342">
        <v>15</v>
      </c>
      <c r="E342">
        <v>1.17</v>
      </c>
      <c r="F342">
        <v>1.1000000000000001</v>
      </c>
      <c r="G342">
        <v>0.11</v>
      </c>
      <c r="H342">
        <v>1.06</v>
      </c>
      <c r="I342">
        <v>1.45</v>
      </c>
      <c r="J342">
        <v>1.1000000000000001</v>
      </c>
      <c r="K342">
        <v>1.24</v>
      </c>
      <c r="L342" t="s">
        <v>6</v>
      </c>
      <c r="M342" t="s">
        <v>73</v>
      </c>
    </row>
    <row r="343" spans="1:13" ht="14.25">
      <c r="A343" t="s">
        <v>5</v>
      </c>
      <c r="B343" t="s">
        <v>134</v>
      </c>
      <c r="C343">
        <v>2035</v>
      </c>
      <c r="D343">
        <v>15</v>
      </c>
      <c r="E343">
        <v>1.31</v>
      </c>
      <c r="F343">
        <v>1.1599999999999999</v>
      </c>
      <c r="G343">
        <v>0.21</v>
      </c>
      <c r="H343">
        <v>1.1599999999999999</v>
      </c>
      <c r="I343">
        <v>1.77</v>
      </c>
      <c r="J343">
        <v>1.1599999999999999</v>
      </c>
      <c r="K343">
        <v>1.43</v>
      </c>
      <c r="L343" t="s">
        <v>6</v>
      </c>
      <c r="M343" t="s">
        <v>73</v>
      </c>
    </row>
    <row r="344" spans="1:13" ht="14.25">
      <c r="A344" t="s">
        <v>5</v>
      </c>
      <c r="B344" t="s">
        <v>134</v>
      </c>
      <c r="C344">
        <v>2040</v>
      </c>
      <c r="D344">
        <v>15</v>
      </c>
      <c r="E344">
        <v>1.58</v>
      </c>
      <c r="F344">
        <v>1.22</v>
      </c>
      <c r="G344">
        <v>0.51</v>
      </c>
      <c r="H344">
        <v>1.22</v>
      </c>
      <c r="I344">
        <v>2.64</v>
      </c>
      <c r="J344">
        <v>1.22</v>
      </c>
      <c r="K344">
        <v>1.89</v>
      </c>
      <c r="L344" t="s">
        <v>6</v>
      </c>
      <c r="M344" t="s">
        <v>73</v>
      </c>
    </row>
    <row r="345" spans="1:13" ht="14.25">
      <c r="A345" t="s">
        <v>5</v>
      </c>
      <c r="B345" t="s">
        <v>134</v>
      </c>
      <c r="C345">
        <v>2045</v>
      </c>
      <c r="D345">
        <v>15</v>
      </c>
      <c r="E345">
        <v>1.99</v>
      </c>
      <c r="F345">
        <v>1.28</v>
      </c>
      <c r="G345">
        <v>0.99</v>
      </c>
      <c r="H345">
        <v>1.28</v>
      </c>
      <c r="I345">
        <v>4.01</v>
      </c>
      <c r="J345">
        <v>1.28</v>
      </c>
      <c r="K345">
        <v>2.61</v>
      </c>
      <c r="L345" t="s">
        <v>6</v>
      </c>
      <c r="M345" t="s">
        <v>73</v>
      </c>
    </row>
    <row r="346" spans="1:13" ht="14.25">
      <c r="A346" t="s">
        <v>5</v>
      </c>
      <c r="B346" t="s">
        <v>134</v>
      </c>
      <c r="C346">
        <v>2050</v>
      </c>
      <c r="D346">
        <v>15</v>
      </c>
      <c r="E346">
        <v>2.39</v>
      </c>
      <c r="F346">
        <v>1.35</v>
      </c>
      <c r="G346">
        <v>1.40</v>
      </c>
      <c r="H346">
        <v>1.35</v>
      </c>
      <c r="I346">
        <v>4.93</v>
      </c>
      <c r="J346">
        <v>1.35</v>
      </c>
      <c r="K346">
        <v>3.43</v>
      </c>
      <c r="L346" t="s">
        <v>6</v>
      </c>
      <c r="M346" t="s">
        <v>73</v>
      </c>
    </row>
    <row r="347" spans="1:13" ht="14.25">
      <c r="A347" t="s">
        <v>7</v>
      </c>
      <c r="B347" t="s">
        <v>134</v>
      </c>
      <c r="C347">
        <v>2020</v>
      </c>
      <c r="D347">
        <v>6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ht="14.25">
      <c r="A348" t="s">
        <v>7</v>
      </c>
      <c r="B348" t="s">
        <v>134</v>
      </c>
      <c r="C348">
        <v>2025</v>
      </c>
      <c r="D348">
        <v>6</v>
      </c>
      <c r="E348">
        <v>1</v>
      </c>
      <c r="F348">
        <v>0.98</v>
      </c>
      <c r="G348">
        <v>0.03</v>
      </c>
      <c r="H348">
        <v>0.97</v>
      </c>
      <c r="I348">
        <v>1.04</v>
      </c>
      <c r="J348">
        <v>0.97</v>
      </c>
      <c r="K348">
        <v>1.02</v>
      </c>
      <c r="L348" t="s">
        <v>8</v>
      </c>
      <c r="M348" t="s">
        <v>73</v>
      </c>
    </row>
    <row r="349" spans="1:13" ht="14.25">
      <c r="A349" t="s">
        <v>7</v>
      </c>
      <c r="B349" t="s">
        <v>134</v>
      </c>
      <c r="C349">
        <v>2030</v>
      </c>
      <c r="D349">
        <v>6</v>
      </c>
      <c r="E349">
        <v>1.17</v>
      </c>
      <c r="F349">
        <v>1.21</v>
      </c>
      <c r="G349">
        <v>0.08</v>
      </c>
      <c r="H349">
        <v>1.06</v>
      </c>
      <c r="I349">
        <v>1.25</v>
      </c>
      <c r="J349">
        <v>1.1000000000000001</v>
      </c>
      <c r="K349">
        <v>1.22</v>
      </c>
      <c r="L349" t="s">
        <v>8</v>
      </c>
      <c r="M349" t="s">
        <v>73</v>
      </c>
    </row>
    <row r="350" spans="1:13" ht="14.25">
      <c r="A350" t="s">
        <v>7</v>
      </c>
      <c r="B350" t="s">
        <v>134</v>
      </c>
      <c r="C350">
        <v>2035</v>
      </c>
      <c r="D350">
        <v>6</v>
      </c>
      <c r="E350">
        <v>1.23</v>
      </c>
      <c r="F350">
        <v>1.22</v>
      </c>
      <c r="G350">
        <v>0.05</v>
      </c>
      <c r="H350">
        <v>1.1599999999999999</v>
      </c>
      <c r="I350">
        <v>1.29</v>
      </c>
      <c r="J350">
        <v>1.21</v>
      </c>
      <c r="K350">
        <v>1.26</v>
      </c>
      <c r="L350" t="s">
        <v>8</v>
      </c>
      <c r="M350" t="s">
        <v>73</v>
      </c>
    </row>
    <row r="351" spans="1:13" ht="14.25">
      <c r="A351" t="s">
        <v>7</v>
      </c>
      <c r="B351" t="s">
        <v>134</v>
      </c>
      <c r="C351">
        <v>2040</v>
      </c>
      <c r="D351">
        <v>6</v>
      </c>
      <c r="E351">
        <v>1.39</v>
      </c>
      <c r="F351">
        <v>1.36</v>
      </c>
      <c r="G351">
        <v>0.14000000000000001</v>
      </c>
      <c r="H351">
        <v>1.19</v>
      </c>
      <c r="I351">
        <v>1.60</v>
      </c>
      <c r="J351">
        <v>1.34</v>
      </c>
      <c r="K351">
        <v>1.47</v>
      </c>
      <c r="L351" t="s">
        <v>8</v>
      </c>
      <c r="M351" t="s">
        <v>73</v>
      </c>
    </row>
    <row r="352" spans="1:13" ht="14.25">
      <c r="A352" t="s">
        <v>7</v>
      </c>
      <c r="B352" t="s">
        <v>134</v>
      </c>
      <c r="C352">
        <v>2045</v>
      </c>
      <c r="D352">
        <v>6</v>
      </c>
      <c r="E352">
        <v>1.75</v>
      </c>
      <c r="F352">
        <v>1.71</v>
      </c>
      <c r="G352">
        <v>0.20</v>
      </c>
      <c r="H352">
        <v>1.52</v>
      </c>
      <c r="I352">
        <v>2.0099999999999998</v>
      </c>
      <c r="J352">
        <v>1.61</v>
      </c>
      <c r="K352">
        <v>1.90</v>
      </c>
      <c r="L352" t="s">
        <v>8</v>
      </c>
      <c r="M352" t="s">
        <v>73</v>
      </c>
    </row>
    <row r="353" spans="1:13" ht="14.25">
      <c r="A353" t="s">
        <v>7</v>
      </c>
      <c r="B353" t="s">
        <v>134</v>
      </c>
      <c r="C353">
        <v>2050</v>
      </c>
      <c r="D353">
        <v>6</v>
      </c>
      <c r="E353">
        <v>2.50</v>
      </c>
      <c r="F353">
        <v>2.44</v>
      </c>
      <c r="G353">
        <v>0.21</v>
      </c>
      <c r="H353">
        <v>2.34</v>
      </c>
      <c r="I353">
        <v>2.91</v>
      </c>
      <c r="J353">
        <v>2.38</v>
      </c>
      <c r="K353">
        <v>2.5099999999999998</v>
      </c>
      <c r="L353" t="s">
        <v>8</v>
      </c>
      <c r="M353" t="s">
        <v>73</v>
      </c>
    </row>
    <row r="354" spans="1:13" ht="14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ht="14.25">
      <c r="A355" t="s">
        <v>9</v>
      </c>
      <c r="B355" t="s">
        <v>134</v>
      </c>
      <c r="C355">
        <v>2025</v>
      </c>
      <c r="D355">
        <v>7</v>
      </c>
      <c r="E355">
        <v>1.02</v>
      </c>
      <c r="F355">
        <v>1.05</v>
      </c>
      <c r="G355">
        <v>0.04</v>
      </c>
      <c r="H355">
        <v>0.97</v>
      </c>
      <c r="I355">
        <v>1.05</v>
      </c>
      <c r="J355">
        <v>0.98</v>
      </c>
      <c r="K355">
        <v>1.05</v>
      </c>
      <c r="L355" t="s">
        <v>10</v>
      </c>
      <c r="M355" t="s">
        <v>73</v>
      </c>
    </row>
    <row r="356" spans="1:13" ht="14.25">
      <c r="A356" t="s">
        <v>9</v>
      </c>
      <c r="B356" t="s">
        <v>134</v>
      </c>
      <c r="C356">
        <v>2030</v>
      </c>
      <c r="D356">
        <v>7</v>
      </c>
      <c r="E356">
        <v>1.08</v>
      </c>
      <c r="F356">
        <v>1.1000000000000001</v>
      </c>
      <c r="G356">
        <v>0.04</v>
      </c>
      <c r="H356">
        <v>1.01</v>
      </c>
      <c r="I356">
        <v>1.1000000000000001</v>
      </c>
      <c r="J356">
        <v>1.07</v>
      </c>
      <c r="K356">
        <v>1.1000000000000001</v>
      </c>
      <c r="L356" t="s">
        <v>10</v>
      </c>
      <c r="M356" t="s">
        <v>73</v>
      </c>
    </row>
    <row r="357" spans="1:13" ht="14.25">
      <c r="A357" t="s">
        <v>9</v>
      </c>
      <c r="B357" t="s">
        <v>134</v>
      </c>
      <c r="C357">
        <v>2035</v>
      </c>
      <c r="D357">
        <v>7</v>
      </c>
      <c r="E357">
        <v>1.1200000000000001</v>
      </c>
      <c r="F357">
        <v>1.1599999999999999</v>
      </c>
      <c r="G357">
        <v>0.070000000000000007</v>
      </c>
      <c r="H357">
        <v>1.01</v>
      </c>
      <c r="I357">
        <v>1.18</v>
      </c>
      <c r="J357">
        <v>1.0900000000000001</v>
      </c>
      <c r="K357">
        <v>1.1599999999999999</v>
      </c>
      <c r="L357" t="s">
        <v>10</v>
      </c>
      <c r="M357" t="s">
        <v>73</v>
      </c>
    </row>
    <row r="358" spans="1:13" ht="14.25">
      <c r="A358" t="s">
        <v>9</v>
      </c>
      <c r="B358" t="s">
        <v>134</v>
      </c>
      <c r="C358">
        <v>2040</v>
      </c>
      <c r="D358">
        <v>7</v>
      </c>
      <c r="E358">
        <v>1.1100000000000001</v>
      </c>
      <c r="F358">
        <v>1.17</v>
      </c>
      <c r="G358">
        <v>0.14000000000000001</v>
      </c>
      <c r="H358">
        <v>0.91</v>
      </c>
      <c r="I358">
        <v>1.22</v>
      </c>
      <c r="J358">
        <v>1</v>
      </c>
      <c r="K358">
        <v>1.21</v>
      </c>
      <c r="L358" t="s">
        <v>10</v>
      </c>
      <c r="M358" t="s">
        <v>73</v>
      </c>
    </row>
    <row r="359" spans="1:13" ht="14.25">
      <c r="A359" t="s">
        <v>9</v>
      </c>
      <c r="B359" t="s">
        <v>134</v>
      </c>
      <c r="C359">
        <v>2045</v>
      </c>
      <c r="D359">
        <v>7</v>
      </c>
      <c r="E359">
        <v>1.1299999999999999</v>
      </c>
      <c r="F359">
        <v>1.1599999999999999</v>
      </c>
      <c r="G359">
        <v>0.16</v>
      </c>
      <c r="H359">
        <v>0.89</v>
      </c>
      <c r="I359">
        <v>1.28</v>
      </c>
      <c r="J359">
        <v>1.03</v>
      </c>
      <c r="K359">
        <v>1.26</v>
      </c>
      <c r="L359" t="s">
        <v>10</v>
      </c>
      <c r="M359" t="s">
        <v>73</v>
      </c>
    </row>
    <row r="360" spans="1:13" ht="14.25">
      <c r="A360" t="s">
        <v>9</v>
      </c>
      <c r="B360" t="s">
        <v>134</v>
      </c>
      <c r="C360">
        <v>2050</v>
      </c>
      <c r="D360">
        <v>7</v>
      </c>
      <c r="E360">
        <v>1.1499999999999999</v>
      </c>
      <c r="F360">
        <v>1.17</v>
      </c>
      <c r="G360">
        <v>0.19</v>
      </c>
      <c r="H360">
        <v>0.90</v>
      </c>
      <c r="I360">
        <v>1.35</v>
      </c>
      <c r="J360">
        <v>1.03</v>
      </c>
      <c r="K360">
        <v>1.29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Y24"/>
  <sheetViews>
    <sheetView workbookViewId="0" topLeftCell="A1">
      <selection pane="topLeft" activeCell="H21" sqref="H21"/>
    </sheetView>
  </sheetViews>
  <sheetFormatPr defaultRowHeight="14.25"/>
  <sheetData>
    <row r="10" spans="1:25" ht="14.25">
      <c r="A10" t="str">
        <f>IFERROR(Veda!D5,"ts_12t")</f>
        <v>ts_072</v>
      </c>
      <c r="B10" s="15"/>
      <c r="C10" s="15" t="s">
        <v>187</v>
      </c>
      <c r="D10" t="s">
        <v>118</v>
      </c>
      <c r="F10" t="s">
        <v>187</v>
      </c>
      <c r="G10" t="s">
        <v>124</v>
      </c>
      <c r="I10" t="s">
        <v>187</v>
      </c>
      <c r="J10" t="s">
        <v>119</v>
      </c>
      <c r="L10" t="s">
        <v>187</v>
      </c>
      <c r="M10" t="s">
        <v>128</v>
      </c>
      <c r="O10" t="s">
        <v>187</v>
      </c>
      <c r="P10" t="s">
        <v>129</v>
      </c>
      <c r="R10" t="s">
        <v>187</v>
      </c>
      <c r="S10" t="s">
        <v>130</v>
      </c>
      <c r="U10" t="s">
        <v>187</v>
      </c>
      <c r="V10" t="s">
        <v>103</v>
      </c>
      <c r="X10" t="s">
        <v>187</v>
      </c>
      <c r="Y10" t="s">
        <v>120</v>
      </c>
    </row>
    <row r="11" spans="2:25" ht="14.25">
      <c r="B11" s="15"/>
      <c r="C11" s="15" t="s">
        <v>188</v>
      </c>
      <c r="D11" t="s">
        <v>189</v>
      </c>
      <c r="F11" t="s">
        <v>188</v>
      </c>
      <c r="G11" t="s">
        <v>213</v>
      </c>
      <c r="I11" t="s">
        <v>188</v>
      </c>
      <c r="J11" t="s">
        <v>229</v>
      </c>
      <c r="L11" t="s">
        <v>188</v>
      </c>
      <c r="M11" t="s">
        <v>253</v>
      </c>
      <c r="O11" t="s">
        <v>188</v>
      </c>
      <c r="P11" t="s">
        <v>298</v>
      </c>
      <c r="R11" t="s">
        <v>188</v>
      </c>
      <c r="S11" t="s">
        <v>387</v>
      </c>
      <c r="U11" t="s">
        <v>188</v>
      </c>
      <c r="V11" t="s">
        <v>391</v>
      </c>
      <c r="X11" t="s">
        <v>188</v>
      </c>
      <c r="Y11" t="s">
        <v>410</v>
      </c>
    </row>
    <row r="12" spans="2:25" ht="14.25">
      <c r="B12" s="15"/>
      <c r="C12" s="15" t="s">
        <v>190</v>
      </c>
      <c r="D12" t="s">
        <v>191</v>
      </c>
      <c r="F12" t="s">
        <v>190</v>
      </c>
      <c r="G12" t="s">
        <v>214</v>
      </c>
      <c r="I12" t="s">
        <v>190</v>
      </c>
      <c r="J12" t="s">
        <v>230</v>
      </c>
      <c r="L12" t="s">
        <v>190</v>
      </c>
      <c r="M12" t="s">
        <v>254</v>
      </c>
      <c r="O12" t="s">
        <v>190</v>
      </c>
      <c r="P12" t="s">
        <v>299</v>
      </c>
      <c r="R12" t="s">
        <v>190</v>
      </c>
      <c r="S12" t="s">
        <v>388</v>
      </c>
      <c r="U12" t="s">
        <v>190</v>
      </c>
      <c r="V12" t="s">
        <v>391</v>
      </c>
      <c r="X12" t="s">
        <v>190</v>
      </c>
      <c r="Y12" t="s">
        <v>411</v>
      </c>
    </row>
    <row r="17" spans="9:11" ht="14.25">
      <c r="I17" s="12">
        <v>0.75</v>
      </c>
      <c r="K17" s="2" t="s">
        <v>84</v>
      </c>
    </row>
    <row r="18" spans="3:3" ht="17.65" thickBot="1">
      <c r="C18" s="13" t="s">
        <v>85</v>
      </c>
    </row>
    <row r="19" ht="14.65" thickTop="1"/>
    <row r="21" spans="8:8" ht="17.65" thickBot="1">
      <c r="H21" s="13" t="str">
        <f>IF(H23=H24,"Not Required!","~UC_T: LO")</f>
        <v>~UC_T: LO</v>
      </c>
    </row>
    <row r="22" spans="3:11" ht="15" thickTop="1" thickBot="1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ht="14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S01aH06,S07aH01,S08aH06,S01aH01,S04aH01,S04aH06,S06aH06,S03aH01,S02aH06,S09aH01,S03aH06,S05aH01,S07aH06,S08aH01,S06aH01,S02aH01,S05aH06,S09aH06</v>
      </c>
      <c r="I23">
        <f>1+I24</f>
        <v>0.25</v>
      </c>
      <c r="J23">
        <v>0</v>
      </c>
      <c r="K23">
        <v>3</v>
      </c>
      <c r="M23" t="s">
        <v>99</v>
      </c>
    </row>
    <row r="24" spans="4:13" ht="14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S05aH04,S06aH02,S06aH03,S02aH03,S07aH03,S03aH03,S09aH05,S02aH02,S04aH02,S09aH02,S09aH03,S01aH05,S06aH05,S02aH04,S02aH05,S03aH05,S05aH05,S06aH04,S08aH04,S01aH03,S05aH02,S05aH03,S01aH02,S04aH04,S03aH04,S08aH05,S01aH04,S07aH02,S08aH02,S04aH03,S07aH04,S08aH03,S09aH04,S03aH02,S07aH05,S04aH05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60E2B8-8864-49DB-940C-5329D2024464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0.083103507235249494</v>
      </c>
      <c r="L12" t="s">
        <v>153</v>
      </c>
      <c r="N12" t="s">
        <v>174</v>
      </c>
      <c r="O12" t="s">
        <v>154</v>
      </c>
      <c r="P12">
        <v>0.042512055907256353</v>
      </c>
      <c r="Q12" t="s">
        <v>153</v>
      </c>
      <c r="S12" t="s">
        <v>184</v>
      </c>
      <c r="T12" t="s">
        <v>154</v>
      </c>
      <c r="U12">
        <v>0.046512888784400651</v>
      </c>
      <c r="V12" t="s">
        <v>153</v>
      </c>
      <c r="X12">
        <v>0.041438356164383565</v>
      </c>
      <c r="Y12">
        <v>0.060088009347885545</v>
      </c>
      <c r="Z12" t="s">
        <v>154</v>
      </c>
      <c r="AA12" t="s">
        <v>25</v>
      </c>
      <c r="AC12" t="s">
        <v>22</v>
      </c>
      <c r="AD12" t="s">
        <v>154</v>
      </c>
      <c r="AE12">
        <v>0.035502400161702384</v>
      </c>
      <c r="AG12" t="s">
        <v>96</v>
      </c>
      <c r="AH12" t="s">
        <v>154</v>
      </c>
      <c r="AI12">
        <v>0.15130075985282532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</v>
      </c>
      <c r="L13" t="s">
        <v>153</v>
      </c>
      <c r="N13" t="s">
        <v>174</v>
      </c>
      <c r="O13" t="s">
        <v>155</v>
      </c>
      <c r="P13">
        <v>0.025427076103595715</v>
      </c>
      <c r="Q13" t="s">
        <v>153</v>
      </c>
      <c r="S13" t="s">
        <v>184</v>
      </c>
      <c r="T13" t="s">
        <v>155</v>
      </c>
      <c r="U13">
        <v>0.021459281805416196</v>
      </c>
      <c r="V13" t="s">
        <v>153</v>
      </c>
      <c r="X13">
        <v>0.022602739726027398</v>
      </c>
      <c r="Y13">
        <v>0.019909007284389532</v>
      </c>
      <c r="Z13" t="s">
        <v>155</v>
      </c>
      <c r="AA13" t="s">
        <v>25</v>
      </c>
      <c r="AC13" t="s">
        <v>22</v>
      </c>
      <c r="AD13" t="s">
        <v>155</v>
      </c>
      <c r="AE13">
        <v>0.019515974815122693</v>
      </c>
      <c r="AG13" t="s">
        <v>96</v>
      </c>
      <c r="AH13" t="s">
        <v>155</v>
      </c>
      <c r="AI13">
        <v>0.11317476155348416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I14" t="s">
        <v>151</v>
      </c>
      <c r="J14" t="s">
        <v>156</v>
      </c>
      <c r="K14">
        <v>0</v>
      </c>
      <c r="L14" t="s">
        <v>153</v>
      </c>
      <c r="N14" t="s">
        <v>174</v>
      </c>
      <c r="O14" t="s">
        <v>156</v>
      </c>
      <c r="P14">
        <v>0.03252030266587936</v>
      </c>
      <c r="Q14" t="s">
        <v>153</v>
      </c>
      <c r="S14" t="s">
        <v>184</v>
      </c>
      <c r="T14" t="s">
        <v>156</v>
      </c>
      <c r="U14">
        <v>0.036591759025472619</v>
      </c>
      <c r="V14" t="s">
        <v>153</v>
      </c>
      <c r="X14">
        <v>0.028767123287671233</v>
      </c>
      <c r="Y14">
        <v>0.011360664296546754</v>
      </c>
      <c r="Z14" t="s">
        <v>156</v>
      </c>
      <c r="AA14" t="s">
        <v>25</v>
      </c>
      <c r="AC14" t="s">
        <v>22</v>
      </c>
      <c r="AD14" t="s">
        <v>156</v>
      </c>
      <c r="AE14">
        <v>0.017561990343765283</v>
      </c>
      <c r="AG14" t="s">
        <v>96</v>
      </c>
      <c r="AH14" t="s">
        <v>156</v>
      </c>
      <c r="AI14">
        <v>0.17039265136642556</v>
      </c>
      <c r="AK14">
        <v>2025</v>
      </c>
      <c r="AL14" t="s">
        <v>149</v>
      </c>
      <c r="AM14">
        <v>0.40786</v>
      </c>
      <c r="AN14" t="s">
        <v>195</v>
      </c>
    </row>
    <row r="15" spans="9:40" ht="14.25">
      <c r="I15" t="s">
        <v>151</v>
      </c>
      <c r="J15" t="s">
        <v>157</v>
      </c>
      <c r="K15">
        <v>0.10426262655349285</v>
      </c>
      <c r="L15" t="s">
        <v>153</v>
      </c>
      <c r="N15" t="s">
        <v>174</v>
      </c>
      <c r="O15" t="s">
        <v>157</v>
      </c>
      <c r="P15">
        <v>0.042371374100692305</v>
      </c>
      <c r="Q15" t="s">
        <v>153</v>
      </c>
      <c r="S15" t="s">
        <v>184</v>
      </c>
      <c r="T15" t="s">
        <v>157</v>
      </c>
      <c r="U15">
        <v>0.049644712393742525</v>
      </c>
      <c r="V15" t="s">
        <v>153</v>
      </c>
      <c r="X15">
        <v>0.045205479452054796</v>
      </c>
      <c r="Y15">
        <v>0.065550555652238787</v>
      </c>
      <c r="Z15" t="s">
        <v>157</v>
      </c>
      <c r="AA15" t="s">
        <v>25</v>
      </c>
      <c r="AC15" t="s">
        <v>22</v>
      </c>
      <c r="AD15" t="s">
        <v>157</v>
      </c>
      <c r="AE15">
        <v>0.038660010952519579</v>
      </c>
      <c r="AG15" t="s">
        <v>96</v>
      </c>
      <c r="AH15" t="s">
        <v>157</v>
      </c>
      <c r="AI15">
        <v>0.12289882684157361</v>
      </c>
      <c r="AK15">
        <v>2026</v>
      </c>
      <c r="AL15" t="s">
        <v>141</v>
      </c>
      <c r="AM15">
        <v>0.38345000000000001</v>
      </c>
      <c r="AN15" t="s">
        <v>195</v>
      </c>
    </row>
    <row r="16" spans="9:40" ht="14.25">
      <c r="I16" t="s">
        <v>151</v>
      </c>
      <c r="J16" t="s">
        <v>158</v>
      </c>
      <c r="K16">
        <v>0.00033329258391800597</v>
      </c>
      <c r="L16" t="s">
        <v>153</v>
      </c>
      <c r="N16" t="s">
        <v>174</v>
      </c>
      <c r="O16" t="s">
        <v>158</v>
      </c>
      <c r="P16">
        <v>0.024429197508117579</v>
      </c>
      <c r="Q16" t="s">
        <v>153</v>
      </c>
      <c r="S16" t="s">
        <v>184</v>
      </c>
      <c r="T16" t="s">
        <v>158</v>
      </c>
      <c r="U16">
        <v>0.026237139629506388</v>
      </c>
      <c r="V16" t="s">
        <v>153</v>
      </c>
      <c r="X16">
        <v>0.024657534246575342</v>
      </c>
      <c r="Y16">
        <v>0.021718917037515849</v>
      </c>
      <c r="Z16" t="s">
        <v>158</v>
      </c>
      <c r="AA16" t="s">
        <v>25</v>
      </c>
      <c r="AC16" t="s">
        <v>22</v>
      </c>
      <c r="AD16" t="s">
        <v>158</v>
      </c>
      <c r="AE16">
        <v>0.021385252349366998</v>
      </c>
      <c r="AG16" t="s">
        <v>96</v>
      </c>
      <c r="AH16" t="s">
        <v>158</v>
      </c>
      <c r="AI16">
        <v>0.14972016751673034</v>
      </c>
      <c r="AK16">
        <v>2026</v>
      </c>
      <c r="AL16" t="s">
        <v>145</v>
      </c>
      <c r="AM16">
        <v>0.40485000000000004</v>
      </c>
      <c r="AN16" t="s">
        <v>195</v>
      </c>
    </row>
    <row r="17" spans="9:40" ht="14.25">
      <c r="I17" t="s">
        <v>151</v>
      </c>
      <c r="J17" t="s">
        <v>159</v>
      </c>
      <c r="K17">
        <v>0</v>
      </c>
      <c r="L17" t="s">
        <v>153</v>
      </c>
      <c r="N17" t="s">
        <v>174</v>
      </c>
      <c r="O17" t="s">
        <v>159</v>
      </c>
      <c r="P17">
        <v>0.015596668252744137</v>
      </c>
      <c r="Q17" t="s">
        <v>153</v>
      </c>
      <c r="S17" t="s">
        <v>184</v>
      </c>
      <c r="T17" t="s">
        <v>159</v>
      </c>
      <c r="U17">
        <v>0.012723800162531025</v>
      </c>
      <c r="V17" t="s">
        <v>153</v>
      </c>
      <c r="X17">
        <v>0.011986301369863013</v>
      </c>
      <c r="Y17">
        <v>0.0047336101235611484</v>
      </c>
      <c r="Z17" t="s">
        <v>159</v>
      </c>
      <c r="AA17" t="s">
        <v>25</v>
      </c>
      <c r="AC17" t="s">
        <v>22</v>
      </c>
      <c r="AD17" t="s">
        <v>159</v>
      </c>
      <c r="AE17">
        <v>0.0072753211270683094</v>
      </c>
      <c r="AG17" t="s">
        <v>96</v>
      </c>
      <c r="AH17" t="s">
        <v>159</v>
      </c>
      <c r="AI17">
        <v>0.10789298689018967</v>
      </c>
      <c r="AK17">
        <v>2026</v>
      </c>
      <c r="AL17" t="s">
        <v>147</v>
      </c>
      <c r="AM17">
        <v>0.42630000000000001</v>
      </c>
      <c r="AN17" t="s">
        <v>195</v>
      </c>
    </row>
    <row r="18" spans="9:40" ht="14.25">
      <c r="I18" t="s">
        <v>151</v>
      </c>
      <c r="J18" t="s">
        <v>160</v>
      </c>
      <c r="K18">
        <v>0.042054651175596633</v>
      </c>
      <c r="L18" t="s">
        <v>153</v>
      </c>
      <c r="N18" t="s">
        <v>174</v>
      </c>
      <c r="O18" t="s">
        <v>160</v>
      </c>
      <c r="P18">
        <v>0.020858639840353521</v>
      </c>
      <c r="Q18" t="s">
        <v>153</v>
      </c>
      <c r="S18" t="s">
        <v>184</v>
      </c>
      <c r="T18" t="s">
        <v>160</v>
      </c>
      <c r="U18">
        <v>0.021602884536830635</v>
      </c>
      <c r="V18" t="s">
        <v>153</v>
      </c>
      <c r="X18">
        <v>0.018835616438356163</v>
      </c>
      <c r="Y18">
        <v>0.027312731521766154</v>
      </c>
      <c r="Z18" t="s">
        <v>160</v>
      </c>
      <c r="AA18" t="s">
        <v>25</v>
      </c>
      <c r="AC18" t="s">
        <v>22</v>
      </c>
      <c r="AD18" t="s">
        <v>160</v>
      </c>
      <c r="AE18">
        <v>0.016215767084465423</v>
      </c>
      <c r="AG18" t="s">
        <v>96</v>
      </c>
      <c r="AH18" t="s">
        <v>160</v>
      </c>
      <c r="AI18">
        <v>0.10368868022082189</v>
      </c>
      <c r="AK18">
        <v>2026</v>
      </c>
      <c r="AL18" t="s">
        <v>149</v>
      </c>
      <c r="AM18">
        <v>0.41719000000000001</v>
      </c>
      <c r="AN18" t="s">
        <v>195</v>
      </c>
    </row>
    <row r="19" spans="9:40" ht="14.25">
      <c r="I19" t="s">
        <v>151</v>
      </c>
      <c r="J19" t="s">
        <v>161</v>
      </c>
      <c r="K19">
        <v>0.0012948781688140927</v>
      </c>
      <c r="L19" t="s">
        <v>153</v>
      </c>
      <c r="N19" t="s">
        <v>174</v>
      </c>
      <c r="O19" t="s">
        <v>161</v>
      </c>
      <c r="P19">
        <v>0.01474394080898985</v>
      </c>
      <c r="Q19" t="s">
        <v>153</v>
      </c>
      <c r="S19" t="s">
        <v>184</v>
      </c>
      <c r="T19" t="s">
        <v>161</v>
      </c>
      <c r="U19">
        <v>0.013294486114975778</v>
      </c>
      <c r="V19" t="s">
        <v>153</v>
      </c>
      <c r="X19">
        <v>0.010273972602739725</v>
      </c>
      <c r="Y19">
        <v>0.0090495487656316043</v>
      </c>
      <c r="Z19" t="s">
        <v>161</v>
      </c>
      <c r="AA19" t="s">
        <v>25</v>
      </c>
      <c r="AC19" t="s">
        <v>22</v>
      </c>
      <c r="AD19" t="s">
        <v>161</v>
      </c>
      <c r="AE19">
        <v>0.0089394548135547595</v>
      </c>
      <c r="AG19" t="s">
        <v>96</v>
      </c>
      <c r="AH19" t="s">
        <v>161</v>
      </c>
      <c r="AI19">
        <v>0.14611682459252284</v>
      </c>
      <c r="AK19">
        <v>2027</v>
      </c>
      <c r="AL19" t="s">
        <v>141</v>
      </c>
      <c r="AM19">
        <v>0.37134999999999996</v>
      </c>
      <c r="AN19" t="s">
        <v>195</v>
      </c>
    </row>
    <row r="20" spans="9:40" ht="14.25">
      <c r="I20" t="s">
        <v>151</v>
      </c>
      <c r="J20" t="s">
        <v>162</v>
      </c>
      <c r="K20">
        <v>0.010357882276861644</v>
      </c>
      <c r="L20" t="s">
        <v>153</v>
      </c>
      <c r="N20" t="s">
        <v>174</v>
      </c>
      <c r="O20" t="s">
        <v>162</v>
      </c>
      <c r="P20">
        <v>0.20291497542321324</v>
      </c>
      <c r="Q20" t="s">
        <v>153</v>
      </c>
      <c r="S20" t="s">
        <v>184</v>
      </c>
      <c r="T20" t="s">
        <v>162</v>
      </c>
      <c r="U20">
        <v>0.22455169933870142</v>
      </c>
      <c r="V20" t="s">
        <v>153</v>
      </c>
      <c r="X20">
        <v>0.22454337899543378</v>
      </c>
      <c r="Y20">
        <v>0.088676296314712175</v>
      </c>
      <c r="Z20" t="s">
        <v>162</v>
      </c>
      <c r="AA20" t="s">
        <v>25</v>
      </c>
      <c r="AC20" t="s">
        <v>22</v>
      </c>
      <c r="AD20" t="s">
        <v>162</v>
      </c>
      <c r="AE20">
        <v>0.2040116713026883</v>
      </c>
      <c r="AG20" t="s">
        <v>96</v>
      </c>
      <c r="AH20" t="s">
        <v>162</v>
      </c>
      <c r="AI20">
        <v>0.31224038540219978</v>
      </c>
      <c r="AK20">
        <v>2027</v>
      </c>
      <c r="AL20" t="s">
        <v>145</v>
      </c>
      <c r="AM20">
        <v>0.41015000000000001</v>
      </c>
      <c r="AN20" t="s">
        <v>195</v>
      </c>
    </row>
    <row r="21" spans="9:40" ht="14.25">
      <c r="I21" t="s">
        <v>151</v>
      </c>
      <c r="J21" t="s">
        <v>163</v>
      </c>
      <c r="K21">
        <v>0.74700970802397537</v>
      </c>
      <c r="L21" t="s">
        <v>153</v>
      </c>
      <c r="N21" t="s">
        <v>174</v>
      </c>
      <c r="O21" t="s">
        <v>163</v>
      </c>
      <c r="P21">
        <v>0.32236845566760075</v>
      </c>
      <c r="Q21" t="s">
        <v>153</v>
      </c>
      <c r="S21" t="s">
        <v>184</v>
      </c>
      <c r="T21" t="s">
        <v>163</v>
      </c>
      <c r="U21">
        <v>0.32562596717876569</v>
      </c>
      <c r="V21" t="s">
        <v>153</v>
      </c>
      <c r="X21">
        <v>0.35285388127853884</v>
      </c>
      <c r="Y21">
        <v>0.51165850384108602</v>
      </c>
      <c r="Z21" t="s">
        <v>163</v>
      </c>
      <c r="AA21" t="s">
        <v>25</v>
      </c>
      <c r="AC21" t="s">
        <v>22</v>
      </c>
      <c r="AD21" t="s">
        <v>163</v>
      </c>
      <c r="AE21">
        <v>0.39664577610744745</v>
      </c>
      <c r="AG21" t="s">
        <v>96</v>
      </c>
      <c r="AH21" t="s">
        <v>163</v>
      </c>
      <c r="AI21">
        <v>0.21453522520554968</v>
      </c>
      <c r="AK21">
        <v>2027</v>
      </c>
      <c r="AL21" t="s">
        <v>147</v>
      </c>
      <c r="AM21">
        <v>0.4375</v>
      </c>
      <c r="AN21" t="s">
        <v>195</v>
      </c>
    </row>
    <row r="22" spans="9:40" ht="14.25">
      <c r="I22" t="s">
        <v>151</v>
      </c>
      <c r="J22" t="s">
        <v>164</v>
      </c>
      <c r="K22">
        <v>0.01158345398209637</v>
      </c>
      <c r="L22" t="s">
        <v>153</v>
      </c>
      <c r="N22" t="s">
        <v>174</v>
      </c>
      <c r="O22" t="s">
        <v>164</v>
      </c>
      <c r="P22">
        <v>0.22133252387007696</v>
      </c>
      <c r="Q22" t="s">
        <v>153</v>
      </c>
      <c r="S22" t="s">
        <v>184</v>
      </c>
      <c r="T22" t="s">
        <v>164</v>
      </c>
      <c r="U22">
        <v>0.18887937821395695</v>
      </c>
      <c r="V22" t="s">
        <v>153</v>
      </c>
      <c r="X22">
        <v>0.19246575342465752</v>
      </c>
      <c r="Y22">
        <v>0.16952821354283207</v>
      </c>
      <c r="Z22" t="s">
        <v>164</v>
      </c>
      <c r="AA22" t="s">
        <v>25</v>
      </c>
      <c r="AC22" t="s">
        <v>22</v>
      </c>
      <c r="AD22" t="s">
        <v>164</v>
      </c>
      <c r="AE22">
        <v>0.21821552352054902</v>
      </c>
      <c r="AG22" t="s">
        <v>96</v>
      </c>
      <c r="AH22" t="s">
        <v>164</v>
      </c>
      <c r="AI22">
        <v>0.19932460585860601</v>
      </c>
      <c r="AK22">
        <v>2027</v>
      </c>
      <c r="AL22" t="s">
        <v>149</v>
      </c>
      <c r="AM22">
        <v>0.41674</v>
      </c>
      <c r="AN22" t="s">
        <v>195</v>
      </c>
    </row>
    <row r="23" spans="9:40" ht="14.25">
      <c r="I23" t="s">
        <v>165</v>
      </c>
      <c r="J23" t="s">
        <v>152</v>
      </c>
      <c r="K23">
        <v>0</v>
      </c>
      <c r="L23" t="s">
        <v>153</v>
      </c>
      <c r="N23" t="s">
        <v>175</v>
      </c>
      <c r="O23" t="s">
        <v>152</v>
      </c>
      <c r="P23">
        <v>0.03584708708319264</v>
      </c>
      <c r="Q23" t="s">
        <v>153</v>
      </c>
      <c r="S23" t="s">
        <v>185</v>
      </c>
      <c r="T23" t="s">
        <v>152</v>
      </c>
      <c r="U23">
        <v>0.033214667895704875</v>
      </c>
      <c r="V23" t="s">
        <v>153</v>
      </c>
      <c r="AC23" t="s">
        <v>19</v>
      </c>
      <c r="AD23" t="s">
        <v>152</v>
      </c>
      <c r="AE23">
        <v>0.025933354092794094</v>
      </c>
      <c r="AK23">
        <v>2028</v>
      </c>
      <c r="AL23" t="s">
        <v>141</v>
      </c>
      <c r="AM23">
        <v>0.36244999999999999</v>
      </c>
      <c r="AN23" t="s">
        <v>195</v>
      </c>
    </row>
    <row r="24" spans="9:40" ht="14.25">
      <c r="I24" t="s">
        <v>165</v>
      </c>
      <c r="J24" t="s">
        <v>154</v>
      </c>
      <c r="K24">
        <v>0.081879779512205431</v>
      </c>
      <c r="L24" t="s">
        <v>153</v>
      </c>
      <c r="N24" t="s">
        <v>175</v>
      </c>
      <c r="O24" t="s">
        <v>154</v>
      </c>
      <c r="P24">
        <v>0.046740128672234017</v>
      </c>
      <c r="Q24" t="s">
        <v>153</v>
      </c>
      <c r="S24" t="s">
        <v>185</v>
      </c>
      <c r="T24" t="s">
        <v>154</v>
      </c>
      <c r="U24">
        <v>0.047086473262997218</v>
      </c>
      <c r="V24" t="s">
        <v>153</v>
      </c>
      <c r="AC24" t="s">
        <v>19</v>
      </c>
      <c r="AD24" t="s">
        <v>154</v>
      </c>
      <c r="AE24">
        <v>0.041603058685321083</v>
      </c>
      <c r="AK24">
        <v>2028</v>
      </c>
      <c r="AL24" t="s">
        <v>145</v>
      </c>
      <c r="AM24">
        <v>0.37054999999999999</v>
      </c>
      <c r="AN24" t="s">
        <v>195</v>
      </c>
    </row>
    <row r="25" spans="9:40" ht="14.25">
      <c r="I25" t="s">
        <v>165</v>
      </c>
      <c r="J25" t="s">
        <v>155</v>
      </c>
      <c r="K25">
        <v>0</v>
      </c>
      <c r="L25" t="s">
        <v>153</v>
      </c>
      <c r="N25" t="s">
        <v>175</v>
      </c>
      <c r="O25" t="s">
        <v>155</v>
      </c>
      <c r="P25">
        <v>0.024563920581497554</v>
      </c>
      <c r="Q25" t="s">
        <v>153</v>
      </c>
      <c r="S25" t="s">
        <v>185</v>
      </c>
      <c r="T25" t="s">
        <v>155</v>
      </c>
      <c r="U25">
        <v>0.02184648245550215</v>
      </c>
      <c r="V25" t="s">
        <v>153</v>
      </c>
      <c r="AC25" t="s">
        <v>19</v>
      </c>
      <c r="AD25" t="s">
        <v>155</v>
      </c>
      <c r="AE25">
        <v>0.022705113555623251</v>
      </c>
      <c r="AK25">
        <v>2028</v>
      </c>
      <c r="AL25" t="s">
        <v>147</v>
      </c>
      <c r="AM25">
        <v>0.36009999999999998</v>
      </c>
      <c r="AN25" t="s">
        <v>195</v>
      </c>
    </row>
    <row r="26" spans="9:40" ht="14.25">
      <c r="I26" t="s">
        <v>165</v>
      </c>
      <c r="J26" t="s">
        <v>156</v>
      </c>
      <c r="K26">
        <v>0</v>
      </c>
      <c r="L26" t="s">
        <v>153</v>
      </c>
      <c r="N26" t="s">
        <v>175</v>
      </c>
      <c r="O26" t="s">
        <v>156</v>
      </c>
      <c r="P26">
        <v>0.032877461836652508</v>
      </c>
      <c r="Q26" t="s">
        <v>153</v>
      </c>
      <c r="S26" t="s">
        <v>185</v>
      </c>
      <c r="T26" t="s">
        <v>156</v>
      </c>
      <c r="U26">
        <v>0.037940755616446165</v>
      </c>
      <c r="V26" t="s">
        <v>153</v>
      </c>
      <c r="AC26" t="s">
        <v>19</v>
      </c>
      <c r="AD26" t="s">
        <v>156</v>
      </c>
      <c r="AE26">
        <v>0.028292603767039504</v>
      </c>
      <c r="AK26">
        <v>2028</v>
      </c>
      <c r="AL26" t="s">
        <v>149</v>
      </c>
      <c r="AM26">
        <v>0.40662999999999999</v>
      </c>
      <c r="AN26" t="s">
        <v>195</v>
      </c>
    </row>
    <row r="27" spans="9:40" ht="14.25">
      <c r="I27" t="s">
        <v>165</v>
      </c>
      <c r="J27" t="s">
        <v>157</v>
      </c>
      <c r="K27">
        <v>0.10351611826794516</v>
      </c>
      <c r="L27" t="s">
        <v>153</v>
      </c>
      <c r="N27" t="s">
        <v>175</v>
      </c>
      <c r="O27" t="s">
        <v>157</v>
      </c>
      <c r="P27">
        <v>0.043539930080533237</v>
      </c>
      <c r="Q27" t="s">
        <v>153</v>
      </c>
      <c r="S27" t="s">
        <v>185</v>
      </c>
      <c r="T27" t="s">
        <v>157</v>
      </c>
      <c r="U27">
        <v>0.050308863447802971</v>
      </c>
      <c r="V27" t="s">
        <v>153</v>
      </c>
      <c r="AC27" t="s">
        <v>19</v>
      </c>
      <c r="AD27" t="s">
        <v>157</v>
      </c>
      <c r="AE27">
        <v>0.045378049955306241</v>
      </c>
      <c r="AK27">
        <v>2029</v>
      </c>
      <c r="AL27" t="s">
        <v>141</v>
      </c>
      <c r="AM27">
        <v>0.39860000000000001</v>
      </c>
      <c r="AN27" t="s">
        <v>195</v>
      </c>
    </row>
    <row r="28" spans="9:40" ht="14.25">
      <c r="I28" t="s">
        <v>165</v>
      </c>
      <c r="J28" t="s">
        <v>158</v>
      </c>
      <c r="K28">
        <v>0.00039916467054978961</v>
      </c>
      <c r="L28" t="s">
        <v>153</v>
      </c>
      <c r="N28" t="s">
        <v>175</v>
      </c>
      <c r="O28" t="s">
        <v>158</v>
      </c>
      <c r="P28">
        <v>0.026307129422325222</v>
      </c>
      <c r="Q28" t="s">
        <v>153</v>
      </c>
      <c r="S28" t="s">
        <v>185</v>
      </c>
      <c r="T28" t="s">
        <v>158</v>
      </c>
      <c r="U28">
        <v>0.026752312544665487</v>
      </c>
      <c r="V28" t="s">
        <v>153</v>
      </c>
      <c r="AC28" t="s">
        <v>19</v>
      </c>
      <c r="AD28" t="s">
        <v>158</v>
      </c>
      <c r="AE28">
        <v>0.024776396729473432</v>
      </c>
      <c r="AK28">
        <v>2029</v>
      </c>
      <c r="AL28" t="s">
        <v>145</v>
      </c>
      <c r="AM28">
        <v>0.43955</v>
      </c>
      <c r="AN28" t="s">
        <v>195</v>
      </c>
    </row>
    <row r="29" spans="9:40" ht="14.25">
      <c r="I29" t="s">
        <v>165</v>
      </c>
      <c r="J29" t="s">
        <v>159</v>
      </c>
      <c r="K29">
        <v>0</v>
      </c>
      <c r="L29" t="s">
        <v>153</v>
      </c>
      <c r="N29" t="s">
        <v>175</v>
      </c>
      <c r="O29" t="s">
        <v>159</v>
      </c>
      <c r="P29">
        <v>0.013366532126421639</v>
      </c>
      <c r="Q29" t="s">
        <v>153</v>
      </c>
      <c r="S29" t="s">
        <v>185</v>
      </c>
      <c r="T29" t="s">
        <v>159</v>
      </c>
      <c r="U29">
        <v>0.013290092350724165</v>
      </c>
      <c r="V29" t="s">
        <v>153</v>
      </c>
      <c r="AC29" t="s">
        <v>19</v>
      </c>
      <c r="AD29" t="s">
        <v>159</v>
      </c>
      <c r="AE29">
        <v>0.011791500761539724</v>
      </c>
      <c r="AK29">
        <v>2029</v>
      </c>
      <c r="AL29" t="s">
        <v>147</v>
      </c>
      <c r="AM29">
        <v>0.50229999999999997</v>
      </c>
      <c r="AN29" t="s">
        <v>195</v>
      </c>
    </row>
    <row r="30" spans="9:40" ht="14.25">
      <c r="I30" t="s">
        <v>165</v>
      </c>
      <c r="J30" t="s">
        <v>160</v>
      </c>
      <c r="K30">
        <v>0.042502293504128902</v>
      </c>
      <c r="L30" t="s">
        <v>153</v>
      </c>
      <c r="N30" t="s">
        <v>175</v>
      </c>
      <c r="O30" t="s">
        <v>160</v>
      </c>
      <c r="P30">
        <v>0.021169967582196875</v>
      </c>
      <c r="Q30" t="s">
        <v>153</v>
      </c>
      <c r="S30" t="s">
        <v>185</v>
      </c>
      <c r="T30" t="s">
        <v>160</v>
      </c>
      <c r="U30">
        <v>0.02278181854989977</v>
      </c>
      <c r="V30" t="s">
        <v>153</v>
      </c>
      <c r="AC30" t="s">
        <v>19</v>
      </c>
      <c r="AD30" t="s">
        <v>160</v>
      </c>
      <c r="AE30">
        <v>0.01892652106675409</v>
      </c>
      <c r="AK30">
        <v>2029</v>
      </c>
      <c r="AL30" t="s">
        <v>149</v>
      </c>
      <c r="AM30">
        <v>0.46540999999999999</v>
      </c>
      <c r="AN30" t="s">
        <v>195</v>
      </c>
    </row>
    <row r="31" spans="9:40" ht="14.25">
      <c r="I31" t="s">
        <v>165</v>
      </c>
      <c r="J31" t="s">
        <v>161</v>
      </c>
      <c r="K31">
        <v>0.0012409468352645079</v>
      </c>
      <c r="L31" t="s">
        <v>153</v>
      </c>
      <c r="N31" t="s">
        <v>175</v>
      </c>
      <c r="O31" t="s">
        <v>161</v>
      </c>
      <c r="P31">
        <v>0.013943848010827974</v>
      </c>
      <c r="Q31" t="s">
        <v>153</v>
      </c>
      <c r="S31" t="s">
        <v>185</v>
      </c>
      <c r="T31" t="s">
        <v>161</v>
      </c>
      <c r="U31">
        <v>0.013857053287526056</v>
      </c>
      <c r="V31" t="s">
        <v>153</v>
      </c>
      <c r="AC31" t="s">
        <v>19</v>
      </c>
      <c r="AD31" t="s">
        <v>161</v>
      </c>
      <c r="AE31">
        <v>0.010331400108031453</v>
      </c>
      <c r="AK31">
        <v>2030</v>
      </c>
      <c r="AL31" t="s">
        <v>141</v>
      </c>
      <c r="AM31">
        <v>0.42715000000000003</v>
      </c>
      <c r="AN31" t="s">
        <v>195</v>
      </c>
    </row>
    <row r="32" spans="9:40" ht="14.25">
      <c r="I32" t="s">
        <v>165</v>
      </c>
      <c r="J32" t="s">
        <v>162</v>
      </c>
      <c r="K32">
        <v>0.010203391561538327</v>
      </c>
      <c r="L32" t="s">
        <v>153</v>
      </c>
      <c r="N32" t="s">
        <v>175</v>
      </c>
      <c r="O32" t="s">
        <v>162</v>
      </c>
      <c r="P32">
        <v>0.19838186423347379</v>
      </c>
      <c r="Q32" t="s">
        <v>153</v>
      </c>
      <c r="S32" t="s">
        <v>185</v>
      </c>
      <c r="T32" t="s">
        <v>162</v>
      </c>
      <c r="U32">
        <v>0.23026150163583414</v>
      </c>
      <c r="V32" t="s">
        <v>153</v>
      </c>
      <c r="AC32" t="s">
        <v>19</v>
      </c>
      <c r="AD32" t="s">
        <v>162</v>
      </c>
      <c r="AE32">
        <v>0.22176901676292043</v>
      </c>
      <c r="AK32">
        <v>2030</v>
      </c>
      <c r="AL32" t="s">
        <v>145</v>
      </c>
      <c r="AM32">
        <v>0.46509999999999996</v>
      </c>
      <c r="AN32" t="s">
        <v>195</v>
      </c>
    </row>
    <row r="33" spans="9:40" ht="14.25">
      <c r="I33" t="s">
        <v>165</v>
      </c>
      <c r="J33" t="s">
        <v>163</v>
      </c>
      <c r="K33">
        <v>0.74802363119429438</v>
      </c>
      <c r="L33" t="s">
        <v>153</v>
      </c>
      <c r="N33" t="s">
        <v>175</v>
      </c>
      <c r="O33" t="s">
        <v>163</v>
      </c>
      <c r="P33">
        <v>0.34247676805127236</v>
      </c>
      <c r="Q33" t="s">
        <v>153</v>
      </c>
      <c r="S33" t="s">
        <v>185</v>
      </c>
      <c r="T33" t="s">
        <v>163</v>
      </c>
      <c r="U33">
        <v>0.30576445027544891</v>
      </c>
      <c r="V33" t="s">
        <v>153</v>
      </c>
      <c r="AC33" t="s">
        <v>19</v>
      </c>
      <c r="AD33" t="s">
        <v>163</v>
      </c>
      <c r="AE33">
        <v>0.35480715079119746</v>
      </c>
      <c r="AK33">
        <v>2030</v>
      </c>
      <c r="AL33" t="s">
        <v>147</v>
      </c>
      <c r="AM33">
        <v>0.49609999999999999</v>
      </c>
      <c r="AN33" t="s">
        <v>195</v>
      </c>
    </row>
    <row r="34" spans="9:40" ht="14.25">
      <c r="I34" t="s">
        <v>165</v>
      </c>
      <c r="J34" t="s">
        <v>164</v>
      </c>
      <c r="K34">
        <v>0.012234674454072652</v>
      </c>
      <c r="L34" t="s">
        <v>153</v>
      </c>
      <c r="N34" t="s">
        <v>175</v>
      </c>
      <c r="O34" t="s">
        <v>164</v>
      </c>
      <c r="P34">
        <v>0.20078536231937069</v>
      </c>
      <c r="Q34" t="s">
        <v>153</v>
      </c>
      <c r="S34" t="s">
        <v>185</v>
      </c>
      <c r="T34" t="s">
        <v>164</v>
      </c>
      <c r="U34">
        <v>0.19689552867745097</v>
      </c>
      <c r="V34" t="s">
        <v>153</v>
      </c>
      <c r="AC34" t="s">
        <v>19</v>
      </c>
      <c r="AD34" t="s">
        <v>164</v>
      </c>
      <c r="AE34">
        <v>0.1936858337239992</v>
      </c>
      <c r="AK34">
        <v>2030</v>
      </c>
      <c r="AL34" t="s">
        <v>149</v>
      </c>
      <c r="AM34">
        <v>0.47617000000000004</v>
      </c>
      <c r="AN34" t="s">
        <v>195</v>
      </c>
    </row>
    <row r="35" spans="9:40" ht="14.25">
      <c r="I35" t="s">
        <v>166</v>
      </c>
      <c r="J35" t="s">
        <v>152</v>
      </c>
      <c r="K35">
        <v>0</v>
      </c>
      <c r="L35" t="s">
        <v>153</v>
      </c>
      <c r="N35" t="s">
        <v>176</v>
      </c>
      <c r="O35" t="s">
        <v>152</v>
      </c>
      <c r="P35">
        <v>0.035469056665774192</v>
      </c>
      <c r="Q35" t="s">
        <v>153</v>
      </c>
      <c r="AK35">
        <v>2031</v>
      </c>
      <c r="AL35" t="s">
        <v>141</v>
      </c>
      <c r="AM35">
        <v>0.41054999999999997</v>
      </c>
      <c r="AN35" t="s">
        <v>195</v>
      </c>
    </row>
    <row r="36" spans="9:40" ht="14.25">
      <c r="I36" t="s">
        <v>166</v>
      </c>
      <c r="J36" t="s">
        <v>154</v>
      </c>
      <c r="K36">
        <v>0.083054962589545409</v>
      </c>
      <c r="L36" t="s">
        <v>153</v>
      </c>
      <c r="N36" t="s">
        <v>176</v>
      </c>
      <c r="O36" t="s">
        <v>154</v>
      </c>
      <c r="P36">
        <v>0.043912122338933463</v>
      </c>
      <c r="Q36" t="s">
        <v>153</v>
      </c>
      <c r="AK36">
        <v>2031</v>
      </c>
      <c r="AL36" t="s">
        <v>145</v>
      </c>
      <c r="AM36">
        <v>0.43759999999999999</v>
      </c>
      <c r="AN36" t="s">
        <v>195</v>
      </c>
    </row>
    <row r="37" spans="9:40" ht="14.25">
      <c r="I37" t="s">
        <v>166</v>
      </c>
      <c r="J37" t="s">
        <v>155</v>
      </c>
      <c r="K37">
        <v>0</v>
      </c>
      <c r="L37" t="s">
        <v>153</v>
      </c>
      <c r="N37" t="s">
        <v>176</v>
      </c>
      <c r="O37" t="s">
        <v>155</v>
      </c>
      <c r="P37">
        <v>0.02841200102809013</v>
      </c>
      <c r="Q37" t="s">
        <v>153</v>
      </c>
      <c r="AK37">
        <v>2031</v>
      </c>
      <c r="AL37" t="s">
        <v>147</v>
      </c>
      <c r="AM37">
        <v>0.46239999999999998</v>
      </c>
      <c r="AN37" t="s">
        <v>195</v>
      </c>
    </row>
    <row r="38" spans="9:40" ht="14.25">
      <c r="I38" t="s">
        <v>166</v>
      </c>
      <c r="J38" t="s">
        <v>156</v>
      </c>
      <c r="K38">
        <v>0</v>
      </c>
      <c r="L38" t="s">
        <v>153</v>
      </c>
      <c r="N38" t="s">
        <v>176</v>
      </c>
      <c r="O38" t="s">
        <v>156</v>
      </c>
      <c r="P38">
        <v>0.031856916265948818</v>
      </c>
      <c r="Q38" t="s">
        <v>153</v>
      </c>
      <c r="AK38">
        <v>2031</v>
      </c>
      <c r="AL38" t="s">
        <v>149</v>
      </c>
      <c r="AM38">
        <v>0.46910999999999997</v>
      </c>
      <c r="AN38" t="s">
        <v>195</v>
      </c>
    </row>
    <row r="39" spans="9:40" ht="14.25">
      <c r="I39" t="s">
        <v>166</v>
      </c>
      <c r="J39" t="s">
        <v>157</v>
      </c>
      <c r="K39">
        <v>0.10400522157907098</v>
      </c>
      <c r="L39" t="s">
        <v>153</v>
      </c>
      <c r="N39" t="s">
        <v>176</v>
      </c>
      <c r="O39" t="s">
        <v>157</v>
      </c>
      <c r="P39">
        <v>0.036925908227853819</v>
      </c>
      <c r="Q39" t="s">
        <v>153</v>
      </c>
      <c r="AK39">
        <v>2032</v>
      </c>
      <c r="AL39" t="s">
        <v>141</v>
      </c>
      <c r="AM39">
        <v>0.38580000000000003</v>
      </c>
      <c r="AN39" t="s">
        <v>195</v>
      </c>
    </row>
    <row r="40" spans="9:40" ht="14.25">
      <c r="I40" t="s">
        <v>166</v>
      </c>
      <c r="J40" t="s">
        <v>158</v>
      </c>
      <c r="K40">
        <v>0</v>
      </c>
      <c r="L40" t="s">
        <v>153</v>
      </c>
      <c r="N40" t="s">
        <v>176</v>
      </c>
      <c r="O40" t="s">
        <v>158</v>
      </c>
      <c r="P40">
        <v>0.026613810424727463</v>
      </c>
      <c r="Q40" t="s">
        <v>153</v>
      </c>
      <c r="AK40">
        <v>2032</v>
      </c>
      <c r="AL40" t="s">
        <v>145</v>
      </c>
      <c r="AM40">
        <v>0.40265000000000001</v>
      </c>
      <c r="AN40" t="s">
        <v>195</v>
      </c>
    </row>
    <row r="41" spans="9:40" ht="14.25">
      <c r="I41" t="s">
        <v>166</v>
      </c>
      <c r="J41" t="s">
        <v>159</v>
      </c>
      <c r="K41">
        <v>1.7261924968309395E-07</v>
      </c>
      <c r="L41" t="s">
        <v>153</v>
      </c>
      <c r="N41" t="s">
        <v>176</v>
      </c>
      <c r="O41" t="s">
        <v>159</v>
      </c>
      <c r="P41">
        <v>0.01545448315292473</v>
      </c>
      <c r="Q41" t="s">
        <v>153</v>
      </c>
      <c r="AK41">
        <v>2032</v>
      </c>
      <c r="AL41" t="s">
        <v>147</v>
      </c>
      <c r="AM41">
        <v>0.42699999999999999</v>
      </c>
      <c r="AN41" t="s">
        <v>195</v>
      </c>
    </row>
    <row r="42" spans="9:40" ht="14.25">
      <c r="I42" t="s">
        <v>166</v>
      </c>
      <c r="J42" t="s">
        <v>160</v>
      </c>
      <c r="K42">
        <v>0.041244749785350608</v>
      </c>
      <c r="L42" t="s">
        <v>153</v>
      </c>
      <c r="N42" t="s">
        <v>176</v>
      </c>
      <c r="O42" t="s">
        <v>160</v>
      </c>
      <c r="P42">
        <v>0.021296652653903403</v>
      </c>
      <c r="Q42" t="s">
        <v>153</v>
      </c>
      <c r="AK42">
        <v>2032</v>
      </c>
      <c r="AL42" t="s">
        <v>149</v>
      </c>
      <c r="AM42">
        <v>0.46355000000000002</v>
      </c>
      <c r="AN42" t="s">
        <v>195</v>
      </c>
    </row>
    <row r="43" spans="9:40" ht="14.25">
      <c r="I43" t="s">
        <v>166</v>
      </c>
      <c r="J43" t="s">
        <v>161</v>
      </c>
      <c r="K43">
        <v>0.00038215243383134067</v>
      </c>
      <c r="L43" t="s">
        <v>153</v>
      </c>
      <c r="N43" t="s">
        <v>176</v>
      </c>
      <c r="O43" t="s">
        <v>161</v>
      </c>
      <c r="P43">
        <v>0.011962552868105332</v>
      </c>
      <c r="Q43" t="s">
        <v>153</v>
      </c>
      <c r="AK43">
        <v>2033</v>
      </c>
      <c r="AL43" t="s">
        <v>141</v>
      </c>
      <c r="AM43">
        <v>0.41839999999999999</v>
      </c>
      <c r="AN43" t="s">
        <v>195</v>
      </c>
    </row>
    <row r="44" spans="9:40" ht="14.25">
      <c r="I44" t="s">
        <v>166</v>
      </c>
      <c r="J44" t="s">
        <v>162</v>
      </c>
      <c r="K44">
        <v>0.013697187297861771</v>
      </c>
      <c r="L44" t="s">
        <v>153</v>
      </c>
      <c r="N44" t="s">
        <v>176</v>
      </c>
      <c r="O44" t="s">
        <v>162</v>
      </c>
      <c r="P44">
        <v>0.21393995101172966</v>
      </c>
      <c r="Q44" t="s">
        <v>153</v>
      </c>
      <c r="AK44">
        <v>2033</v>
      </c>
      <c r="AL44" t="s">
        <v>145</v>
      </c>
      <c r="AM44">
        <v>0.45025000000000004</v>
      </c>
      <c r="AN44" t="s">
        <v>195</v>
      </c>
    </row>
    <row r="45" spans="9:40" ht="14.25">
      <c r="I45" t="s">
        <v>166</v>
      </c>
      <c r="J45" t="s">
        <v>163</v>
      </c>
      <c r="K45">
        <v>0.74726520912822791</v>
      </c>
      <c r="L45" t="s">
        <v>153</v>
      </c>
      <c r="N45" t="s">
        <v>176</v>
      </c>
      <c r="O45" t="s">
        <v>163</v>
      </c>
      <c r="P45">
        <v>0.29583634415462334</v>
      </c>
      <c r="Q45" t="s">
        <v>153</v>
      </c>
      <c r="AK45">
        <v>2033</v>
      </c>
      <c r="AL45" t="s">
        <v>147</v>
      </c>
      <c r="AM45">
        <v>0.49170000000000003</v>
      </c>
      <c r="AN45" t="s">
        <v>195</v>
      </c>
    </row>
    <row r="46" spans="9:40" ht="14.25">
      <c r="I46" t="s">
        <v>166</v>
      </c>
      <c r="J46" t="s">
        <v>164</v>
      </c>
      <c r="K46">
        <v>0.010350344566862159</v>
      </c>
      <c r="L46" t="s">
        <v>153</v>
      </c>
      <c r="N46" t="s">
        <v>176</v>
      </c>
      <c r="O46" t="s">
        <v>164</v>
      </c>
      <c r="P46">
        <v>0.23832020120738848</v>
      </c>
      <c r="Q46" t="s">
        <v>153</v>
      </c>
      <c r="AK46">
        <v>2033</v>
      </c>
      <c r="AL46" t="s">
        <v>149</v>
      </c>
      <c r="AM46">
        <v>0.4628799999999999</v>
      </c>
      <c r="AN46" t="s">
        <v>195</v>
      </c>
    </row>
    <row r="47" spans="9:40" ht="14.25">
      <c r="I47" t="s">
        <v>167</v>
      </c>
      <c r="J47" t="s">
        <v>152</v>
      </c>
      <c r="K47">
        <v>0</v>
      </c>
      <c r="L47" t="s">
        <v>153</v>
      </c>
      <c r="N47" t="s">
        <v>177</v>
      </c>
      <c r="O47" t="s">
        <v>152</v>
      </c>
      <c r="P47">
        <v>0.033526853541657409</v>
      </c>
      <c r="Q47" t="s">
        <v>153</v>
      </c>
      <c r="AK47">
        <v>2034</v>
      </c>
      <c r="AL47" t="s">
        <v>141</v>
      </c>
      <c r="AM47">
        <v>0.38305</v>
      </c>
      <c r="AN47" t="s">
        <v>195</v>
      </c>
    </row>
    <row r="48" spans="9:40" ht="14.25">
      <c r="I48" t="s">
        <v>167</v>
      </c>
      <c r="J48" t="s">
        <v>154</v>
      </c>
      <c r="K48">
        <v>0.084778124454048101</v>
      </c>
      <c r="L48" t="s">
        <v>153</v>
      </c>
      <c r="N48" t="s">
        <v>177</v>
      </c>
      <c r="O48" t="s">
        <v>154</v>
      </c>
      <c r="P48">
        <v>0.048039691214615571</v>
      </c>
      <c r="Q48" t="s">
        <v>153</v>
      </c>
      <c r="AK48">
        <v>2034</v>
      </c>
      <c r="AL48" t="s">
        <v>145</v>
      </c>
      <c r="AM48">
        <v>0.36754999999999999</v>
      </c>
      <c r="AN48" t="s">
        <v>195</v>
      </c>
    </row>
    <row r="49" spans="9:40" ht="14.25">
      <c r="I49" t="s">
        <v>167</v>
      </c>
      <c r="J49" t="s">
        <v>155</v>
      </c>
      <c r="K49">
        <v>0</v>
      </c>
      <c r="L49" t="s">
        <v>153</v>
      </c>
      <c r="N49" t="s">
        <v>177</v>
      </c>
      <c r="O49" t="s">
        <v>155</v>
      </c>
      <c r="P49">
        <v>0.02590443917675531</v>
      </c>
      <c r="Q49" t="s">
        <v>153</v>
      </c>
      <c r="AK49">
        <v>2034</v>
      </c>
      <c r="AL49" t="s">
        <v>147</v>
      </c>
      <c r="AM49">
        <v>0.36149999999999999</v>
      </c>
      <c r="AN49" t="s">
        <v>195</v>
      </c>
    </row>
    <row r="50" spans="9:40" ht="14.25">
      <c r="I50" t="s">
        <v>167</v>
      </c>
      <c r="J50" t="s">
        <v>156</v>
      </c>
      <c r="K50">
        <v>0</v>
      </c>
      <c r="L50" t="s">
        <v>153</v>
      </c>
      <c r="N50" t="s">
        <v>177</v>
      </c>
      <c r="O50" t="s">
        <v>156</v>
      </c>
      <c r="P50">
        <v>0.028246497086783628</v>
      </c>
      <c r="Q50" t="s">
        <v>153</v>
      </c>
      <c r="AK50">
        <v>2034</v>
      </c>
      <c r="AL50" t="s">
        <v>149</v>
      </c>
      <c r="AM50">
        <v>0.39922999999999992</v>
      </c>
      <c r="AN50" t="s">
        <v>195</v>
      </c>
    </row>
    <row r="51" spans="9:40" ht="14.25">
      <c r="I51" t="s">
        <v>167</v>
      </c>
      <c r="J51" t="s">
        <v>157</v>
      </c>
      <c r="K51">
        <v>0.10402263444720816</v>
      </c>
      <c r="L51" t="s">
        <v>153</v>
      </c>
      <c r="N51" t="s">
        <v>177</v>
      </c>
      <c r="O51" t="s">
        <v>157</v>
      </c>
      <c r="P51">
        <v>0.045043154402186973</v>
      </c>
      <c r="Q51" t="s">
        <v>153</v>
      </c>
      <c r="AK51">
        <v>2035</v>
      </c>
      <c r="AL51" t="s">
        <v>141</v>
      </c>
      <c r="AM51">
        <v>0.33030000000000004</v>
      </c>
      <c r="AN51" t="s">
        <v>195</v>
      </c>
    </row>
    <row r="52" spans="9:40" ht="14.25">
      <c r="I52" t="s">
        <v>167</v>
      </c>
      <c r="J52" t="s">
        <v>158</v>
      </c>
      <c r="K52">
        <v>1.2405347262786679E-05</v>
      </c>
      <c r="L52" t="s">
        <v>153</v>
      </c>
      <c r="N52" t="s">
        <v>177</v>
      </c>
      <c r="O52" t="s">
        <v>158</v>
      </c>
      <c r="P52">
        <v>0.025241272466001656</v>
      </c>
      <c r="Q52" t="s">
        <v>153</v>
      </c>
      <c r="AK52">
        <v>2035</v>
      </c>
      <c r="AL52" t="s">
        <v>145</v>
      </c>
      <c r="AM52">
        <v>0.38490000000000002</v>
      </c>
      <c r="AN52" t="s">
        <v>195</v>
      </c>
    </row>
    <row r="53" spans="9:40" ht="14.25">
      <c r="I53" t="s">
        <v>167</v>
      </c>
      <c r="J53" t="s">
        <v>159</v>
      </c>
      <c r="K53">
        <v>0</v>
      </c>
      <c r="L53" t="s">
        <v>153</v>
      </c>
      <c r="N53" t="s">
        <v>177</v>
      </c>
      <c r="O53" t="s">
        <v>159</v>
      </c>
      <c r="P53">
        <v>0.013806022327734859</v>
      </c>
      <c r="Q53" t="s">
        <v>153</v>
      </c>
      <c r="AK53">
        <v>2035</v>
      </c>
      <c r="AL53" t="s">
        <v>147</v>
      </c>
      <c r="AM53">
        <v>0.43259999999999998</v>
      </c>
      <c r="AN53" t="s">
        <v>195</v>
      </c>
    </row>
    <row r="54" spans="9:40" ht="14.25">
      <c r="I54" t="s">
        <v>167</v>
      </c>
      <c r="J54" t="s">
        <v>160</v>
      </c>
      <c r="K54">
        <v>0.041713019414646328</v>
      </c>
      <c r="L54" t="s">
        <v>153</v>
      </c>
      <c r="N54" t="s">
        <v>177</v>
      </c>
      <c r="O54" t="s">
        <v>160</v>
      </c>
      <c r="P54">
        <v>0.022317219850940925</v>
      </c>
      <c r="Q54" t="s">
        <v>153</v>
      </c>
      <c r="AK54">
        <v>2035</v>
      </c>
      <c r="AL54" t="s">
        <v>149</v>
      </c>
      <c r="AM54">
        <v>0.41254000000000002</v>
      </c>
      <c r="AN54" t="s">
        <v>195</v>
      </c>
    </row>
    <row r="55" spans="9:40" ht="14.25">
      <c r="I55" t="s">
        <v>167</v>
      </c>
      <c r="J55" t="s">
        <v>161</v>
      </c>
      <c r="K55">
        <v>0.00093849035411836706</v>
      </c>
      <c r="L55" t="s">
        <v>153</v>
      </c>
      <c r="N55" t="s">
        <v>177</v>
      </c>
      <c r="O55" t="s">
        <v>161</v>
      </c>
      <c r="P55">
        <v>0.013104258686293621</v>
      </c>
      <c r="Q55" t="s">
        <v>153</v>
      </c>
      <c r="AK55">
        <v>2036</v>
      </c>
      <c r="AL55" t="s">
        <v>141</v>
      </c>
      <c r="AM55">
        <v>0.29039999999999999</v>
      </c>
      <c r="AN55" t="s">
        <v>195</v>
      </c>
    </row>
    <row r="56" spans="9:40" ht="14.25">
      <c r="I56" t="s">
        <v>167</v>
      </c>
      <c r="J56" t="s">
        <v>162</v>
      </c>
      <c r="K56">
        <v>0.012151055454704081</v>
      </c>
      <c r="L56" t="s">
        <v>153</v>
      </c>
      <c r="N56" t="s">
        <v>177</v>
      </c>
      <c r="O56" t="s">
        <v>162</v>
      </c>
      <c r="P56">
        <v>0.1800227821154069</v>
      </c>
      <c r="Q56" t="s">
        <v>153</v>
      </c>
      <c r="AK56">
        <v>2036</v>
      </c>
      <c r="AL56" t="s">
        <v>145</v>
      </c>
      <c r="AM56">
        <v>0.31884999999999997</v>
      </c>
      <c r="AN56" t="s">
        <v>195</v>
      </c>
    </row>
    <row r="57" spans="9:40" ht="14.25">
      <c r="I57" t="s">
        <v>167</v>
      </c>
      <c r="J57" t="s">
        <v>163</v>
      </c>
      <c r="K57">
        <v>0.74590904018377668</v>
      </c>
      <c r="L57" t="s">
        <v>153</v>
      </c>
      <c r="N57" t="s">
        <v>177</v>
      </c>
      <c r="O57" t="s">
        <v>163</v>
      </c>
      <c r="P57">
        <v>0.37158602276913311</v>
      </c>
      <c r="Q57" t="s">
        <v>153</v>
      </c>
      <c r="AK57">
        <v>2036</v>
      </c>
      <c r="AL57" t="s">
        <v>147</v>
      </c>
      <c r="AM57">
        <v>0.34060000000000001</v>
      </c>
      <c r="AN57" t="s">
        <v>195</v>
      </c>
    </row>
    <row r="58" spans="9:40" ht="14.25">
      <c r="I58" t="s">
        <v>167</v>
      </c>
      <c r="J58" t="s">
        <v>164</v>
      </c>
      <c r="K58">
        <v>0.010475230344234865</v>
      </c>
      <c r="L58" t="s">
        <v>153</v>
      </c>
      <c r="N58" t="s">
        <v>177</v>
      </c>
      <c r="O58" t="s">
        <v>164</v>
      </c>
      <c r="P58">
        <v>0.1931617863624856</v>
      </c>
      <c r="Q58" t="s">
        <v>153</v>
      </c>
      <c r="AK58">
        <v>2036</v>
      </c>
      <c r="AL58" t="s">
        <v>149</v>
      </c>
      <c r="AM58">
        <v>0.35313999999999995</v>
      </c>
      <c r="AN58" t="s">
        <v>195</v>
      </c>
    </row>
    <row r="59" spans="9:40" ht="14.25">
      <c r="I59" t="s">
        <v>168</v>
      </c>
      <c r="J59" t="s">
        <v>152</v>
      </c>
      <c r="K59">
        <v>0</v>
      </c>
      <c r="L59" t="s">
        <v>153</v>
      </c>
      <c r="N59" t="s">
        <v>178</v>
      </c>
      <c r="O59" t="s">
        <v>152</v>
      </c>
      <c r="P59">
        <v>0.034482838430782446</v>
      </c>
      <c r="Q59" t="s">
        <v>153</v>
      </c>
      <c r="AK59">
        <v>2037</v>
      </c>
      <c r="AL59" t="s">
        <v>141</v>
      </c>
      <c r="AM59">
        <v>0.31469999999999998</v>
      </c>
      <c r="AN59" t="s">
        <v>195</v>
      </c>
    </row>
    <row r="60" spans="9:40" ht="14.25">
      <c r="I60" t="s">
        <v>168</v>
      </c>
      <c r="J60" t="s">
        <v>154</v>
      </c>
      <c r="K60">
        <v>0.08575242537550519</v>
      </c>
      <c r="L60" t="s">
        <v>153</v>
      </c>
      <c r="N60" t="s">
        <v>178</v>
      </c>
      <c r="O60" t="s">
        <v>154</v>
      </c>
      <c r="P60">
        <v>0.051714182597549549</v>
      </c>
      <c r="Q60" t="s">
        <v>153</v>
      </c>
      <c r="AK60">
        <v>2037</v>
      </c>
      <c r="AL60" t="s">
        <v>145</v>
      </c>
      <c r="AM60">
        <v>0.31910000000000005</v>
      </c>
      <c r="AN60" t="s">
        <v>195</v>
      </c>
    </row>
    <row r="61" spans="9:40" ht="14.25">
      <c r="I61" t="s">
        <v>168</v>
      </c>
      <c r="J61" t="s">
        <v>155</v>
      </c>
      <c r="K61">
        <v>0</v>
      </c>
      <c r="L61" t="s">
        <v>153</v>
      </c>
      <c r="N61" t="s">
        <v>178</v>
      </c>
      <c r="O61" t="s">
        <v>155</v>
      </c>
      <c r="P61">
        <v>0.028817685691696258</v>
      </c>
      <c r="Q61" t="s">
        <v>153</v>
      </c>
      <c r="AK61">
        <v>2037</v>
      </c>
      <c r="AL61" t="s">
        <v>147</v>
      </c>
      <c r="AM61">
        <v>0.33400000000000002</v>
      </c>
      <c r="AN61" t="s">
        <v>195</v>
      </c>
    </row>
    <row r="62" spans="9:40" ht="14.25">
      <c r="I62" t="s">
        <v>168</v>
      </c>
      <c r="J62" t="s">
        <v>156</v>
      </c>
      <c r="K62">
        <v>0</v>
      </c>
      <c r="L62" t="s">
        <v>153</v>
      </c>
      <c r="N62" t="s">
        <v>178</v>
      </c>
      <c r="O62" t="s">
        <v>156</v>
      </c>
      <c r="P62">
        <v>0.02648032383683644</v>
      </c>
      <c r="Q62" t="s">
        <v>153</v>
      </c>
      <c r="AK62">
        <v>2037</v>
      </c>
      <c r="AL62" t="s">
        <v>149</v>
      </c>
      <c r="AM62">
        <v>0.35717999999999994</v>
      </c>
      <c r="AN62" t="s">
        <v>195</v>
      </c>
    </row>
    <row r="63" spans="9:40" ht="14.25">
      <c r="I63" t="s">
        <v>168</v>
      </c>
      <c r="J63" t="s">
        <v>157</v>
      </c>
      <c r="K63">
        <v>0.10412784370042244</v>
      </c>
      <c r="L63" t="s">
        <v>153</v>
      </c>
      <c r="N63" t="s">
        <v>178</v>
      </c>
      <c r="O63" t="s">
        <v>157</v>
      </c>
      <c r="P63">
        <v>0.044318689592267875</v>
      </c>
      <c r="Q63" t="s">
        <v>153</v>
      </c>
      <c r="AK63">
        <v>2038</v>
      </c>
      <c r="AL63" t="s">
        <v>141</v>
      </c>
      <c r="AM63">
        <v>0.32955000000000001</v>
      </c>
      <c r="AN63" t="s">
        <v>195</v>
      </c>
    </row>
    <row r="64" spans="9:40" ht="14.25">
      <c r="I64" t="s">
        <v>168</v>
      </c>
      <c r="J64" t="s">
        <v>158</v>
      </c>
      <c r="K64">
        <v>0</v>
      </c>
      <c r="L64" t="s">
        <v>153</v>
      </c>
      <c r="N64" t="s">
        <v>178</v>
      </c>
      <c r="O64" t="s">
        <v>158</v>
      </c>
      <c r="P64">
        <v>0.02921657185784483</v>
      </c>
      <c r="Q64" t="s">
        <v>153</v>
      </c>
      <c r="AK64">
        <v>2038</v>
      </c>
      <c r="AL64" t="s">
        <v>145</v>
      </c>
      <c r="AM64">
        <v>0.34384999999999999</v>
      </c>
      <c r="AN64" t="s">
        <v>195</v>
      </c>
    </row>
    <row r="65" spans="9:40" ht="14.25">
      <c r="I65" t="s">
        <v>168</v>
      </c>
      <c r="J65" t="s">
        <v>159</v>
      </c>
      <c r="K65">
        <v>5.6726068943476618E-08</v>
      </c>
      <c r="L65" t="s">
        <v>153</v>
      </c>
      <c r="N65" t="s">
        <v>178</v>
      </c>
      <c r="O65" t="s">
        <v>159</v>
      </c>
      <c r="P65">
        <v>0.013455149284188015</v>
      </c>
      <c r="Q65" t="s">
        <v>153</v>
      </c>
      <c r="AK65">
        <v>2038</v>
      </c>
      <c r="AL65" t="s">
        <v>147</v>
      </c>
      <c r="AM65">
        <v>0.35580000000000001</v>
      </c>
      <c r="AN65" t="s">
        <v>195</v>
      </c>
    </row>
    <row r="66" spans="9:40" ht="14.25">
      <c r="I66" t="s">
        <v>168</v>
      </c>
      <c r="J66" t="s">
        <v>160</v>
      </c>
      <c r="K66">
        <v>0.041658158723669549</v>
      </c>
      <c r="L66" t="s">
        <v>153</v>
      </c>
      <c r="N66" t="s">
        <v>178</v>
      </c>
      <c r="O66" t="s">
        <v>160</v>
      </c>
      <c r="P66">
        <v>0.024055645877988901</v>
      </c>
      <c r="Q66" t="s">
        <v>153</v>
      </c>
      <c r="AK66">
        <v>2038</v>
      </c>
      <c r="AL66" t="s">
        <v>149</v>
      </c>
      <c r="AM66">
        <v>0.34992000000000001</v>
      </c>
      <c r="AN66" t="s">
        <v>195</v>
      </c>
    </row>
    <row r="67" spans="9:40" ht="14.25">
      <c r="I67" t="s">
        <v>168</v>
      </c>
      <c r="J67" t="s">
        <v>161</v>
      </c>
      <c r="K67">
        <v>0.00018905160839398908</v>
      </c>
      <c r="L67" t="s">
        <v>153</v>
      </c>
      <c r="N67" t="s">
        <v>178</v>
      </c>
      <c r="O67" t="s">
        <v>161</v>
      </c>
      <c r="P67">
        <v>0.012102840825464723</v>
      </c>
      <c r="Q67" t="s">
        <v>153</v>
      </c>
      <c r="AK67">
        <v>2039</v>
      </c>
      <c r="AL67" t="s">
        <v>141</v>
      </c>
      <c r="AM67">
        <v>0.30184999999999995</v>
      </c>
      <c r="AN67" t="s">
        <v>195</v>
      </c>
    </row>
    <row r="68" spans="9:40" ht="14.25">
      <c r="I68" t="s">
        <v>168</v>
      </c>
      <c r="J68" t="s">
        <v>162</v>
      </c>
      <c r="K68">
        <v>0.014370634444822596</v>
      </c>
      <c r="L68" t="s">
        <v>153</v>
      </c>
      <c r="N68" t="s">
        <v>178</v>
      </c>
      <c r="O68" t="s">
        <v>162</v>
      </c>
      <c r="P68">
        <v>0.1733749801797618</v>
      </c>
      <c r="Q68" t="s">
        <v>153</v>
      </c>
      <c r="AK68">
        <v>2039</v>
      </c>
      <c r="AL68" t="s">
        <v>145</v>
      </c>
      <c r="AM68">
        <v>0.30669999999999997</v>
      </c>
      <c r="AN68" t="s">
        <v>195</v>
      </c>
    </row>
    <row r="69" spans="9:40" ht="14.25">
      <c r="I69" t="s">
        <v>168</v>
      </c>
      <c r="J69" t="s">
        <v>163</v>
      </c>
      <c r="K69">
        <v>0.74457587104453671</v>
      </c>
      <c r="L69" t="s">
        <v>153</v>
      </c>
      <c r="N69" t="s">
        <v>178</v>
      </c>
      <c r="O69" t="s">
        <v>163</v>
      </c>
      <c r="P69">
        <v>0.34182231314218292</v>
      </c>
      <c r="Q69" t="s">
        <v>153</v>
      </c>
      <c r="AK69">
        <v>2039</v>
      </c>
      <c r="AL69" t="s">
        <v>147</v>
      </c>
      <c r="AM69">
        <v>0.31640000000000001</v>
      </c>
      <c r="AN69" t="s">
        <v>195</v>
      </c>
    </row>
    <row r="70" spans="9:40" ht="14.25">
      <c r="I70" t="s">
        <v>168</v>
      </c>
      <c r="J70" t="s">
        <v>164</v>
      </c>
      <c r="K70">
        <v>0.0093259583765771155</v>
      </c>
      <c r="L70" t="s">
        <v>153</v>
      </c>
      <c r="N70" t="s">
        <v>178</v>
      </c>
      <c r="O70" t="s">
        <v>164</v>
      </c>
      <c r="P70">
        <v>0.22015877868343683</v>
      </c>
      <c r="Q70" t="s">
        <v>153</v>
      </c>
      <c r="AK70">
        <v>2039</v>
      </c>
      <c r="AL70" t="s">
        <v>149</v>
      </c>
      <c r="AM70">
        <v>0.34059000000000006</v>
      </c>
      <c r="AN70" t="s">
        <v>195</v>
      </c>
    </row>
    <row r="71" spans="9:40" ht="14.25">
      <c r="I71" t="s">
        <v>169</v>
      </c>
      <c r="J71" t="s">
        <v>152</v>
      </c>
      <c r="K71">
        <v>0</v>
      </c>
      <c r="L71" t="s">
        <v>153</v>
      </c>
      <c r="N71" t="s">
        <v>179</v>
      </c>
      <c r="O71" t="s">
        <v>152</v>
      </c>
      <c r="P71">
        <v>0.02901469066713382</v>
      </c>
      <c r="Q71" t="s">
        <v>153</v>
      </c>
      <c r="AK71">
        <v>2040</v>
      </c>
      <c r="AL71" t="s">
        <v>141</v>
      </c>
      <c r="AM71">
        <v>0.40085000000000004</v>
      </c>
      <c r="AN71" t="s">
        <v>195</v>
      </c>
    </row>
    <row r="72" spans="9:40" ht="14.25">
      <c r="I72" t="s">
        <v>169</v>
      </c>
      <c r="J72" t="s">
        <v>154</v>
      </c>
      <c r="K72">
        <v>0.080390414714403696</v>
      </c>
      <c r="L72" t="s">
        <v>153</v>
      </c>
      <c r="N72" t="s">
        <v>179</v>
      </c>
      <c r="O72" t="s">
        <v>154</v>
      </c>
      <c r="P72">
        <v>0.063019233764964808</v>
      </c>
      <c r="Q72" t="s">
        <v>153</v>
      </c>
      <c r="AK72">
        <v>2040</v>
      </c>
      <c r="AL72" t="s">
        <v>145</v>
      </c>
      <c r="AM72">
        <v>0.40165000000000001</v>
      </c>
      <c r="AN72" t="s">
        <v>195</v>
      </c>
    </row>
    <row r="73" spans="9:40" ht="14.25">
      <c r="I73" t="s">
        <v>169</v>
      </c>
      <c r="J73" t="s">
        <v>155</v>
      </c>
      <c r="K73">
        <v>0</v>
      </c>
      <c r="L73" t="s">
        <v>153</v>
      </c>
      <c r="N73" t="s">
        <v>179</v>
      </c>
      <c r="O73" t="s">
        <v>155</v>
      </c>
      <c r="P73">
        <v>0.027963145895357287</v>
      </c>
      <c r="Q73" t="s">
        <v>153</v>
      </c>
      <c r="AK73">
        <v>2040</v>
      </c>
      <c r="AL73" t="s">
        <v>147</v>
      </c>
      <c r="AM73">
        <v>0.41670000000000001</v>
      </c>
      <c r="AN73" t="s">
        <v>195</v>
      </c>
    </row>
    <row r="74" spans="9:40" ht="14.25">
      <c r="I74" t="s">
        <v>169</v>
      </c>
      <c r="J74" t="s">
        <v>156</v>
      </c>
      <c r="K74">
        <v>0</v>
      </c>
      <c r="L74" t="s">
        <v>153</v>
      </c>
      <c r="N74" t="s">
        <v>179</v>
      </c>
      <c r="O74" t="s">
        <v>156</v>
      </c>
      <c r="P74">
        <v>0.027386553802126633</v>
      </c>
      <c r="Q74" t="s">
        <v>153</v>
      </c>
      <c r="AK74">
        <v>2040</v>
      </c>
      <c r="AL74" t="s">
        <v>149</v>
      </c>
      <c r="AM74">
        <v>0.45917999999999992</v>
      </c>
      <c r="AN74" t="s">
        <v>195</v>
      </c>
    </row>
    <row r="75" spans="9:40" ht="14.25">
      <c r="I75" t="s">
        <v>169</v>
      </c>
      <c r="J75" t="s">
        <v>157</v>
      </c>
      <c r="K75">
        <v>0.10416944146435823</v>
      </c>
      <c r="L75" t="s">
        <v>153</v>
      </c>
      <c r="N75" t="s">
        <v>179</v>
      </c>
      <c r="O75" t="s">
        <v>157</v>
      </c>
      <c r="P75">
        <v>0.053616970963032293</v>
      </c>
      <c r="Q75" t="s">
        <v>153</v>
      </c>
      <c r="AK75">
        <v>2041</v>
      </c>
      <c r="AL75" t="s">
        <v>141</v>
      </c>
      <c r="AM75">
        <v>0.35865000000000002</v>
      </c>
      <c r="AN75" t="s">
        <v>195</v>
      </c>
    </row>
    <row r="76" spans="9:40" ht="14.25">
      <c r="I76" t="s">
        <v>169</v>
      </c>
      <c r="J76" t="s">
        <v>158</v>
      </c>
      <c r="K76">
        <v>0</v>
      </c>
      <c r="L76" t="s">
        <v>153</v>
      </c>
      <c r="N76" t="s">
        <v>179</v>
      </c>
      <c r="O76" t="s">
        <v>158</v>
      </c>
      <c r="P76">
        <v>0.023875285021871483</v>
      </c>
      <c r="Q76" t="s">
        <v>153</v>
      </c>
      <c r="AK76">
        <v>2041</v>
      </c>
      <c r="AL76" t="s">
        <v>145</v>
      </c>
      <c r="AM76">
        <v>0.38819999999999999</v>
      </c>
      <c r="AN76" t="s">
        <v>195</v>
      </c>
    </row>
    <row r="77" spans="9:40" ht="14.25">
      <c r="I77" t="s">
        <v>169</v>
      </c>
      <c r="J77" t="s">
        <v>159</v>
      </c>
      <c r="K77">
        <v>0.00013867052753331643</v>
      </c>
      <c r="L77" t="s">
        <v>153</v>
      </c>
      <c r="N77" t="s">
        <v>179</v>
      </c>
      <c r="O77" t="s">
        <v>159</v>
      </c>
      <c r="P77">
        <v>0.0046781087680052543</v>
      </c>
      <c r="Q77" t="s">
        <v>153</v>
      </c>
      <c r="AK77">
        <v>2041</v>
      </c>
      <c r="AL77" t="s">
        <v>147</v>
      </c>
      <c r="AM77">
        <v>0.41610000000000003</v>
      </c>
      <c r="AN77" t="s">
        <v>195</v>
      </c>
    </row>
    <row r="78" spans="9:40" ht="14.25">
      <c r="I78" t="s">
        <v>169</v>
      </c>
      <c r="J78" t="s">
        <v>160</v>
      </c>
      <c r="K78">
        <v>0.040832179732992094</v>
      </c>
      <c r="L78" t="s">
        <v>153</v>
      </c>
      <c r="N78" t="s">
        <v>179</v>
      </c>
      <c r="O78" t="s">
        <v>160</v>
      </c>
      <c r="P78">
        <v>0.028457480117553866</v>
      </c>
      <c r="Q78" t="s">
        <v>153</v>
      </c>
      <c r="AK78">
        <v>2041</v>
      </c>
      <c r="AL78" t="s">
        <v>149</v>
      </c>
      <c r="AM78">
        <v>0.41556999999999994</v>
      </c>
      <c r="AN78" t="s">
        <v>195</v>
      </c>
    </row>
    <row r="79" spans="9:40" ht="14.25">
      <c r="I79" t="s">
        <v>169</v>
      </c>
      <c r="J79" t="s">
        <v>161</v>
      </c>
      <c r="K79">
        <v>0</v>
      </c>
      <c r="L79" t="s">
        <v>153</v>
      </c>
      <c r="N79" t="s">
        <v>179</v>
      </c>
      <c r="O79" t="s">
        <v>161</v>
      </c>
      <c r="P79">
        <v>0.0085911217081022246</v>
      </c>
      <c r="Q79" t="s">
        <v>153</v>
      </c>
      <c r="AK79">
        <v>2042</v>
      </c>
      <c r="AL79" t="s">
        <v>141</v>
      </c>
      <c r="AM79">
        <v>0.2873</v>
      </c>
      <c r="AN79" t="s">
        <v>195</v>
      </c>
    </row>
    <row r="80" spans="9:40" ht="14.25">
      <c r="I80" t="s">
        <v>169</v>
      </c>
      <c r="J80" t="s">
        <v>162</v>
      </c>
      <c r="K80">
        <v>0.017110824375307969</v>
      </c>
      <c r="L80" t="s">
        <v>153</v>
      </c>
      <c r="N80" t="s">
        <v>179</v>
      </c>
      <c r="O80" t="s">
        <v>162</v>
      </c>
      <c r="P80">
        <v>0.15298148631737971</v>
      </c>
      <c r="Q80" t="s">
        <v>153</v>
      </c>
      <c r="AK80">
        <v>2042</v>
      </c>
      <c r="AL80" t="s">
        <v>145</v>
      </c>
      <c r="AM80">
        <v>0.3306</v>
      </c>
      <c r="AN80" t="s">
        <v>195</v>
      </c>
    </row>
    <row r="81" spans="9:40" ht="14.25">
      <c r="I81" t="s">
        <v>169</v>
      </c>
      <c r="J81" t="s">
        <v>163</v>
      </c>
      <c r="K81">
        <v>0.74873880432552353</v>
      </c>
      <c r="L81" t="s">
        <v>153</v>
      </c>
      <c r="N81" t="s">
        <v>179</v>
      </c>
      <c r="O81" t="s">
        <v>163</v>
      </c>
      <c r="P81">
        <v>0.4164152330768453</v>
      </c>
      <c r="Q81" t="s">
        <v>153</v>
      </c>
      <c r="AK81">
        <v>2042</v>
      </c>
      <c r="AL81" t="s">
        <v>147</v>
      </c>
      <c r="AM81">
        <v>0.36</v>
      </c>
      <c r="AN81" t="s">
        <v>195</v>
      </c>
    </row>
    <row r="82" spans="9:40" ht="14.25">
      <c r="I82" t="s">
        <v>169</v>
      </c>
      <c r="J82" t="s">
        <v>164</v>
      </c>
      <c r="K82">
        <v>0.0086196648598825479</v>
      </c>
      <c r="L82" t="s">
        <v>153</v>
      </c>
      <c r="N82" t="s">
        <v>179</v>
      </c>
      <c r="O82" t="s">
        <v>164</v>
      </c>
      <c r="P82">
        <v>0.1640006898976239</v>
      </c>
      <c r="Q82" t="s">
        <v>153</v>
      </c>
      <c r="AK82">
        <v>2042</v>
      </c>
      <c r="AL82" t="s">
        <v>149</v>
      </c>
      <c r="AM82">
        <v>0.35570000000000002</v>
      </c>
      <c r="AN82" t="s">
        <v>195</v>
      </c>
    </row>
    <row r="83" spans="9:40" ht="14.25">
      <c r="I83" t="s">
        <v>170</v>
      </c>
      <c r="J83" t="s">
        <v>152</v>
      </c>
      <c r="K83">
        <v>0</v>
      </c>
      <c r="L83" t="s">
        <v>153</v>
      </c>
      <c r="N83" t="s">
        <v>180</v>
      </c>
      <c r="O83" t="s">
        <v>152</v>
      </c>
      <c r="P83">
        <v>0.032676010556325102</v>
      </c>
      <c r="Q83" t="s">
        <v>153</v>
      </c>
      <c r="AK83">
        <v>2043</v>
      </c>
      <c r="AL83" t="s">
        <v>141</v>
      </c>
      <c r="AM83">
        <v>0.30680000000000002</v>
      </c>
      <c r="AN83" t="s">
        <v>195</v>
      </c>
    </row>
    <row r="84" spans="9:40" ht="14.25">
      <c r="I84" t="s">
        <v>170</v>
      </c>
      <c r="J84" t="s">
        <v>154</v>
      </c>
      <c r="K84">
        <v>0.081366920792952754</v>
      </c>
      <c r="L84" t="s">
        <v>153</v>
      </c>
      <c r="N84" t="s">
        <v>180</v>
      </c>
      <c r="O84" t="s">
        <v>154</v>
      </c>
      <c r="P84">
        <v>0.058634239639524528</v>
      </c>
      <c r="Q84" t="s">
        <v>153</v>
      </c>
      <c r="AK84">
        <v>2043</v>
      </c>
      <c r="AL84" t="s">
        <v>145</v>
      </c>
      <c r="AM84">
        <v>0.32584999999999997</v>
      </c>
      <c r="AN84" t="s">
        <v>195</v>
      </c>
    </row>
    <row r="85" spans="9:40" ht="14.25">
      <c r="I85" t="s">
        <v>170</v>
      </c>
      <c r="J85" t="s">
        <v>155</v>
      </c>
      <c r="K85">
        <v>0</v>
      </c>
      <c r="L85" t="s">
        <v>153</v>
      </c>
      <c r="N85" t="s">
        <v>180</v>
      </c>
      <c r="O85" t="s">
        <v>155</v>
      </c>
      <c r="P85">
        <v>0.026426367402568773</v>
      </c>
      <c r="Q85" t="s">
        <v>153</v>
      </c>
      <c r="AK85">
        <v>2043</v>
      </c>
      <c r="AL85" t="s">
        <v>147</v>
      </c>
      <c r="AM85">
        <v>0.32819999999999999</v>
      </c>
      <c r="AN85" t="s">
        <v>195</v>
      </c>
    </row>
    <row r="86" spans="9:40" ht="14.25">
      <c r="I86" t="s">
        <v>170</v>
      </c>
      <c r="J86" t="s">
        <v>156</v>
      </c>
      <c r="K86">
        <v>0</v>
      </c>
      <c r="L86" t="s">
        <v>153</v>
      </c>
      <c r="N86" t="s">
        <v>180</v>
      </c>
      <c r="O86" t="s">
        <v>156</v>
      </c>
      <c r="P86">
        <v>0.027652149976905283</v>
      </c>
      <c r="Q86" t="s">
        <v>153</v>
      </c>
      <c r="AK86">
        <v>2043</v>
      </c>
      <c r="AL86" t="s">
        <v>149</v>
      </c>
      <c r="AM86">
        <v>0.34432000000000001</v>
      </c>
      <c r="AN86" t="s">
        <v>195</v>
      </c>
    </row>
    <row r="87" spans="9:40" ht="14.25">
      <c r="I87" t="s">
        <v>170</v>
      </c>
      <c r="J87" t="s">
        <v>157</v>
      </c>
      <c r="K87">
        <v>0.10519982091526492</v>
      </c>
      <c r="L87" t="s">
        <v>153</v>
      </c>
      <c r="N87" t="s">
        <v>180</v>
      </c>
      <c r="O87" t="s">
        <v>157</v>
      </c>
      <c r="P87">
        <v>0.046238709338744716</v>
      </c>
      <c r="Q87" t="s">
        <v>153</v>
      </c>
      <c r="AK87">
        <v>2044</v>
      </c>
      <c r="AL87" t="s">
        <v>141</v>
      </c>
      <c r="AM87">
        <v>0.32669999999999999</v>
      </c>
      <c r="AN87" t="s">
        <v>195</v>
      </c>
    </row>
    <row r="88" spans="9:40" ht="14.25">
      <c r="I88" t="s">
        <v>170</v>
      </c>
      <c r="J88" t="s">
        <v>158</v>
      </c>
      <c r="K88">
        <v>0</v>
      </c>
      <c r="L88" t="s">
        <v>153</v>
      </c>
      <c r="N88" t="s">
        <v>180</v>
      </c>
      <c r="O88" t="s">
        <v>158</v>
      </c>
      <c r="P88">
        <v>0.029423186893226025</v>
      </c>
      <c r="Q88" t="s">
        <v>153</v>
      </c>
      <c r="AK88">
        <v>2044</v>
      </c>
      <c r="AL88" t="s">
        <v>145</v>
      </c>
      <c r="AM88">
        <v>0.37060000000000004</v>
      </c>
      <c r="AN88" t="s">
        <v>195</v>
      </c>
    </row>
    <row r="89" spans="9:40" ht="14.25">
      <c r="I89" t="s">
        <v>170</v>
      </c>
      <c r="J89" t="s">
        <v>159</v>
      </c>
      <c r="K89">
        <v>0.00038652756992359465</v>
      </c>
      <c r="L89" t="s">
        <v>153</v>
      </c>
      <c r="N89" t="s">
        <v>180</v>
      </c>
      <c r="O89" t="s">
        <v>159</v>
      </c>
      <c r="P89">
        <v>0.0089650107641226096</v>
      </c>
      <c r="Q89" t="s">
        <v>153</v>
      </c>
      <c r="AK89">
        <v>2044</v>
      </c>
      <c r="AL89" t="s">
        <v>147</v>
      </c>
      <c r="AM89">
        <v>0.41860000000000003</v>
      </c>
      <c r="AN89" t="s">
        <v>195</v>
      </c>
    </row>
    <row r="90" spans="9:40" ht="14.25">
      <c r="I90" t="s">
        <v>170</v>
      </c>
      <c r="J90" t="s">
        <v>160</v>
      </c>
      <c r="K90">
        <v>0.041643923022215951</v>
      </c>
      <c r="L90" t="s">
        <v>153</v>
      </c>
      <c r="N90" t="s">
        <v>180</v>
      </c>
      <c r="O90" t="s">
        <v>160</v>
      </c>
      <c r="P90">
        <v>0.026838459318335391</v>
      </c>
      <c r="Q90" t="s">
        <v>153</v>
      </c>
      <c r="AK90">
        <v>2044</v>
      </c>
      <c r="AL90" t="s">
        <v>149</v>
      </c>
      <c r="AM90">
        <v>0.41027000000000002</v>
      </c>
      <c r="AN90" t="s">
        <v>195</v>
      </c>
    </row>
    <row r="91" spans="9:40" ht="14.25">
      <c r="I91" t="s">
        <v>170</v>
      </c>
      <c r="J91" t="s">
        <v>161</v>
      </c>
      <c r="K91">
        <v>0</v>
      </c>
      <c r="L91" t="s">
        <v>153</v>
      </c>
      <c r="N91" t="s">
        <v>180</v>
      </c>
      <c r="O91" t="s">
        <v>161</v>
      </c>
      <c r="P91">
        <v>0.012323460029106909</v>
      </c>
      <c r="Q91" t="s">
        <v>153</v>
      </c>
      <c r="AK91">
        <v>2045</v>
      </c>
      <c r="AL91" t="s">
        <v>141</v>
      </c>
      <c r="AM91">
        <v>0.3876</v>
      </c>
      <c r="AN91" t="s">
        <v>195</v>
      </c>
    </row>
    <row r="92" spans="9:40" ht="14.25">
      <c r="I92" t="s">
        <v>170</v>
      </c>
      <c r="J92" t="s">
        <v>162</v>
      </c>
      <c r="K92">
        <v>0.018948699696516136</v>
      </c>
      <c r="L92" t="s">
        <v>153</v>
      </c>
      <c r="N92" t="s">
        <v>180</v>
      </c>
      <c r="O92" t="s">
        <v>162</v>
      </c>
      <c r="P92">
        <v>0.18665117543608656</v>
      </c>
      <c r="Q92" t="s">
        <v>153</v>
      </c>
      <c r="AK92">
        <v>2045</v>
      </c>
      <c r="AL92" t="s">
        <v>145</v>
      </c>
      <c r="AM92">
        <v>0.39700000000000002</v>
      </c>
      <c r="AN92" t="s">
        <v>195</v>
      </c>
    </row>
    <row r="93" spans="9:40" ht="14.25">
      <c r="I93" t="s">
        <v>170</v>
      </c>
      <c r="J93" t="s">
        <v>163</v>
      </c>
      <c r="K93">
        <v>0.74479072476141495</v>
      </c>
      <c r="L93" t="s">
        <v>153</v>
      </c>
      <c r="N93" t="s">
        <v>180</v>
      </c>
      <c r="O93" t="s">
        <v>163</v>
      </c>
      <c r="P93">
        <v>0.33726862658715751</v>
      </c>
      <c r="Q93" t="s">
        <v>153</v>
      </c>
      <c r="AK93">
        <v>2045</v>
      </c>
      <c r="AL93" t="s">
        <v>147</v>
      </c>
      <c r="AM93">
        <v>0.40210000000000001</v>
      </c>
      <c r="AN93" t="s">
        <v>195</v>
      </c>
    </row>
    <row r="94" spans="9:40" ht="14.25">
      <c r="I94" t="s">
        <v>170</v>
      </c>
      <c r="J94" t="s">
        <v>164</v>
      </c>
      <c r="K94">
        <v>0.0076633832417110975</v>
      </c>
      <c r="L94" t="s">
        <v>153</v>
      </c>
      <c r="N94" t="s">
        <v>180</v>
      </c>
      <c r="O94" t="s">
        <v>164</v>
      </c>
      <c r="P94">
        <v>0.20690260405789837</v>
      </c>
      <c r="Q94" t="s">
        <v>153</v>
      </c>
      <c r="AK94">
        <v>2045</v>
      </c>
      <c r="AL94" t="s">
        <v>149</v>
      </c>
      <c r="AM94">
        <v>0.40820999999999996</v>
      </c>
      <c r="AN94" t="s">
        <v>195</v>
      </c>
    </row>
    <row r="95" spans="9:40" ht="14.25">
      <c r="I95" t="s">
        <v>171</v>
      </c>
      <c r="J95" t="s">
        <v>152</v>
      </c>
      <c r="K95">
        <v>0</v>
      </c>
      <c r="L95" t="s">
        <v>153</v>
      </c>
      <c r="N95" t="s">
        <v>181</v>
      </c>
      <c r="O95" t="s">
        <v>152</v>
      </c>
      <c r="P95">
        <v>0.035266808313340406</v>
      </c>
      <c r="Q95" t="s">
        <v>153</v>
      </c>
      <c r="AK95">
        <v>2046</v>
      </c>
      <c r="AL95" t="s">
        <v>141</v>
      </c>
      <c r="AM95">
        <v>0.34104999999999996</v>
      </c>
      <c r="AN95" t="s">
        <v>195</v>
      </c>
    </row>
    <row r="96" spans="9:40" ht="14.25">
      <c r="I96" t="s">
        <v>171</v>
      </c>
      <c r="J96" t="s">
        <v>154</v>
      </c>
      <c r="K96">
        <v>0.085653689359300289</v>
      </c>
      <c r="L96" t="s">
        <v>153</v>
      </c>
      <c r="N96" t="s">
        <v>181</v>
      </c>
      <c r="O96" t="s">
        <v>154</v>
      </c>
      <c r="P96">
        <v>0.067854633112011856</v>
      </c>
      <c r="Q96" t="s">
        <v>153</v>
      </c>
      <c r="AK96">
        <v>2046</v>
      </c>
      <c r="AL96" t="s">
        <v>145</v>
      </c>
      <c r="AM96">
        <v>0.36299999999999999</v>
      </c>
      <c r="AN96" t="s">
        <v>195</v>
      </c>
    </row>
    <row r="97" spans="9:40" ht="14.25">
      <c r="I97" t="s">
        <v>171</v>
      </c>
      <c r="J97" t="s">
        <v>155</v>
      </c>
      <c r="K97">
        <v>0</v>
      </c>
      <c r="L97" t="s">
        <v>153</v>
      </c>
      <c r="N97" t="s">
        <v>181</v>
      </c>
      <c r="O97" t="s">
        <v>155</v>
      </c>
      <c r="P97">
        <v>0.027602457958944615</v>
      </c>
      <c r="Q97" t="s">
        <v>153</v>
      </c>
      <c r="AK97">
        <v>2046</v>
      </c>
      <c r="AL97" t="s">
        <v>147</v>
      </c>
      <c r="AM97">
        <v>0.38030000000000003</v>
      </c>
      <c r="AN97" t="s">
        <v>195</v>
      </c>
    </row>
    <row r="98" spans="9:40" ht="14.25">
      <c r="I98" t="s">
        <v>171</v>
      </c>
      <c r="J98" t="s">
        <v>156</v>
      </c>
      <c r="K98">
        <v>0</v>
      </c>
      <c r="L98" t="s">
        <v>153</v>
      </c>
      <c r="N98" t="s">
        <v>181</v>
      </c>
      <c r="O98" t="s">
        <v>156</v>
      </c>
      <c r="P98">
        <v>0.021124658411628163</v>
      </c>
      <c r="Q98" t="s">
        <v>153</v>
      </c>
      <c r="AK98">
        <v>2046</v>
      </c>
      <c r="AL98" t="s">
        <v>149</v>
      </c>
      <c r="AM98">
        <v>0.40318000000000004</v>
      </c>
      <c r="AN98" t="s">
        <v>195</v>
      </c>
    </row>
    <row r="99" spans="9:40" ht="14.25">
      <c r="I99" t="s">
        <v>171</v>
      </c>
      <c r="J99" t="s">
        <v>157</v>
      </c>
      <c r="K99">
        <v>0.10715821731376142</v>
      </c>
      <c r="L99" t="s">
        <v>153</v>
      </c>
      <c r="N99" t="s">
        <v>181</v>
      </c>
      <c r="O99" t="s">
        <v>157</v>
      </c>
      <c r="P99">
        <v>0.049825284150284657</v>
      </c>
      <c r="Q99" t="s">
        <v>153</v>
      </c>
      <c r="AK99">
        <v>2047</v>
      </c>
      <c r="AL99" t="s">
        <v>141</v>
      </c>
      <c r="AM99">
        <v>0.36030000000000001</v>
      </c>
      <c r="AN99" t="s">
        <v>195</v>
      </c>
    </row>
    <row r="100" spans="9:40" ht="14.25">
      <c r="I100" t="s">
        <v>171</v>
      </c>
      <c r="J100" t="s">
        <v>158</v>
      </c>
      <c r="K100">
        <v>0</v>
      </c>
      <c r="L100" t="s">
        <v>153</v>
      </c>
      <c r="N100" t="s">
        <v>181</v>
      </c>
      <c r="O100" t="s">
        <v>158</v>
      </c>
      <c r="P100">
        <v>0.024594823645221257</v>
      </c>
      <c r="Q100" t="s">
        <v>153</v>
      </c>
      <c r="AK100">
        <v>2047</v>
      </c>
      <c r="AL100" t="s">
        <v>145</v>
      </c>
      <c r="AM100">
        <v>0.379</v>
      </c>
      <c r="AN100" t="s">
        <v>195</v>
      </c>
    </row>
    <row r="101" spans="9:40" ht="14.25">
      <c r="I101" t="s">
        <v>171</v>
      </c>
      <c r="J101" t="s">
        <v>159</v>
      </c>
      <c r="K101">
        <v>0.00038231097105658466</v>
      </c>
      <c r="L101" t="s">
        <v>153</v>
      </c>
      <c r="N101" t="s">
        <v>181</v>
      </c>
      <c r="O101" t="s">
        <v>159</v>
      </c>
      <c r="P101">
        <v>0.010083490991007964</v>
      </c>
      <c r="Q101" t="s">
        <v>153</v>
      </c>
      <c r="AK101">
        <v>2047</v>
      </c>
      <c r="AL101" t="s">
        <v>147</v>
      </c>
      <c r="AM101">
        <v>0.38109999999999999</v>
      </c>
      <c r="AN101" t="s">
        <v>195</v>
      </c>
    </row>
    <row r="102" spans="9:40" ht="14.25">
      <c r="I102" t="s">
        <v>171</v>
      </c>
      <c r="J102" t="s">
        <v>160</v>
      </c>
      <c r="K102">
        <v>0.041744620975940783</v>
      </c>
      <c r="L102" t="s">
        <v>153</v>
      </c>
      <c r="N102" t="s">
        <v>181</v>
      </c>
      <c r="O102" t="s">
        <v>160</v>
      </c>
      <c r="P102">
        <v>0.029093246874136017</v>
      </c>
      <c r="Q102" t="s">
        <v>153</v>
      </c>
      <c r="AK102">
        <v>2047</v>
      </c>
      <c r="AL102" t="s">
        <v>149</v>
      </c>
      <c r="AM102">
        <v>0.39679000000000003</v>
      </c>
      <c r="AN102" t="s">
        <v>195</v>
      </c>
    </row>
    <row r="103" spans="9:40" ht="14.25">
      <c r="I103" t="s">
        <v>171</v>
      </c>
      <c r="J103" t="s">
        <v>161</v>
      </c>
      <c r="K103">
        <v>0</v>
      </c>
      <c r="L103" t="s">
        <v>153</v>
      </c>
      <c r="N103" t="s">
        <v>181</v>
      </c>
      <c r="O103" t="s">
        <v>161</v>
      </c>
      <c r="P103">
        <v>0.0078169247868308984</v>
      </c>
      <c r="Q103" t="s">
        <v>153</v>
      </c>
      <c r="AK103">
        <v>2048</v>
      </c>
      <c r="AL103" t="s">
        <v>141</v>
      </c>
      <c r="AM103">
        <v>0.34720000000000001</v>
      </c>
      <c r="AN103" t="s">
        <v>195</v>
      </c>
    </row>
    <row r="104" spans="9:40" ht="14.25">
      <c r="I104" t="s">
        <v>171</v>
      </c>
      <c r="J104" t="s">
        <v>162</v>
      </c>
      <c r="K104">
        <v>0.018567658359577514</v>
      </c>
      <c r="L104" t="s">
        <v>153</v>
      </c>
      <c r="N104" t="s">
        <v>181</v>
      </c>
      <c r="O104" t="s">
        <v>162</v>
      </c>
      <c r="P104">
        <v>0.15003659289201485</v>
      </c>
      <c r="Q104" t="s">
        <v>153</v>
      </c>
      <c r="AK104">
        <v>2048</v>
      </c>
      <c r="AL104" t="s">
        <v>145</v>
      </c>
      <c r="AM104">
        <v>0.37065000000000003</v>
      </c>
      <c r="AN104" t="s">
        <v>195</v>
      </c>
    </row>
    <row r="105" spans="9:40" ht="14.25">
      <c r="I105" t="s">
        <v>171</v>
      </c>
      <c r="J105" t="s">
        <v>163</v>
      </c>
      <c r="K105">
        <v>0.73998992425333976</v>
      </c>
      <c r="L105" t="s">
        <v>153</v>
      </c>
      <c r="N105" t="s">
        <v>181</v>
      </c>
      <c r="O105" t="s">
        <v>163</v>
      </c>
      <c r="P105">
        <v>0.37457417179059466</v>
      </c>
      <c r="Q105" t="s">
        <v>153</v>
      </c>
      <c r="AK105">
        <v>2048</v>
      </c>
      <c r="AL105" t="s">
        <v>147</v>
      </c>
      <c r="AM105">
        <v>0.3846</v>
      </c>
      <c r="AN105" t="s">
        <v>195</v>
      </c>
    </row>
    <row r="106" spans="9:40" ht="14.25">
      <c r="I106" t="s">
        <v>171</v>
      </c>
      <c r="J106" t="s">
        <v>164</v>
      </c>
      <c r="K106">
        <v>0.0065035787670238206</v>
      </c>
      <c r="L106" t="s">
        <v>153</v>
      </c>
      <c r="N106" t="s">
        <v>181</v>
      </c>
      <c r="O106" t="s">
        <v>164</v>
      </c>
      <c r="P106">
        <v>0.20212690707398531</v>
      </c>
      <c r="Q106" t="s">
        <v>153</v>
      </c>
      <c r="AK106">
        <v>2048</v>
      </c>
      <c r="AL106" t="s">
        <v>149</v>
      </c>
      <c r="AM106">
        <v>0.39743000000000006</v>
      </c>
      <c r="AN106" t="s">
        <v>195</v>
      </c>
    </row>
    <row r="107" spans="9:40" ht="14.25">
      <c r="I107" t="s">
        <v>172</v>
      </c>
      <c r="J107" t="s">
        <v>152</v>
      </c>
      <c r="K107">
        <v>0</v>
      </c>
      <c r="L107" t="s">
        <v>153</v>
      </c>
      <c r="N107" t="s">
        <v>182</v>
      </c>
      <c r="O107" t="s">
        <v>152</v>
      </c>
      <c r="P107">
        <v>0.032620850625066422</v>
      </c>
      <c r="Q107" t="s">
        <v>153</v>
      </c>
      <c r="AK107">
        <v>2049</v>
      </c>
      <c r="AL107" t="s">
        <v>141</v>
      </c>
      <c r="AM107">
        <v>0.39829999999999999</v>
      </c>
      <c r="AN107" t="s">
        <v>195</v>
      </c>
    </row>
    <row r="108" spans="9:40" ht="14.25">
      <c r="I108" t="s">
        <v>172</v>
      </c>
      <c r="J108" t="s">
        <v>154</v>
      </c>
      <c r="K108">
        <v>0.082340047753698367</v>
      </c>
      <c r="L108" t="s">
        <v>153</v>
      </c>
      <c r="N108" t="s">
        <v>182</v>
      </c>
      <c r="O108" t="s">
        <v>154</v>
      </c>
      <c r="P108">
        <v>0.044689268199071805</v>
      </c>
      <c r="Q108" t="s">
        <v>153</v>
      </c>
      <c r="AK108">
        <v>2049</v>
      </c>
      <c r="AL108" t="s">
        <v>145</v>
      </c>
      <c r="AM108">
        <v>0.43204999999999999</v>
      </c>
      <c r="AN108" t="s">
        <v>195</v>
      </c>
    </row>
    <row r="109" spans="9:40" ht="14.25">
      <c r="I109" t="s">
        <v>172</v>
      </c>
      <c r="J109" t="s">
        <v>155</v>
      </c>
      <c r="K109">
        <v>0</v>
      </c>
      <c r="L109" t="s">
        <v>153</v>
      </c>
      <c r="N109" t="s">
        <v>182</v>
      </c>
      <c r="O109" t="s">
        <v>155</v>
      </c>
      <c r="P109">
        <v>0.031307414110474441</v>
      </c>
      <c r="Q109" t="s">
        <v>153</v>
      </c>
      <c r="AK109">
        <v>2049</v>
      </c>
      <c r="AL109" t="s">
        <v>147</v>
      </c>
      <c r="AM109">
        <v>0.47639999999999999</v>
      </c>
      <c r="AN109" t="s">
        <v>195</v>
      </c>
    </row>
    <row r="110" spans="9:40" ht="14.25">
      <c r="I110" t="s">
        <v>172</v>
      </c>
      <c r="J110" t="s">
        <v>156</v>
      </c>
      <c r="K110">
        <v>0</v>
      </c>
      <c r="L110" t="s">
        <v>153</v>
      </c>
      <c r="N110" t="s">
        <v>182</v>
      </c>
      <c r="O110" t="s">
        <v>156</v>
      </c>
      <c r="P110">
        <v>0.035695861938524552</v>
      </c>
      <c r="Q110" t="s">
        <v>153</v>
      </c>
      <c r="AK110">
        <v>2049</v>
      </c>
      <c r="AL110" t="s">
        <v>149</v>
      </c>
      <c r="AM110">
        <v>0.46732000000000007</v>
      </c>
      <c r="AN110" t="s">
        <v>195</v>
      </c>
    </row>
    <row r="111" spans="9:40" ht="14.25">
      <c r="I111" t="s">
        <v>172</v>
      </c>
      <c r="J111" t="s">
        <v>157</v>
      </c>
      <c r="K111">
        <v>0.10454715782585987</v>
      </c>
      <c r="L111" t="s">
        <v>153</v>
      </c>
      <c r="N111" t="s">
        <v>182</v>
      </c>
      <c r="O111" t="s">
        <v>157</v>
      </c>
      <c r="P111">
        <v>0.035745229834386348</v>
      </c>
      <c r="Q111" t="s">
        <v>153</v>
      </c>
      <c r="AK111">
        <v>2050</v>
      </c>
      <c r="AL111" t="s">
        <v>141</v>
      </c>
      <c r="AM111">
        <v>0.43230000000000002</v>
      </c>
      <c r="AN111" t="s">
        <v>195</v>
      </c>
    </row>
    <row r="112" spans="9:40" ht="14.25">
      <c r="I112" t="s">
        <v>172</v>
      </c>
      <c r="J112" t="s">
        <v>158</v>
      </c>
      <c r="K112">
        <v>0</v>
      </c>
      <c r="L112" t="s">
        <v>153</v>
      </c>
      <c r="N112" t="s">
        <v>182</v>
      </c>
      <c r="O112" t="s">
        <v>158</v>
      </c>
      <c r="P112">
        <v>0.033873734709242098</v>
      </c>
      <c r="Q112" t="s">
        <v>153</v>
      </c>
      <c r="AK112">
        <v>2050</v>
      </c>
      <c r="AL112" t="s">
        <v>145</v>
      </c>
      <c r="AM112">
        <v>0.46965000000000001</v>
      </c>
      <c r="AN112" t="s">
        <v>195</v>
      </c>
    </row>
    <row r="113" spans="9:40" ht="14.25">
      <c r="I113" t="s">
        <v>172</v>
      </c>
      <c r="J113" t="s">
        <v>159</v>
      </c>
      <c r="K113">
        <v>0.00010680746829390533</v>
      </c>
      <c r="L113" t="s">
        <v>153</v>
      </c>
      <c r="N113" t="s">
        <v>182</v>
      </c>
      <c r="O113" t="s">
        <v>159</v>
      </c>
      <c r="P113">
        <v>0.014837173298289175</v>
      </c>
      <c r="Q113" t="s">
        <v>153</v>
      </c>
      <c r="AK113">
        <v>2050</v>
      </c>
      <c r="AL113" t="s">
        <v>147</v>
      </c>
      <c r="AM113">
        <v>0.4985</v>
      </c>
      <c r="AN113" t="s">
        <v>195</v>
      </c>
    </row>
    <row r="114" spans="9:40" ht="14.25">
      <c r="I114" t="s">
        <v>172</v>
      </c>
      <c r="J114" t="s">
        <v>160</v>
      </c>
      <c r="K114">
        <v>0.040802855210794187</v>
      </c>
      <c r="L114" t="s">
        <v>153</v>
      </c>
      <c r="N114" t="s">
        <v>182</v>
      </c>
      <c r="O114" t="s">
        <v>160</v>
      </c>
      <c r="P114">
        <v>0.020412989558541872</v>
      </c>
      <c r="Q114" t="s">
        <v>153</v>
      </c>
      <c r="AK114">
        <v>2050</v>
      </c>
      <c r="AL114" t="s">
        <v>149</v>
      </c>
      <c r="AM114">
        <v>0.46578999999999998</v>
      </c>
      <c r="AN114" t="s">
        <v>195</v>
      </c>
    </row>
    <row r="115" spans="9:17" ht="14.25">
      <c r="I115" t="s">
        <v>172</v>
      </c>
      <c r="J115" t="s">
        <v>161</v>
      </c>
      <c r="K115">
        <v>0</v>
      </c>
      <c r="L115" t="s">
        <v>153</v>
      </c>
      <c r="N115" t="s">
        <v>182</v>
      </c>
      <c r="O115" t="s">
        <v>161</v>
      </c>
      <c r="P115">
        <v>0.012191970364760914</v>
      </c>
      <c r="Q115" t="s">
        <v>153</v>
      </c>
    </row>
    <row r="116" spans="9:17" ht="14.25">
      <c r="I116" t="s">
        <v>172</v>
      </c>
      <c r="J116" t="s">
        <v>162</v>
      </c>
      <c r="K116">
        <v>0.016649639661482474</v>
      </c>
      <c r="L116" t="s">
        <v>153</v>
      </c>
      <c r="N116" t="s">
        <v>182</v>
      </c>
      <c r="O116" t="s">
        <v>162</v>
      </c>
      <c r="P116">
        <v>0.21736922763734043</v>
      </c>
      <c r="Q116" t="s">
        <v>153</v>
      </c>
    </row>
    <row r="117" spans="9:17" ht="14.25">
      <c r="I117" t="s">
        <v>172</v>
      </c>
      <c r="J117" t="s">
        <v>163</v>
      </c>
      <c r="K117">
        <v>0.74732248240625909</v>
      </c>
      <c r="L117" t="s">
        <v>153</v>
      </c>
      <c r="N117" t="s">
        <v>182</v>
      </c>
      <c r="O117" t="s">
        <v>163</v>
      </c>
      <c r="P117">
        <v>0.25201975100800805</v>
      </c>
      <c r="Q117" t="s">
        <v>153</v>
      </c>
    </row>
    <row r="118" spans="9:17" ht="14.25">
      <c r="I118" t="s">
        <v>172</v>
      </c>
      <c r="J118" t="s">
        <v>164</v>
      </c>
      <c r="K118">
        <v>0.0082310096736118669</v>
      </c>
      <c r="L118" t="s">
        <v>153</v>
      </c>
      <c r="N118" t="s">
        <v>182</v>
      </c>
      <c r="O118" t="s">
        <v>164</v>
      </c>
      <c r="P118">
        <v>0.26923652871629439</v>
      </c>
      <c r="Q118" t="s">
        <v>153</v>
      </c>
    </row>
    <row r="119" spans="9:17" ht="14.25">
      <c r="I119" t="s">
        <v>173</v>
      </c>
      <c r="J119" t="s">
        <v>152</v>
      </c>
      <c r="K119">
        <v>0</v>
      </c>
      <c r="L119" t="s">
        <v>153</v>
      </c>
      <c r="N119" t="s">
        <v>183</v>
      </c>
      <c r="O119" t="s">
        <v>152</v>
      </c>
      <c r="P119">
        <v>0.033156945564590826</v>
      </c>
      <c r="Q119" t="s">
        <v>153</v>
      </c>
    </row>
    <row r="120" spans="9:17" ht="14.25">
      <c r="I120" t="s">
        <v>173</v>
      </c>
      <c r="J120" t="s">
        <v>154</v>
      </c>
      <c r="K120">
        <v>0.086018045213165709</v>
      </c>
      <c r="L120" t="s">
        <v>153</v>
      </c>
      <c r="N120" t="s">
        <v>183</v>
      </c>
      <c r="O120" t="s">
        <v>154</v>
      </c>
      <c r="P120">
        <v>0.055180232772092525</v>
      </c>
      <c r="Q120" t="s">
        <v>153</v>
      </c>
    </row>
    <row r="121" spans="9:17" ht="14.25">
      <c r="I121" t="s">
        <v>173</v>
      </c>
      <c r="J121" t="s">
        <v>155</v>
      </c>
      <c r="K121">
        <v>0</v>
      </c>
      <c r="L121" t="s">
        <v>153</v>
      </c>
      <c r="N121" t="s">
        <v>183</v>
      </c>
      <c r="O121" t="s">
        <v>155</v>
      </c>
      <c r="P121">
        <v>0.029602559783529686</v>
      </c>
      <c r="Q121" t="s">
        <v>153</v>
      </c>
    </row>
    <row r="122" spans="9:17" ht="14.25">
      <c r="I122" t="s">
        <v>173</v>
      </c>
      <c r="J122" t="s">
        <v>156</v>
      </c>
      <c r="K122">
        <v>0</v>
      </c>
      <c r="L122" t="s">
        <v>153</v>
      </c>
      <c r="N122" t="s">
        <v>183</v>
      </c>
      <c r="O122" t="s">
        <v>156</v>
      </c>
      <c r="P122">
        <v>0.027595164953416258</v>
      </c>
      <c r="Q122" t="s">
        <v>153</v>
      </c>
    </row>
    <row r="123" spans="9:17" ht="14.25">
      <c r="I123" t="s">
        <v>173</v>
      </c>
      <c r="J123" t="s">
        <v>157</v>
      </c>
      <c r="K123">
        <v>0.10508197473412889</v>
      </c>
      <c r="L123" t="s">
        <v>153</v>
      </c>
      <c r="N123" t="s">
        <v>183</v>
      </c>
      <c r="O123" t="s">
        <v>157</v>
      </c>
      <c r="P123">
        <v>0.042508553689165798</v>
      </c>
      <c r="Q123" t="s">
        <v>153</v>
      </c>
    </row>
    <row r="124" spans="9:17" ht="14.25">
      <c r="I124" t="s">
        <v>173</v>
      </c>
      <c r="J124" t="s">
        <v>158</v>
      </c>
      <c r="K124">
        <v>0</v>
      </c>
      <c r="L124" t="s">
        <v>153</v>
      </c>
      <c r="N124" t="s">
        <v>183</v>
      </c>
      <c r="O124" t="s">
        <v>158</v>
      </c>
      <c r="P124">
        <v>0.033992088043491846</v>
      </c>
      <c r="Q124" t="s">
        <v>153</v>
      </c>
    </row>
    <row r="125" spans="9:17" ht="14.25">
      <c r="I125" t="s">
        <v>173</v>
      </c>
      <c r="J125" t="s">
        <v>159</v>
      </c>
      <c r="K125">
        <v>0.00014127909523310148</v>
      </c>
      <c r="L125" t="s">
        <v>153</v>
      </c>
      <c r="N125" t="s">
        <v>183</v>
      </c>
      <c r="O125" t="s">
        <v>159</v>
      </c>
      <c r="P125">
        <v>0.01349823474053057</v>
      </c>
      <c r="Q125" t="s">
        <v>153</v>
      </c>
    </row>
    <row r="126" spans="9:17" ht="14.25">
      <c r="I126" t="s">
        <v>173</v>
      </c>
      <c r="J126" t="s">
        <v>160</v>
      </c>
      <c r="K126">
        <v>0.042019661967273185</v>
      </c>
      <c r="L126" t="s">
        <v>153</v>
      </c>
      <c r="N126" t="s">
        <v>183</v>
      </c>
      <c r="O126" t="s">
        <v>160</v>
      </c>
      <c r="P126">
        <v>0.024670265659416924</v>
      </c>
      <c r="Q126" t="s">
        <v>153</v>
      </c>
    </row>
    <row r="127" spans="9:17" ht="14.25">
      <c r="I127" t="s">
        <v>173</v>
      </c>
      <c r="J127" t="s">
        <v>161</v>
      </c>
      <c r="K127">
        <v>0</v>
      </c>
      <c r="L127" t="s">
        <v>153</v>
      </c>
      <c r="N127" t="s">
        <v>183</v>
      </c>
      <c r="O127" t="s">
        <v>161</v>
      </c>
      <c r="P127">
        <v>0.012564792238953305</v>
      </c>
      <c r="Q127" t="s">
        <v>153</v>
      </c>
    </row>
    <row r="128" spans="9:17" ht="14.25">
      <c r="I128" t="s">
        <v>173</v>
      </c>
      <c r="J128" t="s">
        <v>162</v>
      </c>
      <c r="K128">
        <v>0.016645110750342161</v>
      </c>
      <c r="L128" t="s">
        <v>153</v>
      </c>
      <c r="N128" t="s">
        <v>183</v>
      </c>
      <c r="O128" t="s">
        <v>162</v>
      </c>
      <c r="P128">
        <v>0.18035881488584116</v>
      </c>
      <c r="Q128" t="s">
        <v>153</v>
      </c>
    </row>
    <row r="129" spans="9:17" ht="14.25">
      <c r="I129" t="s">
        <v>173</v>
      </c>
      <c r="J129" t="s">
        <v>163</v>
      </c>
      <c r="K129">
        <v>0.74276157141760346</v>
      </c>
      <c r="L129" t="s">
        <v>153</v>
      </c>
      <c r="N129" t="s">
        <v>183</v>
      </c>
      <c r="O129" t="s">
        <v>163</v>
      </c>
      <c r="P129">
        <v>0.30237708342903069</v>
      </c>
      <c r="Q129" t="s">
        <v>153</v>
      </c>
    </row>
    <row r="130" spans="9:17" ht="14.25">
      <c r="I130" t="s">
        <v>173</v>
      </c>
      <c r="J130" t="s">
        <v>164</v>
      </c>
      <c r="K130">
        <v>0.0073323568222530356</v>
      </c>
      <c r="L130" t="s">
        <v>153</v>
      </c>
      <c r="N130" t="s">
        <v>183</v>
      </c>
      <c r="O130" t="s">
        <v>164</v>
      </c>
      <c r="P130">
        <v>0.24449526423993859</v>
      </c>
      <c r="Q130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D8CE38-3520-40A5-A4EE-07398C5B0E42}">
  <dimension ref="A9:AN26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124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196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0.075511163122833444</v>
      </c>
      <c r="L13" t="s">
        <v>153</v>
      </c>
      <c r="N13" t="s">
        <v>174</v>
      </c>
      <c r="O13" t="s">
        <v>155</v>
      </c>
      <c r="P13">
        <v>0.033851567869068566</v>
      </c>
      <c r="Q13" t="s">
        <v>153</v>
      </c>
      <c r="S13" t="s">
        <v>184</v>
      </c>
      <c r="T13" t="s">
        <v>155</v>
      </c>
      <c r="U13">
        <v>0.038140963914336107</v>
      </c>
      <c r="V13" t="s">
        <v>153</v>
      </c>
      <c r="X13">
        <v>0.033904109589041095</v>
      </c>
      <c r="Y13">
        <v>0.046468935683564146</v>
      </c>
      <c r="Z13" t="s">
        <v>155</v>
      </c>
      <c r="AA13" t="s">
        <v>25</v>
      </c>
      <c r="AC13" t="s">
        <v>22</v>
      </c>
      <c r="AD13" t="s">
        <v>155</v>
      </c>
      <c r="AE13">
        <v>0.029236020469008646</v>
      </c>
      <c r="AG13" t="s">
        <v>96</v>
      </c>
      <c r="AH13" t="s">
        <v>155</v>
      </c>
      <c r="AI13">
        <v>0.1453187030078209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0.0041683898730753774</v>
      </c>
      <c r="L14" t="s">
        <v>153</v>
      </c>
      <c r="N14" t="s">
        <v>174</v>
      </c>
      <c r="O14" t="s">
        <v>200</v>
      </c>
      <c r="P14">
        <v>0.0035995211062590056</v>
      </c>
      <c r="Q14" t="s">
        <v>153</v>
      </c>
      <c r="S14" t="s">
        <v>184</v>
      </c>
      <c r="T14" t="s">
        <v>200</v>
      </c>
      <c r="U14">
        <v>0.0033777894702175077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0.003430084725187613</v>
      </c>
      <c r="AG14" t="s">
        <v>96</v>
      </c>
      <c r="AH14" t="s">
        <v>200</v>
      </c>
      <c r="AI14">
        <v>0.058595626229335895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</v>
      </c>
      <c r="L15" t="s">
        <v>153</v>
      </c>
      <c r="N15" t="s">
        <v>174</v>
      </c>
      <c r="O15" t="s">
        <v>201</v>
      </c>
      <c r="P15">
        <v>0.025427076103595715</v>
      </c>
      <c r="Q15" t="s">
        <v>153</v>
      </c>
      <c r="S15" t="s">
        <v>184</v>
      </c>
      <c r="T15" t="s">
        <v>201</v>
      </c>
      <c r="U15">
        <v>0.021459281805416196</v>
      </c>
      <c r="V15" t="s">
        <v>153</v>
      </c>
      <c r="X15">
        <v>0.022602739726027398</v>
      </c>
      <c r="Y15">
        <v>0.019909007284389532</v>
      </c>
      <c r="Z15" t="s">
        <v>201</v>
      </c>
      <c r="AA15" t="s">
        <v>25</v>
      </c>
      <c r="AC15" t="s">
        <v>22</v>
      </c>
      <c r="AD15" t="s">
        <v>201</v>
      </c>
      <c r="AE15">
        <v>0.019515974815122693</v>
      </c>
      <c r="AG15" t="s">
        <v>96</v>
      </c>
      <c r="AH15" t="s">
        <v>201</v>
      </c>
      <c r="AI15">
        <v>0.11317476155348416</v>
      </c>
      <c r="AK15">
        <v>2025</v>
      </c>
      <c r="AL15" t="s">
        <v>198</v>
      </c>
      <c r="AM15">
        <v>0.40786</v>
      </c>
      <c r="AN15" t="s">
        <v>195</v>
      </c>
    </row>
    <row r="16" spans="9:40" ht="14.25">
      <c r="I16" t="s">
        <v>151</v>
      </c>
      <c r="J16" t="s">
        <v>156</v>
      </c>
      <c r="K16">
        <v>0</v>
      </c>
      <c r="L16" t="s">
        <v>153</v>
      </c>
      <c r="N16" t="s">
        <v>174</v>
      </c>
      <c r="O16" t="s">
        <v>156</v>
      </c>
      <c r="P16">
        <v>0.03252030266587936</v>
      </c>
      <c r="Q16" t="s">
        <v>153</v>
      </c>
      <c r="S16" t="s">
        <v>184</v>
      </c>
      <c r="T16" t="s">
        <v>156</v>
      </c>
      <c r="U16">
        <v>0.036591759025472619</v>
      </c>
      <c r="V16" t="s">
        <v>153</v>
      </c>
      <c r="X16">
        <v>0.028767123287671233</v>
      </c>
      <c r="Y16">
        <v>0.011360664296546754</v>
      </c>
      <c r="Z16" t="s">
        <v>156</v>
      </c>
      <c r="AA16" t="s">
        <v>25</v>
      </c>
      <c r="AC16" t="s">
        <v>22</v>
      </c>
      <c r="AD16" t="s">
        <v>156</v>
      </c>
      <c r="AE16">
        <v>0.017561990343765283</v>
      </c>
      <c r="AG16" t="s">
        <v>96</v>
      </c>
      <c r="AH16" t="s">
        <v>156</v>
      </c>
      <c r="AI16">
        <v>0.17039265136642556</v>
      </c>
      <c r="AK16">
        <v>2026</v>
      </c>
      <c r="AL16" t="s">
        <v>141</v>
      </c>
      <c r="AM16">
        <v>0.38345000000000001</v>
      </c>
      <c r="AN16" t="s">
        <v>195</v>
      </c>
    </row>
    <row r="17" spans="9:40" ht="14.25">
      <c r="I17" t="s">
        <v>151</v>
      </c>
      <c r="J17" t="s">
        <v>157</v>
      </c>
      <c r="K17">
        <v>0.0041653723672128969</v>
      </c>
      <c r="L17" t="s">
        <v>153</v>
      </c>
      <c r="N17" t="s">
        <v>174</v>
      </c>
      <c r="O17" t="s">
        <v>157</v>
      </c>
      <c r="P17">
        <v>0.0048721154379759756</v>
      </c>
      <c r="Q17" t="s">
        <v>153</v>
      </c>
      <c r="S17" t="s">
        <v>184</v>
      </c>
      <c r="T17" t="s">
        <v>157</v>
      </c>
      <c r="U17">
        <v>0.0056681115628035069</v>
      </c>
      <c r="V17" t="s">
        <v>153</v>
      </c>
      <c r="X17">
        <v>0.00410958904109589</v>
      </c>
      <c r="Y17">
        <v>0.0068617457673470408</v>
      </c>
      <c r="Z17" t="s">
        <v>157</v>
      </c>
      <c r="AA17" t="s">
        <v>25</v>
      </c>
      <c r="AC17" t="s">
        <v>22</v>
      </c>
      <c r="AD17" t="s">
        <v>157</v>
      </c>
      <c r="AE17">
        <v>0.0030556155653790745</v>
      </c>
      <c r="AG17" t="s">
        <v>96</v>
      </c>
      <c r="AH17" t="s">
        <v>157</v>
      </c>
      <c r="AI17">
        <v>0.11772628225492521</v>
      </c>
      <c r="AK17">
        <v>2026</v>
      </c>
      <c r="AL17" t="s">
        <v>145</v>
      </c>
      <c r="AM17">
        <v>0.40485000000000004</v>
      </c>
      <c r="AN17" t="s">
        <v>195</v>
      </c>
    </row>
    <row r="18" spans="9:40" ht="14.25">
      <c r="I18" t="s">
        <v>151</v>
      </c>
      <c r="J18" t="s">
        <v>158</v>
      </c>
      <c r="K18">
        <v>0.093774263486530687</v>
      </c>
      <c r="L18" t="s">
        <v>153</v>
      </c>
      <c r="N18" t="s">
        <v>174</v>
      </c>
      <c r="O18" t="s">
        <v>158</v>
      </c>
      <c r="P18">
        <v>0.034345892673409664</v>
      </c>
      <c r="Q18" t="s">
        <v>153</v>
      </c>
      <c r="S18" t="s">
        <v>184</v>
      </c>
      <c r="T18" t="s">
        <v>158</v>
      </c>
      <c r="U18">
        <v>0.039910487301291223</v>
      </c>
      <c r="V18" t="s">
        <v>153</v>
      </c>
      <c r="X18">
        <v>0.036986301369863014</v>
      </c>
      <c r="Y18">
        <v>0.050693384382069967</v>
      </c>
      <c r="Z18" t="s">
        <v>158</v>
      </c>
      <c r="AA18" t="s">
        <v>25</v>
      </c>
      <c r="AC18" t="s">
        <v>22</v>
      </c>
      <c r="AD18" t="s">
        <v>158</v>
      </c>
      <c r="AE18">
        <v>0.031863926354828119</v>
      </c>
      <c r="AG18" t="s">
        <v>96</v>
      </c>
      <c r="AH18" t="s">
        <v>158</v>
      </c>
      <c r="AI18">
        <v>0.09583989214163835</v>
      </c>
      <c r="AK18">
        <v>2026</v>
      </c>
      <c r="AL18" t="s">
        <v>147</v>
      </c>
      <c r="AM18">
        <v>0.42630000000000001</v>
      </c>
      <c r="AN18" t="s">
        <v>195</v>
      </c>
    </row>
    <row r="19" spans="9:40" ht="14.25">
      <c r="I19" t="s">
        <v>151</v>
      </c>
      <c r="J19" t="s">
        <v>202</v>
      </c>
      <c r="K19">
        <v>0.0063229906997492608</v>
      </c>
      <c r="L19" t="s">
        <v>153</v>
      </c>
      <c r="N19" t="s">
        <v>174</v>
      </c>
      <c r="O19" t="s">
        <v>202</v>
      </c>
      <c r="P19">
        <v>0.0031533659893066626</v>
      </c>
      <c r="Q19" t="s">
        <v>153</v>
      </c>
      <c r="S19" t="s">
        <v>184</v>
      </c>
      <c r="T19" t="s">
        <v>202</v>
      </c>
      <c r="U19">
        <v>0.0040661135296477984</v>
      </c>
      <c r="V19" t="s">
        <v>153</v>
      </c>
      <c r="X19">
        <v>0.00410958904109589</v>
      </c>
      <c r="Y19">
        <v>0.0079954255028217708</v>
      </c>
      <c r="Z19" t="s">
        <v>202</v>
      </c>
      <c r="AA19" t="s">
        <v>25</v>
      </c>
      <c r="AC19" t="s">
        <v>22</v>
      </c>
      <c r="AD19" t="s">
        <v>202</v>
      </c>
      <c r="AE19">
        <v>0.0037404690323123847</v>
      </c>
      <c r="AG19" t="s">
        <v>96</v>
      </c>
      <c r="AH19" t="s">
        <v>202</v>
      </c>
      <c r="AI19">
        <v>0.067706773215817861</v>
      </c>
      <c r="AK19">
        <v>2026</v>
      </c>
      <c r="AL19" t="s">
        <v>149</v>
      </c>
      <c r="AM19">
        <v>0.42630000000000001</v>
      </c>
      <c r="AN19" t="s">
        <v>195</v>
      </c>
    </row>
    <row r="20" spans="9:40" ht="14.25">
      <c r="I20" t="s">
        <v>151</v>
      </c>
      <c r="J20" t="s">
        <v>203</v>
      </c>
      <c r="K20">
        <v>0.00033329258391800597</v>
      </c>
      <c r="L20" t="s">
        <v>153</v>
      </c>
      <c r="N20" t="s">
        <v>174</v>
      </c>
      <c r="O20" t="s">
        <v>203</v>
      </c>
      <c r="P20">
        <v>0.024429197508117579</v>
      </c>
      <c r="Q20" t="s">
        <v>153</v>
      </c>
      <c r="S20" t="s">
        <v>184</v>
      </c>
      <c r="T20" t="s">
        <v>203</v>
      </c>
      <c r="U20">
        <v>0.026237139629506388</v>
      </c>
      <c r="V20" t="s">
        <v>153</v>
      </c>
      <c r="X20">
        <v>0.024657534246575342</v>
      </c>
      <c r="Y20">
        <v>0.021718917037515849</v>
      </c>
      <c r="Z20" t="s">
        <v>203</v>
      </c>
      <c r="AA20" t="s">
        <v>25</v>
      </c>
      <c r="AC20" t="s">
        <v>22</v>
      </c>
      <c r="AD20" t="s">
        <v>203</v>
      </c>
      <c r="AE20">
        <v>0.021385252349366998</v>
      </c>
      <c r="AG20" t="s">
        <v>96</v>
      </c>
      <c r="AH20" t="s">
        <v>203</v>
      </c>
      <c r="AI20">
        <v>0.14972016751673034</v>
      </c>
      <c r="AK20">
        <v>2026</v>
      </c>
      <c r="AL20" t="s">
        <v>198</v>
      </c>
      <c r="AM20">
        <v>0.41719000000000001</v>
      </c>
      <c r="AN20" t="s">
        <v>195</v>
      </c>
    </row>
    <row r="21" spans="9:40" ht="14.25">
      <c r="I21" t="s">
        <v>151</v>
      </c>
      <c r="J21" t="s">
        <v>159</v>
      </c>
      <c r="K21">
        <v>0</v>
      </c>
      <c r="L21" t="s">
        <v>153</v>
      </c>
      <c r="N21" t="s">
        <v>174</v>
      </c>
      <c r="O21" t="s">
        <v>159</v>
      </c>
      <c r="P21">
        <v>0.011759829769369748</v>
      </c>
      <c r="Q21" t="s">
        <v>153</v>
      </c>
      <c r="S21" t="s">
        <v>184</v>
      </c>
      <c r="T21" t="s">
        <v>159</v>
      </c>
      <c r="U21">
        <v>0.0080208779736630174</v>
      </c>
      <c r="V21" t="s">
        <v>153</v>
      </c>
      <c r="X21">
        <v>0.0079908675799086754</v>
      </c>
      <c r="Y21">
        <v>0.0031557400823740982</v>
      </c>
      <c r="Z21" t="s">
        <v>159</v>
      </c>
      <c r="AA21" t="s">
        <v>25</v>
      </c>
      <c r="AC21" t="s">
        <v>22</v>
      </c>
      <c r="AD21" t="s">
        <v>159</v>
      </c>
      <c r="AE21">
        <v>0.004861749949134052</v>
      </c>
      <c r="AG21" t="s">
        <v>96</v>
      </c>
      <c r="AH21" t="s">
        <v>159</v>
      </c>
      <c r="AI21">
        <v>0.10593493028244549</v>
      </c>
      <c r="AK21">
        <v>2027</v>
      </c>
      <c r="AL21" t="s">
        <v>141</v>
      </c>
      <c r="AM21">
        <v>0.37134999999999996</v>
      </c>
      <c r="AN21" t="s">
        <v>195</v>
      </c>
    </row>
    <row r="22" spans="9:40" ht="14.25">
      <c r="I22" t="s">
        <v>151</v>
      </c>
      <c r="J22" t="s">
        <v>160</v>
      </c>
      <c r="K22">
        <v>0.001298460068873621</v>
      </c>
      <c r="L22" t="s">
        <v>153</v>
      </c>
      <c r="N22" t="s">
        <v>174</v>
      </c>
      <c r="O22" t="s">
        <v>160</v>
      </c>
      <c r="P22">
        <v>0.001886974464808056</v>
      </c>
      <c r="Q22" t="s">
        <v>153</v>
      </c>
      <c r="S22" t="s">
        <v>184</v>
      </c>
      <c r="T22" t="s">
        <v>160</v>
      </c>
      <c r="U22">
        <v>0.0010965307123337114</v>
      </c>
      <c r="V22" t="s">
        <v>153</v>
      </c>
      <c r="X22">
        <v>0.0011415525114155251</v>
      </c>
      <c r="Y22">
        <v>0.0019060404909297334</v>
      </c>
      <c r="Z22" t="s">
        <v>160</v>
      </c>
      <c r="AA22" t="s">
        <v>25</v>
      </c>
      <c r="AC22" t="s">
        <v>22</v>
      </c>
      <c r="AD22" t="s">
        <v>160</v>
      </c>
      <c r="AE22">
        <v>0.00083819005644650355</v>
      </c>
      <c r="AG22" t="s">
        <v>96</v>
      </c>
      <c r="AH22" t="s">
        <v>160</v>
      </c>
      <c r="AI22">
        <v>0.043252445080562918</v>
      </c>
      <c r="AK22">
        <v>2027</v>
      </c>
      <c r="AL22" t="s">
        <v>145</v>
      </c>
      <c r="AM22">
        <v>0.41015000000000001</v>
      </c>
      <c r="AN22" t="s">
        <v>195</v>
      </c>
    </row>
    <row r="23" spans="9:40" ht="14.25">
      <c r="I23" t="s">
        <v>151</v>
      </c>
      <c r="J23" t="s">
        <v>161</v>
      </c>
      <c r="K23">
        <v>0.026442991061213096</v>
      </c>
      <c r="L23" t="s">
        <v>153</v>
      </c>
      <c r="N23" t="s">
        <v>174</v>
      </c>
      <c r="O23" t="s">
        <v>161</v>
      </c>
      <c r="P23">
        <v>0.013107891028696807</v>
      </c>
      <c r="Q23" t="s">
        <v>153</v>
      </c>
      <c r="S23" t="s">
        <v>184</v>
      </c>
      <c r="T23" t="s">
        <v>161</v>
      </c>
      <c r="U23">
        <v>0.011438984861167434</v>
      </c>
      <c r="V23" t="s">
        <v>153</v>
      </c>
      <c r="X23">
        <v>0.010273972602739725</v>
      </c>
      <c r="Y23">
        <v>0.014081495661686103</v>
      </c>
      <c r="Z23" t="s">
        <v>161</v>
      </c>
      <c r="AA23" t="s">
        <v>25</v>
      </c>
      <c r="AC23" t="s">
        <v>22</v>
      </c>
      <c r="AD23" t="s">
        <v>161</v>
      </c>
      <c r="AE23">
        <v>0.0090959999164027389</v>
      </c>
      <c r="AG23" t="s">
        <v>96</v>
      </c>
      <c r="AH23" t="s">
        <v>161</v>
      </c>
      <c r="AI23">
        <v>0.061230168907588478</v>
      </c>
      <c r="AK23">
        <v>2027</v>
      </c>
      <c r="AL23" t="s">
        <v>147</v>
      </c>
      <c r="AM23">
        <v>0.4375</v>
      </c>
      <c r="AN23" t="s">
        <v>195</v>
      </c>
    </row>
    <row r="24" spans="9:40" ht="14.25">
      <c r="I24" t="s">
        <v>151</v>
      </c>
      <c r="J24" t="s">
        <v>204</v>
      </c>
      <c r="K24">
        <v>0.0018427790730180041</v>
      </c>
      <c r="L24" t="s">
        <v>153</v>
      </c>
      <c r="N24" t="s">
        <v>174</v>
      </c>
      <c r="O24" t="s">
        <v>204</v>
      </c>
      <c r="P24">
        <v>0.0016179796400579247</v>
      </c>
      <c r="Q24" t="s">
        <v>153</v>
      </c>
      <c r="S24" t="s">
        <v>184</v>
      </c>
      <c r="T24" t="s">
        <v>204</v>
      </c>
      <c r="U24">
        <v>0.00132851187526874</v>
      </c>
      <c r="V24" t="s">
        <v>153</v>
      </c>
      <c r="X24">
        <v>0.0011415525114155251</v>
      </c>
      <c r="Y24">
        <v>0.002220951528561603</v>
      </c>
      <c r="Z24" t="s">
        <v>204</v>
      </c>
      <c r="AA24" t="s">
        <v>25</v>
      </c>
      <c r="AC24" t="s">
        <v>22</v>
      </c>
      <c r="AD24" t="s">
        <v>204</v>
      </c>
      <c r="AE24">
        <v>0.0010634077790397066</v>
      </c>
      <c r="AG24" t="s">
        <v>96</v>
      </c>
      <c r="AH24" t="s">
        <v>204</v>
      </c>
      <c r="AI24">
        <v>0.035300552327666601</v>
      </c>
      <c r="AK24">
        <v>2027</v>
      </c>
      <c r="AL24" t="s">
        <v>149</v>
      </c>
      <c r="AM24">
        <v>0.4375</v>
      </c>
      <c r="AN24" t="s">
        <v>195</v>
      </c>
    </row>
    <row r="25" spans="9:40" ht="14.25">
      <c r="I25" t="s">
        <v>151</v>
      </c>
      <c r="J25" t="s">
        <v>205</v>
      </c>
      <c r="K25">
        <v>0.00090286145011865906</v>
      </c>
      <c r="L25" t="s">
        <v>153</v>
      </c>
      <c r="N25" t="s">
        <v>174</v>
      </c>
      <c r="O25" t="s">
        <v>205</v>
      </c>
      <c r="P25">
        <v>0.010111393207733962</v>
      </c>
      <c r="Q25" t="s">
        <v>153</v>
      </c>
      <c r="S25" t="s">
        <v>184</v>
      </c>
      <c r="T25" t="s">
        <v>205</v>
      </c>
      <c r="U25">
        <v>0.0087667651039062162</v>
      </c>
      <c r="V25" t="s">
        <v>153</v>
      </c>
      <c r="X25">
        <v>0.0068493150684931503</v>
      </c>
      <c r="Y25">
        <v>0.0060330325104210707</v>
      </c>
      <c r="Z25" t="s">
        <v>205</v>
      </c>
      <c r="AA25" t="s">
        <v>25</v>
      </c>
      <c r="AC25" t="s">
        <v>22</v>
      </c>
      <c r="AD25" t="s">
        <v>205</v>
      </c>
      <c r="AE25">
        <v>0.0060336473192017055</v>
      </c>
      <c r="AG25" t="s">
        <v>96</v>
      </c>
      <c r="AH25" t="s">
        <v>205</v>
      </c>
      <c r="AI25">
        <v>0.1347478911432709</v>
      </c>
      <c r="AK25">
        <v>2027</v>
      </c>
      <c r="AL25" t="s">
        <v>198</v>
      </c>
      <c r="AM25">
        <v>0.41674</v>
      </c>
      <c r="AN25" t="s">
        <v>195</v>
      </c>
    </row>
    <row r="26" spans="9:40" ht="14.25">
      <c r="I26" t="s">
        <v>151</v>
      </c>
      <c r="J26" t="s">
        <v>162</v>
      </c>
      <c r="K26">
        <v>0</v>
      </c>
      <c r="L26" t="s">
        <v>153</v>
      </c>
      <c r="N26" t="s">
        <v>174</v>
      </c>
      <c r="O26" t="s">
        <v>162</v>
      </c>
      <c r="P26">
        <v>0.0038368384833743891</v>
      </c>
      <c r="Q26" t="s">
        <v>153</v>
      </c>
      <c r="S26" t="s">
        <v>184</v>
      </c>
      <c r="T26" t="s">
        <v>162</v>
      </c>
      <c r="U26">
        <v>0.0047029221888680089</v>
      </c>
      <c r="V26" t="s">
        <v>153</v>
      </c>
      <c r="X26">
        <v>0.0039954337899543377</v>
      </c>
      <c r="Y26">
        <v>0.0015778700411870491</v>
      </c>
      <c r="Z26" t="s">
        <v>162</v>
      </c>
      <c r="AA26" t="s">
        <v>25</v>
      </c>
      <c r="AC26" t="s">
        <v>22</v>
      </c>
      <c r="AD26" t="s">
        <v>162</v>
      </c>
      <c r="AE26">
        <v>0.0024135711779342565</v>
      </c>
      <c r="AG26" t="s">
        <v>96</v>
      </c>
      <c r="AH26" t="s">
        <v>162</v>
      </c>
      <c r="AI26">
        <v>0.11138967065276373</v>
      </c>
      <c r="AK26">
        <v>2028</v>
      </c>
      <c r="AL26" t="s">
        <v>141</v>
      </c>
      <c r="AM26">
        <v>0.36244999999999999</v>
      </c>
      <c r="AN26" t="s">
        <v>195</v>
      </c>
    </row>
    <row r="27" spans="9:40" ht="14.25">
      <c r="I27" t="s">
        <v>151</v>
      </c>
      <c r="J27" t="s">
        <v>163</v>
      </c>
      <c r="K27">
        <v>0.00047003828137229215</v>
      </c>
      <c r="L27" t="s">
        <v>153</v>
      </c>
      <c r="N27" t="s">
        <v>174</v>
      </c>
      <c r="O27" t="s">
        <v>163</v>
      </c>
      <c r="P27">
        <v>0.00040174525491091612</v>
      </c>
      <c r="Q27" t="s">
        <v>153</v>
      </c>
      <c r="S27" t="s">
        <v>184</v>
      </c>
      <c r="T27" t="s">
        <v>163</v>
      </c>
      <c r="U27">
        <v>0.00088835351201007608</v>
      </c>
      <c r="V27" t="s">
        <v>153</v>
      </c>
      <c r="X27">
        <v>0.00057077625570776253</v>
      </c>
      <c r="Y27">
        <v>0.00095302024546486681</v>
      </c>
      <c r="Z27" t="s">
        <v>163</v>
      </c>
      <c r="AA27" t="s">
        <v>25</v>
      </c>
      <c r="AC27" t="s">
        <v>22</v>
      </c>
      <c r="AD27" t="s">
        <v>163</v>
      </c>
      <c r="AE27">
        <v>0.00040123699670170497</v>
      </c>
      <c r="AG27" t="s">
        <v>96</v>
      </c>
      <c r="AH27" t="s">
        <v>163</v>
      </c>
      <c r="AI27">
        <v>0.076936017495654152</v>
      </c>
      <c r="AK27">
        <v>2028</v>
      </c>
      <c r="AL27" t="s">
        <v>145</v>
      </c>
      <c r="AM27">
        <v>0.37054999999999999</v>
      </c>
      <c r="AN27" t="s">
        <v>195</v>
      </c>
    </row>
    <row r="28" spans="9:40" ht="14.25">
      <c r="I28" t="s">
        <v>151</v>
      </c>
      <c r="J28" t="s">
        <v>164</v>
      </c>
      <c r="K28">
        <v>0.011158822132527836</v>
      </c>
      <c r="L28" t="s">
        <v>153</v>
      </c>
      <c r="N28" t="s">
        <v>174</v>
      </c>
      <c r="O28" t="s">
        <v>164</v>
      </c>
      <c r="P28">
        <v>0.003227420404327845</v>
      </c>
      <c r="Q28" t="s">
        <v>153</v>
      </c>
      <c r="S28" t="s">
        <v>184</v>
      </c>
      <c r="T28" t="s">
        <v>164</v>
      </c>
      <c r="U28">
        <v>0.0062371024685521333</v>
      </c>
      <c r="V28" t="s">
        <v>153</v>
      </c>
      <c r="X28">
        <v>0.0051369863013698627</v>
      </c>
      <c r="Y28">
        <v>0.0070407478308430515</v>
      </c>
      <c r="Z28" t="s">
        <v>164</v>
      </c>
      <c r="AA28" t="s">
        <v>25</v>
      </c>
      <c r="AC28" t="s">
        <v>22</v>
      </c>
      <c r="AD28" t="s">
        <v>164</v>
      </c>
      <c r="AE28">
        <v>0.0043189784340557161</v>
      </c>
      <c r="AG28" t="s">
        <v>96</v>
      </c>
      <c r="AH28" t="s">
        <v>164</v>
      </c>
      <c r="AI28">
        <v>0.10827384270660256</v>
      </c>
      <c r="AK28">
        <v>2028</v>
      </c>
      <c r="AL28" t="s">
        <v>147</v>
      </c>
      <c r="AM28">
        <v>0.36009999999999998</v>
      </c>
      <c r="AN28" t="s">
        <v>195</v>
      </c>
    </row>
    <row r="29" spans="9:40" ht="14.25">
      <c r="I29" t="s">
        <v>151</v>
      </c>
      <c r="J29" t="s">
        <v>206</v>
      </c>
      <c r="K29">
        <v>0.0008415605585917823</v>
      </c>
      <c r="L29" t="s">
        <v>153</v>
      </c>
      <c r="N29" t="s">
        <v>174</v>
      </c>
      <c r="O29" t="s">
        <v>206</v>
      </c>
      <c r="P29">
        <v>0.00061662904755197272</v>
      </c>
      <c r="Q29" t="s">
        <v>153</v>
      </c>
      <c r="S29" t="s">
        <v>184</v>
      </c>
      <c r="T29" t="s">
        <v>206</v>
      </c>
      <c r="U29">
        <v>0.00061340110749854117</v>
      </c>
      <c r="V29" t="s">
        <v>153</v>
      </c>
      <c r="X29">
        <v>0.00057077625570776253</v>
      </c>
      <c r="Y29">
        <v>0.0011104757642808013</v>
      </c>
      <c r="Z29" t="s">
        <v>206</v>
      </c>
      <c r="AA29" t="s">
        <v>25</v>
      </c>
      <c r="AC29" t="s">
        <v>22</v>
      </c>
      <c r="AD29" t="s">
        <v>206</v>
      </c>
      <c r="AE29">
        <v>0.00049795390181905344</v>
      </c>
      <c r="AG29" t="s">
        <v>96</v>
      </c>
      <c r="AH29" t="s">
        <v>206</v>
      </c>
      <c r="AI29">
        <v>0.0801187785479891</v>
      </c>
      <c r="AK29">
        <v>2028</v>
      </c>
      <c r="AL29" t="s">
        <v>149</v>
      </c>
      <c r="AM29">
        <v>0.36009999999999998</v>
      </c>
      <c r="AN29" t="s">
        <v>195</v>
      </c>
    </row>
    <row r="30" spans="9:40" ht="14.25">
      <c r="I30" t="s">
        <v>151</v>
      </c>
      <c r="J30" t="s">
        <v>207</v>
      </c>
      <c r="K30">
        <v>0.0003920167186954337</v>
      </c>
      <c r="L30" t="s">
        <v>153</v>
      </c>
      <c r="N30" t="s">
        <v>174</v>
      </c>
      <c r="O30" t="s">
        <v>207</v>
      </c>
      <c r="P30">
        <v>0.0046325476012558878</v>
      </c>
      <c r="Q30" t="s">
        <v>153</v>
      </c>
      <c r="S30" t="s">
        <v>184</v>
      </c>
      <c r="T30" t="s">
        <v>207</v>
      </c>
      <c r="U30">
        <v>0.0045277210110695621</v>
      </c>
      <c r="V30" t="s">
        <v>153</v>
      </c>
      <c r="X30">
        <v>0.0034246575342465752</v>
      </c>
      <c r="Y30">
        <v>0.0030165162552105349</v>
      </c>
      <c r="Z30" t="s">
        <v>207</v>
      </c>
      <c r="AA30" t="s">
        <v>25</v>
      </c>
      <c r="AC30" t="s">
        <v>22</v>
      </c>
      <c r="AD30" t="s">
        <v>207</v>
      </c>
      <c r="AE30">
        <v>0.0029058074943530531</v>
      </c>
      <c r="AG30" t="s">
        <v>96</v>
      </c>
      <c r="AH30" t="s">
        <v>207</v>
      </c>
      <c r="AI30">
        <v>0.12385701874706845</v>
      </c>
      <c r="AK30">
        <v>2028</v>
      </c>
      <c r="AL30" t="s">
        <v>198</v>
      </c>
      <c r="AM30">
        <v>0.40662999999999999</v>
      </c>
      <c r="AN30" t="s">
        <v>195</v>
      </c>
    </row>
    <row r="31" spans="9:40" ht="14.25">
      <c r="I31" t="s">
        <v>151</v>
      </c>
      <c r="J31" t="s">
        <v>208</v>
      </c>
      <c r="K31">
        <v>0.010357882276861644</v>
      </c>
      <c r="L31" t="s">
        <v>153</v>
      </c>
      <c r="N31" t="s">
        <v>174</v>
      </c>
      <c r="O31" t="s">
        <v>208</v>
      </c>
      <c r="P31">
        <v>0.20291497542321324</v>
      </c>
      <c r="Q31" t="s">
        <v>153</v>
      </c>
      <c r="S31" t="s">
        <v>184</v>
      </c>
      <c r="T31" t="s">
        <v>208</v>
      </c>
      <c r="U31">
        <v>0.22455169933870142</v>
      </c>
      <c r="V31" t="s">
        <v>153</v>
      </c>
      <c r="X31">
        <v>0.22454337899543378</v>
      </c>
      <c r="Y31">
        <v>0.088676296314712175</v>
      </c>
      <c r="Z31" t="s">
        <v>208</v>
      </c>
      <c r="AA31" t="s">
        <v>25</v>
      </c>
      <c r="AC31" t="s">
        <v>22</v>
      </c>
      <c r="AD31" t="s">
        <v>208</v>
      </c>
      <c r="AE31">
        <v>0.2040116713026883</v>
      </c>
      <c r="AG31" t="s">
        <v>96</v>
      </c>
      <c r="AH31" t="s">
        <v>208</v>
      </c>
      <c r="AI31">
        <v>0.31224038540219978</v>
      </c>
      <c r="AK31">
        <v>2029</v>
      </c>
      <c r="AL31" t="s">
        <v>141</v>
      </c>
      <c r="AM31">
        <v>0.39860000000000001</v>
      </c>
      <c r="AN31" t="s">
        <v>195</v>
      </c>
    </row>
    <row r="32" spans="9:40" ht="14.25">
      <c r="I32" t="s">
        <v>151</v>
      </c>
      <c r="J32" t="s">
        <v>209</v>
      </c>
      <c r="K32">
        <v>0.040283247179679543</v>
      </c>
      <c r="L32" t="s">
        <v>153</v>
      </c>
      <c r="N32" t="s">
        <v>174</v>
      </c>
      <c r="O32" t="s">
        <v>209</v>
      </c>
      <c r="P32">
        <v>0.026755705815579955</v>
      </c>
      <c r="Q32" t="s">
        <v>153</v>
      </c>
      <c r="S32" t="s">
        <v>184</v>
      </c>
      <c r="T32" t="s">
        <v>209</v>
      </c>
      <c r="U32">
        <v>0.031795147643856513</v>
      </c>
      <c r="V32" t="s">
        <v>153</v>
      </c>
      <c r="X32">
        <v>0.032077625570776258</v>
      </c>
      <c r="Y32">
        <v>0.053559737795125517</v>
      </c>
      <c r="Z32" t="s">
        <v>209</v>
      </c>
      <c r="AA32" t="s">
        <v>25</v>
      </c>
      <c r="AC32" t="s">
        <v>22</v>
      </c>
      <c r="AD32" t="s">
        <v>209</v>
      </c>
      <c r="AE32">
        <v>0.030082286569879914</v>
      </c>
      <c r="AG32" t="s">
        <v>96</v>
      </c>
      <c r="AH32" t="s">
        <v>209</v>
      </c>
      <c r="AI32">
        <v>0.25870979614565615</v>
      </c>
      <c r="AK32">
        <v>2029</v>
      </c>
      <c r="AL32" t="s">
        <v>145</v>
      </c>
      <c r="AM32">
        <v>0.43955</v>
      </c>
      <c r="AN32" t="s">
        <v>195</v>
      </c>
    </row>
    <row r="33" spans="9:40" ht="14.25">
      <c r="I33" t="s">
        <v>151</v>
      </c>
      <c r="J33" t="s">
        <v>210</v>
      </c>
      <c r="K33">
        <v>0.66719984969785473</v>
      </c>
      <c r="L33" t="s">
        <v>153</v>
      </c>
      <c r="N33" t="s">
        <v>174</v>
      </c>
      <c r="O33" t="s">
        <v>210</v>
      </c>
      <c r="P33">
        <v>0.25632703069686502</v>
      </c>
      <c r="Q33" t="s">
        <v>153</v>
      </c>
      <c r="S33" t="s">
        <v>184</v>
      </c>
      <c r="T33" t="s">
        <v>210</v>
      </c>
      <c r="U33">
        <v>0.26336891151421121</v>
      </c>
      <c r="V33" t="s">
        <v>153</v>
      </c>
      <c r="X33">
        <v>0.28869863013698632</v>
      </c>
      <c r="Y33">
        <v>0.3956900280933795</v>
      </c>
      <c r="Z33" t="s">
        <v>210</v>
      </c>
      <c r="AA33" t="s">
        <v>25</v>
      </c>
      <c r="AC33" t="s">
        <v>22</v>
      </c>
      <c r="AD33" t="s">
        <v>210</v>
      </c>
      <c r="AE33">
        <v>0.32915118403129368</v>
      </c>
      <c r="AG33" t="s">
        <v>96</v>
      </c>
      <c r="AH33" t="s">
        <v>210</v>
      </c>
      <c r="AI33">
        <v>0.20006304186328916</v>
      </c>
      <c r="AK33">
        <v>2029</v>
      </c>
      <c r="AL33" t="s">
        <v>147</v>
      </c>
      <c r="AM33">
        <v>0.50229999999999997</v>
      </c>
      <c r="AN33" t="s">
        <v>195</v>
      </c>
    </row>
    <row r="34" spans="9:40" ht="14.25">
      <c r="I34" t="s">
        <v>151</v>
      </c>
      <c r="J34" t="s">
        <v>211</v>
      </c>
      <c r="K34">
        <v>0.039526611146441161</v>
      </c>
      <c r="L34" t="s">
        <v>153</v>
      </c>
      <c r="N34" t="s">
        <v>174</v>
      </c>
      <c r="O34" t="s">
        <v>211</v>
      </c>
      <c r="P34">
        <v>0.039285719155155746</v>
      </c>
      <c r="Q34" t="s">
        <v>153</v>
      </c>
      <c r="S34" t="s">
        <v>184</v>
      </c>
      <c r="T34" t="s">
        <v>211</v>
      </c>
      <c r="U34">
        <v>0.030461908020698012</v>
      </c>
      <c r="V34" t="s">
        <v>153</v>
      </c>
      <c r="X34">
        <v>0.032077625570776258</v>
      </c>
      <c r="Y34">
        <v>0.062408737952581041</v>
      </c>
      <c r="Z34" t="s">
        <v>211</v>
      </c>
      <c r="AA34" t="s">
        <v>25</v>
      </c>
      <c r="AC34" t="s">
        <v>22</v>
      </c>
      <c r="AD34" t="s">
        <v>211</v>
      </c>
      <c r="AE34">
        <v>0.037412305506273863</v>
      </c>
      <c r="AG34" t="s">
        <v>96</v>
      </c>
      <c r="AH34" t="s">
        <v>211</v>
      </c>
      <c r="AI34">
        <v>0.16798657588930421</v>
      </c>
      <c r="AK34">
        <v>2029</v>
      </c>
      <c r="AL34" t="s">
        <v>149</v>
      </c>
      <c r="AM34">
        <v>0.50229999999999997</v>
      </c>
      <c r="AN34" t="s">
        <v>195</v>
      </c>
    </row>
    <row r="35" spans="9:40" ht="14.25">
      <c r="I35" t="s">
        <v>151</v>
      </c>
      <c r="J35" t="s">
        <v>212</v>
      </c>
      <c r="K35">
        <v>0.01158345398209637</v>
      </c>
      <c r="L35" t="s">
        <v>153</v>
      </c>
      <c r="N35" t="s">
        <v>174</v>
      </c>
      <c r="O35" t="s">
        <v>212</v>
      </c>
      <c r="P35">
        <v>0.22133252387007696</v>
      </c>
      <c r="Q35" t="s">
        <v>153</v>
      </c>
      <c r="S35" t="s">
        <v>184</v>
      </c>
      <c r="T35" t="s">
        <v>212</v>
      </c>
      <c r="U35">
        <v>0.18887937821395695</v>
      </c>
      <c r="V35" t="s">
        <v>153</v>
      </c>
      <c r="X35">
        <v>0.19246575342465752</v>
      </c>
      <c r="Y35">
        <v>0.16952821354283207</v>
      </c>
      <c r="Z35" t="s">
        <v>212</v>
      </c>
      <c r="AA35" t="s">
        <v>25</v>
      </c>
      <c r="AC35" t="s">
        <v>22</v>
      </c>
      <c r="AD35" t="s">
        <v>212</v>
      </c>
      <c r="AE35">
        <v>0.21821552352054902</v>
      </c>
      <c r="AG35" t="s">
        <v>96</v>
      </c>
      <c r="AH35" t="s">
        <v>212</v>
      </c>
      <c r="AI35">
        <v>0.19932460585860601</v>
      </c>
      <c r="AK35">
        <v>2029</v>
      </c>
      <c r="AL35" t="s">
        <v>198</v>
      </c>
      <c r="AM35">
        <v>0.46541000000000005</v>
      </c>
      <c r="AN35" t="s">
        <v>195</v>
      </c>
    </row>
    <row r="36" spans="9:40" ht="14.25">
      <c r="I36" t="s">
        <v>165</v>
      </c>
      <c r="J36" t="s">
        <v>152</v>
      </c>
      <c r="K36">
        <v>0</v>
      </c>
      <c r="L36" t="s">
        <v>153</v>
      </c>
      <c r="N36" t="s">
        <v>175</v>
      </c>
      <c r="O36" t="s">
        <v>152</v>
      </c>
      <c r="P36">
        <v>0.03584708708319264</v>
      </c>
      <c r="Q36" t="s">
        <v>153</v>
      </c>
      <c r="S36" t="s">
        <v>185</v>
      </c>
      <c r="T36" t="s">
        <v>152</v>
      </c>
      <c r="U36">
        <v>0.033214667895704875</v>
      </c>
      <c r="V36" t="s">
        <v>153</v>
      </c>
      <c r="AC36" t="s">
        <v>19</v>
      </c>
      <c r="AD36" t="s">
        <v>152</v>
      </c>
      <c r="AE36">
        <v>0.025933354092794094</v>
      </c>
      <c r="AK36">
        <v>2030</v>
      </c>
      <c r="AL36" t="s">
        <v>141</v>
      </c>
      <c r="AM36">
        <v>0.42715000000000003</v>
      </c>
      <c r="AN36" t="s">
        <v>195</v>
      </c>
    </row>
    <row r="37" spans="9:40" ht="14.25">
      <c r="I37" t="s">
        <v>165</v>
      </c>
      <c r="J37" t="s">
        <v>154</v>
      </c>
      <c r="K37">
        <v>0.003746574837754848</v>
      </c>
      <c r="L37" t="s">
        <v>153</v>
      </c>
      <c r="N37" t="s">
        <v>175</v>
      </c>
      <c r="O37" t="s">
        <v>154</v>
      </c>
      <c r="P37">
        <v>0.0054877950628679341</v>
      </c>
      <c r="Q37" t="s">
        <v>153</v>
      </c>
      <c r="S37" t="s">
        <v>185</v>
      </c>
      <c r="T37" t="s">
        <v>154</v>
      </c>
      <c r="U37">
        <v>0.0051326614663486734</v>
      </c>
      <c r="V37" t="s">
        <v>153</v>
      </c>
      <c r="AC37" t="s">
        <v>19</v>
      </c>
      <c r="AD37" t="s">
        <v>154</v>
      </c>
      <c r="AE37">
        <v>0.0037496252668612375</v>
      </c>
      <c r="AK37">
        <v>2030</v>
      </c>
      <c r="AL37" t="s">
        <v>145</v>
      </c>
      <c r="AM37">
        <v>0.46509999999999996</v>
      </c>
      <c r="AN37" t="s">
        <v>195</v>
      </c>
    </row>
    <row r="38" spans="9:40" ht="14.25">
      <c r="I38" t="s">
        <v>165</v>
      </c>
      <c r="J38" t="s">
        <v>155</v>
      </c>
      <c r="K38">
        <v>0.074099326041691838</v>
      </c>
      <c r="L38" t="s">
        <v>153</v>
      </c>
      <c r="N38" t="s">
        <v>175</v>
      </c>
      <c r="O38" t="s">
        <v>155</v>
      </c>
      <c r="P38">
        <v>0.037630129133742578</v>
      </c>
      <c r="Q38" t="s">
        <v>153</v>
      </c>
      <c r="S38" t="s">
        <v>185</v>
      </c>
      <c r="T38" t="s">
        <v>155</v>
      </c>
      <c r="U38">
        <v>0.038638918115647333</v>
      </c>
      <c r="V38" t="s">
        <v>153</v>
      </c>
      <c r="AC38" t="s">
        <v>19</v>
      </c>
      <c r="AD38" t="s">
        <v>155</v>
      </c>
      <c r="AE38">
        <v>0.034054521001748383</v>
      </c>
      <c r="AK38">
        <v>2030</v>
      </c>
      <c r="AL38" t="s">
        <v>147</v>
      </c>
      <c r="AM38">
        <v>0.49609999999999999</v>
      </c>
      <c r="AN38" t="s">
        <v>195</v>
      </c>
    </row>
    <row r="39" spans="9:40" ht="14.25">
      <c r="I39" t="s">
        <v>165</v>
      </c>
      <c r="J39" t="s">
        <v>200</v>
      </c>
      <c r="K39">
        <v>0.0040338786327587476</v>
      </c>
      <c r="L39" t="s">
        <v>153</v>
      </c>
      <c r="N39" t="s">
        <v>175</v>
      </c>
      <c r="O39" t="s">
        <v>200</v>
      </c>
      <c r="P39">
        <v>0.0036222044756235076</v>
      </c>
      <c r="Q39" t="s">
        <v>153</v>
      </c>
      <c r="S39" t="s">
        <v>185</v>
      </c>
      <c r="T39" t="s">
        <v>200</v>
      </c>
      <c r="U39">
        <v>0.0033148936810012061</v>
      </c>
      <c r="V39" t="s">
        <v>153</v>
      </c>
      <c r="AC39" t="s">
        <v>19</v>
      </c>
      <c r="AD39" t="s">
        <v>200</v>
      </c>
      <c r="AE39">
        <v>0.0037989124167114607</v>
      </c>
      <c r="AK39">
        <v>2030</v>
      </c>
      <c r="AL39" t="s">
        <v>149</v>
      </c>
      <c r="AM39">
        <v>0.49609999999999999</v>
      </c>
      <c r="AN39" t="s">
        <v>195</v>
      </c>
    </row>
    <row r="40" spans="9:40" ht="14.25">
      <c r="I40" t="s">
        <v>165</v>
      </c>
      <c r="J40" t="s">
        <v>201</v>
      </c>
      <c r="K40">
        <v>0</v>
      </c>
      <c r="L40" t="s">
        <v>153</v>
      </c>
      <c r="N40" t="s">
        <v>175</v>
      </c>
      <c r="O40" t="s">
        <v>201</v>
      </c>
      <c r="P40">
        <v>0.024563920581497554</v>
      </c>
      <c r="Q40" t="s">
        <v>153</v>
      </c>
      <c r="S40" t="s">
        <v>185</v>
      </c>
      <c r="T40" t="s">
        <v>201</v>
      </c>
      <c r="U40">
        <v>0.02184648245550215</v>
      </c>
      <c r="V40" t="s">
        <v>153</v>
      </c>
      <c r="AC40" t="s">
        <v>19</v>
      </c>
      <c r="AD40" t="s">
        <v>201</v>
      </c>
      <c r="AE40">
        <v>0.022705113555623251</v>
      </c>
      <c r="AK40">
        <v>2030</v>
      </c>
      <c r="AL40" t="s">
        <v>198</v>
      </c>
      <c r="AM40">
        <v>0.47616999999999993</v>
      </c>
      <c r="AN40" t="s">
        <v>195</v>
      </c>
    </row>
    <row r="41" spans="9:40" ht="14.25">
      <c r="I41" t="s">
        <v>165</v>
      </c>
      <c r="J41" t="s">
        <v>156</v>
      </c>
      <c r="K41">
        <v>0</v>
      </c>
      <c r="L41" t="s">
        <v>153</v>
      </c>
      <c r="N41" t="s">
        <v>175</v>
      </c>
      <c r="O41" t="s">
        <v>156</v>
      </c>
      <c r="P41">
        <v>0.032877461836652508</v>
      </c>
      <c r="Q41" t="s">
        <v>153</v>
      </c>
      <c r="S41" t="s">
        <v>185</v>
      </c>
      <c r="T41" t="s">
        <v>156</v>
      </c>
      <c r="U41">
        <v>0.037940755616446165</v>
      </c>
      <c r="V41" t="s">
        <v>153</v>
      </c>
      <c r="AC41" t="s">
        <v>19</v>
      </c>
      <c r="AD41" t="s">
        <v>156</v>
      </c>
      <c r="AE41">
        <v>0.028292603767039504</v>
      </c>
      <c r="AK41">
        <v>2031</v>
      </c>
      <c r="AL41" t="s">
        <v>141</v>
      </c>
      <c r="AM41">
        <v>0.41054999999999997</v>
      </c>
      <c r="AN41" t="s">
        <v>195</v>
      </c>
    </row>
    <row r="42" spans="9:40" ht="14.25">
      <c r="I42" t="s">
        <v>165</v>
      </c>
      <c r="J42" t="s">
        <v>157</v>
      </c>
      <c r="K42">
        <v>0.004159211912428849</v>
      </c>
      <c r="L42" t="s">
        <v>153</v>
      </c>
      <c r="N42" t="s">
        <v>175</v>
      </c>
      <c r="O42" t="s">
        <v>157</v>
      </c>
      <c r="P42">
        <v>0.0049545066072279095</v>
      </c>
      <c r="Q42" t="s">
        <v>153</v>
      </c>
      <c r="S42" t="s">
        <v>185</v>
      </c>
      <c r="T42" t="s">
        <v>157</v>
      </c>
      <c r="U42">
        <v>0.0056166363785321973</v>
      </c>
      <c r="V42" t="s">
        <v>153</v>
      </c>
      <c r="AC42" t="s">
        <v>19</v>
      </c>
      <c r="AD42" t="s">
        <v>157</v>
      </c>
      <c r="AE42">
        <v>0.0040871839957508814</v>
      </c>
      <c r="AK42">
        <v>2031</v>
      </c>
      <c r="AL42" t="s">
        <v>145</v>
      </c>
      <c r="AM42">
        <v>0.43759999999999999</v>
      </c>
      <c r="AN42" t="s">
        <v>195</v>
      </c>
    </row>
    <row r="43" spans="9:40" ht="14.25">
      <c r="I43" t="s">
        <v>165</v>
      </c>
      <c r="J43" t="s">
        <v>158</v>
      </c>
      <c r="K43">
        <v>0.093054278679531852</v>
      </c>
      <c r="L43" t="s">
        <v>153</v>
      </c>
      <c r="N43" t="s">
        <v>175</v>
      </c>
      <c r="O43" t="s">
        <v>158</v>
      </c>
      <c r="P43">
        <v>0.03510574825385733</v>
      </c>
      <c r="Q43" t="s">
        <v>153</v>
      </c>
      <c r="S43" t="s">
        <v>185</v>
      </c>
      <c r="T43" t="s">
        <v>158</v>
      </c>
      <c r="U43">
        <v>0.040558379036724553</v>
      </c>
      <c r="V43" t="s">
        <v>153</v>
      </c>
      <c r="AC43" t="s">
        <v>19</v>
      </c>
      <c r="AD43" t="s">
        <v>158</v>
      </c>
      <c r="AE43">
        <v>0.037146836127355587</v>
      </c>
      <c r="AK43">
        <v>2031</v>
      </c>
      <c r="AL43" t="s">
        <v>147</v>
      </c>
      <c r="AM43">
        <v>0.46239999999999998</v>
      </c>
      <c r="AN43" t="s">
        <v>195</v>
      </c>
    </row>
    <row r="44" spans="9:40" ht="14.25">
      <c r="I44" t="s">
        <v>165</v>
      </c>
      <c r="J44" t="s">
        <v>202</v>
      </c>
      <c r="K44">
        <v>0.0063026276759844645</v>
      </c>
      <c r="L44" t="s">
        <v>153</v>
      </c>
      <c r="N44" t="s">
        <v>175</v>
      </c>
      <c r="O44" t="s">
        <v>202</v>
      </c>
      <c r="P44">
        <v>0.0034796752194479977</v>
      </c>
      <c r="Q44" t="s">
        <v>153</v>
      </c>
      <c r="S44" t="s">
        <v>185</v>
      </c>
      <c r="T44" t="s">
        <v>202</v>
      </c>
      <c r="U44">
        <v>0.0041338480325462182</v>
      </c>
      <c r="V44" t="s">
        <v>153</v>
      </c>
      <c r="AC44" t="s">
        <v>19</v>
      </c>
      <c r="AD44" t="s">
        <v>202</v>
      </c>
      <c r="AE44">
        <v>0.0041440298321997696</v>
      </c>
      <c r="AK44">
        <v>2031</v>
      </c>
      <c r="AL44" t="s">
        <v>149</v>
      </c>
      <c r="AM44">
        <v>0.46239999999999998</v>
      </c>
      <c r="AN44" t="s">
        <v>195</v>
      </c>
    </row>
    <row r="45" spans="9:40" ht="14.25">
      <c r="I45" t="s">
        <v>165</v>
      </c>
      <c r="J45" t="s">
        <v>203</v>
      </c>
      <c r="K45">
        <v>0.00039916467054978961</v>
      </c>
      <c r="L45" t="s">
        <v>153</v>
      </c>
      <c r="N45" t="s">
        <v>175</v>
      </c>
      <c r="O45" t="s">
        <v>203</v>
      </c>
      <c r="P45">
        <v>0.026307129422325222</v>
      </c>
      <c r="Q45" t="s">
        <v>153</v>
      </c>
      <c r="S45" t="s">
        <v>185</v>
      </c>
      <c r="T45" t="s">
        <v>203</v>
      </c>
      <c r="U45">
        <v>0.026752312544665487</v>
      </c>
      <c r="V45" t="s">
        <v>153</v>
      </c>
      <c r="AC45" t="s">
        <v>19</v>
      </c>
      <c r="AD45" t="s">
        <v>203</v>
      </c>
      <c r="AE45">
        <v>0.024776396729473432</v>
      </c>
      <c r="AK45">
        <v>2031</v>
      </c>
      <c r="AL45" t="s">
        <v>198</v>
      </c>
      <c r="AM45">
        <v>0.46910999999999997</v>
      </c>
      <c r="AN45" t="s">
        <v>195</v>
      </c>
    </row>
    <row r="46" spans="9:40" ht="14.25">
      <c r="I46" t="s">
        <v>165</v>
      </c>
      <c r="J46" t="s">
        <v>159</v>
      </c>
      <c r="K46">
        <v>0</v>
      </c>
      <c r="L46" t="s">
        <v>153</v>
      </c>
      <c r="N46" t="s">
        <v>175</v>
      </c>
      <c r="O46" t="s">
        <v>159</v>
      </c>
      <c r="P46">
        <v>0.0098480370520020767</v>
      </c>
      <c r="Q46" t="s">
        <v>153</v>
      </c>
      <c r="S46" t="s">
        <v>185</v>
      </c>
      <c r="T46" t="s">
        <v>159</v>
      </c>
      <c r="U46">
        <v>0.0085666073143354417</v>
      </c>
      <c r="V46" t="s">
        <v>153</v>
      </c>
      <c r="AC46" t="s">
        <v>19</v>
      </c>
      <c r="AD46" t="s">
        <v>159</v>
      </c>
      <c r="AE46">
        <v>0.0078619580349509974</v>
      </c>
      <c r="AK46">
        <v>2032</v>
      </c>
      <c r="AL46" t="s">
        <v>141</v>
      </c>
      <c r="AM46">
        <v>0.38580000000000003</v>
      </c>
      <c r="AN46" t="s">
        <v>195</v>
      </c>
    </row>
    <row r="47" spans="9:40" ht="14.25">
      <c r="I47" t="s">
        <v>165</v>
      </c>
      <c r="J47" t="s">
        <v>160</v>
      </c>
      <c r="K47">
        <v>0.0013269075954664368</v>
      </c>
      <c r="L47" t="s">
        <v>153</v>
      </c>
      <c r="N47" t="s">
        <v>175</v>
      </c>
      <c r="O47" t="s">
        <v>160</v>
      </c>
      <c r="P47">
        <v>0.0015075127069314356</v>
      </c>
      <c r="Q47" t="s">
        <v>153</v>
      </c>
      <c r="S47" t="s">
        <v>185</v>
      </c>
      <c r="T47" t="s">
        <v>160</v>
      </c>
      <c r="U47">
        <v>0.001178843158215045</v>
      </c>
      <c r="V47" t="s">
        <v>153</v>
      </c>
      <c r="AC47" t="s">
        <v>19</v>
      </c>
      <c r="AD47" t="s">
        <v>160</v>
      </c>
      <c r="AE47">
        <v>0.00113506080214201</v>
      </c>
      <c r="AK47">
        <v>2032</v>
      </c>
      <c r="AL47" t="s">
        <v>145</v>
      </c>
      <c r="AM47">
        <v>0.40265000000000001</v>
      </c>
      <c r="AN47" t="s">
        <v>195</v>
      </c>
    </row>
    <row r="48" spans="9:40" ht="14.25">
      <c r="I48" t="s">
        <v>165</v>
      </c>
      <c r="J48" t="s">
        <v>161</v>
      </c>
      <c r="K48">
        <v>0.026515910810204546</v>
      </c>
      <c r="L48" t="s">
        <v>153</v>
      </c>
      <c r="N48" t="s">
        <v>175</v>
      </c>
      <c r="O48" t="s">
        <v>161</v>
      </c>
      <c r="P48">
        <v>0.012359620072845103</v>
      </c>
      <c r="Q48" t="s">
        <v>153</v>
      </c>
      <c r="S48" t="s">
        <v>185</v>
      </c>
      <c r="T48" t="s">
        <v>161</v>
      </c>
      <c r="U48">
        <v>0.010946826906158945</v>
      </c>
      <c r="V48" t="s">
        <v>153</v>
      </c>
      <c r="AC48" t="s">
        <v>19</v>
      </c>
      <c r="AD48" t="s">
        <v>161</v>
      </c>
      <c r="AE48">
        <v>0.010344394037014858</v>
      </c>
      <c r="AK48">
        <v>2032</v>
      </c>
      <c r="AL48" t="s">
        <v>147</v>
      </c>
      <c r="AM48">
        <v>0.42699999999999999</v>
      </c>
      <c r="AN48" t="s">
        <v>195</v>
      </c>
    </row>
    <row r="49" spans="9:40" ht="14.25">
      <c r="I49" t="s">
        <v>165</v>
      </c>
      <c r="J49" t="s">
        <v>204</v>
      </c>
      <c r="K49">
        <v>0.0018003614043453965</v>
      </c>
      <c r="L49" t="s">
        <v>153</v>
      </c>
      <c r="N49" t="s">
        <v>175</v>
      </c>
      <c r="O49" t="s">
        <v>204</v>
      </c>
      <c r="P49">
        <v>0.0017581719392896151</v>
      </c>
      <c r="Q49" t="s">
        <v>153</v>
      </c>
      <c r="S49" t="s">
        <v>185</v>
      </c>
      <c r="T49" t="s">
        <v>204</v>
      </c>
      <c r="U49">
        <v>0.0012930796224281255</v>
      </c>
      <c r="V49" t="s">
        <v>153</v>
      </c>
      <c r="AC49" t="s">
        <v>19</v>
      </c>
      <c r="AD49" t="s">
        <v>204</v>
      </c>
      <c r="AE49">
        <v>0.0011537548592536037</v>
      </c>
      <c r="AK49">
        <v>2032</v>
      </c>
      <c r="AL49" t="s">
        <v>149</v>
      </c>
      <c r="AM49">
        <v>0.42699999999999999</v>
      </c>
      <c r="AN49" t="s">
        <v>195</v>
      </c>
    </row>
    <row r="50" spans="9:40" ht="14.25">
      <c r="I50" t="s">
        <v>165</v>
      </c>
      <c r="J50" t="s">
        <v>205</v>
      </c>
      <c r="K50">
        <v>0.00088968186120512872</v>
      </c>
      <c r="L50" t="s">
        <v>153</v>
      </c>
      <c r="N50" t="s">
        <v>175</v>
      </c>
      <c r="O50" t="s">
        <v>205</v>
      </c>
      <c r="P50">
        <v>0.010367613848508133</v>
      </c>
      <c r="Q50" t="s">
        <v>153</v>
      </c>
      <c r="S50" t="s">
        <v>185</v>
      </c>
      <c r="T50" t="s">
        <v>205</v>
      </c>
      <c r="U50">
        <v>0.008890228777007422</v>
      </c>
      <c r="V50" t="s">
        <v>153</v>
      </c>
      <c r="AC50" t="s">
        <v>19</v>
      </c>
      <c r="AD50" t="s">
        <v>205</v>
      </c>
      <c r="AE50">
        <v>0.0068937432905609572</v>
      </c>
      <c r="AK50">
        <v>2032</v>
      </c>
      <c r="AL50" t="s">
        <v>198</v>
      </c>
      <c r="AM50">
        <v>0.46355000000000002</v>
      </c>
      <c r="AN50" t="s">
        <v>195</v>
      </c>
    </row>
    <row r="51" spans="9:40" ht="14.25">
      <c r="I51" t="s">
        <v>165</v>
      </c>
      <c r="J51" t="s">
        <v>162</v>
      </c>
      <c r="K51">
        <v>0</v>
      </c>
      <c r="L51" t="s">
        <v>153</v>
      </c>
      <c r="N51" t="s">
        <v>175</v>
      </c>
      <c r="O51" t="s">
        <v>162</v>
      </c>
      <c r="P51">
        <v>0.0035184950744195616</v>
      </c>
      <c r="Q51" t="s">
        <v>153</v>
      </c>
      <c r="S51" t="s">
        <v>185</v>
      </c>
      <c r="T51" t="s">
        <v>162</v>
      </c>
      <c r="U51">
        <v>0.0047234850363887231</v>
      </c>
      <c r="V51" t="s">
        <v>153</v>
      </c>
      <c r="AC51" t="s">
        <v>19</v>
      </c>
      <c r="AD51" t="s">
        <v>162</v>
      </c>
      <c r="AE51">
        <v>0.0039295427265887252</v>
      </c>
      <c r="AK51">
        <v>2033</v>
      </c>
      <c r="AL51" t="s">
        <v>141</v>
      </c>
      <c r="AM51">
        <v>0.41839999999999999</v>
      </c>
      <c r="AN51" t="s">
        <v>195</v>
      </c>
    </row>
    <row r="52" spans="9:40" ht="14.25">
      <c r="I52" t="s">
        <v>165</v>
      </c>
      <c r="J52" t="s">
        <v>163</v>
      </c>
      <c r="K52">
        <v>0.00046566878571141496</v>
      </c>
      <c r="L52" t="s">
        <v>153</v>
      </c>
      <c r="N52" t="s">
        <v>175</v>
      </c>
      <c r="O52" t="s">
        <v>163</v>
      </c>
      <c r="P52">
        <v>0.00061450226448089699</v>
      </c>
      <c r="Q52" t="s">
        <v>153</v>
      </c>
      <c r="S52" t="s">
        <v>185</v>
      </c>
      <c r="T52" t="s">
        <v>163</v>
      </c>
      <c r="U52">
        <v>0.00096567166253647705</v>
      </c>
      <c r="V52" t="s">
        <v>153</v>
      </c>
      <c r="AC52" t="s">
        <v>19</v>
      </c>
      <c r="AD52" t="s">
        <v>163</v>
      </c>
      <c r="AE52">
        <v>0.00056604810626169539</v>
      </c>
      <c r="AK52">
        <v>2033</v>
      </c>
      <c r="AL52" t="s">
        <v>145</v>
      </c>
      <c r="AM52">
        <v>0.45025000000000004</v>
      </c>
      <c r="AN52" t="s">
        <v>195</v>
      </c>
    </row>
    <row r="53" spans="9:40" ht="14.25">
      <c r="I53" t="s">
        <v>165</v>
      </c>
      <c r="J53" t="s">
        <v>164</v>
      </c>
      <c r="K53">
        <v>0.011609135711992753</v>
      </c>
      <c r="L53" t="s">
        <v>153</v>
      </c>
      <c r="N53" t="s">
        <v>175</v>
      </c>
      <c r="O53" t="s">
        <v>164</v>
      </c>
      <c r="P53">
        <v>0.0042264880307585255</v>
      </c>
      <c r="Q53" t="s">
        <v>153</v>
      </c>
      <c r="S53" t="s">
        <v>185</v>
      </c>
      <c r="T53" t="s">
        <v>164</v>
      </c>
      <c r="U53">
        <v>0.007724324216970082</v>
      </c>
      <c r="V53" t="s">
        <v>153</v>
      </c>
      <c r="AC53" t="s">
        <v>19</v>
      </c>
      <c r="AD53" t="s">
        <v>164</v>
      </c>
      <c r="AE53">
        <v>0.0051531872292116896</v>
      </c>
      <c r="AK53">
        <v>2033</v>
      </c>
      <c r="AL53" t="s">
        <v>147</v>
      </c>
      <c r="AM53">
        <v>0.49170000000000003</v>
      </c>
      <c r="AN53" t="s">
        <v>195</v>
      </c>
    </row>
    <row r="54" spans="9:40" ht="14.25">
      <c r="I54" t="s">
        <v>165</v>
      </c>
      <c r="J54" t="s">
        <v>206</v>
      </c>
      <c r="K54">
        <v>0.00078430919640836002</v>
      </c>
      <c r="L54" t="s">
        <v>153</v>
      </c>
      <c r="N54" t="s">
        <v>175</v>
      </c>
      <c r="O54" t="s">
        <v>206</v>
      </c>
      <c r="P54">
        <v>0.00070367256789129835</v>
      </c>
      <c r="Q54" t="s">
        <v>153</v>
      </c>
      <c r="S54" t="s">
        <v>185</v>
      </c>
      <c r="T54" t="s">
        <v>206</v>
      </c>
      <c r="U54">
        <v>0.00067307298359109511</v>
      </c>
      <c r="V54" t="s">
        <v>153</v>
      </c>
      <c r="AC54" t="s">
        <v>19</v>
      </c>
      <c r="AD54" t="s">
        <v>206</v>
      </c>
      <c r="AE54">
        <v>0.00057407603287023341</v>
      </c>
      <c r="AK54">
        <v>2033</v>
      </c>
      <c r="AL54" t="s">
        <v>149</v>
      </c>
      <c r="AM54">
        <v>0.49170000000000003</v>
      </c>
      <c r="AN54" t="s">
        <v>195</v>
      </c>
    </row>
    <row r="55" spans="9:40" ht="14.25">
      <c r="I55" t="s">
        <v>165</v>
      </c>
      <c r="J55" t="s">
        <v>207</v>
      </c>
      <c r="K55">
        <v>0.00035126497405937922</v>
      </c>
      <c r="L55" t="s">
        <v>153</v>
      </c>
      <c r="N55" t="s">
        <v>175</v>
      </c>
      <c r="O55" t="s">
        <v>207</v>
      </c>
      <c r="P55">
        <v>0.0035762341623198396</v>
      </c>
      <c r="Q55" t="s">
        <v>153</v>
      </c>
      <c r="S55" t="s">
        <v>185</v>
      </c>
      <c r="T55" t="s">
        <v>207</v>
      </c>
      <c r="U55">
        <v>0.0049668245105186342</v>
      </c>
      <c r="V55" t="s">
        <v>153</v>
      </c>
      <c r="AC55" t="s">
        <v>19</v>
      </c>
      <c r="AD55" t="s">
        <v>207</v>
      </c>
      <c r="AE55">
        <v>0.003437656817470497</v>
      </c>
      <c r="AK55">
        <v>2033</v>
      </c>
      <c r="AL55" t="s">
        <v>198</v>
      </c>
      <c r="AM55">
        <v>0.46288000000000001</v>
      </c>
      <c r="AN55" t="s">
        <v>195</v>
      </c>
    </row>
    <row r="56" spans="9:40" ht="14.25">
      <c r="I56" t="s">
        <v>165</v>
      </c>
      <c r="J56" t="s">
        <v>208</v>
      </c>
      <c r="K56">
        <v>0.010203391561538327</v>
      </c>
      <c r="L56" t="s">
        <v>153</v>
      </c>
      <c r="N56" t="s">
        <v>175</v>
      </c>
      <c r="O56" t="s">
        <v>208</v>
      </c>
      <c r="P56">
        <v>0.19838186423347379</v>
      </c>
      <c r="Q56" t="s">
        <v>153</v>
      </c>
      <c r="S56" t="s">
        <v>185</v>
      </c>
      <c r="T56" t="s">
        <v>208</v>
      </c>
      <c r="U56">
        <v>0.23026150163583414</v>
      </c>
      <c r="V56" t="s">
        <v>153</v>
      </c>
      <c r="AC56" t="s">
        <v>19</v>
      </c>
      <c r="AD56" t="s">
        <v>208</v>
      </c>
      <c r="AE56">
        <v>0.22176901676292043</v>
      </c>
      <c r="AK56">
        <v>2034</v>
      </c>
      <c r="AL56" t="s">
        <v>141</v>
      </c>
      <c r="AM56">
        <v>0.38305</v>
      </c>
      <c r="AN56" t="s">
        <v>195</v>
      </c>
    </row>
    <row r="57" spans="9:40" ht="14.25">
      <c r="I57" t="s">
        <v>165</v>
      </c>
      <c r="J57" t="s">
        <v>209</v>
      </c>
      <c r="K57">
        <v>0.039466793190490401</v>
      </c>
      <c r="L57" t="s">
        <v>153</v>
      </c>
      <c r="N57" t="s">
        <v>175</v>
      </c>
      <c r="O57" t="s">
        <v>209</v>
      </c>
      <c r="P57">
        <v>0.028538751498336137</v>
      </c>
      <c r="Q57" t="s">
        <v>153</v>
      </c>
      <c r="S57" t="s">
        <v>185</v>
      </c>
      <c r="T57" t="s">
        <v>209</v>
      </c>
      <c r="U57">
        <v>0.031072918100871094</v>
      </c>
      <c r="V57" t="s">
        <v>153</v>
      </c>
      <c r="AC57" t="s">
        <v>19</v>
      </c>
      <c r="AD57" t="s">
        <v>209</v>
      </c>
      <c r="AE57">
        <v>0.031759126469205173</v>
      </c>
      <c r="AK57">
        <v>2034</v>
      </c>
      <c r="AL57" t="s">
        <v>145</v>
      </c>
      <c r="AM57">
        <v>0.36754999999999999</v>
      </c>
      <c r="AN57" t="s">
        <v>195</v>
      </c>
    </row>
    <row r="58" spans="9:40" ht="14.25">
      <c r="I58" t="s">
        <v>165</v>
      </c>
      <c r="J58" t="s">
        <v>210</v>
      </c>
      <c r="K58">
        <v>0.66841565383617585</v>
      </c>
      <c r="L58" t="s">
        <v>153</v>
      </c>
      <c r="N58" t="s">
        <v>175</v>
      </c>
      <c r="O58" t="s">
        <v>210</v>
      </c>
      <c r="P58">
        <v>0.27594728731503854</v>
      </c>
      <c r="Q58" t="s">
        <v>153</v>
      </c>
      <c r="S58" t="s">
        <v>185</v>
      </c>
      <c r="T58" t="s">
        <v>210</v>
      </c>
      <c r="U58">
        <v>0.24494437765786853</v>
      </c>
      <c r="V58" t="s">
        <v>153</v>
      </c>
      <c r="AC58" t="s">
        <v>19</v>
      </c>
      <c r="AD58" t="s">
        <v>210</v>
      </c>
      <c r="AE58">
        <v>0.29068047418590937</v>
      </c>
      <c r="AK58">
        <v>2034</v>
      </c>
      <c r="AL58" t="s">
        <v>147</v>
      </c>
      <c r="AM58">
        <v>0.36149999999999999</v>
      </c>
      <c r="AN58" t="s">
        <v>195</v>
      </c>
    </row>
    <row r="59" spans="9:40" ht="14.25">
      <c r="I59" t="s">
        <v>165</v>
      </c>
      <c r="J59" t="s">
        <v>211</v>
      </c>
      <c r="K59">
        <v>0.040141184167628165</v>
      </c>
      <c r="L59" t="s">
        <v>153</v>
      </c>
      <c r="N59" t="s">
        <v>175</v>
      </c>
      <c r="O59" t="s">
        <v>211</v>
      </c>
      <c r="P59">
        <v>0.037990729237897702</v>
      </c>
      <c r="Q59" t="s">
        <v>153</v>
      </c>
      <c r="S59" t="s">
        <v>185</v>
      </c>
      <c r="T59" t="s">
        <v>211</v>
      </c>
      <c r="U59">
        <v>0.029747154516709309</v>
      </c>
      <c r="V59" t="s">
        <v>153</v>
      </c>
      <c r="AC59" t="s">
        <v>19</v>
      </c>
      <c r="AD59" t="s">
        <v>211</v>
      </c>
      <c r="AE59">
        <v>0.032367550136082918</v>
      </c>
      <c r="AK59">
        <v>2034</v>
      </c>
      <c r="AL59" t="s">
        <v>149</v>
      </c>
      <c r="AM59">
        <v>0.36149999999999999</v>
      </c>
      <c r="AN59" t="s">
        <v>195</v>
      </c>
    </row>
    <row r="60" spans="9:40" ht="14.25">
      <c r="I60" t="s">
        <v>165</v>
      </c>
      <c r="J60" t="s">
        <v>212</v>
      </c>
      <c r="K60">
        <v>0.012234674454072652</v>
      </c>
      <c r="L60" t="s">
        <v>153</v>
      </c>
      <c r="N60" t="s">
        <v>175</v>
      </c>
      <c r="O60" t="s">
        <v>212</v>
      </c>
      <c r="P60">
        <v>0.20078536231937069</v>
      </c>
      <c r="Q60" t="s">
        <v>153</v>
      </c>
      <c r="S60" t="s">
        <v>185</v>
      </c>
      <c r="T60" t="s">
        <v>212</v>
      </c>
      <c r="U60">
        <v>0.19689552867745097</v>
      </c>
      <c r="V60" t="s">
        <v>153</v>
      </c>
      <c r="AC60" t="s">
        <v>19</v>
      </c>
      <c r="AD60" t="s">
        <v>212</v>
      </c>
      <c r="AE60">
        <v>0.1936858337239992</v>
      </c>
      <c r="AK60">
        <v>2034</v>
      </c>
      <c r="AL60" t="s">
        <v>198</v>
      </c>
      <c r="AM60">
        <v>0.39923000000000003</v>
      </c>
      <c r="AN60" t="s">
        <v>195</v>
      </c>
    </row>
    <row r="61" spans="9:40" ht="14.25">
      <c r="I61" t="s">
        <v>166</v>
      </c>
      <c r="J61" t="s">
        <v>152</v>
      </c>
      <c r="K61">
        <v>0</v>
      </c>
      <c r="L61" t="s">
        <v>153</v>
      </c>
      <c r="N61" t="s">
        <v>176</v>
      </c>
      <c r="O61" t="s">
        <v>152</v>
      </c>
      <c r="P61">
        <v>0.035469056665774192</v>
      </c>
      <c r="Q61" t="s">
        <v>153</v>
      </c>
      <c r="AK61">
        <v>2035</v>
      </c>
      <c r="AL61" t="s">
        <v>141</v>
      </c>
      <c r="AM61">
        <v>0.33030000000000004</v>
      </c>
      <c r="AN61" t="s">
        <v>195</v>
      </c>
    </row>
    <row r="62" spans="9:40" ht="14.25">
      <c r="I62" t="s">
        <v>166</v>
      </c>
      <c r="J62" t="s">
        <v>154</v>
      </c>
      <c r="K62">
        <v>0.0033382378989554873</v>
      </c>
      <c r="L62" t="s">
        <v>153</v>
      </c>
      <c r="N62" t="s">
        <v>176</v>
      </c>
      <c r="O62" t="s">
        <v>154</v>
      </c>
      <c r="P62">
        <v>0.0048406263757702801</v>
      </c>
      <c r="Q62" t="s">
        <v>153</v>
      </c>
      <c r="AK62">
        <v>2035</v>
      </c>
      <c r="AL62" t="s">
        <v>145</v>
      </c>
      <c r="AM62">
        <v>0.38490000000000002</v>
      </c>
      <c r="AN62" t="s">
        <v>195</v>
      </c>
    </row>
    <row r="63" spans="9:40" ht="14.25">
      <c r="I63" t="s">
        <v>166</v>
      </c>
      <c r="J63" t="s">
        <v>155</v>
      </c>
      <c r="K63">
        <v>0.075713373990571542</v>
      </c>
      <c r="L63" t="s">
        <v>153</v>
      </c>
      <c r="N63" t="s">
        <v>176</v>
      </c>
      <c r="O63" t="s">
        <v>155</v>
      </c>
      <c r="P63">
        <v>0.035324432774540969</v>
      </c>
      <c r="Q63" t="s">
        <v>153</v>
      </c>
      <c r="AK63">
        <v>2035</v>
      </c>
      <c r="AL63" t="s">
        <v>147</v>
      </c>
      <c r="AM63">
        <v>0.43259999999999998</v>
      </c>
      <c r="AN63" t="s">
        <v>195</v>
      </c>
    </row>
    <row r="64" spans="9:40" ht="14.25">
      <c r="I64" t="s">
        <v>166</v>
      </c>
      <c r="J64" t="s">
        <v>200</v>
      </c>
      <c r="K64">
        <v>0.0040033507000183793</v>
      </c>
      <c r="L64" t="s">
        <v>153</v>
      </c>
      <c r="N64" t="s">
        <v>176</v>
      </c>
      <c r="O64" t="s">
        <v>200</v>
      </c>
      <c r="P64">
        <v>0.0037470631886222152</v>
      </c>
      <c r="Q64" t="s">
        <v>153</v>
      </c>
      <c r="AK64">
        <v>2035</v>
      </c>
      <c r="AL64" t="s">
        <v>149</v>
      </c>
      <c r="AM64">
        <v>0.43259999999999998</v>
      </c>
      <c r="AN64" t="s">
        <v>195</v>
      </c>
    </row>
    <row r="65" spans="9:40" ht="14.25">
      <c r="I65" t="s">
        <v>166</v>
      </c>
      <c r="J65" t="s">
        <v>201</v>
      </c>
      <c r="K65">
        <v>0</v>
      </c>
      <c r="L65" t="s">
        <v>153</v>
      </c>
      <c r="N65" t="s">
        <v>176</v>
      </c>
      <c r="O65" t="s">
        <v>201</v>
      </c>
      <c r="P65">
        <v>0.02841200102809013</v>
      </c>
      <c r="Q65" t="s">
        <v>153</v>
      </c>
      <c r="AK65">
        <v>2035</v>
      </c>
      <c r="AL65" t="s">
        <v>198</v>
      </c>
      <c r="AM65">
        <v>0.41253999999999991</v>
      </c>
      <c r="AN65" t="s">
        <v>195</v>
      </c>
    </row>
    <row r="66" spans="9:40" ht="14.25">
      <c r="I66" t="s">
        <v>166</v>
      </c>
      <c r="J66" t="s">
        <v>156</v>
      </c>
      <c r="K66">
        <v>0</v>
      </c>
      <c r="L66" t="s">
        <v>153</v>
      </c>
      <c r="N66" t="s">
        <v>176</v>
      </c>
      <c r="O66" t="s">
        <v>156</v>
      </c>
      <c r="P66">
        <v>0.031856916265948818</v>
      </c>
      <c r="Q66" t="s">
        <v>153</v>
      </c>
      <c r="AK66">
        <v>2036</v>
      </c>
      <c r="AL66" t="s">
        <v>141</v>
      </c>
      <c r="AM66">
        <v>0.29039999999999999</v>
      </c>
      <c r="AN66" t="s">
        <v>195</v>
      </c>
    </row>
    <row r="67" spans="9:40" ht="14.25">
      <c r="I67" t="s">
        <v>166</v>
      </c>
      <c r="J67" t="s">
        <v>157</v>
      </c>
      <c r="K67">
        <v>0.0043078992292039323</v>
      </c>
      <c r="L67" t="s">
        <v>153</v>
      </c>
      <c r="N67" t="s">
        <v>176</v>
      </c>
      <c r="O67" t="s">
        <v>157</v>
      </c>
      <c r="P67">
        <v>0.0045348469304764801</v>
      </c>
      <c r="Q67" t="s">
        <v>153</v>
      </c>
      <c r="AK67">
        <v>2036</v>
      </c>
      <c r="AL67" t="s">
        <v>145</v>
      </c>
      <c r="AM67">
        <v>0.31884999999999997</v>
      </c>
      <c r="AN67" t="s">
        <v>195</v>
      </c>
    </row>
    <row r="68" spans="9:40" ht="14.25">
      <c r="I68" t="s">
        <v>166</v>
      </c>
      <c r="J68" t="s">
        <v>158</v>
      </c>
      <c r="K68">
        <v>0.093684808968849884</v>
      </c>
      <c r="L68" t="s">
        <v>153</v>
      </c>
      <c r="N68" t="s">
        <v>176</v>
      </c>
      <c r="O68" t="s">
        <v>158</v>
      </c>
      <c r="P68">
        <v>0.02914742794306719</v>
      </c>
      <c r="Q68" t="s">
        <v>153</v>
      </c>
      <c r="AK68">
        <v>2036</v>
      </c>
      <c r="AL68" t="s">
        <v>147</v>
      </c>
      <c r="AM68">
        <v>0.34060000000000001</v>
      </c>
      <c r="AN68" t="s">
        <v>195</v>
      </c>
    </row>
    <row r="69" spans="9:40" ht="14.25">
      <c r="I69" t="s">
        <v>166</v>
      </c>
      <c r="J69" t="s">
        <v>202</v>
      </c>
      <c r="K69">
        <v>0.0060125133810171611</v>
      </c>
      <c r="L69" t="s">
        <v>153</v>
      </c>
      <c r="N69" t="s">
        <v>176</v>
      </c>
      <c r="O69" t="s">
        <v>202</v>
      </c>
      <c r="P69">
        <v>0.0032436333543101499</v>
      </c>
      <c r="Q69" t="s">
        <v>153</v>
      </c>
      <c r="AK69">
        <v>2036</v>
      </c>
      <c r="AL69" t="s">
        <v>149</v>
      </c>
      <c r="AM69">
        <v>0.34060000000000001</v>
      </c>
      <c r="AN69" t="s">
        <v>195</v>
      </c>
    </row>
    <row r="70" spans="9:40" ht="14.25">
      <c r="I70" t="s">
        <v>166</v>
      </c>
      <c r="J70" t="s">
        <v>203</v>
      </c>
      <c r="K70">
        <v>0</v>
      </c>
      <c r="L70" t="s">
        <v>153</v>
      </c>
      <c r="N70" t="s">
        <v>176</v>
      </c>
      <c r="O70" t="s">
        <v>203</v>
      </c>
      <c r="P70">
        <v>0.026613810424727463</v>
      </c>
      <c r="Q70" t="s">
        <v>153</v>
      </c>
      <c r="AK70">
        <v>2036</v>
      </c>
      <c r="AL70" t="s">
        <v>198</v>
      </c>
      <c r="AM70">
        <v>0.35314000000000001</v>
      </c>
      <c r="AN70" t="s">
        <v>195</v>
      </c>
    </row>
    <row r="71" spans="9:40" ht="14.25">
      <c r="I71" t="s">
        <v>166</v>
      </c>
      <c r="J71" t="s">
        <v>159</v>
      </c>
      <c r="K71">
        <v>0</v>
      </c>
      <c r="L71" t="s">
        <v>153</v>
      </c>
      <c r="N71" t="s">
        <v>176</v>
      </c>
      <c r="O71" t="s">
        <v>159</v>
      </c>
      <c r="P71">
        <v>0.011728980909368011</v>
      </c>
      <c r="Q71" t="s">
        <v>153</v>
      </c>
      <c r="AK71">
        <v>2037</v>
      </c>
      <c r="AL71" t="s">
        <v>141</v>
      </c>
      <c r="AM71">
        <v>0.31469999999999998</v>
      </c>
      <c r="AN71" t="s">
        <v>195</v>
      </c>
    </row>
    <row r="72" spans="9:40" ht="14.25">
      <c r="I72" t="s">
        <v>166</v>
      </c>
      <c r="J72" t="s">
        <v>160</v>
      </c>
      <c r="K72">
        <v>0.0014210823196491751</v>
      </c>
      <c r="L72" t="s">
        <v>153</v>
      </c>
      <c r="N72" t="s">
        <v>176</v>
      </c>
      <c r="O72" t="s">
        <v>160</v>
      </c>
      <c r="P72">
        <v>0.0018738149543164454</v>
      </c>
      <c r="Q72" t="s">
        <v>153</v>
      </c>
      <c r="AK72">
        <v>2037</v>
      </c>
      <c r="AL72" t="s">
        <v>145</v>
      </c>
      <c r="AM72">
        <v>0.31910000000000005</v>
      </c>
      <c r="AN72" t="s">
        <v>195</v>
      </c>
    </row>
    <row r="73" spans="9:40" ht="14.25">
      <c r="I73" t="s">
        <v>166</v>
      </c>
      <c r="J73" t="s">
        <v>161</v>
      </c>
      <c r="K73">
        <v>0.026562579836164731</v>
      </c>
      <c r="L73" t="s">
        <v>153</v>
      </c>
      <c r="N73" t="s">
        <v>176</v>
      </c>
      <c r="O73" t="s">
        <v>161</v>
      </c>
      <c r="P73">
        <v>0.013586229129284814</v>
      </c>
      <c r="Q73" t="s">
        <v>153</v>
      </c>
      <c r="AK73">
        <v>2037</v>
      </c>
      <c r="AL73" t="s">
        <v>147</v>
      </c>
      <c r="AM73">
        <v>0.33400000000000002</v>
      </c>
      <c r="AN73" t="s">
        <v>195</v>
      </c>
    </row>
    <row r="74" spans="9:40" ht="14.25">
      <c r="I74" t="s">
        <v>166</v>
      </c>
      <c r="J74" t="s">
        <v>204</v>
      </c>
      <c r="K74">
        <v>0.001771811201495654</v>
      </c>
      <c r="L74" t="s">
        <v>153</v>
      </c>
      <c r="N74" t="s">
        <v>176</v>
      </c>
      <c r="O74" t="s">
        <v>204</v>
      </c>
      <c r="P74">
        <v>0.0013305746985395601</v>
      </c>
      <c r="Q74" t="s">
        <v>153</v>
      </c>
      <c r="AK74">
        <v>2037</v>
      </c>
      <c r="AL74" t="s">
        <v>149</v>
      </c>
      <c r="AM74">
        <v>0.33400000000000002</v>
      </c>
      <c r="AN74" t="s">
        <v>195</v>
      </c>
    </row>
    <row r="75" spans="9:40" ht="14.25">
      <c r="I75" t="s">
        <v>166</v>
      </c>
      <c r="J75" t="s">
        <v>205</v>
      </c>
      <c r="K75">
        <v>0.00017475174439127812</v>
      </c>
      <c r="L75" t="s">
        <v>153</v>
      </c>
      <c r="N75" t="s">
        <v>176</v>
      </c>
      <c r="O75" t="s">
        <v>205</v>
      </c>
      <c r="P75">
        <v>0.0089937640070515933</v>
      </c>
      <c r="Q75" t="s">
        <v>153</v>
      </c>
      <c r="AK75">
        <v>2037</v>
      </c>
      <c r="AL75" t="s">
        <v>198</v>
      </c>
      <c r="AM75">
        <v>0.35717999999999994</v>
      </c>
      <c r="AN75" t="s">
        <v>195</v>
      </c>
    </row>
    <row r="76" spans="9:40" ht="14.25">
      <c r="I76" t="s">
        <v>166</v>
      </c>
      <c r="J76" t="s">
        <v>162</v>
      </c>
      <c r="K76">
        <v>1.7261924968309395E-07</v>
      </c>
      <c r="L76" t="s">
        <v>153</v>
      </c>
      <c r="N76" t="s">
        <v>176</v>
      </c>
      <c r="O76" t="s">
        <v>162</v>
      </c>
      <c r="P76">
        <v>0.0037255022435567177</v>
      </c>
      <c r="Q76" t="s">
        <v>153</v>
      </c>
      <c r="AK76">
        <v>2038</v>
      </c>
      <c r="AL76" t="s">
        <v>141</v>
      </c>
      <c r="AM76">
        <v>0.32955000000000001</v>
      </c>
      <c r="AN76" t="s">
        <v>195</v>
      </c>
    </row>
    <row r="77" spans="9:40" ht="14.25">
      <c r="I77" t="s">
        <v>166</v>
      </c>
      <c r="J77" t="s">
        <v>163</v>
      </c>
      <c r="K77">
        <v>0.00049261065240267137</v>
      </c>
      <c r="L77" t="s">
        <v>153</v>
      </c>
      <c r="N77" t="s">
        <v>176</v>
      </c>
      <c r="O77" t="s">
        <v>163</v>
      </c>
      <c r="P77">
        <v>0.00031595961618654156</v>
      </c>
      <c r="Q77" t="s">
        <v>153</v>
      </c>
      <c r="AK77">
        <v>2038</v>
      </c>
      <c r="AL77" t="s">
        <v>145</v>
      </c>
      <c r="AM77">
        <v>0.34384999999999999</v>
      </c>
      <c r="AN77" t="s">
        <v>195</v>
      </c>
    </row>
    <row r="78" spans="9:40" ht="14.25">
      <c r="I78" t="s">
        <v>166</v>
      </c>
      <c r="J78" t="s">
        <v>164</v>
      </c>
      <c r="K78">
        <v>0.010292835400694039</v>
      </c>
      <c r="L78" t="s">
        <v>153</v>
      </c>
      <c r="N78" t="s">
        <v>176</v>
      </c>
      <c r="O78" t="s">
        <v>164</v>
      </c>
      <c r="P78">
        <v>0.003685833394023758</v>
      </c>
      <c r="Q78" t="s">
        <v>153</v>
      </c>
      <c r="AK78">
        <v>2038</v>
      </c>
      <c r="AL78" t="s">
        <v>147</v>
      </c>
      <c r="AM78">
        <v>0.35580000000000001</v>
      </c>
      <c r="AN78" t="s">
        <v>195</v>
      </c>
    </row>
    <row r="79" spans="9:40" ht="14.25">
      <c r="I79" t="s">
        <v>166</v>
      </c>
      <c r="J79" t="s">
        <v>206</v>
      </c>
      <c r="K79">
        <v>0.00070383037494433981</v>
      </c>
      <c r="L79" t="s">
        <v>153</v>
      </c>
      <c r="N79" t="s">
        <v>176</v>
      </c>
      <c r="O79" t="s">
        <v>206</v>
      </c>
      <c r="P79">
        <v>0.00050424086155228349</v>
      </c>
      <c r="Q79" t="s">
        <v>153</v>
      </c>
      <c r="AK79">
        <v>2038</v>
      </c>
      <c r="AL79" t="s">
        <v>149</v>
      </c>
      <c r="AM79">
        <v>0.35580000000000001</v>
      </c>
      <c r="AN79" t="s">
        <v>195</v>
      </c>
    </row>
    <row r="80" spans="9:40" ht="14.25">
      <c r="I80" t="s">
        <v>166</v>
      </c>
      <c r="J80" t="s">
        <v>207</v>
      </c>
      <c r="K80">
        <v>0.00020740068944006255</v>
      </c>
      <c r="L80" t="s">
        <v>153</v>
      </c>
      <c r="N80" t="s">
        <v>176</v>
      </c>
      <c r="O80" t="s">
        <v>207</v>
      </c>
      <c r="P80">
        <v>0.0029687888610537391</v>
      </c>
      <c r="Q80" t="s">
        <v>153</v>
      </c>
      <c r="AK80">
        <v>2038</v>
      </c>
      <c r="AL80" t="s">
        <v>198</v>
      </c>
      <c r="AM80">
        <v>0.34991999999999995</v>
      </c>
      <c r="AN80" t="s">
        <v>195</v>
      </c>
    </row>
    <row r="81" spans="9:40" ht="14.25">
      <c r="I81" t="s">
        <v>166</v>
      </c>
      <c r="J81" t="s">
        <v>208</v>
      </c>
      <c r="K81">
        <v>0.013697187297861771</v>
      </c>
      <c r="L81" t="s">
        <v>153</v>
      </c>
      <c r="N81" t="s">
        <v>176</v>
      </c>
      <c r="O81" t="s">
        <v>208</v>
      </c>
      <c r="P81">
        <v>0.21393995101172966</v>
      </c>
      <c r="Q81" t="s">
        <v>153</v>
      </c>
      <c r="AK81">
        <v>2039</v>
      </c>
      <c r="AL81" t="s">
        <v>141</v>
      </c>
      <c r="AM81">
        <v>0.30184999999999995</v>
      </c>
      <c r="AN81" t="s">
        <v>195</v>
      </c>
    </row>
    <row r="82" spans="9:40" ht="14.25">
      <c r="I82" t="s">
        <v>166</v>
      </c>
      <c r="J82" t="s">
        <v>209</v>
      </c>
      <c r="K82">
        <v>0.042924499151982494</v>
      </c>
      <c r="L82" t="s">
        <v>153</v>
      </c>
      <c r="N82" t="s">
        <v>176</v>
      </c>
      <c r="O82" t="s">
        <v>209</v>
      </c>
      <c r="P82">
        <v>0.026774798863097391</v>
      </c>
      <c r="Q82" t="s">
        <v>153</v>
      </c>
      <c r="AK82">
        <v>2039</v>
      </c>
      <c r="AL82" t="s">
        <v>145</v>
      </c>
      <c r="AM82">
        <v>0.30669999999999997</v>
      </c>
      <c r="AN82" t="s">
        <v>195</v>
      </c>
    </row>
    <row r="83" spans="9:40" ht="14.25">
      <c r="I83" t="s">
        <v>166</v>
      </c>
      <c r="J83" t="s">
        <v>210</v>
      </c>
      <c r="K83">
        <v>0.66787595980038283</v>
      </c>
      <c r="L83" t="s">
        <v>153</v>
      </c>
      <c r="N83" t="s">
        <v>176</v>
      </c>
      <c r="O83" t="s">
        <v>210</v>
      </c>
      <c r="P83">
        <v>0.23220203502806666</v>
      </c>
      <c r="Q83" t="s">
        <v>153</v>
      </c>
      <c r="AK83">
        <v>2039</v>
      </c>
      <c r="AL83" t="s">
        <v>147</v>
      </c>
      <c r="AM83">
        <v>0.31640000000000001</v>
      </c>
      <c r="AN83" t="s">
        <v>195</v>
      </c>
    </row>
    <row r="84" spans="9:40" ht="14.25">
      <c r="I84" t="s">
        <v>166</v>
      </c>
      <c r="J84" t="s">
        <v>211</v>
      </c>
      <c r="K84">
        <v>0.036464750175862592</v>
      </c>
      <c r="L84" t="s">
        <v>153</v>
      </c>
      <c r="N84" t="s">
        <v>176</v>
      </c>
      <c r="O84" t="s">
        <v>211</v>
      </c>
      <c r="P84">
        <v>0.036859510263459287</v>
      </c>
      <c r="Q84" t="s">
        <v>153</v>
      </c>
      <c r="AK84">
        <v>2039</v>
      </c>
      <c r="AL84" t="s">
        <v>149</v>
      </c>
      <c r="AM84">
        <v>0.31640000000000001</v>
      </c>
      <c r="AN84" t="s">
        <v>195</v>
      </c>
    </row>
    <row r="85" spans="9:40" ht="14.25">
      <c r="I85" t="s">
        <v>166</v>
      </c>
      <c r="J85" t="s">
        <v>212</v>
      </c>
      <c r="K85">
        <v>0.010350344566862159</v>
      </c>
      <c r="L85" t="s">
        <v>153</v>
      </c>
      <c r="N85" t="s">
        <v>176</v>
      </c>
      <c r="O85" t="s">
        <v>212</v>
      </c>
      <c r="P85">
        <v>0.23832020120738848</v>
      </c>
      <c r="Q85" t="s">
        <v>153</v>
      </c>
      <c r="AK85">
        <v>2039</v>
      </c>
      <c r="AL85" t="s">
        <v>198</v>
      </c>
      <c r="AM85">
        <v>0.34059</v>
      </c>
      <c r="AN85" t="s">
        <v>195</v>
      </c>
    </row>
    <row r="86" spans="9:40" ht="14.25">
      <c r="I86" t="s">
        <v>167</v>
      </c>
      <c r="J86" t="s">
        <v>152</v>
      </c>
      <c r="K86">
        <v>0</v>
      </c>
      <c r="L86" t="s">
        <v>153</v>
      </c>
      <c r="N86" t="s">
        <v>177</v>
      </c>
      <c r="O86" t="s">
        <v>152</v>
      </c>
      <c r="P86">
        <v>0.033526853541657409</v>
      </c>
      <c r="Q86" t="s">
        <v>153</v>
      </c>
      <c r="AK86">
        <v>2040</v>
      </c>
      <c r="AL86" t="s">
        <v>141</v>
      </c>
      <c r="AM86">
        <v>0.40085000000000004</v>
      </c>
      <c r="AN86" t="s">
        <v>195</v>
      </c>
    </row>
    <row r="87" spans="9:40" ht="14.25">
      <c r="I87" t="s">
        <v>167</v>
      </c>
      <c r="J87" t="s">
        <v>154</v>
      </c>
      <c r="K87">
        <v>0.0033372332816485159</v>
      </c>
      <c r="L87" t="s">
        <v>153</v>
      </c>
      <c r="N87" t="s">
        <v>177</v>
      </c>
      <c r="O87" t="s">
        <v>154</v>
      </c>
      <c r="P87">
        <v>0.0048026301927799799</v>
      </c>
      <c r="Q87" t="s">
        <v>153</v>
      </c>
      <c r="AK87">
        <v>2040</v>
      </c>
      <c r="AL87" t="s">
        <v>145</v>
      </c>
      <c r="AM87">
        <v>0.40165000000000001</v>
      </c>
      <c r="AN87" t="s">
        <v>195</v>
      </c>
    </row>
    <row r="88" spans="9:40" ht="14.25">
      <c r="I88" t="s">
        <v>167</v>
      </c>
      <c r="J88" t="s">
        <v>155</v>
      </c>
      <c r="K88">
        <v>0.077147058317965908</v>
      </c>
      <c r="L88" t="s">
        <v>153</v>
      </c>
      <c r="N88" t="s">
        <v>177</v>
      </c>
      <c r="O88" t="s">
        <v>155</v>
      </c>
      <c r="P88">
        <v>0.03892937328173502</v>
      </c>
      <c r="Q88" t="s">
        <v>153</v>
      </c>
      <c r="AK88">
        <v>2040</v>
      </c>
      <c r="AL88" t="s">
        <v>147</v>
      </c>
      <c r="AM88">
        <v>0.41670000000000001</v>
      </c>
      <c r="AN88" t="s">
        <v>195</v>
      </c>
    </row>
    <row r="89" spans="9:40" ht="14.25">
      <c r="I89" t="s">
        <v>167</v>
      </c>
      <c r="J89" t="s">
        <v>200</v>
      </c>
      <c r="K89">
        <v>0.0042938328544336853</v>
      </c>
      <c r="L89" t="s">
        <v>153</v>
      </c>
      <c r="N89" t="s">
        <v>177</v>
      </c>
      <c r="O89" t="s">
        <v>200</v>
      </c>
      <c r="P89">
        <v>0.0043076877401005721</v>
      </c>
      <c r="Q89" t="s">
        <v>153</v>
      </c>
      <c r="AK89">
        <v>2040</v>
      </c>
      <c r="AL89" t="s">
        <v>149</v>
      </c>
      <c r="AM89">
        <v>0.41670000000000001</v>
      </c>
      <c r="AN89" t="s">
        <v>195</v>
      </c>
    </row>
    <row r="90" spans="9:40" ht="14.25">
      <c r="I90" t="s">
        <v>167</v>
      </c>
      <c r="J90" t="s">
        <v>201</v>
      </c>
      <c r="K90">
        <v>0</v>
      </c>
      <c r="L90" t="s">
        <v>153</v>
      </c>
      <c r="N90" t="s">
        <v>177</v>
      </c>
      <c r="O90" t="s">
        <v>201</v>
      </c>
      <c r="P90">
        <v>0.02590443917675531</v>
      </c>
      <c r="Q90" t="s">
        <v>153</v>
      </c>
      <c r="AK90">
        <v>2040</v>
      </c>
      <c r="AL90" t="s">
        <v>198</v>
      </c>
      <c r="AM90">
        <v>0.45918000000000003</v>
      </c>
      <c r="AN90" t="s">
        <v>195</v>
      </c>
    </row>
    <row r="91" spans="9:40" ht="14.25">
      <c r="I91" t="s">
        <v>167</v>
      </c>
      <c r="J91" t="s">
        <v>156</v>
      </c>
      <c r="K91">
        <v>0</v>
      </c>
      <c r="L91" t="s">
        <v>153</v>
      </c>
      <c r="N91" t="s">
        <v>177</v>
      </c>
      <c r="O91" t="s">
        <v>156</v>
      </c>
      <c r="P91">
        <v>0.028246497086783628</v>
      </c>
      <c r="Q91" t="s">
        <v>153</v>
      </c>
      <c r="AK91">
        <v>2041</v>
      </c>
      <c r="AL91" t="s">
        <v>141</v>
      </c>
      <c r="AM91">
        <v>0.35865000000000002</v>
      </c>
      <c r="AN91" t="s">
        <v>195</v>
      </c>
    </row>
    <row r="92" spans="9:40" ht="14.25">
      <c r="I92" t="s">
        <v>167</v>
      </c>
      <c r="J92" t="s">
        <v>157</v>
      </c>
      <c r="K92">
        <v>0.0041337655698971696</v>
      </c>
      <c r="L92" t="s">
        <v>153</v>
      </c>
      <c r="N92" t="s">
        <v>177</v>
      </c>
      <c r="O92" t="s">
        <v>157</v>
      </c>
      <c r="P92">
        <v>0.0040129163712356612</v>
      </c>
      <c r="Q92" t="s">
        <v>153</v>
      </c>
      <c r="AK92">
        <v>2041</v>
      </c>
      <c r="AL92" t="s">
        <v>145</v>
      </c>
      <c r="AM92">
        <v>0.38819999999999999</v>
      </c>
      <c r="AN92" t="s">
        <v>195</v>
      </c>
    </row>
    <row r="93" spans="9:40" ht="14.25">
      <c r="I93" t="s">
        <v>167</v>
      </c>
      <c r="J93" t="s">
        <v>158</v>
      </c>
      <c r="K93">
        <v>0.093657349573738224</v>
      </c>
      <c r="L93" t="s">
        <v>153</v>
      </c>
      <c r="N93" t="s">
        <v>177</v>
      </c>
      <c r="O93" t="s">
        <v>158</v>
      </c>
      <c r="P93">
        <v>0.037029053654219185</v>
      </c>
      <c r="Q93" t="s">
        <v>153</v>
      </c>
      <c r="AK93">
        <v>2041</v>
      </c>
      <c r="AL93" t="s">
        <v>147</v>
      </c>
      <c r="AM93">
        <v>0.41610000000000003</v>
      </c>
      <c r="AN93" t="s">
        <v>195</v>
      </c>
    </row>
    <row r="94" spans="9:40" ht="14.25">
      <c r="I94" t="s">
        <v>167</v>
      </c>
      <c r="J94" t="s">
        <v>202</v>
      </c>
      <c r="K94">
        <v>0.006231519303572769</v>
      </c>
      <c r="L94" t="s">
        <v>153</v>
      </c>
      <c r="N94" t="s">
        <v>177</v>
      </c>
      <c r="O94" t="s">
        <v>202</v>
      </c>
      <c r="P94">
        <v>0.0040011843767321312</v>
      </c>
      <c r="Q94" t="s">
        <v>153</v>
      </c>
      <c r="AK94">
        <v>2041</v>
      </c>
      <c r="AL94" t="s">
        <v>149</v>
      </c>
      <c r="AM94">
        <v>0.41610000000000003</v>
      </c>
      <c r="AN94" t="s">
        <v>195</v>
      </c>
    </row>
    <row r="95" spans="9:40" ht="14.25">
      <c r="I95" t="s">
        <v>167</v>
      </c>
      <c r="J95" t="s">
        <v>203</v>
      </c>
      <c r="K95">
        <v>1.2405347262786679E-05</v>
      </c>
      <c r="L95" t="s">
        <v>153</v>
      </c>
      <c r="N95" t="s">
        <v>177</v>
      </c>
      <c r="O95" t="s">
        <v>203</v>
      </c>
      <c r="P95">
        <v>0.025241272466001656</v>
      </c>
      <c r="Q95" t="s">
        <v>153</v>
      </c>
      <c r="AK95">
        <v>2041</v>
      </c>
      <c r="AL95" t="s">
        <v>198</v>
      </c>
      <c r="AM95">
        <v>0.41557000000000005</v>
      </c>
      <c r="AN95" t="s">
        <v>195</v>
      </c>
    </row>
    <row r="96" spans="9:40" ht="14.25">
      <c r="I96" t="s">
        <v>167</v>
      </c>
      <c r="J96" t="s">
        <v>159</v>
      </c>
      <c r="K96">
        <v>0</v>
      </c>
      <c r="L96" t="s">
        <v>153</v>
      </c>
      <c r="N96" t="s">
        <v>177</v>
      </c>
      <c r="O96" t="s">
        <v>159</v>
      </c>
      <c r="P96">
        <v>0.011266868952170536</v>
      </c>
      <c r="Q96" t="s">
        <v>153</v>
      </c>
      <c r="AK96">
        <v>2042</v>
      </c>
      <c r="AL96" t="s">
        <v>141</v>
      </c>
      <c r="AM96">
        <v>0.2873</v>
      </c>
      <c r="AN96" t="s">
        <v>195</v>
      </c>
    </row>
    <row r="97" spans="9:40" ht="14.25">
      <c r="I97" t="s">
        <v>167</v>
      </c>
      <c r="J97" t="s">
        <v>160</v>
      </c>
      <c r="K97">
        <v>0.0014195459202520795</v>
      </c>
      <c r="L97" t="s">
        <v>153</v>
      </c>
      <c r="N97" t="s">
        <v>177</v>
      </c>
      <c r="O97" t="s">
        <v>160</v>
      </c>
      <c r="P97">
        <v>0.0018200770244120533</v>
      </c>
      <c r="Q97" t="s">
        <v>153</v>
      </c>
      <c r="AK97">
        <v>2042</v>
      </c>
      <c r="AL97" t="s">
        <v>145</v>
      </c>
      <c r="AM97">
        <v>0.3306</v>
      </c>
      <c r="AN97" t="s">
        <v>195</v>
      </c>
    </row>
    <row r="98" spans="9:40" ht="14.25">
      <c r="I98" t="s">
        <v>167</v>
      </c>
      <c r="J98" t="s">
        <v>161</v>
      </c>
      <c r="K98">
        <v>0.02686962011601976</v>
      </c>
      <c r="L98" t="s">
        <v>153</v>
      </c>
      <c r="N98" t="s">
        <v>177</v>
      </c>
      <c r="O98" t="s">
        <v>161</v>
      </c>
      <c r="P98">
        <v>0.013616219355800249</v>
      </c>
      <c r="Q98" t="s">
        <v>153</v>
      </c>
      <c r="AK98">
        <v>2042</v>
      </c>
      <c r="AL98" t="s">
        <v>147</v>
      </c>
      <c r="AM98">
        <v>0.36</v>
      </c>
      <c r="AN98" t="s">
        <v>195</v>
      </c>
    </row>
    <row r="99" spans="9:40" ht="14.25">
      <c r="I99" t="s">
        <v>167</v>
      </c>
      <c r="J99" t="s">
        <v>204</v>
      </c>
      <c r="K99">
        <v>0.0018045942173520397</v>
      </c>
      <c r="L99" t="s">
        <v>153</v>
      </c>
      <c r="N99" t="s">
        <v>177</v>
      </c>
      <c r="O99" t="s">
        <v>204</v>
      </c>
      <c r="P99">
        <v>0.0017717596803975407</v>
      </c>
      <c r="Q99" t="s">
        <v>153</v>
      </c>
      <c r="AK99">
        <v>2042</v>
      </c>
      <c r="AL99" t="s">
        <v>149</v>
      </c>
      <c r="AM99">
        <v>0.36</v>
      </c>
      <c r="AN99" t="s">
        <v>195</v>
      </c>
    </row>
    <row r="100" spans="9:40" ht="14.25">
      <c r="I100" t="s">
        <v>167</v>
      </c>
      <c r="J100" t="s">
        <v>205</v>
      </c>
      <c r="K100">
        <v>0.00054377702683338334</v>
      </c>
      <c r="L100" t="s">
        <v>153</v>
      </c>
      <c r="N100" t="s">
        <v>177</v>
      </c>
      <c r="O100" t="s">
        <v>205</v>
      </c>
      <c r="P100">
        <v>0.010688870153501062</v>
      </c>
      <c r="Q100" t="s">
        <v>153</v>
      </c>
      <c r="AK100">
        <v>2042</v>
      </c>
      <c r="AL100" t="s">
        <v>198</v>
      </c>
      <c r="AM100">
        <v>0.35570000000000002</v>
      </c>
      <c r="AN100" t="s">
        <v>195</v>
      </c>
    </row>
    <row r="101" spans="9:40" ht="14.25">
      <c r="I101" t="s">
        <v>167</v>
      </c>
      <c r="J101" t="s">
        <v>162</v>
      </c>
      <c r="K101">
        <v>0</v>
      </c>
      <c r="L101" t="s">
        <v>153</v>
      </c>
      <c r="N101" t="s">
        <v>177</v>
      </c>
      <c r="O101" t="s">
        <v>162</v>
      </c>
      <c r="P101">
        <v>0.0025391533755643233</v>
      </c>
      <c r="Q101" t="s">
        <v>153</v>
      </c>
      <c r="AK101">
        <v>2043</v>
      </c>
      <c r="AL101" t="s">
        <v>141</v>
      </c>
      <c r="AM101">
        <v>0.30680000000000002</v>
      </c>
      <c r="AN101" t="s">
        <v>195</v>
      </c>
    </row>
    <row r="102" spans="9:40" ht="14.25">
      <c r="I102" t="s">
        <v>167</v>
      </c>
      <c r="J102" t="s">
        <v>163</v>
      </c>
      <c r="K102">
        <v>0.00045967684715852856</v>
      </c>
      <c r="L102" t="s">
        <v>153</v>
      </c>
      <c r="N102" t="s">
        <v>177</v>
      </c>
      <c r="O102" t="s">
        <v>163</v>
      </c>
      <c r="P102">
        <v>0.00024925287259153244</v>
      </c>
      <c r="Q102" t="s">
        <v>153</v>
      </c>
      <c r="AK102">
        <v>2043</v>
      </c>
      <c r="AL102" t="s">
        <v>145</v>
      </c>
      <c r="AM102">
        <v>0.32584999999999997</v>
      </c>
      <c r="AN102" t="s">
        <v>195</v>
      </c>
    </row>
    <row r="103" spans="9:40" ht="14.25">
      <c r="I103" t="s">
        <v>167</v>
      </c>
      <c r="J103" t="s">
        <v>164</v>
      </c>
      <c r="K103">
        <v>0.010402372800729578</v>
      </c>
      <c r="L103" t="s">
        <v>153</v>
      </c>
      <c r="N103" t="s">
        <v>177</v>
      </c>
      <c r="O103" t="s">
        <v>164</v>
      </c>
      <c r="P103">
        <v>0.0041016767518097415</v>
      </c>
      <c r="Q103" t="s">
        <v>153</v>
      </c>
      <c r="AK103">
        <v>2043</v>
      </c>
      <c r="AL103" t="s">
        <v>147</v>
      </c>
      <c r="AM103">
        <v>0.32819999999999999</v>
      </c>
      <c r="AN103" t="s">
        <v>195</v>
      </c>
    </row>
    <row r="104" spans="9:40" ht="14.25">
      <c r="I104" t="s">
        <v>167</v>
      </c>
      <c r="J104" t="s">
        <v>206</v>
      </c>
      <c r="K104">
        <v>0.00075720951313434611</v>
      </c>
      <c r="L104" t="s">
        <v>153</v>
      </c>
      <c r="N104" t="s">
        <v>177</v>
      </c>
      <c r="O104" t="s">
        <v>206</v>
      </c>
      <c r="P104">
        <v>0.00075823416592980743</v>
      </c>
      <c r="Q104" t="s">
        <v>153</v>
      </c>
      <c r="AK104">
        <v>2043</v>
      </c>
      <c r="AL104" t="s">
        <v>149</v>
      </c>
      <c r="AM104">
        <v>0.32819999999999999</v>
      </c>
      <c r="AN104" t="s">
        <v>195</v>
      </c>
    </row>
    <row r="105" spans="9:40" ht="14.25">
      <c r="I105" t="s">
        <v>167</v>
      </c>
      <c r="J105" t="s">
        <v>207</v>
      </c>
      <c r="K105">
        <v>0.00039471332728498366</v>
      </c>
      <c r="L105" t="s">
        <v>153</v>
      </c>
      <c r="N105" t="s">
        <v>177</v>
      </c>
      <c r="O105" t="s">
        <v>207</v>
      </c>
      <c r="P105">
        <v>0.0024153885327925593</v>
      </c>
      <c r="Q105" t="s">
        <v>153</v>
      </c>
      <c r="AK105">
        <v>2043</v>
      </c>
      <c r="AL105" t="s">
        <v>198</v>
      </c>
      <c r="AM105">
        <v>0.34432000000000001</v>
      </c>
      <c r="AN105" t="s">
        <v>195</v>
      </c>
    </row>
    <row r="106" spans="9:40" ht="14.25">
      <c r="I106" t="s">
        <v>167</v>
      </c>
      <c r="J106" t="s">
        <v>208</v>
      </c>
      <c r="K106">
        <v>0.012151055454704081</v>
      </c>
      <c r="L106" t="s">
        <v>153</v>
      </c>
      <c r="N106" t="s">
        <v>177</v>
      </c>
      <c r="O106" t="s">
        <v>208</v>
      </c>
      <c r="P106">
        <v>0.1800227821154069</v>
      </c>
      <c r="Q106" t="s">
        <v>153</v>
      </c>
      <c r="AK106">
        <v>2044</v>
      </c>
      <c r="AL106" t="s">
        <v>141</v>
      </c>
      <c r="AM106">
        <v>0.32669999999999999</v>
      </c>
      <c r="AN106" t="s">
        <v>195</v>
      </c>
    </row>
    <row r="107" spans="9:40" ht="14.25">
      <c r="I107" t="s">
        <v>167</v>
      </c>
      <c r="J107" t="s">
        <v>209</v>
      </c>
      <c r="K107">
        <v>0.041994951914731175</v>
      </c>
      <c r="L107" t="s">
        <v>153</v>
      </c>
      <c r="N107" t="s">
        <v>177</v>
      </c>
      <c r="O107" t="s">
        <v>209</v>
      </c>
      <c r="P107">
        <v>0.025646906051784477</v>
      </c>
      <c r="Q107" t="s">
        <v>153</v>
      </c>
      <c r="AK107">
        <v>2044</v>
      </c>
      <c r="AL107" t="s">
        <v>145</v>
      </c>
      <c r="AM107">
        <v>0.37060000000000004</v>
      </c>
      <c r="AN107" t="s">
        <v>195</v>
      </c>
    </row>
    <row r="108" spans="9:40" ht="14.25">
      <c r="I108" t="s">
        <v>167</v>
      </c>
      <c r="J108" t="s">
        <v>210</v>
      </c>
      <c r="K108">
        <v>0.66552658254883201</v>
      </c>
      <c r="L108" t="s">
        <v>153</v>
      </c>
      <c r="N108" t="s">
        <v>177</v>
      </c>
      <c r="O108" t="s">
        <v>210</v>
      </c>
      <c r="P108">
        <v>0.30041527321943212</v>
      </c>
      <c r="Q108" t="s">
        <v>153</v>
      </c>
      <c r="AK108">
        <v>2044</v>
      </c>
      <c r="AL108" t="s">
        <v>147</v>
      </c>
      <c r="AM108">
        <v>0.41860000000000003</v>
      </c>
      <c r="AN108" t="s">
        <v>195</v>
      </c>
    </row>
    <row r="109" spans="9:40" ht="14.25">
      <c r="I109" t="s">
        <v>167</v>
      </c>
      <c r="J109" t="s">
        <v>211</v>
      </c>
      <c r="K109">
        <v>0.038387505720213495</v>
      </c>
      <c r="L109" t="s">
        <v>153</v>
      </c>
      <c r="N109" t="s">
        <v>177</v>
      </c>
      <c r="O109" t="s">
        <v>211</v>
      </c>
      <c r="P109">
        <v>0.045523843497916501</v>
      </c>
      <c r="Q109" t="s">
        <v>153</v>
      </c>
      <c r="AK109">
        <v>2044</v>
      </c>
      <c r="AL109" t="s">
        <v>149</v>
      </c>
      <c r="AM109">
        <v>0.41860000000000003</v>
      </c>
      <c r="AN109" t="s">
        <v>195</v>
      </c>
    </row>
    <row r="110" spans="9:40" ht="14.25">
      <c r="I110" t="s">
        <v>167</v>
      </c>
      <c r="J110" t="s">
        <v>212</v>
      </c>
      <c r="K110">
        <v>0.010475230344234865</v>
      </c>
      <c r="L110" t="s">
        <v>153</v>
      </c>
      <c r="N110" t="s">
        <v>177</v>
      </c>
      <c r="O110" t="s">
        <v>212</v>
      </c>
      <c r="P110">
        <v>0.1931617863624856</v>
      </c>
      <c r="Q110" t="s">
        <v>153</v>
      </c>
      <c r="AK110">
        <v>2044</v>
      </c>
      <c r="AL110" t="s">
        <v>198</v>
      </c>
      <c r="AM110">
        <v>0.41026999999999997</v>
      </c>
      <c r="AN110" t="s">
        <v>195</v>
      </c>
    </row>
    <row r="111" spans="9:40" ht="14.25">
      <c r="I111" t="s">
        <v>168</v>
      </c>
      <c r="J111" t="s">
        <v>152</v>
      </c>
      <c r="K111">
        <v>0</v>
      </c>
      <c r="L111" t="s">
        <v>153</v>
      </c>
      <c r="N111" t="s">
        <v>178</v>
      </c>
      <c r="O111" t="s">
        <v>152</v>
      </c>
      <c r="P111">
        <v>0.034482838430782446</v>
      </c>
      <c r="Q111" t="s">
        <v>153</v>
      </c>
      <c r="AK111">
        <v>2045</v>
      </c>
      <c r="AL111" t="s">
        <v>141</v>
      </c>
      <c r="AM111">
        <v>0.3876</v>
      </c>
      <c r="AN111" t="s">
        <v>195</v>
      </c>
    </row>
    <row r="112" spans="9:40" ht="14.25">
      <c r="I112" t="s">
        <v>168</v>
      </c>
      <c r="J112" t="s">
        <v>154</v>
      </c>
      <c r="K112">
        <v>0.003603492460624632</v>
      </c>
      <c r="L112" t="s">
        <v>153</v>
      </c>
      <c r="N112" t="s">
        <v>178</v>
      </c>
      <c r="O112" t="s">
        <v>154</v>
      </c>
      <c r="P112">
        <v>0.0052194718970193354</v>
      </c>
      <c r="Q112" t="s">
        <v>153</v>
      </c>
      <c r="AK112">
        <v>2045</v>
      </c>
      <c r="AL112" t="s">
        <v>145</v>
      </c>
      <c r="AM112">
        <v>0.39700000000000002</v>
      </c>
      <c r="AN112" t="s">
        <v>195</v>
      </c>
    </row>
    <row r="113" spans="9:40" ht="14.25">
      <c r="I113" t="s">
        <v>168</v>
      </c>
      <c r="J113" t="s">
        <v>155</v>
      </c>
      <c r="K113">
        <v>0.07794306837768665</v>
      </c>
      <c r="L113" t="s">
        <v>153</v>
      </c>
      <c r="N113" t="s">
        <v>178</v>
      </c>
      <c r="O113" t="s">
        <v>155</v>
      </c>
      <c r="P113">
        <v>0.042005544743182639</v>
      </c>
      <c r="Q113" t="s">
        <v>153</v>
      </c>
      <c r="AK113">
        <v>2045</v>
      </c>
      <c r="AL113" t="s">
        <v>147</v>
      </c>
      <c r="AM113">
        <v>0.40210000000000001</v>
      </c>
      <c r="AN113" t="s">
        <v>195</v>
      </c>
    </row>
    <row r="114" spans="9:40" ht="14.25">
      <c r="I114" t="s">
        <v>168</v>
      </c>
      <c r="J114" t="s">
        <v>200</v>
      </c>
      <c r="K114">
        <v>0.0042058645371939127</v>
      </c>
      <c r="L114" t="s">
        <v>153</v>
      </c>
      <c r="N114" t="s">
        <v>178</v>
      </c>
      <c r="O114" t="s">
        <v>200</v>
      </c>
      <c r="P114">
        <v>0.0044891659573475726</v>
      </c>
      <c r="Q114" t="s">
        <v>153</v>
      </c>
      <c r="AK114">
        <v>2045</v>
      </c>
      <c r="AL114" t="s">
        <v>149</v>
      </c>
      <c r="AM114">
        <v>0.40210000000000001</v>
      </c>
      <c r="AN114" t="s">
        <v>195</v>
      </c>
    </row>
    <row r="115" spans="9:40" ht="14.25">
      <c r="I115" t="s">
        <v>168</v>
      </c>
      <c r="J115" t="s">
        <v>201</v>
      </c>
      <c r="K115">
        <v>0</v>
      </c>
      <c r="L115" t="s">
        <v>153</v>
      </c>
      <c r="N115" t="s">
        <v>178</v>
      </c>
      <c r="O115" t="s">
        <v>201</v>
      </c>
      <c r="P115">
        <v>0.028817685691696258</v>
      </c>
      <c r="Q115" t="s">
        <v>153</v>
      </c>
      <c r="AK115">
        <v>2045</v>
      </c>
      <c r="AL115" t="s">
        <v>198</v>
      </c>
      <c r="AM115">
        <v>0.40820999999999996</v>
      </c>
      <c r="AN115" t="s">
        <v>195</v>
      </c>
    </row>
    <row r="116" spans="9:40" ht="14.25">
      <c r="I116" t="s">
        <v>168</v>
      </c>
      <c r="J116" t="s">
        <v>156</v>
      </c>
      <c r="K116">
        <v>0</v>
      </c>
      <c r="L116" t="s">
        <v>153</v>
      </c>
      <c r="N116" t="s">
        <v>178</v>
      </c>
      <c r="O116" t="s">
        <v>156</v>
      </c>
      <c r="P116">
        <v>0.02648032383683644</v>
      </c>
      <c r="Q116" t="s">
        <v>153</v>
      </c>
      <c r="AK116">
        <v>2046</v>
      </c>
      <c r="AL116" t="s">
        <v>141</v>
      </c>
      <c r="AM116">
        <v>0.34104999999999996</v>
      </c>
      <c r="AN116" t="s">
        <v>195</v>
      </c>
    </row>
    <row r="117" spans="9:40" ht="14.25">
      <c r="I117" t="s">
        <v>168</v>
      </c>
      <c r="J117" t="s">
        <v>157</v>
      </c>
      <c r="K117">
        <v>0.0042887379208235276</v>
      </c>
      <c r="L117" t="s">
        <v>153</v>
      </c>
      <c r="N117" t="s">
        <v>178</v>
      </c>
      <c r="O117" t="s">
        <v>157</v>
      </c>
      <c r="P117">
        <v>0.0041470641968551726</v>
      </c>
      <c r="Q117" t="s">
        <v>153</v>
      </c>
      <c r="AK117">
        <v>2046</v>
      </c>
      <c r="AL117" t="s">
        <v>145</v>
      </c>
      <c r="AM117">
        <v>0.36299999999999999</v>
      </c>
      <c r="AN117" t="s">
        <v>195</v>
      </c>
    </row>
    <row r="118" spans="9:40" ht="14.25">
      <c r="I118" t="s">
        <v>168</v>
      </c>
      <c r="J118" t="s">
        <v>158</v>
      </c>
      <c r="K118">
        <v>0.093772960335830255</v>
      </c>
      <c r="L118" t="s">
        <v>153</v>
      </c>
      <c r="N118" t="s">
        <v>178</v>
      </c>
      <c r="O118" t="s">
        <v>158</v>
      </c>
      <c r="P118">
        <v>0.035697394213586101</v>
      </c>
      <c r="Q118" t="s">
        <v>153</v>
      </c>
      <c r="AK118">
        <v>2046</v>
      </c>
      <c r="AL118" t="s">
        <v>147</v>
      </c>
      <c r="AM118">
        <v>0.38030000000000003</v>
      </c>
      <c r="AN118" t="s">
        <v>195</v>
      </c>
    </row>
    <row r="119" spans="9:40" ht="14.25">
      <c r="I119" t="s">
        <v>168</v>
      </c>
      <c r="J119" t="s">
        <v>202</v>
      </c>
      <c r="K119">
        <v>0.0060661454437686557</v>
      </c>
      <c r="L119" t="s">
        <v>153</v>
      </c>
      <c r="N119" t="s">
        <v>178</v>
      </c>
      <c r="O119" t="s">
        <v>202</v>
      </c>
      <c r="P119">
        <v>0.0044742311818266002</v>
      </c>
      <c r="Q119" t="s">
        <v>153</v>
      </c>
      <c r="AK119">
        <v>2046</v>
      </c>
      <c r="AL119" t="s">
        <v>149</v>
      </c>
      <c r="AM119">
        <v>0.38030000000000003</v>
      </c>
      <c r="AN119" t="s">
        <v>195</v>
      </c>
    </row>
    <row r="120" spans="9:40" ht="14.25">
      <c r="I120" t="s">
        <v>168</v>
      </c>
      <c r="J120" t="s">
        <v>203</v>
      </c>
      <c r="K120">
        <v>0</v>
      </c>
      <c r="L120" t="s">
        <v>153</v>
      </c>
      <c r="N120" t="s">
        <v>178</v>
      </c>
      <c r="O120" t="s">
        <v>203</v>
      </c>
      <c r="P120">
        <v>0.02921657185784483</v>
      </c>
      <c r="Q120" t="s">
        <v>153</v>
      </c>
      <c r="AK120">
        <v>2046</v>
      </c>
      <c r="AL120" t="s">
        <v>198</v>
      </c>
      <c r="AM120">
        <v>0.40318000000000004</v>
      </c>
      <c r="AN120" t="s">
        <v>195</v>
      </c>
    </row>
    <row r="121" spans="9:40" ht="14.25">
      <c r="I121" t="s">
        <v>168</v>
      </c>
      <c r="J121" t="s">
        <v>159</v>
      </c>
      <c r="K121">
        <v>0</v>
      </c>
      <c r="L121" t="s">
        <v>153</v>
      </c>
      <c r="N121" t="s">
        <v>178</v>
      </c>
      <c r="O121" t="s">
        <v>159</v>
      </c>
      <c r="P121">
        <v>0.010461553874010094</v>
      </c>
      <c r="Q121" t="s">
        <v>153</v>
      </c>
      <c r="AK121">
        <v>2047</v>
      </c>
      <c r="AL121" t="s">
        <v>141</v>
      </c>
      <c r="AM121">
        <v>0.36030000000000001</v>
      </c>
      <c r="AN121" t="s">
        <v>195</v>
      </c>
    </row>
    <row r="122" spans="9:40" ht="14.25">
      <c r="I122" t="s">
        <v>168</v>
      </c>
      <c r="J122" t="s">
        <v>160</v>
      </c>
      <c r="K122">
        <v>0.0015286816639707866</v>
      </c>
      <c r="L122" t="s">
        <v>153</v>
      </c>
      <c r="N122" t="s">
        <v>178</v>
      </c>
      <c r="O122" t="s">
        <v>160</v>
      </c>
      <c r="P122">
        <v>0.0022456137939991815</v>
      </c>
      <c r="Q122" t="s">
        <v>153</v>
      </c>
      <c r="AK122">
        <v>2047</v>
      </c>
      <c r="AL122" t="s">
        <v>145</v>
      </c>
      <c r="AM122">
        <v>0.379</v>
      </c>
      <c r="AN122" t="s">
        <v>195</v>
      </c>
    </row>
    <row r="123" spans="9:40" ht="14.25">
      <c r="I123" t="s">
        <v>168</v>
      </c>
      <c r="J123" t="s">
        <v>161</v>
      </c>
      <c r="K123">
        <v>0.027010099747833118</v>
      </c>
      <c r="L123" t="s">
        <v>153</v>
      </c>
      <c r="N123" t="s">
        <v>178</v>
      </c>
      <c r="O123" t="s">
        <v>161</v>
      </c>
      <c r="P123">
        <v>0.014550795283160226</v>
      </c>
      <c r="Q123" t="s">
        <v>153</v>
      </c>
      <c r="AK123">
        <v>2047</v>
      </c>
      <c r="AL123" t="s">
        <v>147</v>
      </c>
      <c r="AM123">
        <v>0.38109999999999999</v>
      </c>
      <c r="AN123" t="s">
        <v>195</v>
      </c>
    </row>
    <row r="124" spans="9:40" ht="14.25">
      <c r="I124" t="s">
        <v>168</v>
      </c>
      <c r="J124" t="s">
        <v>204</v>
      </c>
      <c r="K124">
        <v>0.0017621268572384158</v>
      </c>
      <c r="L124" t="s">
        <v>153</v>
      </c>
      <c r="N124" t="s">
        <v>178</v>
      </c>
      <c r="O124" t="s">
        <v>204</v>
      </c>
      <c r="P124">
        <v>0.001511446005872015</v>
      </c>
      <c r="Q124" t="s">
        <v>153</v>
      </c>
      <c r="AK124">
        <v>2047</v>
      </c>
      <c r="AL124" t="s">
        <v>149</v>
      </c>
      <c r="AM124">
        <v>0.38109999999999999</v>
      </c>
      <c r="AN124" t="s">
        <v>195</v>
      </c>
    </row>
    <row r="125" spans="9:40" ht="14.25">
      <c r="I125" t="s">
        <v>168</v>
      </c>
      <c r="J125" t="s">
        <v>205</v>
      </c>
      <c r="K125">
        <v>5.8974274394902099E-05</v>
      </c>
      <c r="L125" t="s">
        <v>153</v>
      </c>
      <c r="N125" t="s">
        <v>178</v>
      </c>
      <c r="O125" t="s">
        <v>205</v>
      </c>
      <c r="P125">
        <v>0.0096859607131514411</v>
      </c>
      <c r="Q125" t="s">
        <v>153</v>
      </c>
      <c r="AK125">
        <v>2047</v>
      </c>
      <c r="AL125" t="s">
        <v>198</v>
      </c>
      <c r="AM125">
        <v>0.39679000000000003</v>
      </c>
      <c r="AN125" t="s">
        <v>195</v>
      </c>
    </row>
    <row r="126" spans="9:40" ht="14.25">
      <c r="I126" t="s">
        <v>168</v>
      </c>
      <c r="J126" t="s">
        <v>162</v>
      </c>
      <c r="K126">
        <v>5.6726068943476618E-08</v>
      </c>
      <c r="L126" t="s">
        <v>153</v>
      </c>
      <c r="N126" t="s">
        <v>178</v>
      </c>
      <c r="O126" t="s">
        <v>162</v>
      </c>
      <c r="P126">
        <v>0.0029935954101779211</v>
      </c>
      <c r="Q126" t="s">
        <v>153</v>
      </c>
      <c r="AK126">
        <v>2048</v>
      </c>
      <c r="AL126" t="s">
        <v>141</v>
      </c>
      <c r="AM126">
        <v>0.34720000000000001</v>
      </c>
      <c r="AN126" t="s">
        <v>195</v>
      </c>
    </row>
    <row r="127" spans="9:40" ht="14.25">
      <c r="I127" t="s">
        <v>168</v>
      </c>
      <c r="J127" t="s">
        <v>163</v>
      </c>
      <c r="K127">
        <v>0.00050809150484196956</v>
      </c>
      <c r="L127" t="s">
        <v>153</v>
      </c>
      <c r="N127" t="s">
        <v>178</v>
      </c>
      <c r="O127" t="s">
        <v>163</v>
      </c>
      <c r="P127">
        <v>0.00031477513724889546</v>
      </c>
      <c r="Q127" t="s">
        <v>153</v>
      </c>
      <c r="AK127">
        <v>2048</v>
      </c>
      <c r="AL127" t="s">
        <v>145</v>
      </c>
      <c r="AM127">
        <v>0.37065000000000003</v>
      </c>
      <c r="AN127" t="s">
        <v>195</v>
      </c>
    </row>
    <row r="128" spans="9:40" ht="14.25">
      <c r="I128" t="s">
        <v>168</v>
      </c>
      <c r="J128" t="s">
        <v>164</v>
      </c>
      <c r="K128">
        <v>0.01021529228344507</v>
      </c>
      <c r="L128" t="s">
        <v>153</v>
      </c>
      <c r="N128" t="s">
        <v>178</v>
      </c>
      <c r="O128" t="s">
        <v>164</v>
      </c>
      <c r="P128">
        <v>0.0047827966202305429</v>
      </c>
      <c r="Q128" t="s">
        <v>153</v>
      </c>
      <c r="AK128">
        <v>2048</v>
      </c>
      <c r="AL128" t="s">
        <v>147</v>
      </c>
      <c r="AM128">
        <v>0.3846</v>
      </c>
      <c r="AN128" t="s">
        <v>195</v>
      </c>
    </row>
    <row r="129" spans="9:40" ht="14.25">
      <c r="I129" t="s">
        <v>168</v>
      </c>
      <c r="J129" t="s">
        <v>206</v>
      </c>
      <c r="K129">
        <v>0.000633866666340191</v>
      </c>
      <c r="L129" t="s">
        <v>153</v>
      </c>
      <c r="N129" t="s">
        <v>178</v>
      </c>
      <c r="O129" t="s">
        <v>206</v>
      </c>
      <c r="P129">
        <v>0.00065021903747803993</v>
      </c>
      <c r="Q129" t="s">
        <v>153</v>
      </c>
      <c r="AK129">
        <v>2048</v>
      </c>
      <c r="AL129" t="s">
        <v>149</v>
      </c>
      <c r="AM129">
        <v>0.3846</v>
      </c>
      <c r="AN129" t="s">
        <v>195</v>
      </c>
    </row>
    <row r="130" spans="9:40" ht="14.25">
      <c r="I130" t="s">
        <v>168</v>
      </c>
      <c r="J130" t="s">
        <v>207</v>
      </c>
      <c r="K130">
        <v>0.00013007733399908697</v>
      </c>
      <c r="L130" t="s">
        <v>153</v>
      </c>
      <c r="N130" t="s">
        <v>178</v>
      </c>
      <c r="O130" t="s">
        <v>207</v>
      </c>
      <c r="P130">
        <v>0.0024168801123132812</v>
      </c>
      <c r="Q130" t="s">
        <v>153</v>
      </c>
      <c r="AK130">
        <v>2048</v>
      </c>
      <c r="AL130" t="s">
        <v>198</v>
      </c>
      <c r="AM130">
        <v>0.39743000000000006</v>
      </c>
      <c r="AN130" t="s">
        <v>195</v>
      </c>
    </row>
    <row r="131" spans="9:40" ht="14.25">
      <c r="I131" t="s">
        <v>168</v>
      </c>
      <c r="J131" t="s">
        <v>208</v>
      </c>
      <c r="K131">
        <v>0.014370634444822596</v>
      </c>
      <c r="L131" t="s">
        <v>153</v>
      </c>
      <c r="N131" t="s">
        <v>178</v>
      </c>
      <c r="O131" t="s">
        <v>208</v>
      </c>
      <c r="P131">
        <v>0.1733749801797618</v>
      </c>
      <c r="Q131" t="s">
        <v>153</v>
      </c>
      <c r="AK131">
        <v>2049</v>
      </c>
      <c r="AL131" t="s">
        <v>141</v>
      </c>
      <c r="AM131">
        <v>0.39829999999999999</v>
      </c>
      <c r="AN131" t="s">
        <v>195</v>
      </c>
    </row>
    <row r="132" spans="9:40" ht="14.25">
      <c r="I132" t="s">
        <v>168</v>
      </c>
      <c r="J132" t="s">
        <v>209</v>
      </c>
      <c r="K132">
        <v>0.044287593876004915</v>
      </c>
      <c r="L132" t="s">
        <v>153</v>
      </c>
      <c r="N132" t="s">
        <v>178</v>
      </c>
      <c r="O132" t="s">
        <v>209</v>
      </c>
      <c r="P132">
        <v>0.025398980642533191</v>
      </c>
      <c r="Q132" t="s">
        <v>153</v>
      </c>
      <c r="AK132">
        <v>2049</v>
      </c>
      <c r="AL132" t="s">
        <v>145</v>
      </c>
      <c r="AM132">
        <v>0.43204999999999999</v>
      </c>
      <c r="AN132" t="s">
        <v>195</v>
      </c>
    </row>
    <row r="133" spans="9:40" ht="14.25">
      <c r="I133" t="s">
        <v>168</v>
      </c>
      <c r="J133" t="s">
        <v>210</v>
      </c>
      <c r="K133">
        <v>0.66486032101084525</v>
      </c>
      <c r="L133" t="s">
        <v>153</v>
      </c>
      <c r="N133" t="s">
        <v>178</v>
      </c>
      <c r="O133" t="s">
        <v>210</v>
      </c>
      <c r="P133">
        <v>0.27051349543977266</v>
      </c>
      <c r="Q133" t="s">
        <v>153</v>
      </c>
      <c r="AK133">
        <v>2049</v>
      </c>
      <c r="AL133" t="s">
        <v>147</v>
      </c>
      <c r="AM133">
        <v>0.47639999999999999</v>
      </c>
      <c r="AN133" t="s">
        <v>195</v>
      </c>
    </row>
    <row r="134" spans="9:40" ht="14.25">
      <c r="I134" t="s">
        <v>168</v>
      </c>
      <c r="J134" t="s">
        <v>211</v>
      </c>
      <c r="K134">
        <v>0.035427956157686527</v>
      </c>
      <c r="L134" t="s">
        <v>153</v>
      </c>
      <c r="N134" t="s">
        <v>178</v>
      </c>
      <c r="O134" t="s">
        <v>211</v>
      </c>
      <c r="P134">
        <v>0.045909837059877084</v>
      </c>
      <c r="Q134" t="s">
        <v>153</v>
      </c>
      <c r="AK134">
        <v>2049</v>
      </c>
      <c r="AL134" t="s">
        <v>149</v>
      </c>
      <c r="AM134">
        <v>0.47639999999999999</v>
      </c>
      <c r="AN134" t="s">
        <v>195</v>
      </c>
    </row>
    <row r="135" spans="9:40" ht="14.25">
      <c r="I135" t="s">
        <v>168</v>
      </c>
      <c r="J135" t="s">
        <v>212</v>
      </c>
      <c r="K135">
        <v>0.0093259583765771155</v>
      </c>
      <c r="L135" t="s">
        <v>153</v>
      </c>
      <c r="N135" t="s">
        <v>178</v>
      </c>
      <c r="O135" t="s">
        <v>212</v>
      </c>
      <c r="P135">
        <v>0.22015877868343683</v>
      </c>
      <c r="Q135" t="s">
        <v>153</v>
      </c>
      <c r="AK135">
        <v>2049</v>
      </c>
      <c r="AL135" t="s">
        <v>198</v>
      </c>
      <c r="AM135">
        <v>0.46731999999999996</v>
      </c>
      <c r="AN135" t="s">
        <v>195</v>
      </c>
    </row>
    <row r="136" spans="9:40" ht="14.25">
      <c r="I136" t="s">
        <v>169</v>
      </c>
      <c r="J136" t="s">
        <v>152</v>
      </c>
      <c r="K136">
        <v>0</v>
      </c>
      <c r="L136" t="s">
        <v>153</v>
      </c>
      <c r="N136" t="s">
        <v>179</v>
      </c>
      <c r="O136" t="s">
        <v>152</v>
      </c>
      <c r="P136">
        <v>0.02901469066713382</v>
      </c>
      <c r="Q136" t="s">
        <v>153</v>
      </c>
      <c r="AK136">
        <v>2050</v>
      </c>
      <c r="AL136" t="s">
        <v>141</v>
      </c>
      <c r="AM136">
        <v>0.43230000000000002</v>
      </c>
      <c r="AN136" t="s">
        <v>195</v>
      </c>
    </row>
    <row r="137" spans="9:40" ht="14.25">
      <c r="I137" t="s">
        <v>169</v>
      </c>
      <c r="J137" t="s">
        <v>154</v>
      </c>
      <c r="K137">
        <v>0.0031020783957555757</v>
      </c>
      <c r="L137" t="s">
        <v>153</v>
      </c>
      <c r="N137" t="s">
        <v>179</v>
      </c>
      <c r="O137" t="s">
        <v>154</v>
      </c>
      <c r="P137">
        <v>0.0038435269231681954</v>
      </c>
      <c r="Q137" t="s">
        <v>153</v>
      </c>
      <c r="AK137">
        <v>2050</v>
      </c>
      <c r="AL137" t="s">
        <v>145</v>
      </c>
      <c r="AM137">
        <v>0.46965000000000001</v>
      </c>
      <c r="AN137" t="s">
        <v>195</v>
      </c>
    </row>
    <row r="138" spans="9:40" ht="14.25">
      <c r="I138" t="s">
        <v>169</v>
      </c>
      <c r="J138" t="s">
        <v>155</v>
      </c>
      <c r="K138">
        <v>0.073521509600720916</v>
      </c>
      <c r="L138" t="s">
        <v>153</v>
      </c>
      <c r="N138" t="s">
        <v>179</v>
      </c>
      <c r="O138" t="s">
        <v>155</v>
      </c>
      <c r="P138">
        <v>0.053627070064079643</v>
      </c>
      <c r="Q138" t="s">
        <v>153</v>
      </c>
      <c r="AK138">
        <v>2050</v>
      </c>
      <c r="AL138" t="s">
        <v>147</v>
      </c>
      <c r="AM138">
        <v>0.4985</v>
      </c>
      <c r="AN138" t="s">
        <v>195</v>
      </c>
    </row>
    <row r="139" spans="9:40" ht="14.25">
      <c r="I139" t="s">
        <v>169</v>
      </c>
      <c r="J139" t="s">
        <v>200</v>
      </c>
      <c r="K139">
        <v>0.0037668267179271952</v>
      </c>
      <c r="L139" t="s">
        <v>153</v>
      </c>
      <c r="N139" t="s">
        <v>179</v>
      </c>
      <c r="O139" t="s">
        <v>200</v>
      </c>
      <c r="P139">
        <v>0.0055486367777169646</v>
      </c>
      <c r="Q139" t="s">
        <v>153</v>
      </c>
      <c r="AK139">
        <v>2050</v>
      </c>
      <c r="AL139" t="s">
        <v>149</v>
      </c>
      <c r="AM139">
        <v>0.4985</v>
      </c>
      <c r="AN139" t="s">
        <v>195</v>
      </c>
    </row>
    <row r="140" spans="9:40" ht="14.25">
      <c r="I140" t="s">
        <v>169</v>
      </c>
      <c r="J140" t="s">
        <v>201</v>
      </c>
      <c r="K140">
        <v>0</v>
      </c>
      <c r="L140" t="s">
        <v>153</v>
      </c>
      <c r="N140" t="s">
        <v>179</v>
      </c>
      <c r="O140" t="s">
        <v>201</v>
      </c>
      <c r="P140">
        <v>0.027963145895357287</v>
      </c>
      <c r="Q140" t="s">
        <v>153</v>
      </c>
      <c r="AK140">
        <v>2050</v>
      </c>
      <c r="AL140" t="s">
        <v>198</v>
      </c>
      <c r="AM140">
        <v>0.46579000000000004</v>
      </c>
      <c r="AN140" t="s">
        <v>195</v>
      </c>
    </row>
    <row r="141" spans="9:17" ht="14.25">
      <c r="I141" t="s">
        <v>169</v>
      </c>
      <c r="J141" t="s">
        <v>156</v>
      </c>
      <c r="K141">
        <v>0</v>
      </c>
      <c r="L141" t="s">
        <v>153</v>
      </c>
      <c r="N141" t="s">
        <v>179</v>
      </c>
      <c r="O141" t="s">
        <v>156</v>
      </c>
      <c r="P141">
        <v>0.027386553802126633</v>
      </c>
      <c r="Q141" t="s">
        <v>153</v>
      </c>
    </row>
    <row r="142" spans="9:17" ht="14.25">
      <c r="I142" t="s">
        <v>169</v>
      </c>
      <c r="J142" t="s">
        <v>157</v>
      </c>
      <c r="K142">
        <v>0.004699115656255636</v>
      </c>
      <c r="L142" t="s">
        <v>153</v>
      </c>
      <c r="N142" t="s">
        <v>179</v>
      </c>
      <c r="O142" t="s">
        <v>157</v>
      </c>
      <c r="P142">
        <v>0.0034360900145924047</v>
      </c>
      <c r="Q142" t="s">
        <v>153</v>
      </c>
    </row>
    <row r="143" spans="9:17" ht="14.25">
      <c r="I143" t="s">
        <v>169</v>
      </c>
      <c r="J143" t="s">
        <v>158</v>
      </c>
      <c r="K143">
        <v>0.093835478939840872</v>
      </c>
      <c r="L143" t="s">
        <v>153</v>
      </c>
      <c r="N143" t="s">
        <v>179</v>
      </c>
      <c r="O143" t="s">
        <v>158</v>
      </c>
      <c r="P143">
        <v>0.044346006632917337</v>
      </c>
      <c r="Q143" t="s">
        <v>153</v>
      </c>
    </row>
    <row r="144" spans="9:17" ht="14.25">
      <c r="I144" t="s">
        <v>169</v>
      </c>
      <c r="J144" t="s">
        <v>202</v>
      </c>
      <c r="K144">
        <v>0.0056348468682617288</v>
      </c>
      <c r="L144" t="s">
        <v>153</v>
      </c>
      <c r="N144" t="s">
        <v>179</v>
      </c>
      <c r="O144" t="s">
        <v>202</v>
      </c>
      <c r="P144">
        <v>0.0058348743155225572</v>
      </c>
      <c r="Q144" t="s">
        <v>153</v>
      </c>
    </row>
    <row r="145" spans="9:17" ht="14.25">
      <c r="I145" t="s">
        <v>169</v>
      </c>
      <c r="J145" t="s">
        <v>203</v>
      </c>
      <c r="K145">
        <v>0</v>
      </c>
      <c r="L145" t="s">
        <v>153</v>
      </c>
      <c r="N145" t="s">
        <v>179</v>
      </c>
      <c r="O145" t="s">
        <v>203</v>
      </c>
      <c r="P145">
        <v>0.023875285021871483</v>
      </c>
      <c r="Q145" t="s">
        <v>153</v>
      </c>
    </row>
    <row r="146" spans="9:17" ht="14.25">
      <c r="I146" t="s">
        <v>169</v>
      </c>
      <c r="J146" t="s">
        <v>159</v>
      </c>
      <c r="K146">
        <v>0</v>
      </c>
      <c r="L146" t="s">
        <v>153</v>
      </c>
      <c r="N146" t="s">
        <v>179</v>
      </c>
      <c r="O146" t="s">
        <v>159</v>
      </c>
      <c r="P146">
        <v>0.003323209731216312</v>
      </c>
      <c r="Q146" t="s">
        <v>153</v>
      </c>
    </row>
    <row r="147" spans="9:17" ht="14.25">
      <c r="I147" t="s">
        <v>169</v>
      </c>
      <c r="J147" t="s">
        <v>160</v>
      </c>
      <c r="K147">
        <v>0.0015856514174990202</v>
      </c>
      <c r="L147" t="s">
        <v>153</v>
      </c>
      <c r="N147" t="s">
        <v>179</v>
      </c>
      <c r="O147" t="s">
        <v>160</v>
      </c>
      <c r="P147">
        <v>0.00063795099451240274</v>
      </c>
      <c r="Q147" t="s">
        <v>153</v>
      </c>
    </row>
    <row r="148" spans="9:17" ht="14.25">
      <c r="I148" t="s">
        <v>169</v>
      </c>
      <c r="J148" t="s">
        <v>161</v>
      </c>
      <c r="K148">
        <v>0.026882796874634955</v>
      </c>
      <c r="L148" t="s">
        <v>153</v>
      </c>
      <c r="N148" t="s">
        <v>179</v>
      </c>
      <c r="O148" t="s">
        <v>161</v>
      </c>
      <c r="P148">
        <v>0.0099677546410757677</v>
      </c>
      <c r="Q148" t="s">
        <v>153</v>
      </c>
    </row>
    <row r="149" spans="9:17" ht="14.25">
      <c r="I149" t="s">
        <v>169</v>
      </c>
      <c r="J149" t="s">
        <v>204</v>
      </c>
      <c r="K149">
        <v>0.0016531953861507376</v>
      </c>
      <c r="L149" t="s">
        <v>153</v>
      </c>
      <c r="N149" t="s">
        <v>179</v>
      </c>
      <c r="O149" t="s">
        <v>204</v>
      </c>
      <c r="P149">
        <v>0.0012502598446209204</v>
      </c>
      <c r="Q149" t="s">
        <v>153</v>
      </c>
    </row>
    <row r="150" spans="9:17" ht="14.25">
      <c r="I150" t="s">
        <v>169</v>
      </c>
      <c r="J150" t="s">
        <v>205</v>
      </c>
      <c r="K150">
        <v>0</v>
      </c>
      <c r="L150" t="s">
        <v>153</v>
      </c>
      <c r="N150" t="s">
        <v>179</v>
      </c>
      <c r="O150" t="s">
        <v>205</v>
      </c>
      <c r="P150">
        <v>0.0050213395427133765</v>
      </c>
      <c r="Q150" t="s">
        <v>153</v>
      </c>
    </row>
    <row r="151" spans="9:17" ht="14.25">
      <c r="I151" t="s">
        <v>169</v>
      </c>
      <c r="J151" t="s">
        <v>162</v>
      </c>
      <c r="K151">
        <v>0.00013867052753331643</v>
      </c>
      <c r="L151" t="s">
        <v>153</v>
      </c>
      <c r="N151" t="s">
        <v>179</v>
      </c>
      <c r="O151" t="s">
        <v>162</v>
      </c>
      <c r="P151">
        <v>0.001354899036788942</v>
      </c>
      <c r="Q151" t="s">
        <v>153</v>
      </c>
    </row>
    <row r="152" spans="9:17" ht="14.25">
      <c r="I152" t="s">
        <v>169</v>
      </c>
      <c r="J152" t="s">
        <v>163</v>
      </c>
      <c r="K152">
        <v>0.00048495447098507511</v>
      </c>
      <c r="L152" t="s">
        <v>153</v>
      </c>
      <c r="N152" t="s">
        <v>179</v>
      </c>
      <c r="O152" t="s">
        <v>163</v>
      </c>
      <c r="P152">
        <v>0.00015410053897467298</v>
      </c>
      <c r="Q152" t="s">
        <v>153</v>
      </c>
    </row>
    <row r="153" spans="9:17" ht="14.25">
      <c r="I153" t="s">
        <v>169</v>
      </c>
      <c r="J153" t="s">
        <v>164</v>
      </c>
      <c r="K153">
        <v>0.0097858551016658558</v>
      </c>
      <c r="L153" t="s">
        <v>153</v>
      </c>
      <c r="N153" t="s">
        <v>179</v>
      </c>
      <c r="O153" t="s">
        <v>164</v>
      </c>
      <c r="P153">
        <v>0.014775807997207367</v>
      </c>
      <c r="Q153" t="s">
        <v>153</v>
      </c>
    </row>
    <row r="154" spans="9:17" ht="14.25">
      <c r="I154" t="s">
        <v>169</v>
      </c>
      <c r="J154" t="s">
        <v>206</v>
      </c>
      <c r="K154">
        <v>0.00043972648205644721</v>
      </c>
      <c r="L154" t="s">
        <v>153</v>
      </c>
      <c r="N154" t="s">
        <v>179</v>
      </c>
      <c r="O154" t="s">
        <v>206</v>
      </c>
      <c r="P154">
        <v>0.0016716061011627348</v>
      </c>
      <c r="Q154" t="s">
        <v>153</v>
      </c>
    </row>
    <row r="155" spans="9:17" ht="14.25">
      <c r="I155" t="s">
        <v>169</v>
      </c>
      <c r="J155" t="s">
        <v>207</v>
      </c>
      <c r="K155">
        <v>0</v>
      </c>
      <c r="L155" t="s">
        <v>153</v>
      </c>
      <c r="N155" t="s">
        <v>179</v>
      </c>
      <c r="O155" t="s">
        <v>207</v>
      </c>
      <c r="P155">
        <v>0.0035697821653888485</v>
      </c>
      <c r="Q155" t="s">
        <v>153</v>
      </c>
    </row>
    <row r="156" spans="9:17" ht="14.25">
      <c r="I156" t="s">
        <v>169</v>
      </c>
      <c r="J156" t="s">
        <v>208</v>
      </c>
      <c r="K156">
        <v>0.017110824375307969</v>
      </c>
      <c r="L156" t="s">
        <v>153</v>
      </c>
      <c r="N156" t="s">
        <v>179</v>
      </c>
      <c r="O156" t="s">
        <v>208</v>
      </c>
      <c r="P156">
        <v>0.15298148631737971</v>
      </c>
      <c r="Q156" t="s">
        <v>153</v>
      </c>
    </row>
    <row r="157" spans="9:17" ht="14.25">
      <c r="I157" t="s">
        <v>169</v>
      </c>
      <c r="J157" t="s">
        <v>209</v>
      </c>
      <c r="K157">
        <v>0.046185948222896588</v>
      </c>
      <c r="L157" t="s">
        <v>153</v>
      </c>
      <c r="N157" t="s">
        <v>179</v>
      </c>
      <c r="O157" t="s">
        <v>209</v>
      </c>
      <c r="P157">
        <v>0.020795192276249347</v>
      </c>
      <c r="Q157" t="s">
        <v>153</v>
      </c>
    </row>
    <row r="158" spans="9:17" ht="14.25">
      <c r="I158" t="s">
        <v>169</v>
      </c>
      <c r="J158" t="s">
        <v>210</v>
      </c>
      <c r="K158">
        <v>0.67255678965732568</v>
      </c>
      <c r="L158" t="s">
        <v>153</v>
      </c>
      <c r="N158" t="s">
        <v>179</v>
      </c>
      <c r="O158" t="s">
        <v>210</v>
      </c>
      <c r="P158">
        <v>0.34605943399954442</v>
      </c>
      <c r="Q158" t="s">
        <v>153</v>
      </c>
    </row>
    <row r="159" spans="9:17" ht="14.25">
      <c r="I159" t="s">
        <v>169</v>
      </c>
      <c r="J159" t="s">
        <v>211</v>
      </c>
      <c r="K159">
        <v>0.029996066445301277</v>
      </c>
      <c r="L159" t="s">
        <v>153</v>
      </c>
      <c r="N159" t="s">
        <v>179</v>
      </c>
      <c r="O159" t="s">
        <v>211</v>
      </c>
      <c r="P159">
        <v>0.049560606801051559</v>
      </c>
      <c r="Q159" t="s">
        <v>153</v>
      </c>
    </row>
    <row r="160" spans="9:17" ht="14.25">
      <c r="I160" t="s">
        <v>169</v>
      </c>
      <c r="J160" t="s">
        <v>212</v>
      </c>
      <c r="K160">
        <v>0.0086196648598825479</v>
      </c>
      <c r="L160" t="s">
        <v>153</v>
      </c>
      <c r="N160" t="s">
        <v>179</v>
      </c>
      <c r="O160" t="s">
        <v>212</v>
      </c>
      <c r="P160">
        <v>0.1640006898976239</v>
      </c>
      <c r="Q160" t="s">
        <v>153</v>
      </c>
    </row>
    <row r="161" spans="9:17" ht="14.25">
      <c r="I161" t="s">
        <v>170</v>
      </c>
      <c r="J161" t="s">
        <v>152</v>
      </c>
      <c r="K161">
        <v>0</v>
      </c>
      <c r="L161" t="s">
        <v>153</v>
      </c>
      <c r="N161" t="s">
        <v>180</v>
      </c>
      <c r="O161" t="s">
        <v>152</v>
      </c>
      <c r="P161">
        <v>0.032676010556325102</v>
      </c>
      <c r="Q161" t="s">
        <v>153</v>
      </c>
    </row>
    <row r="162" spans="9:17" ht="14.25">
      <c r="I162" t="s">
        <v>170</v>
      </c>
      <c r="J162" t="s">
        <v>154</v>
      </c>
      <c r="K162">
        <v>0.0035503400697175168</v>
      </c>
      <c r="L162" t="s">
        <v>153</v>
      </c>
      <c r="N162" t="s">
        <v>180</v>
      </c>
      <c r="O162" t="s">
        <v>154</v>
      </c>
      <c r="P162">
        <v>0.0054395113900929746</v>
      </c>
      <c r="Q162" t="s">
        <v>153</v>
      </c>
    </row>
    <row r="163" spans="9:17" ht="14.25">
      <c r="I163" t="s">
        <v>170</v>
      </c>
      <c r="J163" t="s">
        <v>155</v>
      </c>
      <c r="K163">
        <v>0.074208094501581348</v>
      </c>
      <c r="L163" t="s">
        <v>153</v>
      </c>
      <c r="N163" t="s">
        <v>180</v>
      </c>
      <c r="O163" t="s">
        <v>155</v>
      </c>
      <c r="P163">
        <v>0.04852840537217868</v>
      </c>
      <c r="Q163" t="s">
        <v>153</v>
      </c>
    </row>
    <row r="164" spans="9:17" ht="14.25">
      <c r="I164" t="s">
        <v>170</v>
      </c>
      <c r="J164" t="s">
        <v>200</v>
      </c>
      <c r="K164">
        <v>0.0036084862216538881</v>
      </c>
      <c r="L164" t="s">
        <v>153</v>
      </c>
      <c r="N164" t="s">
        <v>180</v>
      </c>
      <c r="O164" t="s">
        <v>200</v>
      </c>
      <c r="P164">
        <v>0.004666322877252875</v>
      </c>
      <c r="Q164" t="s">
        <v>153</v>
      </c>
    </row>
    <row r="165" spans="9:17" ht="14.25">
      <c r="I165" t="s">
        <v>170</v>
      </c>
      <c r="J165" t="s">
        <v>201</v>
      </c>
      <c r="K165">
        <v>0</v>
      </c>
      <c r="L165" t="s">
        <v>153</v>
      </c>
      <c r="N165" t="s">
        <v>180</v>
      </c>
      <c r="O165" t="s">
        <v>201</v>
      </c>
      <c r="P165">
        <v>0.026426367402568773</v>
      </c>
      <c r="Q165" t="s">
        <v>153</v>
      </c>
    </row>
    <row r="166" spans="9:17" ht="14.25">
      <c r="I166" t="s">
        <v>170</v>
      </c>
      <c r="J166" t="s">
        <v>156</v>
      </c>
      <c r="K166">
        <v>0</v>
      </c>
      <c r="L166" t="s">
        <v>153</v>
      </c>
      <c r="N166" t="s">
        <v>180</v>
      </c>
      <c r="O166" t="s">
        <v>156</v>
      </c>
      <c r="P166">
        <v>0.027652149976905283</v>
      </c>
      <c r="Q166" t="s">
        <v>153</v>
      </c>
    </row>
    <row r="167" spans="9:17" ht="14.25">
      <c r="I167" t="s">
        <v>170</v>
      </c>
      <c r="J167" t="s">
        <v>157</v>
      </c>
      <c r="K167">
        <v>0.0052746777147865973</v>
      </c>
      <c r="L167" t="s">
        <v>153</v>
      </c>
      <c r="N167" t="s">
        <v>180</v>
      </c>
      <c r="O167" t="s">
        <v>157</v>
      </c>
      <c r="P167">
        <v>0.0043114232805064046</v>
      </c>
      <c r="Q167" t="s">
        <v>153</v>
      </c>
    </row>
    <row r="168" spans="9:17" ht="14.25">
      <c r="I168" t="s">
        <v>170</v>
      </c>
      <c r="J168" t="s">
        <v>158</v>
      </c>
      <c r="K168">
        <v>0.094466324620165229</v>
      </c>
      <c r="L168" t="s">
        <v>153</v>
      </c>
      <c r="N168" t="s">
        <v>180</v>
      </c>
      <c r="O168" t="s">
        <v>158</v>
      </c>
      <c r="P168">
        <v>0.036292721131848352</v>
      </c>
      <c r="Q168" t="s">
        <v>153</v>
      </c>
    </row>
    <row r="169" spans="9:17" ht="14.25">
      <c r="I169" t="s">
        <v>170</v>
      </c>
      <c r="J169" t="s">
        <v>202</v>
      </c>
      <c r="K169">
        <v>0.0054588185803130865</v>
      </c>
      <c r="L169" t="s">
        <v>153</v>
      </c>
      <c r="N169" t="s">
        <v>180</v>
      </c>
      <c r="O169" t="s">
        <v>202</v>
      </c>
      <c r="P169">
        <v>0.0056345649263899603</v>
      </c>
      <c r="Q169" t="s">
        <v>153</v>
      </c>
    </row>
    <row r="170" spans="9:17" ht="14.25">
      <c r="I170" t="s">
        <v>170</v>
      </c>
      <c r="J170" t="s">
        <v>203</v>
      </c>
      <c r="K170">
        <v>0</v>
      </c>
      <c r="L170" t="s">
        <v>153</v>
      </c>
      <c r="N170" t="s">
        <v>180</v>
      </c>
      <c r="O170" t="s">
        <v>203</v>
      </c>
      <c r="P170">
        <v>0.029423186893226025</v>
      </c>
      <c r="Q170" t="s">
        <v>153</v>
      </c>
    </row>
    <row r="171" spans="9:17" ht="14.25">
      <c r="I171" t="s">
        <v>170</v>
      </c>
      <c r="J171" t="s">
        <v>159</v>
      </c>
      <c r="K171">
        <v>0.00012099843009390007</v>
      </c>
      <c r="L171" t="s">
        <v>153</v>
      </c>
      <c r="N171" t="s">
        <v>180</v>
      </c>
      <c r="O171" t="s">
        <v>159</v>
      </c>
      <c r="P171">
        <v>0.006167919117327573</v>
      </c>
      <c r="Q171" t="s">
        <v>153</v>
      </c>
    </row>
    <row r="172" spans="9:17" ht="14.25">
      <c r="I172" t="s">
        <v>170</v>
      </c>
      <c r="J172" t="s">
        <v>160</v>
      </c>
      <c r="K172">
        <v>0.0018190385769122856</v>
      </c>
      <c r="L172" t="s">
        <v>153</v>
      </c>
      <c r="N172" t="s">
        <v>180</v>
      </c>
      <c r="O172" t="s">
        <v>160</v>
      </c>
      <c r="P172">
        <v>0.0018850922598054303</v>
      </c>
      <c r="Q172" t="s">
        <v>153</v>
      </c>
    </row>
    <row r="173" spans="9:17" ht="14.25">
      <c r="I173" t="s">
        <v>170</v>
      </c>
      <c r="J173" t="s">
        <v>161</v>
      </c>
      <c r="K173">
        <v>0.027111209545153076</v>
      </c>
      <c r="L173" t="s">
        <v>153</v>
      </c>
      <c r="N173" t="s">
        <v>180</v>
      </c>
      <c r="O173" t="s">
        <v>161</v>
      </c>
      <c r="P173">
        <v>0.012473962692032894</v>
      </c>
      <c r="Q173" t="s">
        <v>153</v>
      </c>
    </row>
    <row r="174" spans="9:17" ht="14.25">
      <c r="I174" t="s">
        <v>170</v>
      </c>
      <c r="J174" t="s">
        <v>204</v>
      </c>
      <c r="K174">
        <v>0.0015891285031956835</v>
      </c>
      <c r="L174" t="s">
        <v>153</v>
      </c>
      <c r="N174" t="s">
        <v>180</v>
      </c>
      <c r="O174" t="s">
        <v>204</v>
      </c>
      <c r="P174">
        <v>0.0017536154229256199</v>
      </c>
      <c r="Q174" t="s">
        <v>153</v>
      </c>
    </row>
    <row r="175" spans="9:17" ht="14.25">
      <c r="I175" t="s">
        <v>170</v>
      </c>
      <c r="J175" t="s">
        <v>205</v>
      </c>
      <c r="K175">
        <v>0</v>
      </c>
      <c r="L175" t="s">
        <v>153</v>
      </c>
      <c r="N175" t="s">
        <v>180</v>
      </c>
      <c r="O175" t="s">
        <v>205</v>
      </c>
      <c r="P175">
        <v>0.0094881219385079766</v>
      </c>
      <c r="Q175" t="s">
        <v>153</v>
      </c>
    </row>
    <row r="176" spans="9:17" ht="14.25">
      <c r="I176" t="s">
        <v>170</v>
      </c>
      <c r="J176" t="s">
        <v>162</v>
      </c>
      <c r="K176">
        <v>0.00026552913982969456</v>
      </c>
      <c r="L176" t="s">
        <v>153</v>
      </c>
      <c r="N176" t="s">
        <v>180</v>
      </c>
      <c r="O176" t="s">
        <v>162</v>
      </c>
      <c r="P176">
        <v>0.0027970916467950362</v>
      </c>
      <c r="Q176" t="s">
        <v>153</v>
      </c>
    </row>
    <row r="177" spans="9:17" ht="14.25">
      <c r="I177" t="s">
        <v>170</v>
      </c>
      <c r="J177" t="s">
        <v>163</v>
      </c>
      <c r="K177">
        <v>0.00054429185035477653</v>
      </c>
      <c r="L177" t="s">
        <v>153</v>
      </c>
      <c r="N177" t="s">
        <v>180</v>
      </c>
      <c r="O177" t="s">
        <v>163</v>
      </c>
      <c r="P177">
        <v>0.0006503749991947674</v>
      </c>
      <c r="Q177" t="s">
        <v>153</v>
      </c>
    </row>
    <row r="178" spans="9:17" ht="14.25">
      <c r="I178" t="s">
        <v>170</v>
      </c>
      <c r="J178" t="s">
        <v>164</v>
      </c>
      <c r="K178">
        <v>0.010136660019431233</v>
      </c>
      <c r="L178" t="s">
        <v>153</v>
      </c>
      <c r="N178" t="s">
        <v>180</v>
      </c>
      <c r="O178" t="s">
        <v>164</v>
      </c>
      <c r="P178">
        <v>0.008881394340118913</v>
      </c>
      <c r="Q178" t="s">
        <v>153</v>
      </c>
    </row>
    <row r="179" spans="9:17" ht="14.25">
      <c r="I179" t="s">
        <v>170</v>
      </c>
      <c r="J179" t="s">
        <v>206</v>
      </c>
      <c r="K179">
        <v>0.00044359452716889768</v>
      </c>
      <c r="L179" t="s">
        <v>153</v>
      </c>
      <c r="N179" t="s">
        <v>180</v>
      </c>
      <c r="O179" t="s">
        <v>206</v>
      </c>
      <c r="P179">
        <v>0.0011940196042577655</v>
      </c>
      <c r="Q179" t="s">
        <v>153</v>
      </c>
    </row>
    <row r="180" spans="9:17" ht="14.25">
      <c r="I180" t="s">
        <v>170</v>
      </c>
      <c r="J180" t="s">
        <v>207</v>
      </c>
      <c r="K180">
        <v>0</v>
      </c>
      <c r="L180" t="s">
        <v>153</v>
      </c>
      <c r="N180" t="s">
        <v>180</v>
      </c>
      <c r="O180" t="s">
        <v>207</v>
      </c>
      <c r="P180">
        <v>0.0028353380905989331</v>
      </c>
      <c r="Q180" t="s">
        <v>153</v>
      </c>
    </row>
    <row r="181" spans="9:17" ht="14.25">
      <c r="I181" t="s">
        <v>170</v>
      </c>
      <c r="J181" t="s">
        <v>208</v>
      </c>
      <c r="K181">
        <v>0.018948699696516136</v>
      </c>
      <c r="L181" t="s">
        <v>153</v>
      </c>
      <c r="N181" t="s">
        <v>180</v>
      </c>
      <c r="O181" t="s">
        <v>208</v>
      </c>
      <c r="P181">
        <v>0.18665117543608656</v>
      </c>
      <c r="Q181" t="s">
        <v>153</v>
      </c>
    </row>
    <row r="182" spans="9:17" ht="14.25">
      <c r="I182" t="s">
        <v>170</v>
      </c>
      <c r="J182" t="s">
        <v>209</v>
      </c>
      <c r="K182">
        <v>0.04846405951948448</v>
      </c>
      <c r="L182" t="s">
        <v>153</v>
      </c>
      <c r="N182" t="s">
        <v>180</v>
      </c>
      <c r="O182" t="s">
        <v>209</v>
      </c>
      <c r="P182">
        <v>0.028776064697875161</v>
      </c>
      <c r="Q182" t="s">
        <v>153</v>
      </c>
    </row>
    <row r="183" spans="9:17" ht="14.25">
      <c r="I183" t="s">
        <v>170</v>
      </c>
      <c r="J183" t="s">
        <v>210</v>
      </c>
      <c r="K183">
        <v>0.6686664985662969</v>
      </c>
      <c r="L183" t="s">
        <v>153</v>
      </c>
      <c r="N183" t="s">
        <v>180</v>
      </c>
      <c r="O183" t="s">
        <v>210</v>
      </c>
      <c r="P183">
        <v>0.26004687936804066</v>
      </c>
      <c r="Q183" t="s">
        <v>153</v>
      </c>
    </row>
    <row r="184" spans="9:17" ht="14.25">
      <c r="I184" t="s">
        <v>170</v>
      </c>
      <c r="J184" t="s">
        <v>211</v>
      </c>
      <c r="K184">
        <v>0.027660166675633487</v>
      </c>
      <c r="L184" t="s">
        <v>153</v>
      </c>
      <c r="N184" t="s">
        <v>180</v>
      </c>
      <c r="O184" t="s">
        <v>211</v>
      </c>
      <c r="P184">
        <v>0.048445682521241658</v>
      </c>
      <c r="Q184" t="s">
        <v>153</v>
      </c>
    </row>
    <row r="185" spans="9:17" ht="14.25">
      <c r="I185" t="s">
        <v>170</v>
      </c>
      <c r="J185" t="s">
        <v>212</v>
      </c>
      <c r="K185">
        <v>0.0076633832417110975</v>
      </c>
      <c r="L185" t="s">
        <v>153</v>
      </c>
      <c r="N185" t="s">
        <v>180</v>
      </c>
      <c r="O185" t="s">
        <v>212</v>
      </c>
      <c r="P185">
        <v>0.20690260405789837</v>
      </c>
      <c r="Q185" t="s">
        <v>153</v>
      </c>
    </row>
    <row r="186" spans="9:17" ht="14.25">
      <c r="I186" t="s">
        <v>171</v>
      </c>
      <c r="J186" t="s">
        <v>152</v>
      </c>
      <c r="K186">
        <v>0</v>
      </c>
      <c r="L186" t="s">
        <v>153</v>
      </c>
      <c r="N186" t="s">
        <v>181</v>
      </c>
      <c r="O186" t="s">
        <v>152</v>
      </c>
      <c r="P186">
        <v>0.035266808313340406</v>
      </c>
      <c r="Q186" t="s">
        <v>153</v>
      </c>
    </row>
    <row r="187" spans="9:17" ht="14.25">
      <c r="I187" t="s">
        <v>171</v>
      </c>
      <c r="J187" t="s">
        <v>154</v>
      </c>
      <c r="K187">
        <v>0.0040783572626519292</v>
      </c>
      <c r="L187" t="s">
        <v>153</v>
      </c>
      <c r="N187" t="s">
        <v>181</v>
      </c>
      <c r="O187" t="s">
        <v>154</v>
      </c>
      <c r="P187">
        <v>0.004852170629814672</v>
      </c>
      <c r="Q187" t="s">
        <v>153</v>
      </c>
    </row>
    <row r="188" spans="9:17" ht="14.25">
      <c r="I188" t="s">
        <v>171</v>
      </c>
      <c r="J188" t="s">
        <v>155</v>
      </c>
      <c r="K188">
        <v>0.077460901997156606</v>
      </c>
      <c r="L188" t="s">
        <v>153</v>
      </c>
      <c r="N188" t="s">
        <v>181</v>
      </c>
      <c r="O188" t="s">
        <v>155</v>
      </c>
      <c r="P188">
        <v>0.057233574654961421</v>
      </c>
      <c r="Q188" t="s">
        <v>153</v>
      </c>
    </row>
    <row r="189" spans="9:17" ht="14.25">
      <c r="I189" t="s">
        <v>171</v>
      </c>
      <c r="J189" t="s">
        <v>200</v>
      </c>
      <c r="K189">
        <v>0.0041144300994917565</v>
      </c>
      <c r="L189" t="s">
        <v>153</v>
      </c>
      <c r="N189" t="s">
        <v>181</v>
      </c>
      <c r="O189" t="s">
        <v>200</v>
      </c>
      <c r="P189">
        <v>0.0057688878272357585</v>
      </c>
      <c r="Q189" t="s">
        <v>153</v>
      </c>
    </row>
    <row r="190" spans="9:17" ht="14.25">
      <c r="I190" t="s">
        <v>171</v>
      </c>
      <c r="J190" t="s">
        <v>201</v>
      </c>
      <c r="K190">
        <v>0</v>
      </c>
      <c r="L190" t="s">
        <v>153</v>
      </c>
      <c r="N190" t="s">
        <v>181</v>
      </c>
      <c r="O190" t="s">
        <v>201</v>
      </c>
      <c r="P190">
        <v>0.027602457958944615</v>
      </c>
      <c r="Q190" t="s">
        <v>153</v>
      </c>
    </row>
    <row r="191" spans="9:17" ht="14.25">
      <c r="I191" t="s">
        <v>171</v>
      </c>
      <c r="J191" t="s">
        <v>156</v>
      </c>
      <c r="K191">
        <v>0</v>
      </c>
      <c r="L191" t="s">
        <v>153</v>
      </c>
      <c r="N191" t="s">
        <v>181</v>
      </c>
      <c r="O191" t="s">
        <v>156</v>
      </c>
      <c r="P191">
        <v>0.021124658411628163</v>
      </c>
      <c r="Q191" t="s">
        <v>153</v>
      </c>
    </row>
    <row r="192" spans="9:17" ht="14.25">
      <c r="I192" t="s">
        <v>171</v>
      </c>
      <c r="J192" t="s">
        <v>157</v>
      </c>
      <c r="K192">
        <v>0.0054799615964089814</v>
      </c>
      <c r="L192" t="s">
        <v>153</v>
      </c>
      <c r="N192" t="s">
        <v>181</v>
      </c>
      <c r="O192" t="s">
        <v>157</v>
      </c>
      <c r="P192">
        <v>0.0029168551991550461</v>
      </c>
      <c r="Q192" t="s">
        <v>153</v>
      </c>
    </row>
    <row r="193" spans="9:17" ht="14.25">
      <c r="I193" t="s">
        <v>171</v>
      </c>
      <c r="J193" t="s">
        <v>158</v>
      </c>
      <c r="K193">
        <v>0.096077480939273721</v>
      </c>
      <c r="L193" t="s">
        <v>153</v>
      </c>
      <c r="N193" t="s">
        <v>181</v>
      </c>
      <c r="O193" t="s">
        <v>158</v>
      </c>
      <c r="P193">
        <v>0.041269134788044684</v>
      </c>
      <c r="Q193" t="s">
        <v>153</v>
      </c>
    </row>
    <row r="194" spans="9:17" ht="14.25">
      <c r="I194" t="s">
        <v>171</v>
      </c>
      <c r="J194" t="s">
        <v>202</v>
      </c>
      <c r="K194">
        <v>0.0056007747780787154</v>
      </c>
      <c r="L194" t="s">
        <v>153</v>
      </c>
      <c r="N194" t="s">
        <v>181</v>
      </c>
      <c r="O194" t="s">
        <v>202</v>
      </c>
      <c r="P194">
        <v>0.0056392941630849279</v>
      </c>
      <c r="Q194" t="s">
        <v>153</v>
      </c>
    </row>
    <row r="195" spans="9:17" ht="14.25">
      <c r="I195" t="s">
        <v>171</v>
      </c>
      <c r="J195" t="s">
        <v>203</v>
      </c>
      <c r="K195">
        <v>0</v>
      </c>
      <c r="L195" t="s">
        <v>153</v>
      </c>
      <c r="N195" t="s">
        <v>181</v>
      </c>
      <c r="O195" t="s">
        <v>203</v>
      </c>
      <c r="P195">
        <v>0.024594823645221257</v>
      </c>
      <c r="Q195" t="s">
        <v>153</v>
      </c>
    </row>
    <row r="196" spans="9:17" ht="14.25">
      <c r="I196" t="s">
        <v>171</v>
      </c>
      <c r="J196" t="s">
        <v>159</v>
      </c>
      <c r="K196">
        <v>0.00011263612236980594</v>
      </c>
      <c r="L196" t="s">
        <v>153</v>
      </c>
      <c r="N196" t="s">
        <v>181</v>
      </c>
      <c r="O196" t="s">
        <v>159</v>
      </c>
      <c r="P196">
        <v>0.0062352903199463733</v>
      </c>
      <c r="Q196" t="s">
        <v>153</v>
      </c>
    </row>
    <row r="197" spans="9:17" ht="14.25">
      <c r="I197" t="s">
        <v>171</v>
      </c>
      <c r="J197" t="s">
        <v>160</v>
      </c>
      <c r="K197">
        <v>0.0018790670514046517</v>
      </c>
      <c r="L197" t="s">
        <v>153</v>
      </c>
      <c r="N197" t="s">
        <v>181</v>
      </c>
      <c r="O197" t="s">
        <v>160</v>
      </c>
      <c r="P197">
        <v>0.0013388656063169026</v>
      </c>
      <c r="Q197" t="s">
        <v>153</v>
      </c>
    </row>
    <row r="198" spans="9:17" ht="14.25">
      <c r="I198" t="s">
        <v>171</v>
      </c>
      <c r="J198" t="s">
        <v>161</v>
      </c>
      <c r="K198">
        <v>0.026950505154481542</v>
      </c>
      <c r="L198" t="s">
        <v>153</v>
      </c>
      <c r="N198" t="s">
        <v>181</v>
      </c>
      <c r="O198" t="s">
        <v>161</v>
      </c>
      <c r="P198">
        <v>0.014353388403949535</v>
      </c>
      <c r="Q198" t="s">
        <v>153</v>
      </c>
    </row>
    <row r="199" spans="9:17" ht="14.25">
      <c r="I199" t="s">
        <v>171</v>
      </c>
      <c r="J199" t="s">
        <v>204</v>
      </c>
      <c r="K199">
        <v>0.0015774136494638681</v>
      </c>
      <c r="L199" t="s">
        <v>153</v>
      </c>
      <c r="N199" t="s">
        <v>181</v>
      </c>
      <c r="O199" t="s">
        <v>204</v>
      </c>
      <c r="P199">
        <v>0.0012688658355074186</v>
      </c>
      <c r="Q199" t="s">
        <v>153</v>
      </c>
    </row>
    <row r="200" spans="9:17" ht="14.25">
      <c r="I200" t="s">
        <v>171</v>
      </c>
      <c r="J200" t="s">
        <v>205</v>
      </c>
      <c r="K200">
        <v>0</v>
      </c>
      <c r="L200" t="s">
        <v>153</v>
      </c>
      <c r="N200" t="s">
        <v>181</v>
      </c>
      <c r="O200" t="s">
        <v>205</v>
      </c>
      <c r="P200">
        <v>0.0050644292998079654</v>
      </c>
      <c r="Q200" t="s">
        <v>153</v>
      </c>
    </row>
    <row r="201" spans="9:17" ht="14.25">
      <c r="I201" t="s">
        <v>171</v>
      </c>
      <c r="J201" t="s">
        <v>162</v>
      </c>
      <c r="K201">
        <v>0.0002696748486867787</v>
      </c>
      <c r="L201" t="s">
        <v>153</v>
      </c>
      <c r="N201" t="s">
        <v>181</v>
      </c>
      <c r="O201" t="s">
        <v>162</v>
      </c>
      <c r="P201">
        <v>0.0038482006710615904</v>
      </c>
      <c r="Q201" t="s">
        <v>153</v>
      </c>
    </row>
    <row r="202" spans="9:17" ht="14.25">
      <c r="I202" t="s">
        <v>171</v>
      </c>
      <c r="J202" t="s">
        <v>163</v>
      </c>
      <c r="K202">
        <v>0.0006361864654919273</v>
      </c>
      <c r="L202" t="s">
        <v>153</v>
      </c>
      <c r="N202" t="s">
        <v>181</v>
      </c>
      <c r="O202" t="s">
        <v>163</v>
      </c>
      <c r="P202">
        <v>0.00034171240531631142</v>
      </c>
      <c r="Q202" t="s">
        <v>153</v>
      </c>
    </row>
    <row r="203" spans="9:17" ht="14.25">
      <c r="I203" t="s">
        <v>171</v>
      </c>
      <c r="J203" t="s">
        <v>164</v>
      </c>
      <c r="K203">
        <v>0.010259598579695457</v>
      </c>
      <c r="L203" t="s">
        <v>153</v>
      </c>
      <c r="N203" t="s">
        <v>181</v>
      </c>
      <c r="O203" t="s">
        <v>164</v>
      </c>
      <c r="P203">
        <v>0.010622863459190246</v>
      </c>
      <c r="Q203" t="s">
        <v>153</v>
      </c>
    </row>
    <row r="204" spans="9:17" ht="14.25">
      <c r="I204" t="s">
        <v>171</v>
      </c>
      <c r="J204" t="s">
        <v>206</v>
      </c>
      <c r="K204">
        <v>0.00044185007540333574</v>
      </c>
      <c r="L204" t="s">
        <v>153</v>
      </c>
      <c r="N204" t="s">
        <v>181</v>
      </c>
      <c r="O204" t="s">
        <v>206</v>
      </c>
      <c r="P204">
        <v>0.0011675511638556042</v>
      </c>
      <c r="Q204" t="s">
        <v>153</v>
      </c>
    </row>
    <row r="205" spans="9:17" ht="14.25">
      <c r="I205" t="s">
        <v>171</v>
      </c>
      <c r="J205" t="s">
        <v>207</v>
      </c>
      <c r="K205">
        <v>0</v>
      </c>
      <c r="L205" t="s">
        <v>153</v>
      </c>
      <c r="N205" t="s">
        <v>181</v>
      </c>
      <c r="O205" t="s">
        <v>207</v>
      </c>
      <c r="P205">
        <v>0.0027524954870229339</v>
      </c>
      <c r="Q205" t="s">
        <v>153</v>
      </c>
    </row>
    <row r="206" spans="9:17" ht="14.25">
      <c r="I206" t="s">
        <v>171</v>
      </c>
      <c r="J206" t="s">
        <v>208</v>
      </c>
      <c r="K206">
        <v>0.018567658359577514</v>
      </c>
      <c r="L206" t="s">
        <v>153</v>
      </c>
      <c r="N206" t="s">
        <v>181</v>
      </c>
      <c r="O206" t="s">
        <v>208</v>
      </c>
      <c r="P206">
        <v>0.15003659289201485</v>
      </c>
      <c r="Q206" t="s">
        <v>153</v>
      </c>
    </row>
    <row r="207" spans="9:17" ht="14.25">
      <c r="I207" t="s">
        <v>171</v>
      </c>
      <c r="J207" t="s">
        <v>209</v>
      </c>
      <c r="K207">
        <v>0.048628402871604859</v>
      </c>
      <c r="L207" t="s">
        <v>153</v>
      </c>
      <c r="N207" t="s">
        <v>181</v>
      </c>
      <c r="O207" t="s">
        <v>209</v>
      </c>
      <c r="P207">
        <v>0.020464911862978566</v>
      </c>
      <c r="Q207" t="s">
        <v>153</v>
      </c>
    </row>
    <row r="208" spans="9:17" ht="14.25">
      <c r="I208" t="s">
        <v>171</v>
      </c>
      <c r="J208" t="s">
        <v>210</v>
      </c>
      <c r="K208">
        <v>0.66510503990087178</v>
      </c>
      <c r="L208" t="s">
        <v>153</v>
      </c>
      <c r="N208" t="s">
        <v>181</v>
      </c>
      <c r="O208" t="s">
        <v>210</v>
      </c>
      <c r="P208">
        <v>0.30610792385984931</v>
      </c>
      <c r="Q208" t="s">
        <v>153</v>
      </c>
    </row>
    <row r="209" spans="9:17" ht="14.25">
      <c r="I209" t="s">
        <v>171</v>
      </c>
      <c r="J209" t="s">
        <v>211</v>
      </c>
      <c r="K209">
        <v>0.026256481480863129</v>
      </c>
      <c r="L209" t="s">
        <v>153</v>
      </c>
      <c r="N209" t="s">
        <v>181</v>
      </c>
      <c r="O209" t="s">
        <v>211</v>
      </c>
      <c r="P209">
        <v>0.048001336067766784</v>
      </c>
      <c r="Q209" t="s">
        <v>153</v>
      </c>
    </row>
    <row r="210" spans="9:17" ht="14.25">
      <c r="I210" t="s">
        <v>171</v>
      </c>
      <c r="J210" t="s">
        <v>212</v>
      </c>
      <c r="K210">
        <v>0.0065035787670238206</v>
      </c>
      <c r="L210" t="s">
        <v>153</v>
      </c>
      <c r="N210" t="s">
        <v>181</v>
      </c>
      <c r="O210" t="s">
        <v>212</v>
      </c>
      <c r="P210">
        <v>0.20212690707398531</v>
      </c>
      <c r="Q210" t="s">
        <v>153</v>
      </c>
    </row>
    <row r="211" spans="9:17" ht="14.25">
      <c r="I211" t="s">
        <v>172</v>
      </c>
      <c r="J211" t="s">
        <v>152</v>
      </c>
      <c r="K211">
        <v>0</v>
      </c>
      <c r="L211" t="s">
        <v>153</v>
      </c>
      <c r="N211" t="s">
        <v>182</v>
      </c>
      <c r="O211" t="s">
        <v>152</v>
      </c>
      <c r="P211">
        <v>0.032620850625066422</v>
      </c>
      <c r="Q211" t="s">
        <v>153</v>
      </c>
    </row>
    <row r="212" spans="9:17" ht="14.25">
      <c r="I212" t="s">
        <v>172</v>
      </c>
      <c r="J212" t="s">
        <v>154</v>
      </c>
      <c r="K212">
        <v>0.0033258115608333109</v>
      </c>
      <c r="L212" t="s">
        <v>153</v>
      </c>
      <c r="N212" t="s">
        <v>182</v>
      </c>
      <c r="O212" t="s">
        <v>154</v>
      </c>
      <c r="P212">
        <v>0.0042936634498260242</v>
      </c>
      <c r="Q212" t="s">
        <v>153</v>
      </c>
    </row>
    <row r="213" spans="9:17" ht="14.25">
      <c r="I213" t="s">
        <v>172</v>
      </c>
      <c r="J213" t="s">
        <v>155</v>
      </c>
      <c r="K213">
        <v>0.075102140783898</v>
      </c>
      <c r="L213" t="s">
        <v>153</v>
      </c>
      <c r="N213" t="s">
        <v>182</v>
      </c>
      <c r="O213" t="s">
        <v>155</v>
      </c>
      <c r="P213">
        <v>0.036242416570871933</v>
      </c>
      <c r="Q213" t="s">
        <v>153</v>
      </c>
    </row>
    <row r="214" spans="9:17" ht="14.25">
      <c r="I214" t="s">
        <v>172</v>
      </c>
      <c r="J214" t="s">
        <v>200</v>
      </c>
      <c r="K214">
        <v>0.003912095408967059</v>
      </c>
      <c r="L214" t="s">
        <v>153</v>
      </c>
      <c r="N214" t="s">
        <v>182</v>
      </c>
      <c r="O214" t="s">
        <v>200</v>
      </c>
      <c r="P214">
        <v>0.004153188178373843</v>
      </c>
      <c r="Q214" t="s">
        <v>153</v>
      </c>
    </row>
    <row r="215" spans="9:17" ht="14.25">
      <c r="I215" t="s">
        <v>172</v>
      </c>
      <c r="J215" t="s">
        <v>201</v>
      </c>
      <c r="K215">
        <v>0</v>
      </c>
      <c r="L215" t="s">
        <v>153</v>
      </c>
      <c r="N215" t="s">
        <v>182</v>
      </c>
      <c r="O215" t="s">
        <v>201</v>
      </c>
      <c r="P215">
        <v>0.031307414110474441</v>
      </c>
      <c r="Q215" t="s">
        <v>153</v>
      </c>
    </row>
    <row r="216" spans="9:17" ht="14.25">
      <c r="I216" t="s">
        <v>172</v>
      </c>
      <c r="J216" t="s">
        <v>156</v>
      </c>
      <c r="K216">
        <v>0</v>
      </c>
      <c r="L216" t="s">
        <v>153</v>
      </c>
      <c r="N216" t="s">
        <v>182</v>
      </c>
      <c r="O216" t="s">
        <v>156</v>
      </c>
      <c r="P216">
        <v>0.035695861938524552</v>
      </c>
      <c r="Q216" t="s">
        <v>153</v>
      </c>
    </row>
    <row r="217" spans="9:17" ht="14.25">
      <c r="I217" t="s">
        <v>172</v>
      </c>
      <c r="J217" t="s">
        <v>157</v>
      </c>
      <c r="K217">
        <v>0.0046596658973545773</v>
      </c>
      <c r="L217" t="s">
        <v>153</v>
      </c>
      <c r="N217" t="s">
        <v>182</v>
      </c>
      <c r="O217" t="s">
        <v>157</v>
      </c>
      <c r="P217">
        <v>0.0048117044456394212</v>
      </c>
      <c r="Q217" t="s">
        <v>153</v>
      </c>
    </row>
    <row r="218" spans="9:17" ht="14.25">
      <c r="I218" t="s">
        <v>172</v>
      </c>
      <c r="J218" t="s">
        <v>158</v>
      </c>
      <c r="K218">
        <v>0.094109062447238309</v>
      </c>
      <c r="L218" t="s">
        <v>153</v>
      </c>
      <c r="N218" t="s">
        <v>182</v>
      </c>
      <c r="O218" t="s">
        <v>158</v>
      </c>
      <c r="P218">
        <v>0.027254352329878769</v>
      </c>
      <c r="Q218" t="s">
        <v>153</v>
      </c>
    </row>
    <row r="219" spans="9:17" ht="14.25">
      <c r="I219" t="s">
        <v>172</v>
      </c>
      <c r="J219" t="s">
        <v>202</v>
      </c>
      <c r="K219">
        <v>0.0057784294812669879</v>
      </c>
      <c r="L219" t="s">
        <v>153</v>
      </c>
      <c r="N219" t="s">
        <v>182</v>
      </c>
      <c r="O219" t="s">
        <v>202</v>
      </c>
      <c r="P219">
        <v>0.0036791730588681573</v>
      </c>
      <c r="Q219" t="s">
        <v>153</v>
      </c>
    </row>
    <row r="220" spans="9:17" ht="14.25">
      <c r="I220" t="s">
        <v>172</v>
      </c>
      <c r="J220" t="s">
        <v>203</v>
      </c>
      <c r="K220">
        <v>0</v>
      </c>
      <c r="L220" t="s">
        <v>153</v>
      </c>
      <c r="N220" t="s">
        <v>182</v>
      </c>
      <c r="O220" t="s">
        <v>203</v>
      </c>
      <c r="P220">
        <v>0.033873734709242098</v>
      </c>
      <c r="Q220" t="s">
        <v>153</v>
      </c>
    </row>
    <row r="221" spans="9:17" ht="14.25">
      <c r="I221" t="s">
        <v>172</v>
      </c>
      <c r="J221" t="s">
        <v>159</v>
      </c>
      <c r="K221">
        <v>0</v>
      </c>
      <c r="L221" t="s">
        <v>153</v>
      </c>
      <c r="N221" t="s">
        <v>182</v>
      </c>
      <c r="O221" t="s">
        <v>159</v>
      </c>
      <c r="P221">
        <v>0.010387444191457484</v>
      </c>
      <c r="Q221" t="s">
        <v>153</v>
      </c>
    </row>
    <row r="222" spans="9:17" ht="14.25">
      <c r="I222" t="s">
        <v>172</v>
      </c>
      <c r="J222" t="s">
        <v>160</v>
      </c>
      <c r="K222">
        <v>0.0015871486374144257</v>
      </c>
      <c r="L222" t="s">
        <v>153</v>
      </c>
      <c r="N222" t="s">
        <v>182</v>
      </c>
      <c r="O222" t="s">
        <v>160</v>
      </c>
      <c r="P222">
        <v>0.0017897418753975484</v>
      </c>
      <c r="Q222" t="s">
        <v>153</v>
      </c>
    </row>
    <row r="223" spans="9:17" ht="14.25">
      <c r="I223" t="s">
        <v>172</v>
      </c>
      <c r="J223" t="s">
        <v>161</v>
      </c>
      <c r="K223">
        <v>0.026716689493058769</v>
      </c>
      <c r="L223" t="s">
        <v>153</v>
      </c>
      <c r="N223" t="s">
        <v>182</v>
      </c>
      <c r="O223" t="s">
        <v>161</v>
      </c>
      <c r="P223">
        <v>0.011404371937988475</v>
      </c>
      <c r="Q223" t="s">
        <v>153</v>
      </c>
    </row>
    <row r="224" spans="9:17" ht="14.25">
      <c r="I224" t="s">
        <v>172</v>
      </c>
      <c r="J224" t="s">
        <v>204</v>
      </c>
      <c r="K224">
        <v>0.0016684563170708965</v>
      </c>
      <c r="L224" t="s">
        <v>153</v>
      </c>
      <c r="N224" t="s">
        <v>182</v>
      </c>
      <c r="O224" t="s">
        <v>204</v>
      </c>
      <c r="P224">
        <v>0.0011118003430507348</v>
      </c>
      <c r="Q224" t="s">
        <v>153</v>
      </c>
    </row>
    <row r="225" spans="9:17" ht="14.25">
      <c r="I225" t="s">
        <v>172</v>
      </c>
      <c r="J225" t="s">
        <v>205</v>
      </c>
      <c r="K225">
        <v>0</v>
      </c>
      <c r="L225" t="s">
        <v>153</v>
      </c>
      <c r="N225" t="s">
        <v>182</v>
      </c>
      <c r="O225" t="s">
        <v>205</v>
      </c>
      <c r="P225">
        <v>0.0086980263033144094</v>
      </c>
      <c r="Q225" t="s">
        <v>153</v>
      </c>
    </row>
    <row r="226" spans="9:17" ht="14.25">
      <c r="I226" t="s">
        <v>172</v>
      </c>
      <c r="J226" t="s">
        <v>162</v>
      </c>
      <c r="K226">
        <v>0.00010680746829390533</v>
      </c>
      <c r="L226" t="s">
        <v>153</v>
      </c>
      <c r="N226" t="s">
        <v>182</v>
      </c>
      <c r="O226" t="s">
        <v>162</v>
      </c>
      <c r="P226">
        <v>0.0044497291068316906</v>
      </c>
      <c r="Q226" t="s">
        <v>153</v>
      </c>
    </row>
    <row r="227" spans="9:17" ht="14.25">
      <c r="I227" t="s">
        <v>172</v>
      </c>
      <c r="J227" t="s">
        <v>163</v>
      </c>
      <c r="K227">
        <v>0.00056119417393966139</v>
      </c>
      <c r="L227" t="s">
        <v>153</v>
      </c>
      <c r="N227" t="s">
        <v>182</v>
      </c>
      <c r="O227" t="s">
        <v>163</v>
      </c>
      <c r="P227">
        <v>0.00036645892936220683</v>
      </c>
      <c r="Q227" t="s">
        <v>153</v>
      </c>
    </row>
    <row r="228" spans="9:17" ht="14.25">
      <c r="I228" t="s">
        <v>172</v>
      </c>
      <c r="J228" t="s">
        <v>164</v>
      </c>
      <c r="K228">
        <v>0.0097604279254995593</v>
      </c>
      <c r="L228" t="s">
        <v>153</v>
      </c>
      <c r="N228" t="s">
        <v>182</v>
      </c>
      <c r="O228" t="s">
        <v>164</v>
      </c>
      <c r="P228">
        <v>0.0049287769014451695</v>
      </c>
      <c r="Q228" t="s">
        <v>153</v>
      </c>
    </row>
    <row r="229" spans="9:17" ht="14.25">
      <c r="I229" t="s">
        <v>172</v>
      </c>
      <c r="J229" t="s">
        <v>206</v>
      </c>
      <c r="K229">
        <v>0.00050893866381087542</v>
      </c>
      <c r="L229" t="s">
        <v>153</v>
      </c>
      <c r="N229" t="s">
        <v>182</v>
      </c>
      <c r="O229" t="s">
        <v>206</v>
      </c>
      <c r="P229">
        <v>0.00081183957129773911</v>
      </c>
      <c r="Q229" t="s">
        <v>153</v>
      </c>
    </row>
    <row r="230" spans="9:17" ht="14.25">
      <c r="I230" t="s">
        <v>172</v>
      </c>
      <c r="J230" t="s">
        <v>207</v>
      </c>
      <c r="K230">
        <v>0</v>
      </c>
      <c r="L230" t="s">
        <v>153</v>
      </c>
      <c r="N230" t="s">
        <v>182</v>
      </c>
      <c r="O230" t="s">
        <v>207</v>
      </c>
      <c r="P230">
        <v>0.0034939440614465038</v>
      </c>
      <c r="Q230" t="s">
        <v>153</v>
      </c>
    </row>
    <row r="231" spans="9:17" ht="14.25">
      <c r="I231" t="s">
        <v>172</v>
      </c>
      <c r="J231" t="s">
        <v>208</v>
      </c>
      <c r="K231">
        <v>0.016649639661482474</v>
      </c>
      <c r="L231" t="s">
        <v>153</v>
      </c>
      <c r="N231" t="s">
        <v>182</v>
      </c>
      <c r="O231" t="s">
        <v>208</v>
      </c>
      <c r="P231">
        <v>0.21736922763734043</v>
      </c>
      <c r="Q231" t="s">
        <v>153</v>
      </c>
    </row>
    <row r="232" spans="9:17" ht="14.25">
      <c r="I232" t="s">
        <v>172</v>
      </c>
      <c r="J232" t="s">
        <v>209</v>
      </c>
      <c r="K232">
        <v>0.046028068418513472</v>
      </c>
      <c r="L232" t="s">
        <v>153</v>
      </c>
      <c r="N232" t="s">
        <v>182</v>
      </c>
      <c r="O232" t="s">
        <v>209</v>
      </c>
      <c r="P232">
        <v>0.025596423875934912</v>
      </c>
      <c r="Q232" t="s">
        <v>153</v>
      </c>
    </row>
    <row r="233" spans="9:17" ht="14.25">
      <c r="I233" t="s">
        <v>172</v>
      </c>
      <c r="J233" t="s">
        <v>210</v>
      </c>
      <c r="K233">
        <v>0.67107783317233516</v>
      </c>
      <c r="L233" t="s">
        <v>153</v>
      </c>
      <c r="N233" t="s">
        <v>182</v>
      </c>
      <c r="O233" t="s">
        <v>210</v>
      </c>
      <c r="P233">
        <v>0.19495718255686575</v>
      </c>
      <c r="Q233" t="s">
        <v>153</v>
      </c>
    </row>
    <row r="234" spans="9:17" ht="14.25">
      <c r="I234" t="s">
        <v>172</v>
      </c>
      <c r="J234" t="s">
        <v>211</v>
      </c>
      <c r="K234">
        <v>0.030216580815410427</v>
      </c>
      <c r="L234" t="s">
        <v>153</v>
      </c>
      <c r="N234" t="s">
        <v>182</v>
      </c>
      <c r="O234" t="s">
        <v>211</v>
      </c>
      <c r="P234">
        <v>0.031466144575207362</v>
      </c>
      <c r="Q234" t="s">
        <v>153</v>
      </c>
    </row>
    <row r="235" spans="9:17" ht="14.25">
      <c r="I235" t="s">
        <v>172</v>
      </c>
      <c r="J235" t="s">
        <v>212</v>
      </c>
      <c r="K235">
        <v>0.0082310096736118669</v>
      </c>
      <c r="L235" t="s">
        <v>153</v>
      </c>
      <c r="N235" t="s">
        <v>182</v>
      </c>
      <c r="O235" t="s">
        <v>212</v>
      </c>
      <c r="P235">
        <v>0.26923652871629439</v>
      </c>
      <c r="Q235" t="s">
        <v>153</v>
      </c>
    </row>
    <row r="236" spans="9:17" ht="14.25">
      <c r="I236" t="s">
        <v>173</v>
      </c>
      <c r="J236" t="s">
        <v>152</v>
      </c>
      <c r="K236">
        <v>0</v>
      </c>
      <c r="L236" t="s">
        <v>153</v>
      </c>
      <c r="N236" t="s">
        <v>183</v>
      </c>
      <c r="O236" t="s">
        <v>152</v>
      </c>
      <c r="P236">
        <v>0.033156945564590826</v>
      </c>
      <c r="Q236" t="s">
        <v>153</v>
      </c>
    </row>
    <row r="237" spans="9:17" ht="14.25">
      <c r="I237" t="s">
        <v>173</v>
      </c>
      <c r="J237" t="s">
        <v>154</v>
      </c>
      <c r="K237">
        <v>0.003835990734905008</v>
      </c>
      <c r="L237" t="s">
        <v>153</v>
      </c>
      <c r="N237" t="s">
        <v>183</v>
      </c>
      <c r="O237" t="s">
        <v>154</v>
      </c>
      <c r="P237">
        <v>0.0051635525186665698</v>
      </c>
      <c r="Q237" t="s">
        <v>153</v>
      </c>
    </row>
    <row r="238" spans="9:17" ht="14.25">
      <c r="I238" t="s">
        <v>173</v>
      </c>
      <c r="J238" t="s">
        <v>155</v>
      </c>
      <c r="K238">
        <v>0.078049017139940349</v>
      </c>
      <c r="L238" t="s">
        <v>153</v>
      </c>
      <c r="N238" t="s">
        <v>183</v>
      </c>
      <c r="O238" t="s">
        <v>155</v>
      </c>
      <c r="P238">
        <v>0.045546288511411084</v>
      </c>
      <c r="Q238" t="s">
        <v>153</v>
      </c>
    </row>
    <row r="239" spans="9:17" ht="14.25">
      <c r="I239" t="s">
        <v>173</v>
      </c>
      <c r="J239" t="s">
        <v>200</v>
      </c>
      <c r="K239">
        <v>0.0041330373383203422</v>
      </c>
      <c r="L239" t="s">
        <v>153</v>
      </c>
      <c r="N239" t="s">
        <v>183</v>
      </c>
      <c r="O239" t="s">
        <v>200</v>
      </c>
      <c r="P239">
        <v>0.0044703917420148729</v>
      </c>
      <c r="Q239" t="s">
        <v>153</v>
      </c>
    </row>
    <row r="240" spans="9:17" ht="14.25">
      <c r="I240" t="s">
        <v>173</v>
      </c>
      <c r="J240" t="s">
        <v>201</v>
      </c>
      <c r="K240">
        <v>0</v>
      </c>
      <c r="L240" t="s">
        <v>153</v>
      </c>
      <c r="N240" t="s">
        <v>183</v>
      </c>
      <c r="O240" t="s">
        <v>201</v>
      </c>
      <c r="P240">
        <v>0.029602559783529686</v>
      </c>
      <c r="Q240" t="s">
        <v>153</v>
      </c>
    </row>
    <row r="241" spans="9:17" ht="14.25">
      <c r="I241" t="s">
        <v>173</v>
      </c>
      <c r="J241" t="s">
        <v>156</v>
      </c>
      <c r="K241">
        <v>0</v>
      </c>
      <c r="L241" t="s">
        <v>153</v>
      </c>
      <c r="N241" t="s">
        <v>183</v>
      </c>
      <c r="O241" t="s">
        <v>156</v>
      </c>
      <c r="P241">
        <v>0.027595164953416258</v>
      </c>
      <c r="Q241" t="s">
        <v>153</v>
      </c>
    </row>
    <row r="242" spans="9:17" ht="14.25">
      <c r="I242" t="s">
        <v>173</v>
      </c>
      <c r="J242" t="s">
        <v>157</v>
      </c>
      <c r="K242">
        <v>0.0048055065407281014</v>
      </c>
      <c r="L242" t="s">
        <v>153</v>
      </c>
      <c r="N242" t="s">
        <v>183</v>
      </c>
      <c r="O242" t="s">
        <v>157</v>
      </c>
      <c r="P242">
        <v>0.0043611774688054666</v>
      </c>
      <c r="Q242" t="s">
        <v>153</v>
      </c>
    </row>
    <row r="243" spans="9:17" ht="14.25">
      <c r="I243" t="s">
        <v>173</v>
      </c>
      <c r="J243" t="s">
        <v>158</v>
      </c>
      <c r="K243">
        <v>0.094425765014468255</v>
      </c>
      <c r="L243" t="s">
        <v>153</v>
      </c>
      <c r="N243" t="s">
        <v>183</v>
      </c>
      <c r="O243" t="s">
        <v>158</v>
      </c>
      <c r="P243">
        <v>0.033643927270958489</v>
      </c>
      <c r="Q243" t="s">
        <v>153</v>
      </c>
    </row>
    <row r="244" spans="9:17" ht="14.25">
      <c r="I244" t="s">
        <v>173</v>
      </c>
      <c r="J244" t="s">
        <v>202</v>
      </c>
      <c r="K244">
        <v>0.0058507031789325316</v>
      </c>
      <c r="L244" t="s">
        <v>153</v>
      </c>
      <c r="N244" t="s">
        <v>183</v>
      </c>
      <c r="O244" t="s">
        <v>202</v>
      </c>
      <c r="P244">
        <v>0.0045034489494018446</v>
      </c>
      <c r="Q244" t="s">
        <v>153</v>
      </c>
    </row>
    <row r="245" spans="9:17" ht="14.25">
      <c r="I245" t="s">
        <v>173</v>
      </c>
      <c r="J245" t="s">
        <v>203</v>
      </c>
      <c r="K245">
        <v>0</v>
      </c>
      <c r="L245" t="s">
        <v>153</v>
      </c>
      <c r="N245" t="s">
        <v>183</v>
      </c>
      <c r="O245" t="s">
        <v>203</v>
      </c>
      <c r="P245">
        <v>0.033992088043491846</v>
      </c>
      <c r="Q245" t="s">
        <v>153</v>
      </c>
    </row>
    <row r="246" spans="9:17" ht="14.25">
      <c r="I246" t="s">
        <v>173</v>
      </c>
      <c r="J246" t="s">
        <v>159</v>
      </c>
      <c r="K246">
        <v>0</v>
      </c>
      <c r="L246" t="s">
        <v>153</v>
      </c>
      <c r="N246" t="s">
        <v>183</v>
      </c>
      <c r="O246" t="s">
        <v>159</v>
      </c>
      <c r="P246">
        <v>0.0092624553089085248</v>
      </c>
      <c r="Q246" t="s">
        <v>153</v>
      </c>
    </row>
    <row r="247" spans="9:17" ht="14.25">
      <c r="I247" t="s">
        <v>173</v>
      </c>
      <c r="J247" t="s">
        <v>160</v>
      </c>
      <c r="K247">
        <v>0.0017547930226864011</v>
      </c>
      <c r="L247" t="s">
        <v>153</v>
      </c>
      <c r="N247" t="s">
        <v>183</v>
      </c>
      <c r="O247" t="s">
        <v>160</v>
      </c>
      <c r="P247">
        <v>0.0025152558865712497</v>
      </c>
      <c r="Q247" t="s">
        <v>153</v>
      </c>
    </row>
    <row r="248" spans="9:17" ht="14.25">
      <c r="I248" t="s">
        <v>173</v>
      </c>
      <c r="J248" t="s">
        <v>161</v>
      </c>
      <c r="K248">
        <v>0.027116442526372193</v>
      </c>
      <c r="L248" t="s">
        <v>153</v>
      </c>
      <c r="N248" t="s">
        <v>183</v>
      </c>
      <c r="O248" t="s">
        <v>161</v>
      </c>
      <c r="P248">
        <v>0.013636499050415472</v>
      </c>
      <c r="Q248" t="s">
        <v>153</v>
      </c>
    </row>
    <row r="249" spans="9:17" ht="14.25">
      <c r="I249" t="s">
        <v>173</v>
      </c>
      <c r="J249" t="s">
        <v>204</v>
      </c>
      <c r="K249">
        <v>0.0016745693297999886</v>
      </c>
      <c r="L249" t="s">
        <v>153</v>
      </c>
      <c r="N249" t="s">
        <v>183</v>
      </c>
      <c r="O249" t="s">
        <v>204</v>
      </c>
      <c r="P249">
        <v>0.0011500474429138919</v>
      </c>
      <c r="Q249" t="s">
        <v>153</v>
      </c>
    </row>
    <row r="250" spans="9:17" ht="14.25">
      <c r="I250" t="s">
        <v>173</v>
      </c>
      <c r="J250" t="s">
        <v>205</v>
      </c>
      <c r="K250">
        <v>0</v>
      </c>
      <c r="L250" t="s">
        <v>153</v>
      </c>
      <c r="N250" t="s">
        <v>183</v>
      </c>
      <c r="O250" t="s">
        <v>205</v>
      </c>
      <c r="P250">
        <v>0.009267250981043397</v>
      </c>
      <c r="Q250" t="s">
        <v>153</v>
      </c>
    </row>
    <row r="251" spans="9:17" ht="14.25">
      <c r="I251" t="s">
        <v>173</v>
      </c>
      <c r="J251" t="s">
        <v>162</v>
      </c>
      <c r="K251">
        <v>0.00014127909523310148</v>
      </c>
      <c r="L251" t="s">
        <v>153</v>
      </c>
      <c r="N251" t="s">
        <v>183</v>
      </c>
      <c r="O251" t="s">
        <v>162</v>
      </c>
      <c r="P251">
        <v>0.0042357794316220448</v>
      </c>
      <c r="Q251" t="s">
        <v>153</v>
      </c>
    </row>
    <row r="252" spans="9:17" ht="14.25">
      <c r="I252" t="s">
        <v>173</v>
      </c>
      <c r="J252" t="s">
        <v>163</v>
      </c>
      <c r="K252">
        <v>0.00063391755050245873</v>
      </c>
      <c r="L252" t="s">
        <v>153</v>
      </c>
      <c r="N252" t="s">
        <v>183</v>
      </c>
      <c r="O252" t="s">
        <v>163</v>
      </c>
      <c r="P252">
        <v>0.00040580354702017492</v>
      </c>
      <c r="Q252" t="s">
        <v>153</v>
      </c>
    </row>
    <row r="253" spans="9:17" ht="14.25">
      <c r="I253" t="s">
        <v>173</v>
      </c>
      <c r="J253" t="s">
        <v>164</v>
      </c>
      <c r="K253">
        <v>0.010303331176655196</v>
      </c>
      <c r="L253" t="s">
        <v>153</v>
      </c>
      <c r="N253" t="s">
        <v>183</v>
      </c>
      <c r="O253" t="s">
        <v>164</v>
      </c>
      <c r="P253">
        <v>0.0062413385071172951</v>
      </c>
      <c r="Q253" t="s">
        <v>153</v>
      </c>
    </row>
    <row r="254" spans="9:17" ht="14.25">
      <c r="I254" t="s">
        <v>173</v>
      </c>
      <c r="J254" t="s">
        <v>206</v>
      </c>
      <c r="K254">
        <v>0.00053660836125694715</v>
      </c>
      <c r="L254" t="s">
        <v>153</v>
      </c>
      <c r="N254" t="s">
        <v>183</v>
      </c>
      <c r="O254" t="s">
        <v>206</v>
      </c>
      <c r="P254">
        <v>0.00072132122537884127</v>
      </c>
      <c r="Q254" t="s">
        <v>153</v>
      </c>
    </row>
    <row r="255" spans="9:17" ht="14.25">
      <c r="I255" t="s">
        <v>173</v>
      </c>
      <c r="J255" t="s">
        <v>207</v>
      </c>
      <c r="K255">
        <v>0</v>
      </c>
      <c r="L255" t="s">
        <v>153</v>
      </c>
      <c r="N255" t="s">
        <v>183</v>
      </c>
      <c r="O255" t="s">
        <v>207</v>
      </c>
      <c r="P255">
        <v>0.003297541257909908</v>
      </c>
      <c r="Q255" t="s">
        <v>153</v>
      </c>
    </row>
    <row r="256" spans="9:17" ht="14.25">
      <c r="I256" t="s">
        <v>173</v>
      </c>
      <c r="J256" t="s">
        <v>208</v>
      </c>
      <c r="K256">
        <v>0.016645110750342161</v>
      </c>
      <c r="L256" t="s">
        <v>153</v>
      </c>
      <c r="N256" t="s">
        <v>183</v>
      </c>
      <c r="O256" t="s">
        <v>208</v>
      </c>
      <c r="P256">
        <v>0.18035881488584116</v>
      </c>
      <c r="Q256" t="s">
        <v>153</v>
      </c>
    </row>
    <row r="257" spans="9:17" ht="14.25">
      <c r="I257" t="s">
        <v>173</v>
      </c>
      <c r="J257" t="s">
        <v>209</v>
      </c>
      <c r="K257">
        <v>0.04676067101330747</v>
      </c>
      <c r="L257" t="s">
        <v>153</v>
      </c>
      <c r="N257" t="s">
        <v>183</v>
      </c>
      <c r="O257" t="s">
        <v>209</v>
      </c>
      <c r="P257">
        <v>0.028845030151689741</v>
      </c>
      <c r="Q257" t="s">
        <v>153</v>
      </c>
    </row>
    <row r="258" spans="9:17" ht="14.25">
      <c r="I258" t="s">
        <v>173</v>
      </c>
      <c r="J258" t="s">
        <v>210</v>
      </c>
      <c r="K258">
        <v>0.66621636052697464</v>
      </c>
      <c r="L258" t="s">
        <v>153</v>
      </c>
      <c r="N258" t="s">
        <v>183</v>
      </c>
      <c r="O258" t="s">
        <v>210</v>
      </c>
      <c r="P258">
        <v>0.2329250969161798</v>
      </c>
      <c r="Q258" t="s">
        <v>153</v>
      </c>
    </row>
    <row r="259" spans="9:17" ht="14.25">
      <c r="I259" t="s">
        <v>173</v>
      </c>
      <c r="J259" t="s">
        <v>211</v>
      </c>
      <c r="K259">
        <v>0.02978453987732128</v>
      </c>
      <c r="L259" t="s">
        <v>153</v>
      </c>
      <c r="N259" t="s">
        <v>183</v>
      </c>
      <c r="O259" t="s">
        <v>211</v>
      </c>
      <c r="P259">
        <v>0.04060695636116117</v>
      </c>
      <c r="Q259" t="s">
        <v>153</v>
      </c>
    </row>
    <row r="260" spans="9:17" ht="14.25">
      <c r="I260" t="s">
        <v>173</v>
      </c>
      <c r="J260" t="s">
        <v>212</v>
      </c>
      <c r="K260">
        <v>0.0073323568222530356</v>
      </c>
      <c r="L260" t="s">
        <v>153</v>
      </c>
      <c r="N260" t="s">
        <v>183</v>
      </c>
      <c r="O260" t="s">
        <v>212</v>
      </c>
      <c r="P260">
        <v>0.24449526423993859</v>
      </c>
      <c r="Q260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30984-521A-460B-8312-EE2EE5113197}">
  <dimension ref="A9:AN37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215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0.034924789851484367</v>
      </c>
      <c r="Q11" t="s">
        <v>153</v>
      </c>
      <c r="S11" t="s">
        <v>184</v>
      </c>
      <c r="T11" t="s">
        <v>152</v>
      </c>
      <c r="U11">
        <v>0.0328760028157013</v>
      </c>
      <c r="V11" t="s">
        <v>153</v>
      </c>
      <c r="X11">
        <v>0.026369863013698629</v>
      </c>
      <c r="Y11">
        <v>0.010413942271834526</v>
      </c>
      <c r="Z11" t="s">
        <v>152</v>
      </c>
      <c r="AA11" t="s">
        <v>25</v>
      </c>
      <c r="AC11" t="s">
        <v>22</v>
      </c>
      <c r="AD11" t="s">
        <v>152</v>
      </c>
      <c r="AE11">
        <v>0.016070857421749834</v>
      </c>
      <c r="AG11" t="s">
        <v>96</v>
      </c>
      <c r="AH11" t="s">
        <v>152</v>
      </c>
      <c r="AI11">
        <v>0.23125553444361757</v>
      </c>
      <c r="AK11">
        <v>2025</v>
      </c>
      <c r="AL11" t="s">
        <v>141</v>
      </c>
      <c r="AM11">
        <v>0.35325000000000001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0.0034239542393406652</v>
      </c>
      <c r="L12" t="s">
        <v>153</v>
      </c>
      <c r="N12" t="s">
        <v>174</v>
      </c>
      <c r="O12" t="s">
        <v>154</v>
      </c>
      <c r="P12">
        <v>0.0050609669319287825</v>
      </c>
      <c r="Q12" t="s">
        <v>153</v>
      </c>
      <c r="S12" t="s">
        <v>184</v>
      </c>
      <c r="T12" t="s">
        <v>154</v>
      </c>
      <c r="U12">
        <v>0.0049941353998470403</v>
      </c>
      <c r="V12" t="s">
        <v>153</v>
      </c>
      <c r="X12">
        <v>0.003767123287671233</v>
      </c>
      <c r="Y12">
        <v>0.0062899336200681211</v>
      </c>
      <c r="Z12" t="s">
        <v>154</v>
      </c>
      <c r="AA12" t="s">
        <v>25</v>
      </c>
      <c r="AC12" t="s">
        <v>22</v>
      </c>
      <c r="AD12" t="s">
        <v>154</v>
      </c>
      <c r="AE12">
        <v>0.0028362949675061239</v>
      </c>
      <c r="AG12" t="s">
        <v>96</v>
      </c>
      <c r="AH12" t="s">
        <v>154</v>
      </c>
      <c r="AI12">
        <v>0.20002320099635384</v>
      </c>
      <c r="AK12">
        <v>2025</v>
      </c>
      <c r="AL12" t="s">
        <v>145</v>
      </c>
      <c r="AM12">
        <v>0.37814999999999999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0.068199850011557039</v>
      </c>
      <c r="L13" t="s">
        <v>153</v>
      </c>
      <c r="N13" t="s">
        <v>174</v>
      </c>
      <c r="O13" t="s">
        <v>155</v>
      </c>
      <c r="P13">
        <v>0.030209827322788652</v>
      </c>
      <c r="Q13" t="s">
        <v>153</v>
      </c>
      <c r="S13" t="s">
        <v>184</v>
      </c>
      <c r="T13" t="s">
        <v>155</v>
      </c>
      <c r="U13">
        <v>0.034606285742260608</v>
      </c>
      <c r="V13" t="s">
        <v>153</v>
      </c>
      <c r="X13">
        <v>0.030136986301369864</v>
      </c>
      <c r="Y13">
        <v>0.039139795639310845</v>
      </c>
      <c r="Z13" t="s">
        <v>155</v>
      </c>
      <c r="AA13" t="s">
        <v>25</v>
      </c>
      <c r="AC13" t="s">
        <v>22</v>
      </c>
      <c r="AD13" t="s">
        <v>155</v>
      </c>
      <c r="AE13">
        <v>0.02590128748089655</v>
      </c>
      <c r="AG13" t="s">
        <v>96</v>
      </c>
      <c r="AH13" t="s">
        <v>155</v>
      </c>
      <c r="AI13">
        <v>0.14838983617798052</v>
      </c>
      <c r="AK13">
        <v>2025</v>
      </c>
      <c r="AL13" t="s">
        <v>147</v>
      </c>
      <c r="AM13">
        <v>0.39410000000000001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0.0073113131112764107</v>
      </c>
      <c r="L14" t="s">
        <v>153</v>
      </c>
      <c r="N14" t="s">
        <v>174</v>
      </c>
      <c r="O14" t="s">
        <v>200</v>
      </c>
      <c r="P14">
        <v>0.0036417405462799168</v>
      </c>
      <c r="Q14" t="s">
        <v>153</v>
      </c>
      <c r="S14" t="s">
        <v>184</v>
      </c>
      <c r="T14" t="s">
        <v>200</v>
      </c>
      <c r="U14">
        <v>0.0035346781720754952</v>
      </c>
      <c r="V14" t="s">
        <v>153</v>
      </c>
      <c r="X14">
        <v>0.003767123287671233</v>
      </c>
      <c r="Y14">
        <v>0.007329140044253289</v>
      </c>
      <c r="Z14" t="s">
        <v>200</v>
      </c>
      <c r="AA14" t="s">
        <v>25</v>
      </c>
      <c r="AC14" t="s">
        <v>22</v>
      </c>
      <c r="AD14" t="s">
        <v>200</v>
      </c>
      <c r="AE14">
        <v>0.0033347329881120943</v>
      </c>
      <c r="AG14" t="s">
        <v>96</v>
      </c>
      <c r="AH14" t="s">
        <v>200</v>
      </c>
      <c r="AI14">
        <v>0.068564039886758188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0.0041683898730753774</v>
      </c>
      <c r="L15" t="s">
        <v>153</v>
      </c>
      <c r="N15" t="s">
        <v>174</v>
      </c>
      <c r="O15" t="s">
        <v>201</v>
      </c>
      <c r="P15">
        <v>0.0035995211062590056</v>
      </c>
      <c r="Q15" t="s">
        <v>153</v>
      </c>
      <c r="S15" t="s">
        <v>184</v>
      </c>
      <c r="T15" t="s">
        <v>201</v>
      </c>
      <c r="U15">
        <v>0.0033777894702175077</v>
      </c>
      <c r="V15" t="s">
        <v>153</v>
      </c>
      <c r="X15">
        <v>0.003767123287671233</v>
      </c>
      <c r="Y15">
        <v>0.007329140044253289</v>
      </c>
      <c r="Z15" t="s">
        <v>201</v>
      </c>
      <c r="AA15" t="s">
        <v>25</v>
      </c>
      <c r="AC15" t="s">
        <v>22</v>
      </c>
      <c r="AD15" t="s">
        <v>201</v>
      </c>
      <c r="AE15">
        <v>0.003430084725187613</v>
      </c>
      <c r="AG15" t="s">
        <v>96</v>
      </c>
      <c r="AH15" t="s">
        <v>201</v>
      </c>
      <c r="AI15">
        <v>0.058595626229335895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0.025427076103595715</v>
      </c>
      <c r="Q16" t="s">
        <v>153</v>
      </c>
      <c r="S16" t="s">
        <v>184</v>
      </c>
      <c r="T16" t="s">
        <v>218</v>
      </c>
      <c r="U16">
        <v>0.021459281805416196</v>
      </c>
      <c r="V16" t="s">
        <v>153</v>
      </c>
      <c r="X16">
        <v>0.022602739726027398</v>
      </c>
      <c r="Y16">
        <v>0.019909007284389532</v>
      </c>
      <c r="Z16" t="s">
        <v>218</v>
      </c>
      <c r="AA16" t="s">
        <v>25</v>
      </c>
      <c r="AC16" t="s">
        <v>22</v>
      </c>
      <c r="AD16" t="s">
        <v>218</v>
      </c>
      <c r="AE16">
        <v>0.019515974815122693</v>
      </c>
      <c r="AG16" t="s">
        <v>96</v>
      </c>
      <c r="AH16" t="s">
        <v>218</v>
      </c>
      <c r="AI16">
        <v>0.11317476155348416</v>
      </c>
      <c r="AK16">
        <v>2025</v>
      </c>
      <c r="AL16" t="s">
        <v>216</v>
      </c>
      <c r="AM16">
        <v>0.40786</v>
      </c>
      <c r="AN16" t="s">
        <v>195</v>
      </c>
    </row>
    <row r="17" spans="9:40" ht="14.25"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0.023817077308180262</v>
      </c>
      <c r="Q17" t="s">
        <v>153</v>
      </c>
      <c r="S17" t="s">
        <v>184</v>
      </c>
      <c r="T17" t="s">
        <v>156</v>
      </c>
      <c r="U17">
        <v>0.028141185034175092</v>
      </c>
      <c r="V17" t="s">
        <v>153</v>
      </c>
      <c r="X17">
        <v>0.024771689497716895</v>
      </c>
      <c r="Y17">
        <v>0.0097827942553597048</v>
      </c>
      <c r="Z17" t="s">
        <v>156</v>
      </c>
      <c r="AA17" t="s">
        <v>25</v>
      </c>
      <c r="AC17" t="s">
        <v>22</v>
      </c>
      <c r="AD17" t="s">
        <v>156</v>
      </c>
      <c r="AE17">
        <v>0.015149702657152408</v>
      </c>
      <c r="AG17" t="s">
        <v>96</v>
      </c>
      <c r="AH17" t="s">
        <v>156</v>
      </c>
      <c r="AI17">
        <v>0.1688712329522668</v>
      </c>
      <c r="AK17">
        <v>2026</v>
      </c>
      <c r="AL17" t="s">
        <v>141</v>
      </c>
      <c r="AM17">
        <v>0.38345000000000001</v>
      </c>
      <c r="AN17" t="s">
        <v>195</v>
      </c>
    </row>
    <row r="18" spans="9:40" ht="14.25">
      <c r="I18" t="s">
        <v>151</v>
      </c>
      <c r="J18" t="s">
        <v>157</v>
      </c>
      <c r="K18">
        <v>0.0035516800308238602</v>
      </c>
      <c r="L18" t="s">
        <v>153</v>
      </c>
      <c r="N18" t="s">
        <v>174</v>
      </c>
      <c r="O18" t="s">
        <v>157</v>
      </c>
      <c r="P18">
        <v>0.003663204573656301</v>
      </c>
      <c r="Q18" t="s">
        <v>153</v>
      </c>
      <c r="S18" t="s">
        <v>184</v>
      </c>
      <c r="T18" t="s">
        <v>157</v>
      </c>
      <c r="U18">
        <v>0.0043627742564969537</v>
      </c>
      <c r="V18" t="s">
        <v>153</v>
      </c>
      <c r="X18">
        <v>0.0035388127853881279</v>
      </c>
      <c r="Y18">
        <v>0.0059087255218821738</v>
      </c>
      <c r="Z18" t="s">
        <v>157</v>
      </c>
      <c r="AA18" t="s">
        <v>25</v>
      </c>
      <c r="AC18" t="s">
        <v>22</v>
      </c>
      <c r="AD18" t="s">
        <v>157</v>
      </c>
      <c r="AE18">
        <v>0.0026544135729861347</v>
      </c>
      <c r="AG18" t="s">
        <v>96</v>
      </c>
      <c r="AH18" t="s">
        <v>157</v>
      </c>
      <c r="AI18">
        <v>0.11010630977774727</v>
      </c>
      <c r="AK18">
        <v>2026</v>
      </c>
      <c r="AL18" t="s">
        <v>145</v>
      </c>
      <c r="AM18">
        <v>0.40485000000000004</v>
      </c>
      <c r="AN18" t="s">
        <v>195</v>
      </c>
    </row>
    <row r="19" spans="9:40" ht="14.25">
      <c r="I19" t="s">
        <v>151</v>
      </c>
      <c r="J19" t="s">
        <v>158</v>
      </c>
      <c r="K19">
        <v>0.07273678579308851</v>
      </c>
      <c r="L19" t="s">
        <v>153</v>
      </c>
      <c r="N19" t="s">
        <v>174</v>
      </c>
      <c r="O19" t="s">
        <v>158</v>
      </c>
      <c r="P19">
        <v>0.022461146350942655</v>
      </c>
      <c r="Q19" t="s">
        <v>153</v>
      </c>
      <c r="S19" t="s">
        <v>184</v>
      </c>
      <c r="T19" t="s">
        <v>158</v>
      </c>
      <c r="U19">
        <v>0.027488831133784059</v>
      </c>
      <c r="V19" t="s">
        <v>153</v>
      </c>
      <c r="X19">
        <v>0.028310502283105023</v>
      </c>
      <c r="Y19">
        <v>0.036767686812685947</v>
      </c>
      <c r="Z19" t="s">
        <v>158</v>
      </c>
      <c r="AA19" t="s">
        <v>25</v>
      </c>
      <c r="AC19" t="s">
        <v>22</v>
      </c>
      <c r="AD19" t="s">
        <v>158</v>
      </c>
      <c r="AE19">
        <v>0.024394902505932951</v>
      </c>
      <c r="AG19" t="s">
        <v>96</v>
      </c>
      <c r="AH19" t="s">
        <v>158</v>
      </c>
      <c r="AI19">
        <v>0.085830923600258791</v>
      </c>
      <c r="AK19">
        <v>2026</v>
      </c>
      <c r="AL19" t="s">
        <v>147</v>
      </c>
      <c r="AM19">
        <v>0.42630000000000001</v>
      </c>
      <c r="AN19" t="s">
        <v>195</v>
      </c>
    </row>
    <row r="20" spans="9:40" ht="14.25">
      <c r="I20" t="s">
        <v>151</v>
      </c>
      <c r="J20" t="s">
        <v>202</v>
      </c>
      <c r="K20">
        <v>0.0081912353235886783</v>
      </c>
      <c r="L20" t="s">
        <v>153</v>
      </c>
      <c r="N20" t="s">
        <v>174</v>
      </c>
      <c r="O20" t="s">
        <v>202</v>
      </c>
      <c r="P20">
        <v>0.0024895448243381661</v>
      </c>
      <c r="Q20" t="s">
        <v>153</v>
      </c>
      <c r="S20" t="s">
        <v>184</v>
      </c>
      <c r="T20" t="s">
        <v>202</v>
      </c>
      <c r="U20">
        <v>0.003038930491782344</v>
      </c>
      <c r="V20" t="s">
        <v>153</v>
      </c>
      <c r="X20">
        <v>0.0035388127853881279</v>
      </c>
      <c r="Y20">
        <v>0.0068849497385409693</v>
      </c>
      <c r="Z20" t="s">
        <v>202</v>
      </c>
      <c r="AA20" t="s">
        <v>25</v>
      </c>
      <c r="AC20" t="s">
        <v>22</v>
      </c>
      <c r="AD20" t="s">
        <v>202</v>
      </c>
      <c r="AE20">
        <v>0.0031508388458381252</v>
      </c>
      <c r="AG20" t="s">
        <v>96</v>
      </c>
      <c r="AH20" t="s">
        <v>202</v>
      </c>
      <c r="AI20">
        <v>0.067072722389036166</v>
      </c>
      <c r="AK20">
        <v>2026</v>
      </c>
      <c r="AL20" t="s">
        <v>149</v>
      </c>
      <c r="AM20">
        <v>0.42630000000000001</v>
      </c>
      <c r="AN20" t="s">
        <v>195</v>
      </c>
    </row>
    <row r="21" spans="9:40" ht="14.25">
      <c r="I21" t="s">
        <v>151</v>
      </c>
      <c r="J21" t="s">
        <v>203</v>
      </c>
      <c r="K21">
        <v>0.0054380904552487098</v>
      </c>
      <c r="L21" t="s">
        <v>153</v>
      </c>
      <c r="N21" t="s">
        <v>174</v>
      </c>
      <c r="O21" t="s">
        <v>203</v>
      </c>
      <c r="P21">
        <v>0.0023760266136605892</v>
      </c>
      <c r="Q21" t="s">
        <v>153</v>
      </c>
      <c r="S21" t="s">
        <v>184</v>
      </c>
      <c r="T21" t="s">
        <v>203</v>
      </c>
      <c r="U21">
        <v>0.0031026467763634298</v>
      </c>
      <c r="V21" t="s">
        <v>153</v>
      </c>
      <c r="X21">
        <v>0.0035388127853881279</v>
      </c>
      <c r="Y21">
        <v>0.0068849497385409693</v>
      </c>
      <c r="Z21" t="s">
        <v>203</v>
      </c>
      <c r="AA21" t="s">
        <v>25</v>
      </c>
      <c r="AC21" t="s">
        <v>22</v>
      </c>
      <c r="AD21" t="s">
        <v>203</v>
      </c>
      <c r="AE21">
        <v>0.0032359051501882311</v>
      </c>
      <c r="AG21" t="s">
        <v>96</v>
      </c>
      <c r="AH21" t="s">
        <v>203</v>
      </c>
      <c r="AI21">
        <v>0.063708531084065489</v>
      </c>
      <c r="AK21">
        <v>2026</v>
      </c>
      <c r="AL21" t="s">
        <v>198</v>
      </c>
      <c r="AM21">
        <v>0.42630000000000001</v>
      </c>
      <c r="AN21" t="s">
        <v>195</v>
      </c>
    </row>
    <row r="22" spans="9:40" ht="14.25">
      <c r="I22" t="s">
        <v>151</v>
      </c>
      <c r="J22" t="s">
        <v>219</v>
      </c>
      <c r="K22">
        <v>6.6718376137141555E-05</v>
      </c>
      <c r="L22" t="s">
        <v>153</v>
      </c>
      <c r="N22" t="s">
        <v>174</v>
      </c>
      <c r="O22" t="s">
        <v>219</v>
      </c>
      <c r="P22">
        <v>0.018461552713131536</v>
      </c>
      <c r="Q22" t="s">
        <v>153</v>
      </c>
      <c r="S22" t="s">
        <v>184</v>
      </c>
      <c r="T22" t="s">
        <v>219</v>
      </c>
      <c r="U22">
        <v>0.019136689761358471</v>
      </c>
      <c r="V22" t="s">
        <v>153</v>
      </c>
      <c r="X22">
        <v>0.021232876712328767</v>
      </c>
      <c r="Y22">
        <v>0.018702400782305319</v>
      </c>
      <c r="Z22" t="s">
        <v>219</v>
      </c>
      <c r="AA22" t="s">
        <v>25</v>
      </c>
      <c r="AC22" t="s">
        <v>22</v>
      </c>
      <c r="AD22" t="s">
        <v>219</v>
      </c>
      <c r="AE22">
        <v>0.018469666984765622</v>
      </c>
      <c r="AG22" t="s">
        <v>96</v>
      </c>
      <c r="AH22" t="s">
        <v>219</v>
      </c>
      <c r="AI22">
        <v>0.14699907565061898</v>
      </c>
      <c r="AK22">
        <v>2026</v>
      </c>
      <c r="AL22" t="s">
        <v>216</v>
      </c>
      <c r="AM22">
        <v>0.41719000000000001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0.0087032253576991014</v>
      </c>
      <c r="Q23" t="s">
        <v>153</v>
      </c>
      <c r="S23" t="s">
        <v>184</v>
      </c>
      <c r="T23" t="s">
        <v>159</v>
      </c>
      <c r="U23">
        <v>0.0084505739912975261</v>
      </c>
      <c r="V23" t="s">
        <v>153</v>
      </c>
      <c r="X23">
        <v>0.0039954337899543377</v>
      </c>
      <c r="Y23">
        <v>0.0015778700411870491</v>
      </c>
      <c r="Z23" t="s">
        <v>159</v>
      </c>
      <c r="AA23" t="s">
        <v>25</v>
      </c>
      <c r="AC23" t="s">
        <v>22</v>
      </c>
      <c r="AD23" t="s">
        <v>159</v>
      </c>
      <c r="AE23">
        <v>0.0024122876866128776</v>
      </c>
      <c r="AG23" t="s">
        <v>96</v>
      </c>
      <c r="AH23" t="s">
        <v>159</v>
      </c>
      <c r="AI23">
        <v>0.10163534179290701</v>
      </c>
      <c r="AK23">
        <v>2027</v>
      </c>
      <c r="AL23" t="s">
        <v>141</v>
      </c>
      <c r="AM23">
        <v>0.37134999999999996</v>
      </c>
      <c r="AN23" t="s">
        <v>195</v>
      </c>
    </row>
    <row r="24" spans="9:40" ht="14.25">
      <c r="I24" t="s">
        <v>151</v>
      </c>
      <c r="J24" t="s">
        <v>160</v>
      </c>
      <c r="K24">
        <v>0.00061369233638903728</v>
      </c>
      <c r="L24" t="s">
        <v>153</v>
      </c>
      <c r="N24" t="s">
        <v>174</v>
      </c>
      <c r="O24" t="s">
        <v>160</v>
      </c>
      <c r="P24">
        <v>0.0012089108643196747</v>
      </c>
      <c r="Q24" t="s">
        <v>153</v>
      </c>
      <c r="S24" t="s">
        <v>184</v>
      </c>
      <c r="T24" t="s">
        <v>160</v>
      </c>
      <c r="U24">
        <v>0.0013053373063065532</v>
      </c>
      <c r="V24" t="s">
        <v>153</v>
      </c>
      <c r="X24">
        <v>0.00057077625570776253</v>
      </c>
      <c r="Y24">
        <v>0.00095302024546486681</v>
      </c>
      <c r="Z24" t="s">
        <v>160</v>
      </c>
      <c r="AA24" t="s">
        <v>25</v>
      </c>
      <c r="AC24" t="s">
        <v>22</v>
      </c>
      <c r="AD24" t="s">
        <v>160</v>
      </c>
      <c r="AE24">
        <v>0.00040120199239294013</v>
      </c>
      <c r="AG24" t="s">
        <v>96</v>
      </c>
      <c r="AH24" t="s">
        <v>160</v>
      </c>
      <c r="AI24">
        <v>0.066241209524557254</v>
      </c>
      <c r="AK24">
        <v>2027</v>
      </c>
      <c r="AL24" t="s">
        <v>145</v>
      </c>
      <c r="AM24">
        <v>0.41015000000000001</v>
      </c>
      <c r="AN24" t="s">
        <v>195</v>
      </c>
    </row>
    <row r="25" spans="9:40" ht="14.25">
      <c r="I25" t="s">
        <v>151</v>
      </c>
      <c r="J25" t="s">
        <v>161</v>
      </c>
      <c r="K25">
        <v>0.011578452639173885</v>
      </c>
      <c r="L25" t="s">
        <v>153</v>
      </c>
      <c r="N25" t="s">
        <v>174</v>
      </c>
      <c r="O25" t="s">
        <v>161</v>
      </c>
      <c r="P25">
        <v>0.0085428577049227444</v>
      </c>
      <c r="Q25" t="s">
        <v>153</v>
      </c>
      <c r="S25" t="s">
        <v>184</v>
      </c>
      <c r="T25" t="s">
        <v>161</v>
      </c>
      <c r="U25">
        <v>0.008430638759258988</v>
      </c>
      <c r="V25" t="s">
        <v>153</v>
      </c>
      <c r="X25">
        <v>0.0045662100456621002</v>
      </c>
      <c r="Y25">
        <v>0.00593027206656225</v>
      </c>
      <c r="Z25" t="s">
        <v>161</v>
      </c>
      <c r="AA25" t="s">
        <v>25</v>
      </c>
      <c r="AC25" t="s">
        <v>22</v>
      </c>
      <c r="AD25" t="s">
        <v>161</v>
      </c>
      <c r="AE25">
        <v>0.0038277161892622149</v>
      </c>
      <c r="AG25" t="s">
        <v>96</v>
      </c>
      <c r="AH25" t="s">
        <v>161</v>
      </c>
      <c r="AI25">
        <v>0.1109117342249144</v>
      </c>
      <c r="AK25">
        <v>2027</v>
      </c>
      <c r="AL25" t="s">
        <v>147</v>
      </c>
      <c r="AM25">
        <v>0.4375</v>
      </c>
      <c r="AN25" t="s">
        <v>195</v>
      </c>
    </row>
    <row r="26" spans="9:40" ht="14.25">
      <c r="I26" t="s">
        <v>151</v>
      </c>
      <c r="J26" t="s">
        <v>204</v>
      </c>
      <c r="K26">
        <v>0.0012677897306796154</v>
      </c>
      <c r="L26" t="s">
        <v>153</v>
      </c>
      <c r="N26" t="s">
        <v>174</v>
      </c>
      <c r="O26" t="s">
        <v>204</v>
      </c>
      <c r="P26">
        <v>0.00085234379320610072</v>
      </c>
      <c r="Q26" t="s">
        <v>153</v>
      </c>
      <c r="S26" t="s">
        <v>184</v>
      </c>
      <c r="T26" t="s">
        <v>204</v>
      </c>
      <c r="U26">
        <v>0.00095208691646582943</v>
      </c>
      <c r="V26" t="s">
        <v>153</v>
      </c>
      <c r="X26">
        <v>0.00057077625570776253</v>
      </c>
      <c r="Y26">
        <v>0.0011104757642808013</v>
      </c>
      <c r="Z26" t="s">
        <v>204</v>
      </c>
      <c r="AA26" t="s">
        <v>25</v>
      </c>
      <c r="AC26" t="s">
        <v>22</v>
      </c>
      <c r="AD26" t="s">
        <v>204</v>
      </c>
      <c r="AE26">
        <v>0.00049046881379483109</v>
      </c>
      <c r="AG26" t="s">
        <v>96</v>
      </c>
      <c r="AH26" t="s">
        <v>204</v>
      </c>
      <c r="AI26">
        <v>0.077541642734060945</v>
      </c>
      <c r="AK26">
        <v>2027</v>
      </c>
      <c r="AL26" t="s">
        <v>149</v>
      </c>
      <c r="AM26">
        <v>0.4375</v>
      </c>
      <c r="AN26" t="s">
        <v>195</v>
      </c>
    </row>
    <row r="27" spans="9:40" ht="14.25">
      <c r="I27" t="s">
        <v>151</v>
      </c>
      <c r="J27" t="s">
        <v>205</v>
      </c>
      <c r="K27">
        <v>0.00088490024450055076</v>
      </c>
      <c r="L27" t="s">
        <v>153</v>
      </c>
      <c r="N27" t="s">
        <v>174</v>
      </c>
      <c r="O27" t="s">
        <v>205</v>
      </c>
      <c r="P27">
        <v>0.00077733937564607332</v>
      </c>
      <c r="Q27" t="s">
        <v>153</v>
      </c>
      <c r="S27" t="s">
        <v>184</v>
      </c>
      <c r="T27" t="s">
        <v>205</v>
      </c>
      <c r="U27">
        <v>0.00096346675328436832</v>
      </c>
      <c r="V27" t="s">
        <v>153</v>
      </c>
      <c r="X27">
        <v>0.00057077625570776253</v>
      </c>
      <c r="Y27">
        <v>0.0011104757642808013</v>
      </c>
      <c r="Z27" t="s">
        <v>205</v>
      </c>
      <c r="AA27" t="s">
        <v>25</v>
      </c>
      <c r="AC27" t="s">
        <v>22</v>
      </c>
      <c r="AD27" t="s">
        <v>205</v>
      </c>
      <c r="AE27">
        <v>0.00050456388212415386</v>
      </c>
      <c r="AG27" t="s">
        <v>96</v>
      </c>
      <c r="AH27" t="s">
        <v>205</v>
      </c>
      <c r="AI27">
        <v>0.071381788240577837</v>
      </c>
      <c r="AK27">
        <v>2027</v>
      </c>
      <c r="AL27" t="s">
        <v>198</v>
      </c>
      <c r="AM27">
        <v>0.4375</v>
      </c>
      <c r="AN27" t="s">
        <v>195</v>
      </c>
    </row>
    <row r="28" spans="9:40" ht="14.25">
      <c r="I28" t="s">
        <v>151</v>
      </c>
      <c r="J28" t="s">
        <v>220</v>
      </c>
      <c r="K28">
        <v>0.0002665742077808644</v>
      </c>
      <c r="L28" t="s">
        <v>153</v>
      </c>
      <c r="N28" t="s">
        <v>174</v>
      </c>
      <c r="O28" t="s">
        <v>220</v>
      </c>
      <c r="P28">
        <v>0.0059676447949860425</v>
      </c>
      <c r="Q28" t="s">
        <v>153</v>
      </c>
      <c r="S28" t="s">
        <v>184</v>
      </c>
      <c r="T28" t="s">
        <v>220</v>
      </c>
      <c r="U28">
        <v>0.0071004498681479155</v>
      </c>
      <c r="V28" t="s">
        <v>153</v>
      </c>
      <c r="X28">
        <v>0.0034246575342465752</v>
      </c>
      <c r="Y28">
        <v>0.0030165162552105349</v>
      </c>
      <c r="Z28" t="s">
        <v>220</v>
      </c>
      <c r="AA28" t="s">
        <v>25</v>
      </c>
      <c r="AC28" t="s">
        <v>22</v>
      </c>
      <c r="AD28" t="s">
        <v>220</v>
      </c>
      <c r="AE28">
        <v>0.0029155853646013748</v>
      </c>
      <c r="AG28" t="s">
        <v>96</v>
      </c>
      <c r="AH28" t="s">
        <v>220</v>
      </c>
      <c r="AI28">
        <v>0.16616004359476788</v>
      </c>
      <c r="AK28">
        <v>2027</v>
      </c>
      <c r="AL28" t="s">
        <v>216</v>
      </c>
      <c r="AM28">
        <v>0.41674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0.011759829769369748</v>
      </c>
      <c r="Q29" t="s">
        <v>153</v>
      </c>
      <c r="S29" t="s">
        <v>184</v>
      </c>
      <c r="T29" t="s">
        <v>162</v>
      </c>
      <c r="U29">
        <v>0.0080208779736630174</v>
      </c>
      <c r="V29" t="s">
        <v>153</v>
      </c>
      <c r="X29">
        <v>0.0079908675799086754</v>
      </c>
      <c r="Y29">
        <v>0.0031557400823740982</v>
      </c>
      <c r="Z29" t="s">
        <v>162</v>
      </c>
      <c r="AA29" t="s">
        <v>25</v>
      </c>
      <c r="AC29" t="s">
        <v>22</v>
      </c>
      <c r="AD29" t="s">
        <v>162</v>
      </c>
      <c r="AE29">
        <v>0.004861749949134052</v>
      </c>
      <c r="AG29" t="s">
        <v>96</v>
      </c>
      <c r="AH29" t="s">
        <v>162</v>
      </c>
      <c r="AI29">
        <v>0.10593493028244549</v>
      </c>
      <c r="AK29">
        <v>2028</v>
      </c>
      <c r="AL29" t="s">
        <v>141</v>
      </c>
      <c r="AM29">
        <v>0.36244999999999999</v>
      </c>
      <c r="AN29" t="s">
        <v>195</v>
      </c>
    </row>
    <row r="30" spans="9:40" ht="14.25">
      <c r="I30" t="s">
        <v>151</v>
      </c>
      <c r="J30" t="s">
        <v>163</v>
      </c>
      <c r="K30">
        <v>0.001298460068873621</v>
      </c>
      <c r="L30" t="s">
        <v>153</v>
      </c>
      <c r="N30" t="s">
        <v>174</v>
      </c>
      <c r="O30" t="s">
        <v>163</v>
      </c>
      <c r="P30">
        <v>0.001886974464808056</v>
      </c>
      <c r="Q30" t="s">
        <v>153</v>
      </c>
      <c r="S30" t="s">
        <v>184</v>
      </c>
      <c r="T30" t="s">
        <v>163</v>
      </c>
      <c r="U30">
        <v>0.0010965307123337114</v>
      </c>
      <c r="V30" t="s">
        <v>153</v>
      </c>
      <c r="X30">
        <v>0.0011415525114155251</v>
      </c>
      <c r="Y30">
        <v>0.0019060404909297334</v>
      </c>
      <c r="Z30" t="s">
        <v>163</v>
      </c>
      <c r="AA30" t="s">
        <v>25</v>
      </c>
      <c r="AC30" t="s">
        <v>22</v>
      </c>
      <c r="AD30" t="s">
        <v>163</v>
      </c>
      <c r="AE30">
        <v>0.00083819005644650355</v>
      </c>
      <c r="AG30" t="s">
        <v>96</v>
      </c>
      <c r="AH30" t="s">
        <v>163</v>
      </c>
      <c r="AI30">
        <v>0.043252445080562918</v>
      </c>
      <c r="AK30">
        <v>2028</v>
      </c>
      <c r="AL30" t="s">
        <v>145</v>
      </c>
      <c r="AM30">
        <v>0.37054999999999999</v>
      </c>
      <c r="AN30" t="s">
        <v>195</v>
      </c>
    </row>
    <row r="31" spans="9:40" ht="14.25">
      <c r="I31" t="s">
        <v>151</v>
      </c>
      <c r="J31" t="s">
        <v>164</v>
      </c>
      <c r="K31">
        <v>0.023803428544525662</v>
      </c>
      <c r="L31" t="s">
        <v>153</v>
      </c>
      <c r="N31" t="s">
        <v>174</v>
      </c>
      <c r="O31" t="s">
        <v>164</v>
      </c>
      <c r="P31">
        <v>0.011467264097356209</v>
      </c>
      <c r="Q31" t="s">
        <v>153</v>
      </c>
      <c r="S31" t="s">
        <v>184</v>
      </c>
      <c r="T31" t="s">
        <v>164</v>
      </c>
      <c r="U31">
        <v>0.010137243194830198</v>
      </c>
      <c r="V31" t="s">
        <v>153</v>
      </c>
      <c r="X31">
        <v>0.0091324200913242004</v>
      </c>
      <c r="Y31">
        <v>0.0118605441331245</v>
      </c>
      <c r="Z31" t="s">
        <v>164</v>
      </c>
      <c r="AA31" t="s">
        <v>25</v>
      </c>
      <c r="AC31" t="s">
        <v>22</v>
      </c>
      <c r="AD31" t="s">
        <v>164</v>
      </c>
      <c r="AE31">
        <v>0.0080568442892856289</v>
      </c>
      <c r="AG31" t="s">
        <v>96</v>
      </c>
      <c r="AH31" t="s">
        <v>164</v>
      </c>
      <c r="AI31">
        <v>0.057611599520396517</v>
      </c>
      <c r="AK31">
        <v>2028</v>
      </c>
      <c r="AL31" t="s">
        <v>147</v>
      </c>
      <c r="AM31">
        <v>0.36009999999999998</v>
      </c>
      <c r="AN31" t="s">
        <v>195</v>
      </c>
    </row>
    <row r="32" spans="9:40" ht="14.25">
      <c r="I32" t="s">
        <v>151</v>
      </c>
      <c r="J32" t="s">
        <v>206</v>
      </c>
      <c r="K32">
        <v>0.0026395625166874353</v>
      </c>
      <c r="L32" t="s">
        <v>153</v>
      </c>
      <c r="N32" t="s">
        <v>174</v>
      </c>
      <c r="O32" t="s">
        <v>206</v>
      </c>
      <c r="P32">
        <v>0.0016406269313405982</v>
      </c>
      <c r="Q32" t="s">
        <v>153</v>
      </c>
      <c r="S32" t="s">
        <v>184</v>
      </c>
      <c r="T32" t="s">
        <v>206</v>
      </c>
      <c r="U32">
        <v>0.0013017416663372353</v>
      </c>
      <c r="V32" t="s">
        <v>153</v>
      </c>
      <c r="X32">
        <v>0.0011415525114155251</v>
      </c>
      <c r="Y32">
        <v>0.002220951528561603</v>
      </c>
      <c r="Z32" t="s">
        <v>206</v>
      </c>
      <c r="AA32" t="s">
        <v>25</v>
      </c>
      <c r="AC32" t="s">
        <v>22</v>
      </c>
      <c r="AD32" t="s">
        <v>206</v>
      </c>
      <c r="AE32">
        <v>0.0010391556271171093</v>
      </c>
      <c r="AG32" t="s">
        <v>96</v>
      </c>
      <c r="AH32" t="s">
        <v>206</v>
      </c>
      <c r="AI32">
        <v>0.03755613319384743</v>
      </c>
      <c r="AK32">
        <v>2028</v>
      </c>
      <c r="AL32" t="s">
        <v>149</v>
      </c>
      <c r="AM32">
        <v>0.36009999999999998</v>
      </c>
      <c r="AN32" t="s">
        <v>195</v>
      </c>
    </row>
    <row r="33" spans="9:40" ht="14.25">
      <c r="I33" t="s">
        <v>151</v>
      </c>
      <c r="J33" t="s">
        <v>207</v>
      </c>
      <c r="K33">
        <v>0.0018427790730180041</v>
      </c>
      <c r="L33" t="s">
        <v>153</v>
      </c>
      <c r="N33" t="s">
        <v>174</v>
      </c>
      <c r="O33" t="s">
        <v>207</v>
      </c>
      <c r="P33">
        <v>0.0016179796400579247</v>
      </c>
      <c r="Q33" t="s">
        <v>153</v>
      </c>
      <c r="S33" t="s">
        <v>184</v>
      </c>
      <c r="T33" t="s">
        <v>207</v>
      </c>
      <c r="U33">
        <v>0.00132851187526874</v>
      </c>
      <c r="V33" t="s">
        <v>153</v>
      </c>
      <c r="X33">
        <v>0.0011415525114155251</v>
      </c>
      <c r="Y33">
        <v>0.002220951528561603</v>
      </c>
      <c r="Z33" t="s">
        <v>207</v>
      </c>
      <c r="AA33" t="s">
        <v>25</v>
      </c>
      <c r="AC33" t="s">
        <v>22</v>
      </c>
      <c r="AD33" t="s">
        <v>207</v>
      </c>
      <c r="AE33">
        <v>0.0010634077790397066</v>
      </c>
      <c r="AG33" t="s">
        <v>96</v>
      </c>
      <c r="AH33" t="s">
        <v>207</v>
      </c>
      <c r="AI33">
        <v>0.035300552327666601</v>
      </c>
      <c r="AK33">
        <v>2028</v>
      </c>
      <c r="AL33" t="s">
        <v>198</v>
      </c>
      <c r="AM33">
        <v>0.36009999999999998</v>
      </c>
      <c r="AN33" t="s">
        <v>195</v>
      </c>
    </row>
    <row r="34" spans="9:40" ht="14.25">
      <c r="I34" t="s">
        <v>151</v>
      </c>
      <c r="J34" t="s">
        <v>221</v>
      </c>
      <c r="K34">
        <v>0.00090286145011865906</v>
      </c>
      <c r="L34" t="s">
        <v>153</v>
      </c>
      <c r="N34" t="s">
        <v>174</v>
      </c>
      <c r="O34" t="s">
        <v>221</v>
      </c>
      <c r="P34">
        <v>0.010111393207733962</v>
      </c>
      <c r="Q34" t="s">
        <v>153</v>
      </c>
      <c r="S34" t="s">
        <v>184</v>
      </c>
      <c r="T34" t="s">
        <v>221</v>
      </c>
      <c r="U34">
        <v>0.0087667651039062162</v>
      </c>
      <c r="V34" t="s">
        <v>153</v>
      </c>
      <c r="X34">
        <v>0.0068493150684931503</v>
      </c>
      <c r="Y34">
        <v>0.0060330325104210707</v>
      </c>
      <c r="Z34" t="s">
        <v>221</v>
      </c>
      <c r="AA34" t="s">
        <v>25</v>
      </c>
      <c r="AC34" t="s">
        <v>22</v>
      </c>
      <c r="AD34" t="s">
        <v>221</v>
      </c>
      <c r="AE34">
        <v>0.0060336473192017055</v>
      </c>
      <c r="AG34" t="s">
        <v>96</v>
      </c>
      <c r="AH34" t="s">
        <v>221</v>
      </c>
      <c r="AI34">
        <v>0.1347478911432709</v>
      </c>
      <c r="AK34">
        <v>2028</v>
      </c>
      <c r="AL34" t="s">
        <v>216</v>
      </c>
      <c r="AM34">
        <v>0.40662999999999999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0.0038368384833743891</v>
      </c>
      <c r="Q35" t="s">
        <v>153</v>
      </c>
      <c r="S35" t="s">
        <v>184</v>
      </c>
      <c r="T35" t="s">
        <v>208</v>
      </c>
      <c r="U35">
        <v>0.0047029221888680089</v>
      </c>
      <c r="V35" t="s">
        <v>153</v>
      </c>
      <c r="X35">
        <v>0.0039954337899543377</v>
      </c>
      <c r="Y35">
        <v>0.0015778700411870491</v>
      </c>
      <c r="Z35" t="s">
        <v>208</v>
      </c>
      <c r="AA35" t="s">
        <v>25</v>
      </c>
      <c r="AC35" t="s">
        <v>22</v>
      </c>
      <c r="AD35" t="s">
        <v>208</v>
      </c>
      <c r="AE35">
        <v>0.0024135711779342565</v>
      </c>
      <c r="AG35" t="s">
        <v>96</v>
      </c>
      <c r="AH35" t="s">
        <v>208</v>
      </c>
      <c r="AI35">
        <v>0.11138967065276373</v>
      </c>
      <c r="AK35">
        <v>2029</v>
      </c>
      <c r="AL35" t="s">
        <v>141</v>
      </c>
      <c r="AM35">
        <v>0.39860000000000001</v>
      </c>
      <c r="AN35" t="s">
        <v>195</v>
      </c>
    </row>
    <row r="36" spans="9:40" ht="14.25">
      <c r="I36" t="s">
        <v>151</v>
      </c>
      <c r="J36" t="s">
        <v>209</v>
      </c>
      <c r="K36">
        <v>0.00047003828137229215</v>
      </c>
      <c r="L36" t="s">
        <v>153</v>
      </c>
      <c r="N36" t="s">
        <v>174</v>
      </c>
      <c r="O36" t="s">
        <v>209</v>
      </c>
      <c r="P36">
        <v>0.00040174525491091612</v>
      </c>
      <c r="Q36" t="s">
        <v>153</v>
      </c>
      <c r="S36" t="s">
        <v>184</v>
      </c>
      <c r="T36" t="s">
        <v>209</v>
      </c>
      <c r="U36">
        <v>0.00088835351201007608</v>
      </c>
      <c r="V36" t="s">
        <v>153</v>
      </c>
      <c r="X36">
        <v>0.00057077625570776253</v>
      </c>
      <c r="Y36">
        <v>0.00095302024546486681</v>
      </c>
      <c r="Z36" t="s">
        <v>209</v>
      </c>
      <c r="AA36" t="s">
        <v>25</v>
      </c>
      <c r="AC36" t="s">
        <v>22</v>
      </c>
      <c r="AD36" t="s">
        <v>209</v>
      </c>
      <c r="AE36">
        <v>0.00040123699670170497</v>
      </c>
      <c r="AG36" t="s">
        <v>96</v>
      </c>
      <c r="AH36" t="s">
        <v>209</v>
      </c>
      <c r="AI36">
        <v>0.076936017495654152</v>
      </c>
      <c r="AK36">
        <v>2029</v>
      </c>
      <c r="AL36" t="s">
        <v>145</v>
      </c>
      <c r="AM36">
        <v>0.43955</v>
      </c>
      <c r="AN36" t="s">
        <v>195</v>
      </c>
    </row>
    <row r="37" spans="9:40" ht="14.25">
      <c r="I37" t="s">
        <v>151</v>
      </c>
      <c r="J37" t="s">
        <v>210</v>
      </c>
      <c r="K37">
        <v>0.010024424900218317</v>
      </c>
      <c r="L37" t="s">
        <v>153</v>
      </c>
      <c r="N37" t="s">
        <v>174</v>
      </c>
      <c r="O37" t="s">
        <v>210</v>
      </c>
      <c r="P37">
        <v>0.0026971538235206699</v>
      </c>
      <c r="Q37" t="s">
        <v>153</v>
      </c>
      <c r="S37" t="s">
        <v>184</v>
      </c>
      <c r="T37" t="s">
        <v>210</v>
      </c>
      <c r="U37">
        <v>0.0056521424021208086</v>
      </c>
      <c r="V37" t="s">
        <v>153</v>
      </c>
      <c r="X37">
        <v>0.0045662100456621002</v>
      </c>
      <c r="Y37">
        <v>0.00593027206656225</v>
      </c>
      <c r="Z37" t="s">
        <v>210</v>
      </c>
      <c r="AA37" t="s">
        <v>25</v>
      </c>
      <c r="AC37" t="s">
        <v>22</v>
      </c>
      <c r="AD37" t="s">
        <v>210</v>
      </c>
      <c r="AE37">
        <v>0.0038269344263664662</v>
      </c>
      <c r="AG37" t="s">
        <v>96</v>
      </c>
      <c r="AH37" t="s">
        <v>210</v>
      </c>
      <c r="AI37">
        <v>0.11109347625704302</v>
      </c>
      <c r="AK37">
        <v>2029</v>
      </c>
      <c r="AL37" t="s">
        <v>147</v>
      </c>
      <c r="AM37">
        <v>0.50229999999999997</v>
      </c>
      <c r="AN37" t="s">
        <v>195</v>
      </c>
    </row>
    <row r="38" spans="9:40" ht="14.25">
      <c r="I38" t="s">
        <v>151</v>
      </c>
      <c r="J38" t="s">
        <v>211</v>
      </c>
      <c r="K38">
        <v>0.0011343972323095189</v>
      </c>
      <c r="L38" t="s">
        <v>153</v>
      </c>
      <c r="N38" t="s">
        <v>174</v>
      </c>
      <c r="O38" t="s">
        <v>211</v>
      </c>
      <c r="P38">
        <v>0.00053026658080717519</v>
      </c>
      <c r="Q38" t="s">
        <v>153</v>
      </c>
      <c r="S38" t="s">
        <v>184</v>
      </c>
      <c r="T38" t="s">
        <v>211</v>
      </c>
      <c r="U38">
        <v>0.00058496006643132467</v>
      </c>
      <c r="V38" t="s">
        <v>153</v>
      </c>
      <c r="X38">
        <v>0.00057077625570776253</v>
      </c>
      <c r="Y38">
        <v>0.0011104757642808013</v>
      </c>
      <c r="Z38" t="s">
        <v>211</v>
      </c>
      <c r="AA38" t="s">
        <v>25</v>
      </c>
      <c r="AC38" t="s">
        <v>22</v>
      </c>
      <c r="AD38" t="s">
        <v>211</v>
      </c>
      <c r="AE38">
        <v>0.00049204400768925035</v>
      </c>
      <c r="AG38" t="s">
        <v>96</v>
      </c>
      <c r="AH38" t="s">
        <v>211</v>
      </c>
      <c r="AI38">
        <v>0.08182946624653864</v>
      </c>
      <c r="AK38">
        <v>2029</v>
      </c>
      <c r="AL38" t="s">
        <v>149</v>
      </c>
      <c r="AM38">
        <v>0.50229999999999997</v>
      </c>
      <c r="AN38" t="s">
        <v>195</v>
      </c>
    </row>
    <row r="39" spans="9:40" ht="14.25">
      <c r="I39" t="s">
        <v>151</v>
      </c>
      <c r="J39" t="s">
        <v>212</v>
      </c>
      <c r="K39">
        <v>0.0008415605585917823</v>
      </c>
      <c r="L39" t="s">
        <v>153</v>
      </c>
      <c r="N39" t="s">
        <v>174</v>
      </c>
      <c r="O39" t="s">
        <v>212</v>
      </c>
      <c r="P39">
        <v>0.00061662904755197272</v>
      </c>
      <c r="Q39" t="s">
        <v>153</v>
      </c>
      <c r="S39" t="s">
        <v>184</v>
      </c>
      <c r="T39" t="s">
        <v>212</v>
      </c>
      <c r="U39">
        <v>0.00061340110749854117</v>
      </c>
      <c r="V39" t="s">
        <v>153</v>
      </c>
      <c r="X39">
        <v>0.00057077625570776253</v>
      </c>
      <c r="Y39">
        <v>0.0011104757642808013</v>
      </c>
      <c r="Z39" t="s">
        <v>212</v>
      </c>
      <c r="AA39" t="s">
        <v>25</v>
      </c>
      <c r="AC39" t="s">
        <v>22</v>
      </c>
      <c r="AD39" t="s">
        <v>212</v>
      </c>
      <c r="AE39">
        <v>0.00049795390181905344</v>
      </c>
      <c r="AG39" t="s">
        <v>96</v>
      </c>
      <c r="AH39" t="s">
        <v>212</v>
      </c>
      <c r="AI39">
        <v>0.0801187785479891</v>
      </c>
      <c r="AK39">
        <v>2029</v>
      </c>
      <c r="AL39" t="s">
        <v>198</v>
      </c>
      <c r="AM39">
        <v>0.50229999999999997</v>
      </c>
      <c r="AN39" t="s">
        <v>195</v>
      </c>
    </row>
    <row r="40" spans="9:40" ht="14.25">
      <c r="I40" t="s">
        <v>151</v>
      </c>
      <c r="J40" t="s">
        <v>222</v>
      </c>
      <c r="K40">
        <v>0.0003920167186954337</v>
      </c>
      <c r="L40" t="s">
        <v>153</v>
      </c>
      <c r="N40" t="s">
        <v>174</v>
      </c>
      <c r="O40" t="s">
        <v>222</v>
      </c>
      <c r="P40">
        <v>0.0046325476012558878</v>
      </c>
      <c r="Q40" t="s">
        <v>153</v>
      </c>
      <c r="S40" t="s">
        <v>184</v>
      </c>
      <c r="T40" t="s">
        <v>222</v>
      </c>
      <c r="U40">
        <v>0.0045277210110695621</v>
      </c>
      <c r="V40" t="s">
        <v>153</v>
      </c>
      <c r="X40">
        <v>0.0034246575342465752</v>
      </c>
      <c r="Y40">
        <v>0.0030165162552105349</v>
      </c>
      <c r="Z40" t="s">
        <v>222</v>
      </c>
      <c r="AA40" t="s">
        <v>25</v>
      </c>
      <c r="AC40" t="s">
        <v>22</v>
      </c>
      <c r="AD40" t="s">
        <v>222</v>
      </c>
      <c r="AE40">
        <v>0.0029058074943530531</v>
      </c>
      <c r="AG40" t="s">
        <v>96</v>
      </c>
      <c r="AH40" t="s">
        <v>222</v>
      </c>
      <c r="AI40">
        <v>0.12385701874706845</v>
      </c>
      <c r="AK40">
        <v>2029</v>
      </c>
      <c r="AL40" t="s">
        <v>216</v>
      </c>
      <c r="AM40">
        <v>0.46540999999999999</v>
      </c>
      <c r="AN40" t="s">
        <v>195</v>
      </c>
    </row>
    <row r="41" spans="9:40" ht="14.25">
      <c r="I41" t="s">
        <v>151</v>
      </c>
      <c r="J41" t="s">
        <v>223</v>
      </c>
      <c r="K41">
        <v>0.010357882276861644</v>
      </c>
      <c r="L41" t="s">
        <v>153</v>
      </c>
      <c r="N41" t="s">
        <v>174</v>
      </c>
      <c r="O41" t="s">
        <v>223</v>
      </c>
      <c r="P41">
        <v>0.20291497542321324</v>
      </c>
      <c r="Q41" t="s">
        <v>153</v>
      </c>
      <c r="S41" t="s">
        <v>184</v>
      </c>
      <c r="T41" t="s">
        <v>223</v>
      </c>
      <c r="U41">
        <v>0.22455169933870142</v>
      </c>
      <c r="V41" t="s">
        <v>153</v>
      </c>
      <c r="X41">
        <v>0.22454337899543378</v>
      </c>
      <c r="Y41">
        <v>0.088676296314712175</v>
      </c>
      <c r="Z41" t="s">
        <v>223</v>
      </c>
      <c r="AA41" t="s">
        <v>25</v>
      </c>
      <c r="AC41" t="s">
        <v>22</v>
      </c>
      <c r="AD41" t="s">
        <v>223</v>
      </c>
      <c r="AE41">
        <v>0.2040116713026883</v>
      </c>
      <c r="AG41" t="s">
        <v>96</v>
      </c>
      <c r="AH41" t="s">
        <v>223</v>
      </c>
      <c r="AI41">
        <v>0.31224038540219978</v>
      </c>
      <c r="AK41">
        <v>2030</v>
      </c>
      <c r="AL41" t="s">
        <v>141</v>
      </c>
      <c r="AM41">
        <v>0.42715000000000003</v>
      </c>
      <c r="AN41" t="s">
        <v>195</v>
      </c>
    </row>
    <row r="42" spans="9:40" ht="14.25">
      <c r="I42" t="s">
        <v>151</v>
      </c>
      <c r="J42" t="s">
        <v>224</v>
      </c>
      <c r="K42">
        <v>0.040283247179679543</v>
      </c>
      <c r="L42" t="s">
        <v>153</v>
      </c>
      <c r="N42" t="s">
        <v>174</v>
      </c>
      <c r="O42" t="s">
        <v>224</v>
      </c>
      <c r="P42">
        <v>0.026755705815579955</v>
      </c>
      <c r="Q42" t="s">
        <v>153</v>
      </c>
      <c r="S42" t="s">
        <v>184</v>
      </c>
      <c r="T42" t="s">
        <v>224</v>
      </c>
      <c r="U42">
        <v>0.031795147643856513</v>
      </c>
      <c r="V42" t="s">
        <v>153</v>
      </c>
      <c r="X42">
        <v>0.032077625570776258</v>
      </c>
      <c r="Y42">
        <v>0.053559737795125517</v>
      </c>
      <c r="Z42" t="s">
        <v>224</v>
      </c>
      <c r="AA42" t="s">
        <v>25</v>
      </c>
      <c r="AC42" t="s">
        <v>22</v>
      </c>
      <c r="AD42" t="s">
        <v>224</v>
      </c>
      <c r="AE42">
        <v>0.030082286569879914</v>
      </c>
      <c r="AG42" t="s">
        <v>96</v>
      </c>
      <c r="AH42" t="s">
        <v>224</v>
      </c>
      <c r="AI42">
        <v>0.25870979614565615</v>
      </c>
      <c r="AK42">
        <v>2030</v>
      </c>
      <c r="AL42" t="s">
        <v>145</v>
      </c>
      <c r="AM42">
        <v>0.46509999999999996</v>
      </c>
      <c r="AN42" t="s">
        <v>195</v>
      </c>
    </row>
    <row r="43" spans="9:40" ht="14.25">
      <c r="I43" t="s">
        <v>151</v>
      </c>
      <c r="J43" t="s">
        <v>225</v>
      </c>
      <c r="K43">
        <v>0.6070900419023687</v>
      </c>
      <c r="L43" t="s">
        <v>153</v>
      </c>
      <c r="N43" t="s">
        <v>174</v>
      </c>
      <c r="O43" t="s">
        <v>225</v>
      </c>
      <c r="P43">
        <v>0.21834112542347747</v>
      </c>
      <c r="Q43" t="s">
        <v>153</v>
      </c>
      <c r="S43" t="s">
        <v>184</v>
      </c>
      <c r="T43" t="s">
        <v>225</v>
      </c>
      <c r="U43">
        <v>0.23390536368370662</v>
      </c>
      <c r="V43" t="s">
        <v>153</v>
      </c>
      <c r="X43">
        <v>0.25662100456621006</v>
      </c>
      <c r="Y43">
        <v>0.33328129014079844</v>
      </c>
      <c r="Z43" t="s">
        <v>225</v>
      </c>
      <c r="AA43" t="s">
        <v>25</v>
      </c>
      <c r="AC43" t="s">
        <v>22</v>
      </c>
      <c r="AD43" t="s">
        <v>225</v>
      </c>
      <c r="AE43">
        <v>0.29188655003559594</v>
      </c>
      <c r="AG43" t="s">
        <v>96</v>
      </c>
      <c r="AH43" t="s">
        <v>225</v>
      </c>
      <c r="AI43">
        <v>0.20247699040735956</v>
      </c>
      <c r="AK43">
        <v>2030</v>
      </c>
      <c r="AL43" t="s">
        <v>147</v>
      </c>
      <c r="AM43">
        <v>0.49609999999999999</v>
      </c>
      <c r="AN43" t="s">
        <v>195</v>
      </c>
    </row>
    <row r="44" spans="9:40" ht="14.25">
      <c r="I44" t="s">
        <v>151</v>
      </c>
      <c r="J44" t="s">
        <v>226</v>
      </c>
      <c r="K44">
        <v>0.060109807795486032</v>
      </c>
      <c r="L44" t="s">
        <v>153</v>
      </c>
      <c r="N44" t="s">
        <v>174</v>
      </c>
      <c r="O44" t="s">
        <v>226</v>
      </c>
      <c r="P44">
        <v>0.037985905273387563</v>
      </c>
      <c r="Q44" t="s">
        <v>153</v>
      </c>
      <c r="S44" t="s">
        <v>184</v>
      </c>
      <c r="T44" t="s">
        <v>226</v>
      </c>
      <c r="U44">
        <v>0.029463547830504561</v>
      </c>
      <c r="V44" t="s">
        <v>153</v>
      </c>
      <c r="X44">
        <v>0.032077625570776258</v>
      </c>
      <c r="Y44">
        <v>0.062408737952581041</v>
      </c>
      <c r="Z44" t="s">
        <v>226</v>
      </c>
      <c r="AA44" t="s">
        <v>25</v>
      </c>
      <c r="AC44" t="s">
        <v>22</v>
      </c>
      <c r="AD44" t="s">
        <v>226</v>
      </c>
      <c r="AE44">
        <v>0.03726463399569778</v>
      </c>
      <c r="AG44" t="s">
        <v>96</v>
      </c>
      <c r="AH44" t="s">
        <v>226</v>
      </c>
      <c r="AI44">
        <v>0.1754803891572092</v>
      </c>
      <c r="AK44">
        <v>2030</v>
      </c>
      <c r="AL44" t="s">
        <v>149</v>
      </c>
      <c r="AM44">
        <v>0.49609999999999999</v>
      </c>
      <c r="AN44" t="s">
        <v>195</v>
      </c>
    </row>
    <row r="45" spans="9:40" ht="14.25">
      <c r="I45" t="s">
        <v>151</v>
      </c>
      <c r="J45" t="s">
        <v>227</v>
      </c>
      <c r="K45">
        <v>0.039526611146441161</v>
      </c>
      <c r="L45" t="s">
        <v>153</v>
      </c>
      <c r="N45" t="s">
        <v>174</v>
      </c>
      <c r="O45" t="s">
        <v>227</v>
      </c>
      <c r="P45">
        <v>0.039285719155155746</v>
      </c>
      <c r="Q45" t="s">
        <v>153</v>
      </c>
      <c r="S45" t="s">
        <v>184</v>
      </c>
      <c r="T45" t="s">
        <v>227</v>
      </c>
      <c r="U45">
        <v>0.030461908020698012</v>
      </c>
      <c r="V45" t="s">
        <v>153</v>
      </c>
      <c r="X45">
        <v>0.032077625570776258</v>
      </c>
      <c r="Y45">
        <v>0.062408737952581041</v>
      </c>
      <c r="Z45" t="s">
        <v>227</v>
      </c>
      <c r="AA45" t="s">
        <v>25</v>
      </c>
      <c r="AC45" t="s">
        <v>22</v>
      </c>
      <c r="AD45" t="s">
        <v>227</v>
      </c>
      <c r="AE45">
        <v>0.037412305506273863</v>
      </c>
      <c r="AG45" t="s">
        <v>96</v>
      </c>
      <c r="AH45" t="s">
        <v>227</v>
      </c>
      <c r="AI45">
        <v>0.16798657588930421</v>
      </c>
      <c r="AK45">
        <v>2030</v>
      </c>
      <c r="AL45" t="s">
        <v>198</v>
      </c>
      <c r="AM45">
        <v>0.49609999999999999</v>
      </c>
      <c r="AN45" t="s">
        <v>195</v>
      </c>
    </row>
    <row r="46" spans="9:40" ht="14.25">
      <c r="I46" t="s">
        <v>151</v>
      </c>
      <c r="J46" t="s">
        <v>228</v>
      </c>
      <c r="K46">
        <v>0.01158345398209637</v>
      </c>
      <c r="L46" t="s">
        <v>153</v>
      </c>
      <c r="N46" t="s">
        <v>174</v>
      </c>
      <c r="O46" t="s">
        <v>228</v>
      </c>
      <c r="P46">
        <v>0.22133252387007696</v>
      </c>
      <c r="Q46" t="s">
        <v>153</v>
      </c>
      <c r="S46" t="s">
        <v>184</v>
      </c>
      <c r="T46" t="s">
        <v>228</v>
      </c>
      <c r="U46">
        <v>0.18887937821395695</v>
      </c>
      <c r="V46" t="s">
        <v>153</v>
      </c>
      <c r="X46">
        <v>0.19246575342465752</v>
      </c>
      <c r="Y46">
        <v>0.16952821354283207</v>
      </c>
      <c r="Z46" t="s">
        <v>228</v>
      </c>
      <c r="AA46" t="s">
        <v>25</v>
      </c>
      <c r="AC46" t="s">
        <v>22</v>
      </c>
      <c r="AD46" t="s">
        <v>228</v>
      </c>
      <c r="AE46">
        <v>0.21821552352054902</v>
      </c>
      <c r="AG46" t="s">
        <v>96</v>
      </c>
      <c r="AH46" t="s">
        <v>228</v>
      </c>
      <c r="AI46">
        <v>0.19932460585860601</v>
      </c>
      <c r="AK46">
        <v>2030</v>
      </c>
      <c r="AL46" t="s">
        <v>216</v>
      </c>
      <c r="AM46">
        <v>0.47616999999999993</v>
      </c>
      <c r="AN46" t="s">
        <v>195</v>
      </c>
    </row>
    <row r="47" spans="9:40" ht="14.25">
      <c r="I47" t="s">
        <v>165</v>
      </c>
      <c r="J47" t="s">
        <v>152</v>
      </c>
      <c r="K47">
        <v>0</v>
      </c>
      <c r="L47" t="s">
        <v>153</v>
      </c>
      <c r="N47" t="s">
        <v>175</v>
      </c>
      <c r="O47" t="s">
        <v>152</v>
      </c>
      <c r="P47">
        <v>0.03584708708319264</v>
      </c>
      <c r="Q47" t="s">
        <v>153</v>
      </c>
      <c r="S47" t="s">
        <v>185</v>
      </c>
      <c r="T47" t="s">
        <v>152</v>
      </c>
      <c r="U47">
        <v>0.033214667895704875</v>
      </c>
      <c r="V47" t="s">
        <v>153</v>
      </c>
      <c r="AC47" t="s">
        <v>19</v>
      </c>
      <c r="AD47" t="s">
        <v>152</v>
      </c>
      <c r="AE47">
        <v>0.025933354092794094</v>
      </c>
      <c r="AK47">
        <v>2031</v>
      </c>
      <c r="AL47" t="s">
        <v>141</v>
      </c>
      <c r="AM47">
        <v>0.41054999999999997</v>
      </c>
      <c r="AN47" t="s">
        <v>195</v>
      </c>
    </row>
    <row r="48" spans="9:40" ht="14.25">
      <c r="I48" t="s">
        <v>165</v>
      </c>
      <c r="J48" t="s">
        <v>154</v>
      </c>
      <c r="K48">
        <v>0.003746574837754848</v>
      </c>
      <c r="L48" t="s">
        <v>153</v>
      </c>
      <c r="N48" t="s">
        <v>175</v>
      </c>
      <c r="O48" t="s">
        <v>154</v>
      </c>
      <c r="P48">
        <v>0.0054877950628679341</v>
      </c>
      <c r="Q48" t="s">
        <v>153</v>
      </c>
      <c r="S48" t="s">
        <v>185</v>
      </c>
      <c r="T48" t="s">
        <v>154</v>
      </c>
      <c r="U48">
        <v>0.0051326614663486734</v>
      </c>
      <c r="V48" t="s">
        <v>153</v>
      </c>
      <c r="AC48" t="s">
        <v>19</v>
      </c>
      <c r="AD48" t="s">
        <v>154</v>
      </c>
      <c r="AE48">
        <v>0.0037496252668612375</v>
      </c>
      <c r="AK48">
        <v>2031</v>
      </c>
      <c r="AL48" t="s">
        <v>145</v>
      </c>
      <c r="AM48">
        <v>0.43759999999999999</v>
      </c>
      <c r="AN48" t="s">
        <v>195</v>
      </c>
    </row>
    <row r="49" spans="9:40" ht="14.25">
      <c r="I49" t="s">
        <v>165</v>
      </c>
      <c r="J49" t="s">
        <v>155</v>
      </c>
      <c r="K49">
        <v>0.067071913964662666</v>
      </c>
      <c r="L49" t="s">
        <v>153</v>
      </c>
      <c r="N49" t="s">
        <v>175</v>
      </c>
      <c r="O49" t="s">
        <v>155</v>
      </c>
      <c r="P49">
        <v>0.033924734244391332</v>
      </c>
      <c r="Q49" t="s">
        <v>153</v>
      </c>
      <c r="S49" t="s">
        <v>185</v>
      </c>
      <c r="T49" t="s">
        <v>155</v>
      </c>
      <c r="U49">
        <v>0.035202883874040893</v>
      </c>
      <c r="V49" t="s">
        <v>153</v>
      </c>
      <c r="AC49" t="s">
        <v>19</v>
      </c>
      <c r="AD49" t="s">
        <v>155</v>
      </c>
      <c r="AE49">
        <v>0.030263523196720477</v>
      </c>
      <c r="AK49">
        <v>2031</v>
      </c>
      <c r="AL49" t="s">
        <v>147</v>
      </c>
      <c r="AM49">
        <v>0.46239999999999998</v>
      </c>
      <c r="AN49" t="s">
        <v>195</v>
      </c>
    </row>
    <row r="50" spans="9:40" ht="14.25">
      <c r="I50" t="s">
        <v>165</v>
      </c>
      <c r="J50" t="s">
        <v>200</v>
      </c>
      <c r="K50">
        <v>0.0070274120770291749</v>
      </c>
      <c r="L50" t="s">
        <v>153</v>
      </c>
      <c r="N50" t="s">
        <v>175</v>
      </c>
      <c r="O50" t="s">
        <v>200</v>
      </c>
      <c r="P50">
        <v>0.0037053948893512427</v>
      </c>
      <c r="Q50" t="s">
        <v>153</v>
      </c>
      <c r="S50" t="s">
        <v>185</v>
      </c>
      <c r="T50" t="s">
        <v>200</v>
      </c>
      <c r="U50">
        <v>0.0034360342416064459</v>
      </c>
      <c r="V50" t="s">
        <v>153</v>
      </c>
      <c r="AC50" t="s">
        <v>19</v>
      </c>
      <c r="AD50" t="s">
        <v>200</v>
      </c>
      <c r="AE50">
        <v>0.0037909978050279071</v>
      </c>
      <c r="AK50">
        <v>2031</v>
      </c>
      <c r="AL50" t="s">
        <v>149</v>
      </c>
      <c r="AM50">
        <v>0.46239999999999998</v>
      </c>
      <c r="AN50" t="s">
        <v>195</v>
      </c>
    </row>
    <row r="51" spans="9:40" ht="14.25">
      <c r="I51" t="s">
        <v>165</v>
      </c>
      <c r="J51" t="s">
        <v>201</v>
      </c>
      <c r="K51">
        <v>0.0040338786327587476</v>
      </c>
      <c r="L51" t="s">
        <v>153</v>
      </c>
      <c r="N51" t="s">
        <v>175</v>
      </c>
      <c r="O51" t="s">
        <v>201</v>
      </c>
      <c r="P51">
        <v>0.0036222044756235076</v>
      </c>
      <c r="Q51" t="s">
        <v>153</v>
      </c>
      <c r="S51" t="s">
        <v>185</v>
      </c>
      <c r="T51" t="s">
        <v>201</v>
      </c>
      <c r="U51">
        <v>0.0033148936810012061</v>
      </c>
      <c r="V51" t="s">
        <v>153</v>
      </c>
      <c r="AC51" t="s">
        <v>19</v>
      </c>
      <c r="AD51" t="s">
        <v>201</v>
      </c>
      <c r="AE51">
        <v>0.0037989124167114607</v>
      </c>
      <c r="AK51">
        <v>2031</v>
      </c>
      <c r="AL51" t="s">
        <v>198</v>
      </c>
      <c r="AM51">
        <v>0.46239999999999998</v>
      </c>
      <c r="AN51" t="s">
        <v>195</v>
      </c>
    </row>
    <row r="52" spans="9:40" ht="14.25">
      <c r="I52" t="s">
        <v>165</v>
      </c>
      <c r="J52" t="s">
        <v>218</v>
      </c>
      <c r="K52">
        <v>0</v>
      </c>
      <c r="L52" t="s">
        <v>153</v>
      </c>
      <c r="N52" t="s">
        <v>175</v>
      </c>
      <c r="O52" t="s">
        <v>218</v>
      </c>
      <c r="P52">
        <v>0.024563920581497554</v>
      </c>
      <c r="Q52" t="s">
        <v>153</v>
      </c>
      <c r="S52" t="s">
        <v>185</v>
      </c>
      <c r="T52" t="s">
        <v>218</v>
      </c>
      <c r="U52">
        <v>0.02184648245550215</v>
      </c>
      <c r="V52" t="s">
        <v>153</v>
      </c>
      <c r="AC52" t="s">
        <v>19</v>
      </c>
      <c r="AD52" t="s">
        <v>218</v>
      </c>
      <c r="AE52">
        <v>0.022705113555623251</v>
      </c>
      <c r="AK52">
        <v>2031</v>
      </c>
      <c r="AL52" t="s">
        <v>216</v>
      </c>
      <c r="AM52">
        <v>0.46910999999999997</v>
      </c>
      <c r="AN52" t="s">
        <v>195</v>
      </c>
    </row>
    <row r="53" spans="9:40" ht="14.25">
      <c r="I53" t="s">
        <v>165</v>
      </c>
      <c r="J53" t="s">
        <v>156</v>
      </c>
      <c r="K53">
        <v>0</v>
      </c>
      <c r="L53" t="s">
        <v>153</v>
      </c>
      <c r="N53" t="s">
        <v>175</v>
      </c>
      <c r="O53" t="s">
        <v>156</v>
      </c>
      <c r="P53">
        <v>0.024438641201358084</v>
      </c>
      <c r="Q53" t="s">
        <v>153</v>
      </c>
      <c r="S53" t="s">
        <v>185</v>
      </c>
      <c r="T53" t="s">
        <v>156</v>
      </c>
      <c r="U53">
        <v>0.029576716470295639</v>
      </c>
      <c r="V53" t="s">
        <v>153</v>
      </c>
      <c r="AC53" t="s">
        <v>19</v>
      </c>
      <c r="AD53" t="s">
        <v>156</v>
      </c>
      <c r="AE53">
        <v>0.024363167575850338</v>
      </c>
      <c r="AK53">
        <v>2032</v>
      </c>
      <c r="AL53" t="s">
        <v>141</v>
      </c>
      <c r="AM53">
        <v>0.38580000000000003</v>
      </c>
      <c r="AN53" t="s">
        <v>195</v>
      </c>
    </row>
    <row r="54" spans="9:40" ht="14.25">
      <c r="I54" t="s">
        <v>165</v>
      </c>
      <c r="J54" t="s">
        <v>157</v>
      </c>
      <c r="K54">
        <v>0.0035806770257378966</v>
      </c>
      <c r="L54" t="s">
        <v>153</v>
      </c>
      <c r="N54" t="s">
        <v>175</v>
      </c>
      <c r="O54" t="s">
        <v>157</v>
      </c>
      <c r="P54">
        <v>0.0036712602138215932</v>
      </c>
      <c r="Q54" t="s">
        <v>153</v>
      </c>
      <c r="S54" t="s">
        <v>185</v>
      </c>
      <c r="T54" t="s">
        <v>157</v>
      </c>
      <c r="U54">
        <v>0.0044296434937082328</v>
      </c>
      <c r="V54" t="s">
        <v>153</v>
      </c>
      <c r="AC54" t="s">
        <v>19</v>
      </c>
      <c r="AD54" t="s">
        <v>157</v>
      </c>
      <c r="AE54">
        <v>0.0035211387950000827</v>
      </c>
      <c r="AK54">
        <v>2032</v>
      </c>
      <c r="AL54" t="s">
        <v>145</v>
      </c>
      <c r="AM54">
        <v>0.40265000000000001</v>
      </c>
      <c r="AN54" t="s">
        <v>195</v>
      </c>
    </row>
    <row r="55" spans="9:40" ht="14.25">
      <c r="I55" t="s">
        <v>165</v>
      </c>
      <c r="J55" t="s">
        <v>158</v>
      </c>
      <c r="K55">
        <v>0.072503249665996403</v>
      </c>
      <c r="L55" t="s">
        <v>153</v>
      </c>
      <c r="N55" t="s">
        <v>175</v>
      </c>
      <c r="O55" t="s">
        <v>158</v>
      </c>
      <c r="P55">
        <v>0.023263836934649559</v>
      </c>
      <c r="Q55" t="s">
        <v>153</v>
      </c>
      <c r="S55" t="s">
        <v>185</v>
      </c>
      <c r="T55" t="s">
        <v>158</v>
      </c>
      <c r="U55">
        <v>0.028072743338558401</v>
      </c>
      <c r="V55" t="s">
        <v>153</v>
      </c>
      <c r="AC55" t="s">
        <v>19</v>
      </c>
      <c r="AD55" t="s">
        <v>158</v>
      </c>
      <c r="AE55">
        <v>0.028431370490100725</v>
      </c>
      <c r="AK55">
        <v>2032</v>
      </c>
      <c r="AL55" t="s">
        <v>147</v>
      </c>
      <c r="AM55">
        <v>0.42699999999999999</v>
      </c>
      <c r="AN55" t="s">
        <v>195</v>
      </c>
    </row>
    <row r="56" spans="9:40" ht="14.25">
      <c r="I56" t="s">
        <v>165</v>
      </c>
      <c r="J56" t="s">
        <v>202</v>
      </c>
      <c r="K56">
        <v>0.0081449122215343055</v>
      </c>
      <c r="L56" t="s">
        <v>153</v>
      </c>
      <c r="N56" t="s">
        <v>175</v>
      </c>
      <c r="O56" t="s">
        <v>202</v>
      </c>
      <c r="P56">
        <v>0.0024932539962580795</v>
      </c>
      <c r="Q56" t="s">
        <v>153</v>
      </c>
      <c r="S56" t="s">
        <v>185</v>
      </c>
      <c r="T56" t="s">
        <v>202</v>
      </c>
      <c r="U56">
        <v>0.0030372911369865169</v>
      </c>
      <c r="V56" t="s">
        <v>153</v>
      </c>
      <c r="AC56" t="s">
        <v>19</v>
      </c>
      <c r="AD56" t="s">
        <v>202</v>
      </c>
      <c r="AE56">
        <v>0.0035623442662901725</v>
      </c>
      <c r="AK56">
        <v>2032</v>
      </c>
      <c r="AL56" t="s">
        <v>149</v>
      </c>
      <c r="AM56">
        <v>0.42699999999999999</v>
      </c>
      <c r="AN56" t="s">
        <v>195</v>
      </c>
    </row>
    <row r="57" spans="9:40" ht="14.25">
      <c r="I57" t="s">
        <v>165</v>
      </c>
      <c r="J57" t="s">
        <v>203</v>
      </c>
      <c r="K57">
        <v>0.0054620095599808372</v>
      </c>
      <c r="L57" t="s">
        <v>153</v>
      </c>
      <c r="N57" t="s">
        <v>175</v>
      </c>
      <c r="O57" t="s">
        <v>203</v>
      </c>
      <c r="P57">
        <v>0.0027294502447394436</v>
      </c>
      <c r="Q57" t="s">
        <v>153</v>
      </c>
      <c r="S57" t="s">
        <v>185</v>
      </c>
      <c r="T57" t="s">
        <v>203</v>
      </c>
      <c r="U57">
        <v>0.0030787076262631338</v>
      </c>
      <c r="V57" t="s">
        <v>153</v>
      </c>
      <c r="AC57" t="s">
        <v>19</v>
      </c>
      <c r="AD57" t="s">
        <v>203</v>
      </c>
      <c r="AE57">
        <v>0.0035694051420218109</v>
      </c>
      <c r="AK57">
        <v>2032</v>
      </c>
      <c r="AL57" t="s">
        <v>198</v>
      </c>
      <c r="AM57">
        <v>0.42699999999999999</v>
      </c>
      <c r="AN57" t="s">
        <v>195</v>
      </c>
    </row>
    <row r="58" spans="9:40" ht="14.25">
      <c r="I58" t="s">
        <v>165</v>
      </c>
      <c r="J58" t="s">
        <v>219</v>
      </c>
      <c r="K58">
        <v>7.4295217525200373E-05</v>
      </c>
      <c r="L58" t="s">
        <v>153</v>
      </c>
      <c r="N58" t="s">
        <v>175</v>
      </c>
      <c r="O58" t="s">
        <v>219</v>
      </c>
      <c r="P58">
        <v>0.020529855348918602</v>
      </c>
      <c r="Q58" t="s">
        <v>153</v>
      </c>
      <c r="S58" t="s">
        <v>185</v>
      </c>
      <c r="T58" t="s">
        <v>219</v>
      </c>
      <c r="U58">
        <v>0.019109938200925557</v>
      </c>
      <c r="V58" t="s">
        <v>153</v>
      </c>
      <c r="AC58" t="s">
        <v>19</v>
      </c>
      <c r="AD58" t="s">
        <v>219</v>
      </c>
      <c r="AE58">
        <v>0.021337928305959025</v>
      </c>
      <c r="AK58">
        <v>2032</v>
      </c>
      <c r="AL58" t="s">
        <v>216</v>
      </c>
      <c r="AM58">
        <v>0.46355000000000002</v>
      </c>
      <c r="AN58" t="s">
        <v>195</v>
      </c>
    </row>
    <row r="59" spans="9:40" ht="14.25">
      <c r="I59" t="s">
        <v>165</v>
      </c>
      <c r="J59" t="s">
        <v>159</v>
      </c>
      <c r="K59">
        <v>0</v>
      </c>
      <c r="L59" t="s">
        <v>153</v>
      </c>
      <c r="N59" t="s">
        <v>175</v>
      </c>
      <c r="O59" t="s">
        <v>159</v>
      </c>
      <c r="P59">
        <v>0.0084388206352944209</v>
      </c>
      <c r="Q59" t="s">
        <v>153</v>
      </c>
      <c r="S59" t="s">
        <v>185</v>
      </c>
      <c r="T59" t="s">
        <v>159</v>
      </c>
      <c r="U59">
        <v>0.0083640391461505294</v>
      </c>
      <c r="V59" t="s">
        <v>153</v>
      </c>
      <c r="AC59" t="s">
        <v>19</v>
      </c>
      <c r="AD59" t="s">
        <v>159</v>
      </c>
      <c r="AE59">
        <v>0.0039294361911891675</v>
      </c>
      <c r="AK59">
        <v>2033</v>
      </c>
      <c r="AL59" t="s">
        <v>141</v>
      </c>
      <c r="AM59">
        <v>0.41839999999999999</v>
      </c>
      <c r="AN59" t="s">
        <v>195</v>
      </c>
    </row>
    <row r="60" spans="9:40" ht="14.25">
      <c r="I60" t="s">
        <v>165</v>
      </c>
      <c r="J60" t="s">
        <v>160</v>
      </c>
      <c r="K60">
        <v>0.00057853488669095256</v>
      </c>
      <c r="L60" t="s">
        <v>153</v>
      </c>
      <c r="N60" t="s">
        <v>175</v>
      </c>
      <c r="O60" t="s">
        <v>160</v>
      </c>
      <c r="P60">
        <v>0.0012832463934063156</v>
      </c>
      <c r="Q60" t="s">
        <v>153</v>
      </c>
      <c r="S60" t="s">
        <v>185</v>
      </c>
      <c r="T60" t="s">
        <v>160</v>
      </c>
      <c r="U60">
        <v>0.0011869928848239641</v>
      </c>
      <c r="V60" t="s">
        <v>153</v>
      </c>
      <c r="AC60" t="s">
        <v>19</v>
      </c>
      <c r="AD60" t="s">
        <v>160</v>
      </c>
      <c r="AE60">
        <v>0.0005660452007507983</v>
      </c>
      <c r="AK60">
        <v>2033</v>
      </c>
      <c r="AL60" t="s">
        <v>145</v>
      </c>
      <c r="AM60">
        <v>0.45025000000000004</v>
      </c>
      <c r="AN60" t="s">
        <v>195</v>
      </c>
    </row>
    <row r="61" spans="9:40" ht="14.25">
      <c r="I61" t="s">
        <v>165</v>
      </c>
      <c r="J61" t="s">
        <v>161</v>
      </c>
      <c r="K61">
        <v>0.011204393696279739</v>
      </c>
      <c r="L61" t="s">
        <v>153</v>
      </c>
      <c r="N61" t="s">
        <v>175</v>
      </c>
      <c r="O61" t="s">
        <v>161</v>
      </c>
      <c r="P61">
        <v>0.0085512521203766883</v>
      </c>
      <c r="Q61" t="s">
        <v>153</v>
      </c>
      <c r="S61" t="s">
        <v>185</v>
      </c>
      <c r="T61" t="s">
        <v>161</v>
      </c>
      <c r="U61">
        <v>0.0084172899628977907</v>
      </c>
      <c r="V61" t="s">
        <v>153</v>
      </c>
      <c r="AC61" t="s">
        <v>19</v>
      </c>
      <c r="AD61" t="s">
        <v>161</v>
      </c>
      <c r="AE61">
        <v>0.0045796666331746087</v>
      </c>
      <c r="AK61">
        <v>2033</v>
      </c>
      <c r="AL61" t="s">
        <v>147</v>
      </c>
      <c r="AM61">
        <v>0.49170000000000003</v>
      </c>
      <c r="AN61" t="s">
        <v>195</v>
      </c>
    </row>
    <row r="62" spans="9:40" ht="14.25">
      <c r="I62" t="s">
        <v>165</v>
      </c>
      <c r="J62" t="s">
        <v>204</v>
      </c>
      <c r="K62">
        <v>0.0012017230957213944</v>
      </c>
      <c r="L62" t="s">
        <v>153</v>
      </c>
      <c r="N62" t="s">
        <v>175</v>
      </c>
      <c r="O62" t="s">
        <v>204</v>
      </c>
      <c r="P62">
        <v>0.0007974052025730015</v>
      </c>
      <c r="Q62" t="s">
        <v>153</v>
      </c>
      <c r="S62" t="s">
        <v>185</v>
      </c>
      <c r="T62" t="s">
        <v>204</v>
      </c>
      <c r="U62">
        <v>0.0010310545982818464</v>
      </c>
      <c r="V62" t="s">
        <v>153</v>
      </c>
      <c r="AC62" t="s">
        <v>19</v>
      </c>
      <c r="AD62" t="s">
        <v>204</v>
      </c>
      <c r="AE62">
        <v>0.00057345473779008168</v>
      </c>
      <c r="AK62">
        <v>2033</v>
      </c>
      <c r="AL62" t="s">
        <v>149</v>
      </c>
      <c r="AM62">
        <v>0.49170000000000003</v>
      </c>
      <c r="AN62" t="s">
        <v>195</v>
      </c>
    </row>
    <row r="63" spans="9:40" ht="14.25">
      <c r="I63" t="s">
        <v>165</v>
      </c>
      <c r="J63" t="s">
        <v>205</v>
      </c>
      <c r="K63">
        <v>0.00084061811600362739</v>
      </c>
      <c r="L63" t="s">
        <v>153</v>
      </c>
      <c r="N63" t="s">
        <v>175</v>
      </c>
      <c r="O63" t="s">
        <v>205</v>
      </c>
      <c r="P63">
        <v>0.00075022497470855428</v>
      </c>
      <c r="Q63" t="s">
        <v>153</v>
      </c>
      <c r="S63" t="s">
        <v>185</v>
      </c>
      <c r="T63" t="s">
        <v>205</v>
      </c>
      <c r="U63">
        <v>0.0010551404062830844</v>
      </c>
      <c r="V63" t="s">
        <v>153</v>
      </c>
      <c r="AC63" t="s">
        <v>19</v>
      </c>
      <c r="AD63" t="s">
        <v>205</v>
      </c>
      <c r="AE63">
        <v>0.00057462469017795887</v>
      </c>
      <c r="AK63">
        <v>2033</v>
      </c>
      <c r="AL63" t="s">
        <v>198</v>
      </c>
      <c r="AM63">
        <v>0.49170000000000003</v>
      </c>
      <c r="AN63" t="s">
        <v>195</v>
      </c>
    </row>
    <row r="64" spans="9:40" ht="14.25">
      <c r="I64" t="s">
        <v>165</v>
      </c>
      <c r="J64" t="s">
        <v>220</v>
      </c>
      <c r="K64">
        <v>0.00032486945302458923</v>
      </c>
      <c r="L64" t="s">
        <v>153</v>
      </c>
      <c r="N64" t="s">
        <v>175</v>
      </c>
      <c r="O64" t="s">
        <v>220</v>
      </c>
      <c r="P64">
        <v>0.0057772740734066182</v>
      </c>
      <c r="Q64" t="s">
        <v>153</v>
      </c>
      <c r="S64" t="s">
        <v>185</v>
      </c>
      <c r="T64" t="s">
        <v>220</v>
      </c>
      <c r="U64">
        <v>0.0076423743437399293</v>
      </c>
      <c r="V64" t="s">
        <v>153</v>
      </c>
      <c r="AC64" t="s">
        <v>19</v>
      </c>
      <c r="AD64" t="s">
        <v>220</v>
      </c>
      <c r="AE64">
        <v>0.003438468423514405</v>
      </c>
      <c r="AK64">
        <v>2033</v>
      </c>
      <c r="AL64" t="s">
        <v>216</v>
      </c>
      <c r="AM64">
        <v>0.46288000000000001</v>
      </c>
      <c r="AN64" t="s">
        <v>195</v>
      </c>
    </row>
    <row r="65" spans="9:40" ht="14.25">
      <c r="I65" t="s">
        <v>165</v>
      </c>
      <c r="J65" t="s">
        <v>162</v>
      </c>
      <c r="K65">
        <v>0</v>
      </c>
      <c r="L65" t="s">
        <v>153</v>
      </c>
      <c r="N65" t="s">
        <v>175</v>
      </c>
      <c r="O65" t="s">
        <v>162</v>
      </c>
      <c r="P65">
        <v>0.0098480370520020767</v>
      </c>
      <c r="Q65" t="s">
        <v>153</v>
      </c>
      <c r="S65" t="s">
        <v>185</v>
      </c>
      <c r="T65" t="s">
        <v>162</v>
      </c>
      <c r="U65">
        <v>0.0085666073143354417</v>
      </c>
      <c r="V65" t="s">
        <v>153</v>
      </c>
      <c r="AC65" t="s">
        <v>19</v>
      </c>
      <c r="AD65" t="s">
        <v>162</v>
      </c>
      <c r="AE65">
        <v>0.0078619580349509974</v>
      </c>
      <c r="AK65">
        <v>2034</v>
      </c>
      <c r="AL65" t="s">
        <v>141</v>
      </c>
      <c r="AM65">
        <v>0.38305</v>
      </c>
      <c r="AN65" t="s">
        <v>195</v>
      </c>
    </row>
    <row r="66" spans="9:40" ht="14.25">
      <c r="I66" t="s">
        <v>165</v>
      </c>
      <c r="J66" t="s">
        <v>163</v>
      </c>
      <c r="K66">
        <v>0.0013269075954664368</v>
      </c>
      <c r="L66" t="s">
        <v>153</v>
      </c>
      <c r="N66" t="s">
        <v>175</v>
      </c>
      <c r="O66" t="s">
        <v>163</v>
      </c>
      <c r="P66">
        <v>0.0015075127069314356</v>
      </c>
      <c r="Q66" t="s">
        <v>153</v>
      </c>
      <c r="S66" t="s">
        <v>185</v>
      </c>
      <c r="T66" t="s">
        <v>163</v>
      </c>
      <c r="U66">
        <v>0.001178843158215045</v>
      </c>
      <c r="V66" t="s">
        <v>153</v>
      </c>
      <c r="AC66" t="s">
        <v>19</v>
      </c>
      <c r="AD66" t="s">
        <v>163</v>
      </c>
      <c r="AE66">
        <v>0.00113506080214201</v>
      </c>
      <c r="AK66">
        <v>2034</v>
      </c>
      <c r="AL66" t="s">
        <v>145</v>
      </c>
      <c r="AM66">
        <v>0.36754999999999999</v>
      </c>
      <c r="AN66" t="s">
        <v>195</v>
      </c>
    </row>
    <row r="67" spans="9:40" ht="14.25">
      <c r="I67" t="s">
        <v>165</v>
      </c>
      <c r="J67" t="s">
        <v>164</v>
      </c>
      <c r="K67">
        <v>0.023907470946049544</v>
      </c>
      <c r="L67" t="s">
        <v>153</v>
      </c>
      <c r="N67" t="s">
        <v>175</v>
      </c>
      <c r="O67" t="s">
        <v>164</v>
      </c>
      <c r="P67">
        <v>0.010590886824579173</v>
      </c>
      <c r="Q67" t="s">
        <v>153</v>
      </c>
      <c r="S67" t="s">
        <v>185</v>
      </c>
      <c r="T67" t="s">
        <v>164</v>
      </c>
      <c r="U67">
        <v>0.0097153757986410353</v>
      </c>
      <c r="V67" t="s">
        <v>153</v>
      </c>
      <c r="AC67" t="s">
        <v>19</v>
      </c>
      <c r="AD67" t="s">
        <v>164</v>
      </c>
      <c r="AE67">
        <v>0.0091926522125610911</v>
      </c>
      <c r="AK67">
        <v>2034</v>
      </c>
      <c r="AL67" t="s">
        <v>147</v>
      </c>
      <c r="AM67">
        <v>0.36149999999999999</v>
      </c>
      <c r="AN67" t="s">
        <v>195</v>
      </c>
    </row>
    <row r="68" spans="9:40" ht="14.25">
      <c r="I68" t="s">
        <v>165</v>
      </c>
      <c r="J68" t="s">
        <v>206</v>
      </c>
      <c r="K68">
        <v>0.0026084398641549999</v>
      </c>
      <c r="L68" t="s">
        <v>153</v>
      </c>
      <c r="N68" t="s">
        <v>175</v>
      </c>
      <c r="O68" t="s">
        <v>206</v>
      </c>
      <c r="P68">
        <v>0.0017687332482659297</v>
      </c>
      <c r="Q68" t="s">
        <v>153</v>
      </c>
      <c r="S68" t="s">
        <v>185</v>
      </c>
      <c r="T68" t="s">
        <v>206</v>
      </c>
      <c r="U68">
        <v>0.001231451107517909</v>
      </c>
      <c r="V68" t="s">
        <v>153</v>
      </c>
      <c r="AC68" t="s">
        <v>19</v>
      </c>
      <c r="AD68" t="s">
        <v>206</v>
      </c>
      <c r="AE68">
        <v>0.0011517418244537669</v>
      </c>
      <c r="AK68">
        <v>2034</v>
      </c>
      <c r="AL68" t="s">
        <v>149</v>
      </c>
      <c r="AM68">
        <v>0.36149999999999999</v>
      </c>
      <c r="AN68" t="s">
        <v>195</v>
      </c>
    </row>
    <row r="69" spans="9:40" ht="14.25">
      <c r="I69" t="s">
        <v>165</v>
      </c>
      <c r="J69" t="s">
        <v>207</v>
      </c>
      <c r="K69">
        <v>0.0018003614043453965</v>
      </c>
      <c r="L69" t="s">
        <v>153</v>
      </c>
      <c r="N69" t="s">
        <v>175</v>
      </c>
      <c r="O69" t="s">
        <v>207</v>
      </c>
      <c r="P69">
        <v>0.0017581719392896151</v>
      </c>
      <c r="Q69" t="s">
        <v>153</v>
      </c>
      <c r="S69" t="s">
        <v>185</v>
      </c>
      <c r="T69" t="s">
        <v>207</v>
      </c>
      <c r="U69">
        <v>0.0012930796224281255</v>
      </c>
      <c r="V69" t="s">
        <v>153</v>
      </c>
      <c r="AC69" t="s">
        <v>19</v>
      </c>
      <c r="AD69" t="s">
        <v>207</v>
      </c>
      <c r="AE69">
        <v>0.0011537548592536037</v>
      </c>
      <c r="AK69">
        <v>2034</v>
      </c>
      <c r="AL69" t="s">
        <v>198</v>
      </c>
      <c r="AM69">
        <v>0.36149999999999999</v>
      </c>
      <c r="AN69" t="s">
        <v>195</v>
      </c>
    </row>
    <row r="70" spans="9:40" ht="14.25">
      <c r="I70" t="s">
        <v>165</v>
      </c>
      <c r="J70" t="s">
        <v>221</v>
      </c>
      <c r="K70">
        <v>0.00088968186120512872</v>
      </c>
      <c r="L70" t="s">
        <v>153</v>
      </c>
      <c r="N70" t="s">
        <v>175</v>
      </c>
      <c r="O70" t="s">
        <v>221</v>
      </c>
      <c r="P70">
        <v>0.010367613848508133</v>
      </c>
      <c r="Q70" t="s">
        <v>153</v>
      </c>
      <c r="S70" t="s">
        <v>185</v>
      </c>
      <c r="T70" t="s">
        <v>221</v>
      </c>
      <c r="U70">
        <v>0.008890228777007422</v>
      </c>
      <c r="V70" t="s">
        <v>153</v>
      </c>
      <c r="AC70" t="s">
        <v>19</v>
      </c>
      <c r="AD70" t="s">
        <v>221</v>
      </c>
      <c r="AE70">
        <v>0.0068937432905609572</v>
      </c>
      <c r="AK70">
        <v>2034</v>
      </c>
      <c r="AL70" t="s">
        <v>216</v>
      </c>
      <c r="AM70">
        <v>0.39923000000000003</v>
      </c>
      <c r="AN70" t="s">
        <v>195</v>
      </c>
    </row>
    <row r="71" spans="9:40" ht="14.25">
      <c r="I71" t="s">
        <v>165</v>
      </c>
      <c r="J71" t="s">
        <v>208</v>
      </c>
      <c r="K71">
        <v>0</v>
      </c>
      <c r="L71" t="s">
        <v>153</v>
      </c>
      <c r="N71" t="s">
        <v>175</v>
      </c>
      <c r="O71" t="s">
        <v>208</v>
      </c>
      <c r="P71">
        <v>0.0035184950744195616</v>
      </c>
      <c r="Q71" t="s">
        <v>153</v>
      </c>
      <c r="S71" t="s">
        <v>185</v>
      </c>
      <c r="T71" t="s">
        <v>208</v>
      </c>
      <c r="U71">
        <v>0.0047234850363887231</v>
      </c>
      <c r="V71" t="s">
        <v>153</v>
      </c>
      <c r="AC71" t="s">
        <v>19</v>
      </c>
      <c r="AD71" t="s">
        <v>208</v>
      </c>
      <c r="AE71">
        <v>0.0039295427265887252</v>
      </c>
      <c r="AK71">
        <v>2035</v>
      </c>
      <c r="AL71" t="s">
        <v>141</v>
      </c>
      <c r="AM71">
        <v>0.33030000000000004</v>
      </c>
      <c r="AN71" t="s">
        <v>195</v>
      </c>
    </row>
    <row r="72" spans="9:40" ht="14.25">
      <c r="I72" t="s">
        <v>165</v>
      </c>
      <c r="J72" t="s">
        <v>209</v>
      </c>
      <c r="K72">
        <v>0.00046566878571141496</v>
      </c>
      <c r="L72" t="s">
        <v>153</v>
      </c>
      <c r="N72" t="s">
        <v>175</v>
      </c>
      <c r="O72" t="s">
        <v>209</v>
      </c>
      <c r="P72">
        <v>0.00061450226448089699</v>
      </c>
      <c r="Q72" t="s">
        <v>153</v>
      </c>
      <c r="S72" t="s">
        <v>185</v>
      </c>
      <c r="T72" t="s">
        <v>209</v>
      </c>
      <c r="U72">
        <v>0.00096567166253647705</v>
      </c>
      <c r="V72" t="s">
        <v>153</v>
      </c>
      <c r="AC72" t="s">
        <v>19</v>
      </c>
      <c r="AD72" t="s">
        <v>209</v>
      </c>
      <c r="AE72">
        <v>0.00056604810626169539</v>
      </c>
      <c r="AK72">
        <v>2035</v>
      </c>
      <c r="AL72" t="s">
        <v>145</v>
      </c>
      <c r="AM72">
        <v>0.38490000000000002</v>
      </c>
      <c r="AN72" t="s">
        <v>195</v>
      </c>
    </row>
    <row r="73" spans="9:40" ht="14.25">
      <c r="I73" t="s">
        <v>165</v>
      </c>
      <c r="J73" t="s">
        <v>210</v>
      </c>
      <c r="K73">
        <v>0.010459549478115809</v>
      </c>
      <c r="L73" t="s">
        <v>153</v>
      </c>
      <c r="N73" t="s">
        <v>175</v>
      </c>
      <c r="O73" t="s">
        <v>210</v>
      </c>
      <c r="P73">
        <v>0.0035073586497505688</v>
      </c>
      <c r="Q73" t="s">
        <v>153</v>
      </c>
      <c r="S73" t="s">
        <v>185</v>
      </c>
      <c r="T73" t="s">
        <v>210</v>
      </c>
      <c r="U73">
        <v>0.0070866405918694709</v>
      </c>
      <c r="V73" t="s">
        <v>153</v>
      </c>
      <c r="AC73" t="s">
        <v>19</v>
      </c>
      <c r="AD73" t="s">
        <v>210</v>
      </c>
      <c r="AE73">
        <v>0.004579601743431241</v>
      </c>
      <c r="AK73">
        <v>2035</v>
      </c>
      <c r="AL73" t="s">
        <v>147</v>
      </c>
      <c r="AM73">
        <v>0.43259999999999998</v>
      </c>
      <c r="AN73" t="s">
        <v>195</v>
      </c>
    </row>
    <row r="74" spans="9:40" ht="14.25">
      <c r="I74" t="s">
        <v>165</v>
      </c>
      <c r="J74" t="s">
        <v>211</v>
      </c>
      <c r="K74">
        <v>0.0011495862338769432</v>
      </c>
      <c r="L74" t="s">
        <v>153</v>
      </c>
      <c r="N74" t="s">
        <v>175</v>
      </c>
      <c r="O74" t="s">
        <v>211</v>
      </c>
      <c r="P74">
        <v>0.00071912938100795651</v>
      </c>
      <c r="Q74" t="s">
        <v>153</v>
      </c>
      <c r="S74" t="s">
        <v>185</v>
      </c>
      <c r="T74" t="s">
        <v>211</v>
      </c>
      <c r="U74">
        <v>0.00063768362510061081</v>
      </c>
      <c r="V74" t="s">
        <v>153</v>
      </c>
      <c r="AC74" t="s">
        <v>19</v>
      </c>
      <c r="AD74" t="s">
        <v>211</v>
      </c>
      <c r="AE74">
        <v>0.00057358548578044879</v>
      </c>
      <c r="AK74">
        <v>2035</v>
      </c>
      <c r="AL74" t="s">
        <v>149</v>
      </c>
      <c r="AM74">
        <v>0.43259999999999998</v>
      </c>
      <c r="AN74" t="s">
        <v>195</v>
      </c>
    </row>
    <row r="75" spans="9:40" ht="14.25">
      <c r="I75" t="s">
        <v>165</v>
      </c>
      <c r="J75" t="s">
        <v>212</v>
      </c>
      <c r="K75">
        <v>0.00078430919640836002</v>
      </c>
      <c r="L75" t="s">
        <v>153</v>
      </c>
      <c r="N75" t="s">
        <v>175</v>
      </c>
      <c r="O75" t="s">
        <v>212</v>
      </c>
      <c r="P75">
        <v>0.00070367256789129835</v>
      </c>
      <c r="Q75" t="s">
        <v>153</v>
      </c>
      <c r="S75" t="s">
        <v>185</v>
      </c>
      <c r="T75" t="s">
        <v>212</v>
      </c>
      <c r="U75">
        <v>0.00067307298359109511</v>
      </c>
      <c r="V75" t="s">
        <v>153</v>
      </c>
      <c r="AC75" t="s">
        <v>19</v>
      </c>
      <c r="AD75" t="s">
        <v>212</v>
      </c>
      <c r="AE75">
        <v>0.00057407603287023341</v>
      </c>
      <c r="AK75">
        <v>2035</v>
      </c>
      <c r="AL75" t="s">
        <v>198</v>
      </c>
      <c r="AM75">
        <v>0.43259999999999998</v>
      </c>
      <c r="AN75" t="s">
        <v>195</v>
      </c>
    </row>
    <row r="76" spans="9:40" ht="14.25">
      <c r="I76" t="s">
        <v>165</v>
      </c>
      <c r="J76" t="s">
        <v>222</v>
      </c>
      <c r="K76">
        <v>0.00035126497405937922</v>
      </c>
      <c r="L76" t="s">
        <v>153</v>
      </c>
      <c r="N76" t="s">
        <v>175</v>
      </c>
      <c r="O76" t="s">
        <v>222</v>
      </c>
      <c r="P76">
        <v>0.0035762341623198396</v>
      </c>
      <c r="Q76" t="s">
        <v>153</v>
      </c>
      <c r="S76" t="s">
        <v>185</v>
      </c>
      <c r="T76" t="s">
        <v>222</v>
      </c>
      <c r="U76">
        <v>0.0049668245105186342</v>
      </c>
      <c r="V76" t="s">
        <v>153</v>
      </c>
      <c r="AC76" t="s">
        <v>19</v>
      </c>
      <c r="AD76" t="s">
        <v>222</v>
      </c>
      <c r="AE76">
        <v>0.003437656817470497</v>
      </c>
      <c r="AK76">
        <v>2035</v>
      </c>
      <c r="AL76" t="s">
        <v>216</v>
      </c>
      <c r="AM76">
        <v>0.41254000000000002</v>
      </c>
      <c r="AN76" t="s">
        <v>195</v>
      </c>
    </row>
    <row r="77" spans="9:40" ht="14.25">
      <c r="I77" t="s">
        <v>165</v>
      </c>
      <c r="J77" t="s">
        <v>223</v>
      </c>
      <c r="K77">
        <v>0.010203391561538327</v>
      </c>
      <c r="L77" t="s">
        <v>153</v>
      </c>
      <c r="N77" t="s">
        <v>175</v>
      </c>
      <c r="O77" t="s">
        <v>223</v>
      </c>
      <c r="P77">
        <v>0.19838186423347379</v>
      </c>
      <c r="Q77" t="s">
        <v>153</v>
      </c>
      <c r="S77" t="s">
        <v>185</v>
      </c>
      <c r="T77" t="s">
        <v>223</v>
      </c>
      <c r="U77">
        <v>0.23026150163583414</v>
      </c>
      <c r="V77" t="s">
        <v>153</v>
      </c>
      <c r="AC77" t="s">
        <v>19</v>
      </c>
      <c r="AD77" t="s">
        <v>223</v>
      </c>
      <c r="AE77">
        <v>0.22176901676292043</v>
      </c>
      <c r="AK77">
        <v>2036</v>
      </c>
      <c r="AL77" t="s">
        <v>141</v>
      </c>
      <c r="AM77">
        <v>0.29039999999999999</v>
      </c>
      <c r="AN77" t="s">
        <v>195</v>
      </c>
    </row>
    <row r="78" spans="9:40" ht="14.25">
      <c r="I78" t="s">
        <v>165</v>
      </c>
      <c r="J78" t="s">
        <v>224</v>
      </c>
      <c r="K78">
        <v>0.039466793190490401</v>
      </c>
      <c r="L78" t="s">
        <v>153</v>
      </c>
      <c r="N78" t="s">
        <v>175</v>
      </c>
      <c r="O78" t="s">
        <v>224</v>
      </c>
      <c r="P78">
        <v>0.028538751498336137</v>
      </c>
      <c r="Q78" t="s">
        <v>153</v>
      </c>
      <c r="S78" t="s">
        <v>185</v>
      </c>
      <c r="T78" t="s">
        <v>224</v>
      </c>
      <c r="U78">
        <v>0.031072918100871094</v>
      </c>
      <c r="V78" t="s">
        <v>153</v>
      </c>
      <c r="AC78" t="s">
        <v>19</v>
      </c>
      <c r="AD78" t="s">
        <v>224</v>
      </c>
      <c r="AE78">
        <v>0.031759126469205173</v>
      </c>
      <c r="AK78">
        <v>2036</v>
      </c>
      <c r="AL78" t="s">
        <v>145</v>
      </c>
      <c r="AM78">
        <v>0.31884999999999997</v>
      </c>
      <c r="AN78" t="s">
        <v>195</v>
      </c>
    </row>
    <row r="79" spans="9:40" ht="14.25">
      <c r="I79" t="s">
        <v>165</v>
      </c>
      <c r="J79" t="s">
        <v>225</v>
      </c>
      <c r="K79">
        <v>0.60828155378123161</v>
      </c>
      <c r="L79" t="s">
        <v>153</v>
      </c>
      <c r="N79" t="s">
        <v>175</v>
      </c>
      <c r="O79" t="s">
        <v>225</v>
      </c>
      <c r="P79">
        <v>0.23768816037933552</v>
      </c>
      <c r="Q79" t="s">
        <v>153</v>
      </c>
      <c r="S79" t="s">
        <v>185</v>
      </c>
      <c r="T79" t="s">
        <v>225</v>
      </c>
      <c r="U79">
        <v>0.21703533293281679</v>
      </c>
      <c r="V79" t="s">
        <v>153</v>
      </c>
      <c r="AC79" t="s">
        <v>19</v>
      </c>
      <c r="AD79" t="s">
        <v>225</v>
      </c>
      <c r="AE79">
        <v>0.25832518143179745</v>
      </c>
      <c r="AK79">
        <v>2036</v>
      </c>
      <c r="AL79" t="s">
        <v>147</v>
      </c>
      <c r="AM79">
        <v>0.34060000000000001</v>
      </c>
      <c r="AN79" t="s">
        <v>195</v>
      </c>
    </row>
    <row r="80" spans="9:40" ht="14.25">
      <c r="I80" t="s">
        <v>165</v>
      </c>
      <c r="J80" t="s">
        <v>226</v>
      </c>
      <c r="K80">
        <v>0.060134100054944226</v>
      </c>
      <c r="L80" t="s">
        <v>153</v>
      </c>
      <c r="N80" t="s">
        <v>175</v>
      </c>
      <c r="O80" t="s">
        <v>226</v>
      </c>
      <c r="P80">
        <v>0.038259126935702992</v>
      </c>
      <c r="Q80" t="s">
        <v>153</v>
      </c>
      <c r="S80" t="s">
        <v>185</v>
      </c>
      <c r="T80" t="s">
        <v>226</v>
      </c>
      <c r="U80">
        <v>0.027909044725051742</v>
      </c>
      <c r="V80" t="s">
        <v>153</v>
      </c>
      <c r="AC80" t="s">
        <v>19</v>
      </c>
      <c r="AD80" t="s">
        <v>226</v>
      </c>
      <c r="AE80">
        <v>0.03235529275411192</v>
      </c>
      <c r="AK80">
        <v>2036</v>
      </c>
      <c r="AL80" t="s">
        <v>149</v>
      </c>
      <c r="AM80">
        <v>0.34060000000000001</v>
      </c>
      <c r="AN80" t="s">
        <v>195</v>
      </c>
    </row>
    <row r="81" spans="9:40" ht="14.25">
      <c r="I81" t="s">
        <v>165</v>
      </c>
      <c r="J81" t="s">
        <v>227</v>
      </c>
      <c r="K81">
        <v>0.040141184167628165</v>
      </c>
      <c r="L81" t="s">
        <v>153</v>
      </c>
      <c r="N81" t="s">
        <v>175</v>
      </c>
      <c r="O81" t="s">
        <v>227</v>
      </c>
      <c r="P81">
        <v>0.037990729237897702</v>
      </c>
      <c r="Q81" t="s">
        <v>153</v>
      </c>
      <c r="S81" t="s">
        <v>185</v>
      </c>
      <c r="T81" t="s">
        <v>227</v>
      </c>
      <c r="U81">
        <v>0.029747154516709309</v>
      </c>
      <c r="V81" t="s">
        <v>153</v>
      </c>
      <c r="AC81" t="s">
        <v>19</v>
      </c>
      <c r="AD81" t="s">
        <v>227</v>
      </c>
      <c r="AE81">
        <v>0.032367550136082918</v>
      </c>
      <c r="AK81">
        <v>2036</v>
      </c>
      <c r="AL81" t="s">
        <v>198</v>
      </c>
      <c r="AM81">
        <v>0.34060000000000001</v>
      </c>
      <c r="AN81" t="s">
        <v>195</v>
      </c>
    </row>
    <row r="82" spans="9:40" ht="14.25">
      <c r="I82" t="s">
        <v>165</v>
      </c>
      <c r="J82" t="s">
        <v>228</v>
      </c>
      <c r="K82">
        <v>0.012234674454072652</v>
      </c>
      <c r="L82" t="s">
        <v>153</v>
      </c>
      <c r="N82" t="s">
        <v>175</v>
      </c>
      <c r="O82" t="s">
        <v>228</v>
      </c>
      <c r="P82">
        <v>0.20078536231937069</v>
      </c>
      <c r="Q82" t="s">
        <v>153</v>
      </c>
      <c r="S82" t="s">
        <v>185</v>
      </c>
      <c r="T82" t="s">
        <v>228</v>
      </c>
      <c r="U82">
        <v>0.19689552867745097</v>
      </c>
      <c r="V82" t="s">
        <v>153</v>
      </c>
      <c r="AC82" t="s">
        <v>19</v>
      </c>
      <c r="AD82" t="s">
        <v>228</v>
      </c>
      <c r="AE82">
        <v>0.1936858337239992</v>
      </c>
      <c r="AK82">
        <v>2036</v>
      </c>
      <c r="AL82" t="s">
        <v>216</v>
      </c>
      <c r="AM82">
        <v>0.35313999999999995</v>
      </c>
      <c r="AN82" t="s">
        <v>195</v>
      </c>
    </row>
    <row r="83" spans="9:40" ht="14.25">
      <c r="I83" t="s">
        <v>166</v>
      </c>
      <c r="J83" t="s">
        <v>152</v>
      </c>
      <c r="K83">
        <v>0</v>
      </c>
      <c r="L83" t="s">
        <v>153</v>
      </c>
      <c r="N83" t="s">
        <v>176</v>
      </c>
      <c r="O83" t="s">
        <v>152</v>
      </c>
      <c r="P83">
        <v>0.035469056665774192</v>
      </c>
      <c r="Q83" t="s">
        <v>153</v>
      </c>
      <c r="AK83">
        <v>2037</v>
      </c>
      <c r="AL83" t="s">
        <v>141</v>
      </c>
      <c r="AM83">
        <v>0.31469999999999998</v>
      </c>
      <c r="AN83" t="s">
        <v>195</v>
      </c>
    </row>
    <row r="84" spans="9:40" ht="14.25">
      <c r="I84" t="s">
        <v>166</v>
      </c>
      <c r="J84" t="s">
        <v>154</v>
      </c>
      <c r="K84">
        <v>0.0033382378989554873</v>
      </c>
      <c r="L84" t="s">
        <v>153</v>
      </c>
      <c r="N84" t="s">
        <v>176</v>
      </c>
      <c r="O84" t="s">
        <v>154</v>
      </c>
      <c r="P84">
        <v>0.0048406263757702801</v>
      </c>
      <c r="Q84" t="s">
        <v>153</v>
      </c>
      <c r="AK84">
        <v>2037</v>
      </c>
      <c r="AL84" t="s">
        <v>145</v>
      </c>
      <c r="AM84">
        <v>0.31910000000000005</v>
      </c>
      <c r="AN84" t="s">
        <v>195</v>
      </c>
    </row>
    <row r="85" spans="9:40" ht="14.25">
      <c r="I85" t="s">
        <v>166</v>
      </c>
      <c r="J85" t="s">
        <v>155</v>
      </c>
      <c r="K85">
        <v>0.068555944292644083</v>
      </c>
      <c r="L85" t="s">
        <v>153</v>
      </c>
      <c r="N85" t="s">
        <v>176</v>
      </c>
      <c r="O85" t="s">
        <v>155</v>
      </c>
      <c r="P85">
        <v>0.031621922025132247</v>
      </c>
      <c r="Q85" t="s">
        <v>153</v>
      </c>
      <c r="AK85">
        <v>2037</v>
      </c>
      <c r="AL85" t="s">
        <v>147</v>
      </c>
      <c r="AM85">
        <v>0.33400000000000002</v>
      </c>
      <c r="AN85" t="s">
        <v>195</v>
      </c>
    </row>
    <row r="86" spans="9:40" ht="14.25">
      <c r="I86" t="s">
        <v>166</v>
      </c>
      <c r="J86" t="s">
        <v>200</v>
      </c>
      <c r="K86">
        <v>0.0071574296979274622</v>
      </c>
      <c r="L86" t="s">
        <v>153</v>
      </c>
      <c r="N86" t="s">
        <v>176</v>
      </c>
      <c r="O86" t="s">
        <v>200</v>
      </c>
      <c r="P86">
        <v>0.0037025107494087213</v>
      </c>
      <c r="Q86" t="s">
        <v>153</v>
      </c>
      <c r="AK86">
        <v>2037</v>
      </c>
      <c r="AL86" t="s">
        <v>149</v>
      </c>
      <c r="AM86">
        <v>0.33400000000000002</v>
      </c>
      <c r="AN86" t="s">
        <v>195</v>
      </c>
    </row>
    <row r="87" spans="9:40" ht="14.25">
      <c r="I87" t="s">
        <v>166</v>
      </c>
      <c r="J87" t="s">
        <v>201</v>
      </c>
      <c r="K87">
        <v>0.0040033507000183793</v>
      </c>
      <c r="L87" t="s">
        <v>153</v>
      </c>
      <c r="N87" t="s">
        <v>176</v>
      </c>
      <c r="O87" t="s">
        <v>201</v>
      </c>
      <c r="P87">
        <v>0.0037470631886222152</v>
      </c>
      <c r="Q87" t="s">
        <v>153</v>
      </c>
      <c r="AK87">
        <v>2037</v>
      </c>
      <c r="AL87" t="s">
        <v>198</v>
      </c>
      <c r="AM87">
        <v>0.33400000000000002</v>
      </c>
      <c r="AN87" t="s">
        <v>195</v>
      </c>
    </row>
    <row r="88" spans="9:40" ht="14.25">
      <c r="I88" t="s">
        <v>166</v>
      </c>
      <c r="J88" t="s">
        <v>218</v>
      </c>
      <c r="K88">
        <v>0</v>
      </c>
      <c r="L88" t="s">
        <v>153</v>
      </c>
      <c r="N88" t="s">
        <v>176</v>
      </c>
      <c r="O88" t="s">
        <v>218</v>
      </c>
      <c r="P88">
        <v>0.02841200102809013</v>
      </c>
      <c r="Q88" t="s">
        <v>153</v>
      </c>
      <c r="AK88">
        <v>2037</v>
      </c>
      <c r="AL88" t="s">
        <v>216</v>
      </c>
      <c r="AM88">
        <v>0.35717999999999994</v>
      </c>
      <c r="AN88" t="s">
        <v>195</v>
      </c>
    </row>
    <row r="89" spans="9:40" ht="14.25">
      <c r="I89" t="s">
        <v>166</v>
      </c>
      <c r="J89" t="s">
        <v>156</v>
      </c>
      <c r="K89">
        <v>0</v>
      </c>
      <c r="L89" t="s">
        <v>153</v>
      </c>
      <c r="N89" t="s">
        <v>176</v>
      </c>
      <c r="O89" t="s">
        <v>156</v>
      </c>
      <c r="P89">
        <v>0.023940082991436625</v>
      </c>
      <c r="Q89" t="s">
        <v>153</v>
      </c>
      <c r="AK89">
        <v>2038</v>
      </c>
      <c r="AL89" t="s">
        <v>141</v>
      </c>
      <c r="AM89">
        <v>0.32955000000000001</v>
      </c>
      <c r="AN89" t="s">
        <v>195</v>
      </c>
    </row>
    <row r="90" spans="9:40" ht="14.25">
      <c r="I90" t="s">
        <v>166</v>
      </c>
      <c r="J90" t="s">
        <v>157</v>
      </c>
      <c r="K90">
        <v>0.0035718007330597075</v>
      </c>
      <c r="L90" t="s">
        <v>153</v>
      </c>
      <c r="N90" t="s">
        <v>176</v>
      </c>
      <c r="O90" t="s">
        <v>157</v>
      </c>
      <c r="P90">
        <v>0.0036061111221900345</v>
      </c>
      <c r="Q90" t="s">
        <v>153</v>
      </c>
      <c r="AK90">
        <v>2038</v>
      </c>
      <c r="AL90" t="s">
        <v>145</v>
      </c>
      <c r="AM90">
        <v>0.34384999999999999</v>
      </c>
      <c r="AN90" t="s">
        <v>195</v>
      </c>
    </row>
    <row r="91" spans="9:40" ht="14.25">
      <c r="I91" t="s">
        <v>166</v>
      </c>
      <c r="J91" t="s">
        <v>158</v>
      </c>
      <c r="K91">
        <v>0.072467416592489745</v>
      </c>
      <c r="L91" t="s">
        <v>153</v>
      </c>
      <c r="N91" t="s">
        <v>176</v>
      </c>
      <c r="O91" t="s">
        <v>158</v>
      </c>
      <c r="P91">
        <v>0.02025388567904747</v>
      </c>
      <c r="Q91" t="s">
        <v>153</v>
      </c>
      <c r="AK91">
        <v>2038</v>
      </c>
      <c r="AL91" t="s">
        <v>147</v>
      </c>
      <c r="AM91">
        <v>0.35580000000000001</v>
      </c>
      <c r="AN91" t="s">
        <v>195</v>
      </c>
    </row>
    <row r="92" spans="9:40" ht="14.25">
      <c r="I92" t="s">
        <v>166</v>
      </c>
      <c r="J92" t="s">
        <v>202</v>
      </c>
      <c r="K92">
        <v>0.0081378294311025764</v>
      </c>
      <c r="L92" t="s">
        <v>153</v>
      </c>
      <c r="N92" t="s">
        <v>176</v>
      </c>
      <c r="O92" t="s">
        <v>202</v>
      </c>
      <c r="P92">
        <v>0.0024889559253847464</v>
      </c>
      <c r="Q92" t="s">
        <v>153</v>
      </c>
      <c r="AK92">
        <v>2038</v>
      </c>
      <c r="AL92" t="s">
        <v>149</v>
      </c>
      <c r="AM92">
        <v>0.35580000000000001</v>
      </c>
      <c r="AN92" t="s">
        <v>195</v>
      </c>
    </row>
    <row r="93" spans="9:40" ht="14.25">
      <c r="I93" t="s">
        <v>166</v>
      </c>
      <c r="J93" t="s">
        <v>203</v>
      </c>
      <c r="K93">
        <v>0.0052195077436751032</v>
      </c>
      <c r="L93" t="s">
        <v>153</v>
      </c>
      <c r="N93" t="s">
        <v>176</v>
      </c>
      <c r="O93" t="s">
        <v>203</v>
      </c>
      <c r="P93">
        <v>0.0025090421607262318</v>
      </c>
      <c r="Q93" t="s">
        <v>153</v>
      </c>
      <c r="AK93">
        <v>2038</v>
      </c>
      <c r="AL93" t="s">
        <v>198</v>
      </c>
      <c r="AM93">
        <v>0.35580000000000001</v>
      </c>
      <c r="AN93" t="s">
        <v>195</v>
      </c>
    </row>
    <row r="94" spans="9:40" ht="14.25">
      <c r="I94" t="s">
        <v>166</v>
      </c>
      <c r="J94" t="s">
        <v>219</v>
      </c>
      <c r="K94">
        <v>0</v>
      </c>
      <c r="L94" t="s">
        <v>153</v>
      </c>
      <c r="N94" t="s">
        <v>176</v>
      </c>
      <c r="O94" t="s">
        <v>219</v>
      </c>
      <c r="P94">
        <v>0.020512423047246677</v>
      </c>
      <c r="Q94" t="s">
        <v>153</v>
      </c>
      <c r="AK94">
        <v>2038</v>
      </c>
      <c r="AL94" t="s">
        <v>216</v>
      </c>
      <c r="AM94">
        <v>0.34992000000000001</v>
      </c>
      <c r="AN94" t="s">
        <v>195</v>
      </c>
    </row>
    <row r="95" spans="9:40" ht="14.25">
      <c r="I95" t="s">
        <v>166</v>
      </c>
      <c r="J95" t="s">
        <v>159</v>
      </c>
      <c r="K95">
        <v>0</v>
      </c>
      <c r="L95" t="s">
        <v>153</v>
      </c>
      <c r="N95" t="s">
        <v>176</v>
      </c>
      <c r="O95" t="s">
        <v>159</v>
      </c>
      <c r="P95">
        <v>0.0079168332745121976</v>
      </c>
      <c r="Q95" t="s">
        <v>153</v>
      </c>
      <c r="AK95">
        <v>2039</v>
      </c>
      <c r="AL95" t="s">
        <v>141</v>
      </c>
      <c r="AM95">
        <v>0.30184999999999995</v>
      </c>
      <c r="AN95" t="s">
        <v>195</v>
      </c>
    </row>
    <row r="96" spans="9:40" ht="14.25">
      <c r="I96" t="s">
        <v>166</v>
      </c>
      <c r="J96" t="s">
        <v>160</v>
      </c>
      <c r="K96">
        <v>0.00073609849614422469</v>
      </c>
      <c r="L96" t="s">
        <v>153</v>
      </c>
      <c r="N96" t="s">
        <v>176</v>
      </c>
      <c r="O96" t="s">
        <v>160</v>
      </c>
      <c r="P96">
        <v>0.00092873580828644524</v>
      </c>
      <c r="Q96" t="s">
        <v>153</v>
      </c>
      <c r="AK96">
        <v>2039</v>
      </c>
      <c r="AL96" t="s">
        <v>145</v>
      </c>
      <c r="AM96">
        <v>0.30669999999999997</v>
      </c>
      <c r="AN96" t="s">
        <v>195</v>
      </c>
    </row>
    <row r="97" spans="9:40" ht="14.25">
      <c r="I97" t="s">
        <v>166</v>
      </c>
      <c r="J97" t="s">
        <v>161</v>
      </c>
      <c r="K97">
        <v>0.011888508423588681</v>
      </c>
      <c r="L97" t="s">
        <v>153</v>
      </c>
      <c r="N97" t="s">
        <v>176</v>
      </c>
      <c r="O97" t="s">
        <v>161</v>
      </c>
      <c r="P97">
        <v>0.0056523518102568303</v>
      </c>
      <c r="Q97" t="s">
        <v>153</v>
      </c>
      <c r="AK97">
        <v>2039</v>
      </c>
      <c r="AL97" t="s">
        <v>147</v>
      </c>
      <c r="AM97">
        <v>0.31640000000000001</v>
      </c>
      <c r="AN97" t="s">
        <v>195</v>
      </c>
    </row>
    <row r="98" spans="9:40" ht="14.25">
      <c r="I98" t="s">
        <v>166</v>
      </c>
      <c r="J98" t="s">
        <v>204</v>
      </c>
      <c r="K98">
        <v>0.0011910545216688921</v>
      </c>
      <c r="L98" t="s">
        <v>153</v>
      </c>
      <c r="N98" t="s">
        <v>176</v>
      </c>
      <c r="O98" t="s">
        <v>204</v>
      </c>
      <c r="P98">
        <v>0.00075223452837814263</v>
      </c>
      <c r="Q98" t="s">
        <v>153</v>
      </c>
      <c r="AK98">
        <v>2039</v>
      </c>
      <c r="AL98" t="s">
        <v>149</v>
      </c>
      <c r="AM98">
        <v>0.31640000000000001</v>
      </c>
      <c r="AN98" t="s">
        <v>195</v>
      </c>
    </row>
    <row r="99" spans="9:40" ht="14.25">
      <c r="I99" t="s">
        <v>166</v>
      </c>
      <c r="J99" t="s">
        <v>205</v>
      </c>
      <c r="K99">
        <v>0.00079300563734205766</v>
      </c>
      <c r="L99" t="s">
        <v>153</v>
      </c>
      <c r="N99" t="s">
        <v>176</v>
      </c>
      <c r="O99" t="s">
        <v>205</v>
      </c>
      <c r="P99">
        <v>0.00073459119358391825</v>
      </c>
      <c r="Q99" t="s">
        <v>153</v>
      </c>
      <c r="AK99">
        <v>2039</v>
      </c>
      <c r="AL99" t="s">
        <v>198</v>
      </c>
      <c r="AM99">
        <v>0.31640000000000001</v>
      </c>
      <c r="AN99" t="s">
        <v>195</v>
      </c>
    </row>
    <row r="100" spans="9:40" ht="14.25">
      <c r="I100" t="s">
        <v>166</v>
      </c>
      <c r="J100" t="s">
        <v>220</v>
      </c>
      <c r="K100">
        <v>0</v>
      </c>
      <c r="L100" t="s">
        <v>153</v>
      </c>
      <c r="N100" t="s">
        <v>176</v>
      </c>
      <c r="O100" t="s">
        <v>220</v>
      </c>
      <c r="P100">
        <v>0.0061013873774807877</v>
      </c>
      <c r="Q100" t="s">
        <v>153</v>
      </c>
      <c r="AK100">
        <v>2039</v>
      </c>
      <c r="AL100" t="s">
        <v>216</v>
      </c>
      <c r="AM100">
        <v>0.34059000000000006</v>
      </c>
      <c r="AN100" t="s">
        <v>195</v>
      </c>
    </row>
    <row r="101" spans="9:40" ht="14.25">
      <c r="I101" t="s">
        <v>166</v>
      </c>
      <c r="J101" t="s">
        <v>162</v>
      </c>
      <c r="K101">
        <v>0</v>
      </c>
      <c r="L101" t="s">
        <v>153</v>
      </c>
      <c r="N101" t="s">
        <v>176</v>
      </c>
      <c r="O101" t="s">
        <v>162</v>
      </c>
      <c r="P101">
        <v>0.011728980909368011</v>
      </c>
      <c r="Q101" t="s">
        <v>153</v>
      </c>
      <c r="AK101">
        <v>2040</v>
      </c>
      <c r="AL101" t="s">
        <v>141</v>
      </c>
      <c r="AM101">
        <v>0.40085000000000004</v>
      </c>
      <c r="AN101" t="s">
        <v>195</v>
      </c>
    </row>
    <row r="102" spans="9:40" ht="14.25">
      <c r="I102" t="s">
        <v>166</v>
      </c>
      <c r="J102" t="s">
        <v>163</v>
      </c>
      <c r="K102">
        <v>0.0014210823196491751</v>
      </c>
      <c r="L102" t="s">
        <v>153</v>
      </c>
      <c r="N102" t="s">
        <v>176</v>
      </c>
      <c r="O102" t="s">
        <v>163</v>
      </c>
      <c r="P102">
        <v>0.0018738149543164454</v>
      </c>
      <c r="Q102" t="s">
        <v>153</v>
      </c>
      <c r="AK102">
        <v>2040</v>
      </c>
      <c r="AL102" t="s">
        <v>145</v>
      </c>
      <c r="AM102">
        <v>0.40165000000000001</v>
      </c>
      <c r="AN102" t="s">
        <v>195</v>
      </c>
    </row>
    <row r="103" spans="9:40" ht="14.25">
      <c r="I103" t="s">
        <v>166</v>
      </c>
      <c r="J103" t="s">
        <v>164</v>
      </c>
      <c r="K103">
        <v>0.023955591575721445</v>
      </c>
      <c r="L103" t="s">
        <v>153</v>
      </c>
      <c r="N103" t="s">
        <v>176</v>
      </c>
      <c r="O103" t="s">
        <v>164</v>
      </c>
      <c r="P103">
        <v>0.012189201308330849</v>
      </c>
      <c r="Q103" t="s">
        <v>153</v>
      </c>
      <c r="AK103">
        <v>2040</v>
      </c>
      <c r="AL103" t="s">
        <v>147</v>
      </c>
      <c r="AM103">
        <v>0.41670000000000001</v>
      </c>
      <c r="AN103" t="s">
        <v>195</v>
      </c>
    </row>
    <row r="104" spans="9:40" ht="14.25">
      <c r="I104" t="s">
        <v>166</v>
      </c>
      <c r="J104" t="s">
        <v>206</v>
      </c>
      <c r="K104">
        <v>0.0026069882604432887</v>
      </c>
      <c r="L104" t="s">
        <v>153</v>
      </c>
      <c r="N104" t="s">
        <v>176</v>
      </c>
      <c r="O104" t="s">
        <v>206</v>
      </c>
      <c r="P104">
        <v>0.0013970278209539638</v>
      </c>
      <c r="Q104" t="s">
        <v>153</v>
      </c>
      <c r="AK104">
        <v>2040</v>
      </c>
      <c r="AL104" t="s">
        <v>149</v>
      </c>
      <c r="AM104">
        <v>0.41670000000000001</v>
      </c>
      <c r="AN104" t="s">
        <v>195</v>
      </c>
    </row>
    <row r="105" spans="9:40" ht="14.25">
      <c r="I105" t="s">
        <v>166</v>
      </c>
      <c r="J105" t="s">
        <v>207</v>
      </c>
      <c r="K105">
        <v>0.001771811201495654</v>
      </c>
      <c r="L105" t="s">
        <v>153</v>
      </c>
      <c r="N105" t="s">
        <v>176</v>
      </c>
      <c r="O105" t="s">
        <v>207</v>
      </c>
      <c r="P105">
        <v>0.0013305746985395601</v>
      </c>
      <c r="Q105" t="s">
        <v>153</v>
      </c>
      <c r="AK105">
        <v>2040</v>
      </c>
      <c r="AL105" t="s">
        <v>198</v>
      </c>
      <c r="AM105">
        <v>0.41670000000000001</v>
      </c>
      <c r="AN105" t="s">
        <v>195</v>
      </c>
    </row>
    <row r="106" spans="9:40" ht="14.25">
      <c r="I106" t="s">
        <v>166</v>
      </c>
      <c r="J106" t="s">
        <v>221</v>
      </c>
      <c r="K106">
        <v>0.00017475174439127812</v>
      </c>
      <c r="L106" t="s">
        <v>153</v>
      </c>
      <c r="N106" t="s">
        <v>176</v>
      </c>
      <c r="O106" t="s">
        <v>221</v>
      </c>
      <c r="P106">
        <v>0.0089937640070515933</v>
      </c>
      <c r="Q106" t="s">
        <v>153</v>
      </c>
      <c r="AK106">
        <v>2040</v>
      </c>
      <c r="AL106" t="s">
        <v>216</v>
      </c>
      <c r="AM106">
        <v>0.45918000000000003</v>
      </c>
      <c r="AN106" t="s">
        <v>195</v>
      </c>
    </row>
    <row r="107" spans="9:40" ht="14.25">
      <c r="I107" t="s">
        <v>166</v>
      </c>
      <c r="J107" t="s">
        <v>208</v>
      </c>
      <c r="K107">
        <v>1.7261924968309395E-07</v>
      </c>
      <c r="L107" t="s">
        <v>153</v>
      </c>
      <c r="N107" t="s">
        <v>176</v>
      </c>
      <c r="O107" t="s">
        <v>208</v>
      </c>
      <c r="P107">
        <v>0.0037255022435567177</v>
      </c>
      <c r="Q107" t="s">
        <v>153</v>
      </c>
      <c r="AK107">
        <v>2041</v>
      </c>
      <c r="AL107" t="s">
        <v>141</v>
      </c>
      <c r="AM107">
        <v>0.35865000000000002</v>
      </c>
      <c r="AN107" t="s">
        <v>195</v>
      </c>
    </row>
    <row r="108" spans="9:40" ht="14.25">
      <c r="I108" t="s">
        <v>166</v>
      </c>
      <c r="J108" t="s">
        <v>209</v>
      </c>
      <c r="K108">
        <v>0.00049261065240267137</v>
      </c>
      <c r="L108" t="s">
        <v>153</v>
      </c>
      <c r="N108" t="s">
        <v>176</v>
      </c>
      <c r="O108" t="s">
        <v>209</v>
      </c>
      <c r="P108">
        <v>0.00031595961618654156</v>
      </c>
      <c r="Q108" t="s">
        <v>153</v>
      </c>
      <c r="AK108">
        <v>2041</v>
      </c>
      <c r="AL108" t="s">
        <v>145</v>
      </c>
      <c r="AM108">
        <v>0.38819999999999999</v>
      </c>
      <c r="AN108" t="s">
        <v>195</v>
      </c>
    </row>
    <row r="109" spans="9:40" ht="14.25">
      <c r="I109" t="s">
        <v>166</v>
      </c>
      <c r="J109" t="s">
        <v>210</v>
      </c>
      <c r="K109">
        <v>0.0092850988793491008</v>
      </c>
      <c r="L109" t="s">
        <v>153</v>
      </c>
      <c r="N109" t="s">
        <v>176</v>
      </c>
      <c r="O109" t="s">
        <v>210</v>
      </c>
      <c r="P109">
        <v>0.0031191472498083039</v>
      </c>
      <c r="Q109" t="s">
        <v>153</v>
      </c>
      <c r="AK109">
        <v>2041</v>
      </c>
      <c r="AL109" t="s">
        <v>147</v>
      </c>
      <c r="AM109">
        <v>0.41610000000000003</v>
      </c>
      <c r="AN109" t="s">
        <v>195</v>
      </c>
    </row>
    <row r="110" spans="9:40" ht="14.25">
      <c r="I110" t="s">
        <v>166</v>
      </c>
      <c r="J110" t="s">
        <v>211</v>
      </c>
      <c r="K110">
        <v>0.0010077365213449368</v>
      </c>
      <c r="L110" t="s">
        <v>153</v>
      </c>
      <c r="N110" t="s">
        <v>176</v>
      </c>
      <c r="O110" t="s">
        <v>211</v>
      </c>
      <c r="P110">
        <v>0.00056668614421545409</v>
      </c>
      <c r="Q110" t="s">
        <v>153</v>
      </c>
      <c r="AK110">
        <v>2041</v>
      </c>
      <c r="AL110" t="s">
        <v>149</v>
      </c>
      <c r="AM110">
        <v>0.41610000000000003</v>
      </c>
      <c r="AN110" t="s">
        <v>195</v>
      </c>
    </row>
    <row r="111" spans="9:40" ht="14.25">
      <c r="I111" t="s">
        <v>166</v>
      </c>
      <c r="J111" t="s">
        <v>212</v>
      </c>
      <c r="K111">
        <v>0.00070383037494433981</v>
      </c>
      <c r="L111" t="s">
        <v>153</v>
      </c>
      <c r="N111" t="s">
        <v>176</v>
      </c>
      <c r="O111" t="s">
        <v>212</v>
      </c>
      <c r="P111">
        <v>0.00050424086155228349</v>
      </c>
      <c r="Q111" t="s">
        <v>153</v>
      </c>
      <c r="AK111">
        <v>2041</v>
      </c>
      <c r="AL111" t="s">
        <v>198</v>
      </c>
      <c r="AM111">
        <v>0.41610000000000003</v>
      </c>
      <c r="AN111" t="s">
        <v>195</v>
      </c>
    </row>
    <row r="112" spans="9:40" ht="14.25">
      <c r="I112" t="s">
        <v>166</v>
      </c>
      <c r="J112" t="s">
        <v>222</v>
      </c>
      <c r="K112">
        <v>0.00020740068944006255</v>
      </c>
      <c r="L112" t="s">
        <v>153</v>
      </c>
      <c r="N112" t="s">
        <v>176</v>
      </c>
      <c r="O112" t="s">
        <v>222</v>
      </c>
      <c r="P112">
        <v>0.0029687888610537391</v>
      </c>
      <c r="Q112" t="s">
        <v>153</v>
      </c>
      <c r="AK112">
        <v>2041</v>
      </c>
      <c r="AL112" t="s">
        <v>216</v>
      </c>
      <c r="AM112">
        <v>0.41557000000000005</v>
      </c>
      <c r="AN112" t="s">
        <v>195</v>
      </c>
    </row>
    <row r="113" spans="9:40" ht="14.25">
      <c r="I113" t="s">
        <v>166</v>
      </c>
      <c r="J113" t="s">
        <v>223</v>
      </c>
      <c r="K113">
        <v>0.013697187297861771</v>
      </c>
      <c r="L113" t="s">
        <v>153</v>
      </c>
      <c r="N113" t="s">
        <v>176</v>
      </c>
      <c r="O113" t="s">
        <v>223</v>
      </c>
      <c r="P113">
        <v>0.21393995101172966</v>
      </c>
      <c r="Q113" t="s">
        <v>153</v>
      </c>
      <c r="AK113">
        <v>2042</v>
      </c>
      <c r="AL113" t="s">
        <v>141</v>
      </c>
      <c r="AM113">
        <v>0.2873</v>
      </c>
      <c r="AN113" t="s">
        <v>195</v>
      </c>
    </row>
    <row r="114" spans="9:40" ht="14.25">
      <c r="I114" t="s">
        <v>166</v>
      </c>
      <c r="J114" t="s">
        <v>224</v>
      </c>
      <c r="K114">
        <v>0.042924499151982494</v>
      </c>
      <c r="L114" t="s">
        <v>153</v>
      </c>
      <c r="N114" t="s">
        <v>176</v>
      </c>
      <c r="O114" t="s">
        <v>224</v>
      </c>
      <c r="P114">
        <v>0.026774798863097391</v>
      </c>
      <c r="Q114" t="s">
        <v>153</v>
      </c>
      <c r="AK114">
        <v>2042</v>
      </c>
      <c r="AL114" t="s">
        <v>145</v>
      </c>
      <c r="AM114">
        <v>0.3306</v>
      </c>
      <c r="AN114" t="s">
        <v>195</v>
      </c>
    </row>
    <row r="115" spans="9:40" ht="14.25">
      <c r="I115" t="s">
        <v>166</v>
      </c>
      <c r="J115" t="s">
        <v>225</v>
      </c>
      <c r="K115">
        <v>0.6094706955394934</v>
      </c>
      <c r="L115" t="s">
        <v>153</v>
      </c>
      <c r="N115" t="s">
        <v>176</v>
      </c>
      <c r="O115" t="s">
        <v>225</v>
      </c>
      <c r="P115">
        <v>0.19925076370261069</v>
      </c>
      <c r="Q115" t="s">
        <v>153</v>
      </c>
      <c r="AK115">
        <v>2042</v>
      </c>
      <c r="AL115" t="s">
        <v>147</v>
      </c>
      <c r="AM115">
        <v>0.36</v>
      </c>
      <c r="AN115" t="s">
        <v>195</v>
      </c>
    </row>
    <row r="116" spans="9:40" ht="14.25">
      <c r="I116" t="s">
        <v>166</v>
      </c>
      <c r="J116" t="s">
        <v>226</v>
      </c>
      <c r="K116">
        <v>0.05840526426088942</v>
      </c>
      <c r="L116" t="s">
        <v>153</v>
      </c>
      <c r="N116" t="s">
        <v>176</v>
      </c>
      <c r="O116" t="s">
        <v>226</v>
      </c>
      <c r="P116">
        <v>0.032951271325455979</v>
      </c>
      <c r="Q116" t="s">
        <v>153</v>
      </c>
      <c r="AK116">
        <v>2042</v>
      </c>
      <c r="AL116" t="s">
        <v>149</v>
      </c>
      <c r="AM116">
        <v>0.36</v>
      </c>
      <c r="AN116" t="s">
        <v>195</v>
      </c>
    </row>
    <row r="117" spans="9:40" ht="14.25">
      <c r="I117" t="s">
        <v>166</v>
      </c>
      <c r="J117" t="s">
        <v>227</v>
      </c>
      <c r="K117">
        <v>0.036464750175862592</v>
      </c>
      <c r="L117" t="s">
        <v>153</v>
      </c>
      <c r="N117" t="s">
        <v>176</v>
      </c>
      <c r="O117" t="s">
        <v>227</v>
      </c>
      <c r="P117">
        <v>0.036859510263459287</v>
      </c>
      <c r="Q117" t="s">
        <v>153</v>
      </c>
      <c r="AK117">
        <v>2042</v>
      </c>
      <c r="AL117" t="s">
        <v>198</v>
      </c>
      <c r="AM117">
        <v>0.36</v>
      </c>
      <c r="AN117" t="s">
        <v>195</v>
      </c>
    </row>
    <row r="118" spans="9:40" ht="14.25">
      <c r="I118" t="s">
        <v>166</v>
      </c>
      <c r="J118" t="s">
        <v>228</v>
      </c>
      <c r="K118">
        <v>0.010350344566862159</v>
      </c>
      <c r="L118" t="s">
        <v>153</v>
      </c>
      <c r="N118" t="s">
        <v>176</v>
      </c>
      <c r="O118" t="s">
        <v>228</v>
      </c>
      <c r="P118">
        <v>0.23832020120738848</v>
      </c>
      <c r="Q118" t="s">
        <v>153</v>
      </c>
      <c r="AK118">
        <v>2042</v>
      </c>
      <c r="AL118" t="s">
        <v>216</v>
      </c>
      <c r="AM118">
        <v>0.35570000000000002</v>
      </c>
      <c r="AN118" t="s">
        <v>195</v>
      </c>
    </row>
    <row r="119" spans="9:40" ht="14.25">
      <c r="I119" t="s">
        <v>167</v>
      </c>
      <c r="J119" t="s">
        <v>152</v>
      </c>
      <c r="K119">
        <v>0</v>
      </c>
      <c r="L119" t="s">
        <v>153</v>
      </c>
      <c r="N119" t="s">
        <v>177</v>
      </c>
      <c r="O119" t="s">
        <v>152</v>
      </c>
      <c r="P119">
        <v>0.033526853541657409</v>
      </c>
      <c r="Q119" t="s">
        <v>153</v>
      </c>
      <c r="AK119">
        <v>2043</v>
      </c>
      <c r="AL119" t="s">
        <v>141</v>
      </c>
      <c r="AM119">
        <v>0.30680000000000002</v>
      </c>
      <c r="AN119" t="s">
        <v>195</v>
      </c>
    </row>
    <row r="120" spans="9:40" ht="14.25">
      <c r="I120" t="s">
        <v>167</v>
      </c>
      <c r="J120" t="s">
        <v>154</v>
      </c>
      <c r="K120">
        <v>0.0033372332816485159</v>
      </c>
      <c r="L120" t="s">
        <v>153</v>
      </c>
      <c r="N120" t="s">
        <v>177</v>
      </c>
      <c r="O120" t="s">
        <v>154</v>
      </c>
      <c r="P120">
        <v>0.0048026301927799799</v>
      </c>
      <c r="Q120" t="s">
        <v>153</v>
      </c>
      <c r="AK120">
        <v>2043</v>
      </c>
      <c r="AL120" t="s">
        <v>145</v>
      </c>
      <c r="AM120">
        <v>0.32584999999999997</v>
      </c>
      <c r="AN120" t="s">
        <v>195</v>
      </c>
    </row>
    <row r="121" spans="9:40" ht="14.25">
      <c r="I121" t="s">
        <v>167</v>
      </c>
      <c r="J121" t="s">
        <v>155</v>
      </c>
      <c r="K121">
        <v>0.06962445984987313</v>
      </c>
      <c r="L121" t="s">
        <v>153</v>
      </c>
      <c r="N121" t="s">
        <v>177</v>
      </c>
      <c r="O121" t="s">
        <v>155</v>
      </c>
      <c r="P121">
        <v>0.034634130970798579</v>
      </c>
      <c r="Q121" t="s">
        <v>153</v>
      </c>
      <c r="AK121">
        <v>2043</v>
      </c>
      <c r="AL121" t="s">
        <v>147</v>
      </c>
      <c r="AM121">
        <v>0.32819999999999999</v>
      </c>
      <c r="AN121" t="s">
        <v>195</v>
      </c>
    </row>
    <row r="122" spans="9:40" ht="14.25">
      <c r="I122" t="s">
        <v>167</v>
      </c>
      <c r="J122" t="s">
        <v>200</v>
      </c>
      <c r="K122">
        <v>0.0075225984680927817</v>
      </c>
      <c r="L122" t="s">
        <v>153</v>
      </c>
      <c r="N122" t="s">
        <v>177</v>
      </c>
      <c r="O122" t="s">
        <v>200</v>
      </c>
      <c r="P122">
        <v>0.0042952423109364393</v>
      </c>
      <c r="Q122" t="s">
        <v>153</v>
      </c>
      <c r="AK122">
        <v>2043</v>
      </c>
      <c r="AL122" t="s">
        <v>149</v>
      </c>
      <c r="AM122">
        <v>0.32819999999999999</v>
      </c>
      <c r="AN122" t="s">
        <v>195</v>
      </c>
    </row>
    <row r="123" spans="9:40" ht="14.25">
      <c r="I123" t="s">
        <v>167</v>
      </c>
      <c r="J123" t="s">
        <v>201</v>
      </c>
      <c r="K123">
        <v>0.0042938328544336853</v>
      </c>
      <c r="L123" t="s">
        <v>153</v>
      </c>
      <c r="N123" t="s">
        <v>177</v>
      </c>
      <c r="O123" t="s">
        <v>201</v>
      </c>
      <c r="P123">
        <v>0.0043076877401005721</v>
      </c>
      <c r="Q123" t="s">
        <v>153</v>
      </c>
      <c r="AK123">
        <v>2043</v>
      </c>
      <c r="AL123" t="s">
        <v>198</v>
      </c>
      <c r="AM123">
        <v>0.32819999999999999</v>
      </c>
      <c r="AN123" t="s">
        <v>195</v>
      </c>
    </row>
    <row r="124" spans="9:40" ht="14.25">
      <c r="I124" t="s">
        <v>167</v>
      </c>
      <c r="J124" t="s">
        <v>218</v>
      </c>
      <c r="K124">
        <v>0</v>
      </c>
      <c r="L124" t="s">
        <v>153</v>
      </c>
      <c r="N124" t="s">
        <v>177</v>
      </c>
      <c r="O124" t="s">
        <v>218</v>
      </c>
      <c r="P124">
        <v>0.02590443917675531</v>
      </c>
      <c r="Q124" t="s">
        <v>153</v>
      </c>
      <c r="AK124">
        <v>2043</v>
      </c>
      <c r="AL124" t="s">
        <v>216</v>
      </c>
      <c r="AM124">
        <v>0.34432000000000001</v>
      </c>
      <c r="AN124" t="s">
        <v>195</v>
      </c>
    </row>
    <row r="125" spans="9:40" ht="14.25">
      <c r="I125" t="s">
        <v>167</v>
      </c>
      <c r="J125" t="s">
        <v>156</v>
      </c>
      <c r="K125">
        <v>0</v>
      </c>
      <c r="L125" t="s">
        <v>153</v>
      </c>
      <c r="N125" t="s">
        <v>177</v>
      </c>
      <c r="O125" t="s">
        <v>156</v>
      </c>
      <c r="P125">
        <v>0.01993284928948829</v>
      </c>
      <c r="Q125" t="s">
        <v>153</v>
      </c>
      <c r="AK125">
        <v>2044</v>
      </c>
      <c r="AL125" t="s">
        <v>141</v>
      </c>
      <c r="AM125">
        <v>0.32669999999999999</v>
      </c>
      <c r="AN125" t="s">
        <v>195</v>
      </c>
    </row>
    <row r="126" spans="9:40" ht="14.25">
      <c r="I126" t="s">
        <v>167</v>
      </c>
      <c r="J126" t="s">
        <v>157</v>
      </c>
      <c r="K126">
        <v>0.0034674403140167996</v>
      </c>
      <c r="L126" t="s">
        <v>153</v>
      </c>
      <c r="N126" t="s">
        <v>177</v>
      </c>
      <c r="O126" t="s">
        <v>157</v>
      </c>
      <c r="P126">
        <v>0.0030072587994375679</v>
      </c>
      <c r="Q126" t="s">
        <v>153</v>
      </c>
      <c r="AK126">
        <v>2044</v>
      </c>
      <c r="AL126" t="s">
        <v>145</v>
      </c>
      <c r="AM126">
        <v>0.37060000000000004</v>
      </c>
      <c r="AN126" t="s">
        <v>195</v>
      </c>
    </row>
    <row r="127" spans="9:40" ht="14.25">
      <c r="I127" t="s">
        <v>167</v>
      </c>
      <c r="J127" t="s">
        <v>158</v>
      </c>
      <c r="K127">
        <v>0.072272706573558096</v>
      </c>
      <c r="L127" t="s">
        <v>153</v>
      </c>
      <c r="N127" t="s">
        <v>177</v>
      </c>
      <c r="O127" t="s">
        <v>158</v>
      </c>
      <c r="P127">
        <v>0.025261882201964566</v>
      </c>
      <c r="Q127" t="s">
        <v>153</v>
      </c>
      <c r="AK127">
        <v>2044</v>
      </c>
      <c r="AL127" t="s">
        <v>147</v>
      </c>
      <c r="AM127">
        <v>0.41860000000000003</v>
      </c>
      <c r="AN127" t="s">
        <v>195</v>
      </c>
    </row>
    <row r="128" spans="9:40" ht="14.25">
      <c r="I128" t="s">
        <v>167</v>
      </c>
      <c r="J128" t="s">
        <v>202</v>
      </c>
      <c r="K128">
        <v>0.0082128276169692125</v>
      </c>
      <c r="L128" t="s">
        <v>153</v>
      </c>
      <c r="N128" t="s">
        <v>177</v>
      </c>
      <c r="O128" t="s">
        <v>202</v>
      </c>
      <c r="P128">
        <v>0.0030814862029569499</v>
      </c>
      <c r="Q128" t="s">
        <v>153</v>
      </c>
      <c r="AK128">
        <v>2044</v>
      </c>
      <c r="AL128" t="s">
        <v>149</v>
      </c>
      <c r="AM128">
        <v>0.41860000000000003</v>
      </c>
      <c r="AN128" t="s">
        <v>195</v>
      </c>
    </row>
    <row r="129" spans="9:40" ht="14.25">
      <c r="I129" t="s">
        <v>167</v>
      </c>
      <c r="J129" t="s">
        <v>203</v>
      </c>
      <c r="K129">
        <v>0.0053628346879946408</v>
      </c>
      <c r="L129" t="s">
        <v>153</v>
      </c>
      <c r="N129" t="s">
        <v>177</v>
      </c>
      <c r="O129" t="s">
        <v>203</v>
      </c>
      <c r="P129">
        <v>0.0031885151297941453</v>
      </c>
      <c r="Q129" t="s">
        <v>153</v>
      </c>
      <c r="AK129">
        <v>2044</v>
      </c>
      <c r="AL129" t="s">
        <v>198</v>
      </c>
      <c r="AM129">
        <v>0.41860000000000003</v>
      </c>
      <c r="AN129" t="s">
        <v>195</v>
      </c>
    </row>
    <row r="130" spans="9:40" ht="14.25">
      <c r="I130" t="s">
        <v>167</v>
      </c>
      <c r="J130" t="s">
        <v>219</v>
      </c>
      <c r="K130">
        <v>0</v>
      </c>
      <c r="L130" t="s">
        <v>153</v>
      </c>
      <c r="N130" t="s">
        <v>177</v>
      </c>
      <c r="O130" t="s">
        <v>219</v>
      </c>
      <c r="P130">
        <v>0.020160807810328588</v>
      </c>
      <c r="Q130" t="s">
        <v>153</v>
      </c>
      <c r="AK130">
        <v>2044</v>
      </c>
      <c r="AL130" t="s">
        <v>216</v>
      </c>
      <c r="AM130">
        <v>0.41027000000000002</v>
      </c>
      <c r="AN130" t="s">
        <v>195</v>
      </c>
    </row>
    <row r="131" spans="9:40" ht="14.25">
      <c r="I131" t="s">
        <v>167</v>
      </c>
      <c r="J131" t="s">
        <v>159</v>
      </c>
      <c r="K131">
        <v>0</v>
      </c>
      <c r="L131" t="s">
        <v>153</v>
      </c>
      <c r="N131" t="s">
        <v>177</v>
      </c>
      <c r="O131" t="s">
        <v>159</v>
      </c>
      <c r="P131">
        <v>0.0083136477972953361</v>
      </c>
      <c r="Q131" t="s">
        <v>153</v>
      </c>
      <c r="AK131">
        <v>2045</v>
      </c>
      <c r="AL131" t="s">
        <v>141</v>
      </c>
      <c r="AM131">
        <v>0.3876</v>
      </c>
      <c r="AN131" t="s">
        <v>195</v>
      </c>
    </row>
    <row r="132" spans="9:40" ht="14.25">
      <c r="I132" t="s">
        <v>167</v>
      </c>
      <c r="J132" t="s">
        <v>160</v>
      </c>
      <c r="K132">
        <v>0.00066632525588037022</v>
      </c>
      <c r="L132" t="s">
        <v>153</v>
      </c>
      <c r="N132" t="s">
        <v>177</v>
      </c>
      <c r="O132" t="s">
        <v>160</v>
      </c>
      <c r="P132">
        <v>0.0010056575717980929</v>
      </c>
      <c r="Q132" t="s">
        <v>153</v>
      </c>
      <c r="AK132">
        <v>2045</v>
      </c>
      <c r="AL132" t="s">
        <v>145</v>
      </c>
      <c r="AM132">
        <v>0.39700000000000002</v>
      </c>
      <c r="AN132" t="s">
        <v>195</v>
      </c>
    </row>
    <row r="133" spans="9:40" ht="14.25">
      <c r="I133" t="s">
        <v>167</v>
      </c>
      <c r="J133" t="s">
        <v>161</v>
      </c>
      <c r="K133">
        <v>0.011911487734898203</v>
      </c>
      <c r="L133" t="s">
        <v>153</v>
      </c>
      <c r="N133" t="s">
        <v>177</v>
      </c>
      <c r="O133" t="s">
        <v>161</v>
      </c>
      <c r="P133">
        <v>0.0077885039631903127</v>
      </c>
      <c r="Q133" t="s">
        <v>153</v>
      </c>
      <c r="AK133">
        <v>2045</v>
      </c>
      <c r="AL133" t="s">
        <v>147</v>
      </c>
      <c r="AM133">
        <v>0.40210000000000001</v>
      </c>
      <c r="AN133" t="s">
        <v>195</v>
      </c>
    </row>
    <row r="134" spans="9:40" ht="14.25">
      <c r="I134" t="s">
        <v>167</v>
      </c>
      <c r="J134" t="s">
        <v>204</v>
      </c>
      <c r="K134">
        <v>0.0012603276483127072</v>
      </c>
      <c r="L134" t="s">
        <v>153</v>
      </c>
      <c r="N134" t="s">
        <v>177</v>
      </c>
      <c r="O134" t="s">
        <v>204</v>
      </c>
      <c r="P134">
        <v>0.00089718128610735638</v>
      </c>
      <c r="Q134" t="s">
        <v>153</v>
      </c>
      <c r="AK134">
        <v>2045</v>
      </c>
      <c r="AL134" t="s">
        <v>149</v>
      </c>
      <c r="AM134">
        <v>0.40210000000000001</v>
      </c>
      <c r="AN134" t="s">
        <v>195</v>
      </c>
    </row>
    <row r="135" spans="9:40" ht="14.25">
      <c r="I135" t="s">
        <v>167</v>
      </c>
      <c r="J135" t="s">
        <v>205</v>
      </c>
      <c r="K135">
        <v>0.00086868461557812861</v>
      </c>
      <c r="L135" t="s">
        <v>153</v>
      </c>
      <c r="N135" t="s">
        <v>177</v>
      </c>
      <c r="O135" t="s">
        <v>205</v>
      </c>
      <c r="P135">
        <v>0.00081266924693798614</v>
      </c>
      <c r="Q135" t="s">
        <v>153</v>
      </c>
      <c r="AK135">
        <v>2045</v>
      </c>
      <c r="AL135" t="s">
        <v>198</v>
      </c>
      <c r="AM135">
        <v>0.40210000000000001</v>
      </c>
      <c r="AN135" t="s">
        <v>195</v>
      </c>
    </row>
    <row r="136" spans="9:40" ht="14.25">
      <c r="I136" t="s">
        <v>167</v>
      </c>
      <c r="J136" t="s">
        <v>220</v>
      </c>
      <c r="K136">
        <v>1.2405347262786679E-05</v>
      </c>
      <c r="L136" t="s">
        <v>153</v>
      </c>
      <c r="N136" t="s">
        <v>177</v>
      </c>
      <c r="O136" t="s">
        <v>220</v>
      </c>
      <c r="P136">
        <v>0.0050804646556730669</v>
      </c>
      <c r="Q136" t="s">
        <v>153</v>
      </c>
      <c r="AK136">
        <v>2045</v>
      </c>
      <c r="AL136" t="s">
        <v>216</v>
      </c>
      <c r="AM136">
        <v>0.40821000000000007</v>
      </c>
      <c r="AN136" t="s">
        <v>195</v>
      </c>
    </row>
    <row r="137" spans="9:40" ht="14.25">
      <c r="I137" t="s">
        <v>167</v>
      </c>
      <c r="J137" t="s">
        <v>162</v>
      </c>
      <c r="K137">
        <v>0</v>
      </c>
      <c r="L137" t="s">
        <v>153</v>
      </c>
      <c r="N137" t="s">
        <v>177</v>
      </c>
      <c r="O137" t="s">
        <v>162</v>
      </c>
      <c r="P137">
        <v>0.011266868952170536</v>
      </c>
      <c r="Q137" t="s">
        <v>153</v>
      </c>
      <c r="AK137">
        <v>2046</v>
      </c>
      <c r="AL137" t="s">
        <v>141</v>
      </c>
      <c r="AM137">
        <v>0.34104999999999996</v>
      </c>
      <c r="AN137" t="s">
        <v>195</v>
      </c>
    </row>
    <row r="138" spans="9:40" ht="14.25">
      <c r="I138" t="s">
        <v>167</v>
      </c>
      <c r="J138" t="s">
        <v>163</v>
      </c>
      <c r="K138">
        <v>0.0014195459202520795</v>
      </c>
      <c r="L138" t="s">
        <v>153</v>
      </c>
      <c r="N138" t="s">
        <v>177</v>
      </c>
      <c r="O138" t="s">
        <v>163</v>
      </c>
      <c r="P138">
        <v>0.0018200770244120533</v>
      </c>
      <c r="Q138" t="s">
        <v>153</v>
      </c>
      <c r="AK138">
        <v>2046</v>
      </c>
      <c r="AL138" t="s">
        <v>145</v>
      </c>
      <c r="AM138">
        <v>0.36299999999999999</v>
      </c>
      <c r="AN138" t="s">
        <v>195</v>
      </c>
    </row>
    <row r="139" spans="9:40" ht="14.25">
      <c r="I139" t="s">
        <v>167</v>
      </c>
      <c r="J139" t="s">
        <v>164</v>
      </c>
      <c r="K139">
        <v>0.024236169828347209</v>
      </c>
      <c r="L139" t="s">
        <v>153</v>
      </c>
      <c r="N139" t="s">
        <v>177</v>
      </c>
      <c r="O139" t="s">
        <v>164</v>
      </c>
      <c r="P139">
        <v>0.011909964927267345</v>
      </c>
      <c r="Q139" t="s">
        <v>153</v>
      </c>
      <c r="AK139">
        <v>2046</v>
      </c>
      <c r="AL139" t="s">
        <v>147</v>
      </c>
      <c r="AM139">
        <v>0.38030000000000003</v>
      </c>
      <c r="AN139" t="s">
        <v>195</v>
      </c>
    </row>
    <row r="140" spans="9:40" ht="14.25">
      <c r="I140" t="s">
        <v>167</v>
      </c>
      <c r="J140" t="s">
        <v>206</v>
      </c>
      <c r="K140">
        <v>0.0026334502876725497</v>
      </c>
      <c r="L140" t="s">
        <v>153</v>
      </c>
      <c r="N140" t="s">
        <v>177</v>
      </c>
      <c r="O140" t="s">
        <v>206</v>
      </c>
      <c r="P140">
        <v>0.0017062544285329042</v>
      </c>
      <c r="Q140" t="s">
        <v>153</v>
      </c>
      <c r="AK140">
        <v>2046</v>
      </c>
      <c r="AL140" t="s">
        <v>149</v>
      </c>
      <c r="AM140">
        <v>0.38030000000000003</v>
      </c>
      <c r="AN140" t="s">
        <v>195</v>
      </c>
    </row>
    <row r="141" spans="9:40" ht="14.25">
      <c r="I141" t="s">
        <v>167</v>
      </c>
      <c r="J141" t="s">
        <v>207</v>
      </c>
      <c r="K141">
        <v>0.0018045942173520397</v>
      </c>
      <c r="L141" t="s">
        <v>153</v>
      </c>
      <c r="N141" t="s">
        <v>177</v>
      </c>
      <c r="O141" t="s">
        <v>207</v>
      </c>
      <c r="P141">
        <v>0.0017717596803975407</v>
      </c>
      <c r="Q141" t="s">
        <v>153</v>
      </c>
      <c r="AK141">
        <v>2046</v>
      </c>
      <c r="AL141" t="s">
        <v>198</v>
      </c>
      <c r="AM141">
        <v>0.38030000000000003</v>
      </c>
      <c r="AN141" t="s">
        <v>195</v>
      </c>
    </row>
    <row r="142" spans="9:40" ht="14.25">
      <c r="I142" t="s">
        <v>167</v>
      </c>
      <c r="J142" t="s">
        <v>221</v>
      </c>
      <c r="K142">
        <v>0.00054377702683338334</v>
      </c>
      <c r="L142" t="s">
        <v>153</v>
      </c>
      <c r="N142" t="s">
        <v>177</v>
      </c>
      <c r="O142" t="s">
        <v>221</v>
      </c>
      <c r="P142">
        <v>0.010688870153501062</v>
      </c>
      <c r="Q142" t="s">
        <v>153</v>
      </c>
      <c r="AK142">
        <v>2046</v>
      </c>
      <c r="AL142" t="s">
        <v>216</v>
      </c>
      <c r="AM142">
        <v>0.40317999999999998</v>
      </c>
      <c r="AN142" t="s">
        <v>195</v>
      </c>
    </row>
    <row r="143" spans="9:40" ht="14.25">
      <c r="I143" t="s">
        <v>167</v>
      </c>
      <c r="J143" t="s">
        <v>208</v>
      </c>
      <c r="K143">
        <v>0</v>
      </c>
      <c r="L143" t="s">
        <v>153</v>
      </c>
      <c r="N143" t="s">
        <v>177</v>
      </c>
      <c r="O143" t="s">
        <v>208</v>
      </c>
      <c r="P143">
        <v>0.0025391533755643233</v>
      </c>
      <c r="Q143" t="s">
        <v>153</v>
      </c>
      <c r="AK143">
        <v>2047</v>
      </c>
      <c r="AL143" t="s">
        <v>141</v>
      </c>
      <c r="AM143">
        <v>0.36030000000000001</v>
      </c>
      <c r="AN143" t="s">
        <v>195</v>
      </c>
    </row>
    <row r="144" spans="9:40" ht="14.25">
      <c r="I144" t="s">
        <v>167</v>
      </c>
      <c r="J144" t="s">
        <v>209</v>
      </c>
      <c r="K144">
        <v>0.00045967684715852856</v>
      </c>
      <c r="L144" t="s">
        <v>153</v>
      </c>
      <c r="N144" t="s">
        <v>177</v>
      </c>
      <c r="O144" t="s">
        <v>209</v>
      </c>
      <c r="P144">
        <v>0.00024925287259153244</v>
      </c>
      <c r="Q144" t="s">
        <v>153</v>
      </c>
      <c r="AK144">
        <v>2047</v>
      </c>
      <c r="AL144" t="s">
        <v>145</v>
      </c>
      <c r="AM144">
        <v>0.379</v>
      </c>
      <c r="AN144" t="s">
        <v>195</v>
      </c>
    </row>
    <row r="145" spans="9:40" ht="14.25">
      <c r="I145" t="s">
        <v>167</v>
      </c>
      <c r="J145" t="s">
        <v>210</v>
      </c>
      <c r="K145">
        <v>0.0093738677800163633</v>
      </c>
      <c r="L145" t="s">
        <v>153</v>
      </c>
      <c r="N145" t="s">
        <v>177</v>
      </c>
      <c r="O145" t="s">
        <v>210</v>
      </c>
      <c r="P145">
        <v>0.003344427614892309</v>
      </c>
      <c r="Q145" t="s">
        <v>153</v>
      </c>
      <c r="AK145">
        <v>2047</v>
      </c>
      <c r="AL145" t="s">
        <v>147</v>
      </c>
      <c r="AM145">
        <v>0.38109999999999999</v>
      </c>
      <c r="AN145" t="s">
        <v>195</v>
      </c>
    </row>
    <row r="146" spans="9:40" ht="14.25">
      <c r="I146" t="s">
        <v>167</v>
      </c>
      <c r="J146" t="s">
        <v>211</v>
      </c>
      <c r="K146">
        <v>0.0010285050207132147</v>
      </c>
      <c r="L146" t="s">
        <v>153</v>
      </c>
      <c r="N146" t="s">
        <v>177</v>
      </c>
      <c r="O146" t="s">
        <v>211</v>
      </c>
      <c r="P146">
        <v>0.00075724913691743267</v>
      </c>
      <c r="Q146" t="s">
        <v>153</v>
      </c>
      <c r="AK146">
        <v>2047</v>
      </c>
      <c r="AL146" t="s">
        <v>149</v>
      </c>
      <c r="AM146">
        <v>0.38109999999999999</v>
      </c>
      <c r="AN146" t="s">
        <v>195</v>
      </c>
    </row>
    <row r="147" spans="9:40" ht="14.25">
      <c r="I147" t="s">
        <v>167</v>
      </c>
      <c r="J147" t="s">
        <v>212</v>
      </c>
      <c r="K147">
        <v>0.00075720951313434611</v>
      </c>
      <c r="L147" t="s">
        <v>153</v>
      </c>
      <c r="N147" t="s">
        <v>177</v>
      </c>
      <c r="O147" t="s">
        <v>212</v>
      </c>
      <c r="P147">
        <v>0.00075823416592980743</v>
      </c>
      <c r="Q147" t="s">
        <v>153</v>
      </c>
      <c r="AK147">
        <v>2047</v>
      </c>
      <c r="AL147" t="s">
        <v>198</v>
      </c>
      <c r="AM147">
        <v>0.38109999999999999</v>
      </c>
      <c r="AN147" t="s">
        <v>195</v>
      </c>
    </row>
    <row r="148" spans="9:40" ht="14.25">
      <c r="I148" t="s">
        <v>167</v>
      </c>
      <c r="J148" t="s">
        <v>222</v>
      </c>
      <c r="K148">
        <v>0.00039471332728498366</v>
      </c>
      <c r="L148" t="s">
        <v>153</v>
      </c>
      <c r="N148" t="s">
        <v>177</v>
      </c>
      <c r="O148" t="s">
        <v>222</v>
      </c>
      <c r="P148">
        <v>0.0024153885327925593</v>
      </c>
      <c r="Q148" t="s">
        <v>153</v>
      </c>
      <c r="AK148">
        <v>2047</v>
      </c>
      <c r="AL148" t="s">
        <v>216</v>
      </c>
      <c r="AM148">
        <v>0.39678999999999992</v>
      </c>
      <c r="AN148" t="s">
        <v>195</v>
      </c>
    </row>
    <row r="149" spans="9:40" ht="14.25">
      <c r="I149" t="s">
        <v>167</v>
      </c>
      <c r="J149" t="s">
        <v>223</v>
      </c>
      <c r="K149">
        <v>0.012151055454704081</v>
      </c>
      <c r="L149" t="s">
        <v>153</v>
      </c>
      <c r="N149" t="s">
        <v>177</v>
      </c>
      <c r="O149" t="s">
        <v>223</v>
      </c>
      <c r="P149">
        <v>0.1800227821154069</v>
      </c>
      <c r="Q149" t="s">
        <v>153</v>
      </c>
      <c r="AK149">
        <v>2048</v>
      </c>
      <c r="AL149" t="s">
        <v>141</v>
      </c>
      <c r="AM149">
        <v>0.34720000000000001</v>
      </c>
      <c r="AN149" t="s">
        <v>195</v>
      </c>
    </row>
    <row r="150" spans="9:40" ht="14.25">
      <c r="I150" t="s">
        <v>167</v>
      </c>
      <c r="J150" t="s">
        <v>224</v>
      </c>
      <c r="K150">
        <v>0.041994951914731175</v>
      </c>
      <c r="L150" t="s">
        <v>153</v>
      </c>
      <c r="N150" t="s">
        <v>177</v>
      </c>
      <c r="O150" t="s">
        <v>224</v>
      </c>
      <c r="P150">
        <v>0.025646906051784477</v>
      </c>
      <c r="Q150" t="s">
        <v>153</v>
      </c>
      <c r="AK150">
        <v>2048</v>
      </c>
      <c r="AL150" t="s">
        <v>145</v>
      </c>
      <c r="AM150">
        <v>0.37065000000000003</v>
      </c>
      <c r="AN150" t="s">
        <v>195</v>
      </c>
    </row>
    <row r="151" spans="9:40" ht="14.25">
      <c r="I151" t="s">
        <v>167</v>
      </c>
      <c r="J151" t="s">
        <v>225</v>
      </c>
      <c r="K151">
        <v>0.60673988727667938</v>
      </c>
      <c r="L151" t="s">
        <v>153</v>
      </c>
      <c r="N151" t="s">
        <v>177</v>
      </c>
      <c r="O151" t="s">
        <v>225</v>
      </c>
      <c r="P151">
        <v>0.2543966174812004</v>
      </c>
      <c r="Q151" t="s">
        <v>153</v>
      </c>
      <c r="AK151">
        <v>2048</v>
      </c>
      <c r="AL151" t="s">
        <v>147</v>
      </c>
      <c r="AM151">
        <v>0.3846</v>
      </c>
      <c r="AN151" t="s">
        <v>195</v>
      </c>
    </row>
    <row r="152" spans="9:40" ht="14.25">
      <c r="I152" t="s">
        <v>167</v>
      </c>
      <c r="J152" t="s">
        <v>226</v>
      </c>
      <c r="K152">
        <v>0.058786695272152606</v>
      </c>
      <c r="L152" t="s">
        <v>153</v>
      </c>
      <c r="N152" t="s">
        <v>177</v>
      </c>
      <c r="O152" t="s">
        <v>226</v>
      </c>
      <c r="P152">
        <v>0.046018655738231704</v>
      </c>
      <c r="Q152" t="s">
        <v>153</v>
      </c>
      <c r="AK152">
        <v>2048</v>
      </c>
      <c r="AL152" t="s">
        <v>149</v>
      </c>
      <c r="AM152">
        <v>0.3846</v>
      </c>
      <c r="AN152" t="s">
        <v>195</v>
      </c>
    </row>
    <row r="153" spans="9:40" ht="14.25">
      <c r="I153" t="s">
        <v>167</v>
      </c>
      <c r="J153" t="s">
        <v>227</v>
      </c>
      <c r="K153">
        <v>0.038387505720213495</v>
      </c>
      <c r="L153" t="s">
        <v>153</v>
      </c>
      <c r="N153" t="s">
        <v>177</v>
      </c>
      <c r="O153" t="s">
        <v>227</v>
      </c>
      <c r="P153">
        <v>0.045523843497916501</v>
      </c>
      <c r="Q153" t="s">
        <v>153</v>
      </c>
      <c r="AK153">
        <v>2048</v>
      </c>
      <c r="AL153" t="s">
        <v>198</v>
      </c>
      <c r="AM153">
        <v>0.3846</v>
      </c>
      <c r="AN153" t="s">
        <v>195</v>
      </c>
    </row>
    <row r="154" spans="9:40" ht="14.25">
      <c r="I154" t="s">
        <v>167</v>
      </c>
      <c r="J154" t="s">
        <v>228</v>
      </c>
      <c r="K154">
        <v>0.010475230344234865</v>
      </c>
      <c r="L154" t="s">
        <v>153</v>
      </c>
      <c r="N154" t="s">
        <v>177</v>
      </c>
      <c r="O154" t="s">
        <v>228</v>
      </c>
      <c r="P154">
        <v>0.1931617863624856</v>
      </c>
      <c r="Q154" t="s">
        <v>153</v>
      </c>
      <c r="AK154">
        <v>2048</v>
      </c>
      <c r="AL154" t="s">
        <v>216</v>
      </c>
      <c r="AM154">
        <v>0.39742999999999995</v>
      </c>
      <c r="AN154" t="s">
        <v>195</v>
      </c>
    </row>
    <row r="155" spans="9:40" ht="14.25">
      <c r="I155" t="s">
        <v>168</v>
      </c>
      <c r="J155" t="s">
        <v>152</v>
      </c>
      <c r="K155">
        <v>0</v>
      </c>
      <c r="L155" t="s">
        <v>153</v>
      </c>
      <c r="N155" t="s">
        <v>178</v>
      </c>
      <c r="O155" t="s">
        <v>152</v>
      </c>
      <c r="P155">
        <v>0.034482838430782446</v>
      </c>
      <c r="Q155" t="s">
        <v>153</v>
      </c>
      <c r="AK155">
        <v>2049</v>
      </c>
      <c r="AL155" t="s">
        <v>141</v>
      </c>
      <c r="AM155">
        <v>0.39829999999999999</v>
      </c>
      <c r="AN155" t="s">
        <v>195</v>
      </c>
    </row>
    <row r="156" spans="9:40" ht="14.25">
      <c r="I156" t="s">
        <v>168</v>
      </c>
      <c r="J156" t="s">
        <v>154</v>
      </c>
      <c r="K156">
        <v>0.003603492460624632</v>
      </c>
      <c r="L156" t="s">
        <v>153</v>
      </c>
      <c r="N156" t="s">
        <v>178</v>
      </c>
      <c r="O156" t="s">
        <v>154</v>
      </c>
      <c r="P156">
        <v>0.0052194718970193354</v>
      </c>
      <c r="Q156" t="s">
        <v>153</v>
      </c>
      <c r="AK156">
        <v>2049</v>
      </c>
      <c r="AL156" t="s">
        <v>145</v>
      </c>
      <c r="AM156">
        <v>0.43204999999999999</v>
      </c>
      <c r="AN156" t="s">
        <v>195</v>
      </c>
    </row>
    <row r="157" spans="9:40" ht="14.25">
      <c r="I157" t="s">
        <v>168</v>
      </c>
      <c r="J157" t="s">
        <v>155</v>
      </c>
      <c r="K157">
        <v>0.070547653546780054</v>
      </c>
      <c r="L157" t="s">
        <v>153</v>
      </c>
      <c r="N157" t="s">
        <v>178</v>
      </c>
      <c r="O157" t="s">
        <v>155</v>
      </c>
      <c r="P157">
        <v>0.037630221728799935</v>
      </c>
      <c r="Q157" t="s">
        <v>153</v>
      </c>
      <c r="AK157">
        <v>2049</v>
      </c>
      <c r="AL157" t="s">
        <v>147</v>
      </c>
      <c r="AM157">
        <v>0.47639999999999999</v>
      </c>
      <c r="AN157" t="s">
        <v>195</v>
      </c>
    </row>
    <row r="158" spans="9:40" ht="14.25">
      <c r="I158" t="s">
        <v>168</v>
      </c>
      <c r="J158" t="s">
        <v>200</v>
      </c>
      <c r="K158">
        <v>0.0073954148309066017</v>
      </c>
      <c r="L158" t="s">
        <v>153</v>
      </c>
      <c r="N158" t="s">
        <v>178</v>
      </c>
      <c r="O158" t="s">
        <v>200</v>
      </c>
      <c r="P158">
        <v>0.0043753230143827012</v>
      </c>
      <c r="Q158" t="s">
        <v>153</v>
      </c>
      <c r="AK158">
        <v>2049</v>
      </c>
      <c r="AL158" t="s">
        <v>149</v>
      </c>
      <c r="AM158">
        <v>0.47639999999999999</v>
      </c>
      <c r="AN158" t="s">
        <v>195</v>
      </c>
    </row>
    <row r="159" spans="9:40" ht="14.25">
      <c r="I159" t="s">
        <v>168</v>
      </c>
      <c r="J159" t="s">
        <v>201</v>
      </c>
      <c r="K159">
        <v>0.0042058645371939127</v>
      </c>
      <c r="L159" t="s">
        <v>153</v>
      </c>
      <c r="N159" t="s">
        <v>178</v>
      </c>
      <c r="O159" t="s">
        <v>201</v>
      </c>
      <c r="P159">
        <v>0.0044891659573475726</v>
      </c>
      <c r="Q159" t="s">
        <v>153</v>
      </c>
      <c r="AK159">
        <v>2049</v>
      </c>
      <c r="AL159" t="s">
        <v>198</v>
      </c>
      <c r="AM159">
        <v>0.47639999999999999</v>
      </c>
      <c r="AN159" t="s">
        <v>195</v>
      </c>
    </row>
    <row r="160" spans="9:40" ht="14.25">
      <c r="I160" t="s">
        <v>168</v>
      </c>
      <c r="J160" t="s">
        <v>218</v>
      </c>
      <c r="K160">
        <v>0</v>
      </c>
      <c r="L160" t="s">
        <v>153</v>
      </c>
      <c r="N160" t="s">
        <v>178</v>
      </c>
      <c r="O160" t="s">
        <v>218</v>
      </c>
      <c r="P160">
        <v>0.028817685691696258</v>
      </c>
      <c r="Q160" t="s">
        <v>153</v>
      </c>
      <c r="AK160">
        <v>2049</v>
      </c>
      <c r="AL160" t="s">
        <v>216</v>
      </c>
      <c r="AM160">
        <v>0.46731999999999996</v>
      </c>
      <c r="AN160" t="s">
        <v>195</v>
      </c>
    </row>
    <row r="161" spans="9:40" ht="14.25">
      <c r="I161" t="s">
        <v>168</v>
      </c>
      <c r="J161" t="s">
        <v>156</v>
      </c>
      <c r="K161">
        <v>0</v>
      </c>
      <c r="L161" t="s">
        <v>153</v>
      </c>
      <c r="N161" t="s">
        <v>178</v>
      </c>
      <c r="O161" t="s">
        <v>156</v>
      </c>
      <c r="P161">
        <v>0.019318681387450229</v>
      </c>
      <c r="Q161" t="s">
        <v>153</v>
      </c>
      <c r="AK161">
        <v>2050</v>
      </c>
      <c r="AL161" t="s">
        <v>141</v>
      </c>
      <c r="AM161">
        <v>0.43230000000000002</v>
      </c>
      <c r="AN161" t="s">
        <v>195</v>
      </c>
    </row>
    <row r="162" spans="9:40" ht="14.25">
      <c r="I162" t="s">
        <v>168</v>
      </c>
      <c r="J162" t="s">
        <v>157</v>
      </c>
      <c r="K162">
        <v>0.0035736179017547645</v>
      </c>
      <c r="L162" t="s">
        <v>153</v>
      </c>
      <c r="N162" t="s">
        <v>178</v>
      </c>
      <c r="O162" t="s">
        <v>157</v>
      </c>
      <c r="P162">
        <v>0.0030720476202742097</v>
      </c>
      <c r="Q162" t="s">
        <v>153</v>
      </c>
      <c r="AK162">
        <v>2050</v>
      </c>
      <c r="AL162" t="s">
        <v>145</v>
      </c>
      <c r="AM162">
        <v>0.46965000000000001</v>
      </c>
      <c r="AN162" t="s">
        <v>195</v>
      </c>
    </row>
    <row r="163" spans="9:40" ht="14.25">
      <c r="I163" t="s">
        <v>168</v>
      </c>
      <c r="J163" t="s">
        <v>158</v>
      </c>
      <c r="K163">
        <v>0.072391367667484566</v>
      </c>
      <c r="L163" t="s">
        <v>153</v>
      </c>
      <c r="N163" t="s">
        <v>178</v>
      </c>
      <c r="O163" t="s">
        <v>158</v>
      </c>
      <c r="P163">
        <v>0.024933515871956219</v>
      </c>
      <c r="Q163" t="s">
        <v>153</v>
      </c>
      <c r="AK163">
        <v>2050</v>
      </c>
      <c r="AL163" t="s">
        <v>147</v>
      </c>
      <c r="AM163">
        <v>0.4985</v>
      </c>
      <c r="AN163" t="s">
        <v>195</v>
      </c>
    </row>
    <row r="164" spans="9:40" ht="14.25">
      <c r="I164" t="s">
        <v>168</v>
      </c>
      <c r="J164" t="s">
        <v>202</v>
      </c>
      <c r="K164">
        <v>0.0081485339688921309</v>
      </c>
      <c r="L164" t="s">
        <v>153</v>
      </c>
      <c r="N164" t="s">
        <v>178</v>
      </c>
      <c r="O164" t="s">
        <v>202</v>
      </c>
      <c r="P164">
        <v>0.0033208822993623702</v>
      </c>
      <c r="Q164" t="s">
        <v>153</v>
      </c>
      <c r="AK164">
        <v>2050</v>
      </c>
      <c r="AL164" t="s">
        <v>149</v>
      </c>
      <c r="AM164">
        <v>0.4985</v>
      </c>
      <c r="AN164" t="s">
        <v>195</v>
      </c>
    </row>
    <row r="165" spans="9:40" ht="14.25">
      <c r="I165" t="s">
        <v>168</v>
      </c>
      <c r="J165" t="s">
        <v>203</v>
      </c>
      <c r="K165">
        <v>0.0052366799891283315</v>
      </c>
      <c r="L165" t="s">
        <v>153</v>
      </c>
      <c r="N165" t="s">
        <v>178</v>
      </c>
      <c r="O165" t="s">
        <v>203</v>
      </c>
      <c r="P165">
        <v>0.0036139110197147576</v>
      </c>
      <c r="Q165" t="s">
        <v>153</v>
      </c>
      <c r="AK165">
        <v>2050</v>
      </c>
      <c r="AL165" t="s">
        <v>198</v>
      </c>
      <c r="AM165">
        <v>0.4985</v>
      </c>
      <c r="AN165" t="s">
        <v>195</v>
      </c>
    </row>
    <row r="166" spans="9:40" ht="14.25">
      <c r="I166" t="s">
        <v>168</v>
      </c>
      <c r="J166" t="s">
        <v>219</v>
      </c>
      <c r="K166">
        <v>0</v>
      </c>
      <c r="L166" t="s">
        <v>153</v>
      </c>
      <c r="N166" t="s">
        <v>178</v>
      </c>
      <c r="O166" t="s">
        <v>219</v>
      </c>
      <c r="P166">
        <v>0.023747356494612154</v>
      </c>
      <c r="Q166" t="s">
        <v>153</v>
      </c>
      <c r="AK166">
        <v>2050</v>
      </c>
      <c r="AL166" t="s">
        <v>216</v>
      </c>
      <c r="AM166">
        <v>0.46578999999999998</v>
      </c>
      <c r="AN166" t="s">
        <v>195</v>
      </c>
    </row>
    <row r="167" spans="9:17" ht="14.25">
      <c r="I167" t="s">
        <v>168</v>
      </c>
      <c r="J167" t="s">
        <v>159</v>
      </c>
      <c r="K167">
        <v>0</v>
      </c>
      <c r="L167" t="s">
        <v>153</v>
      </c>
      <c r="N167" t="s">
        <v>178</v>
      </c>
      <c r="O167" t="s">
        <v>159</v>
      </c>
      <c r="P167">
        <v>0.0071616424493862116</v>
      </c>
      <c r="Q167" t="s">
        <v>153</v>
      </c>
    </row>
    <row r="168" spans="9:17" ht="14.25">
      <c r="I168" t="s">
        <v>168</v>
      </c>
      <c r="J168" t="s">
        <v>160</v>
      </c>
      <c r="K168">
        <v>0.00071512001906876292</v>
      </c>
      <c r="L168" t="s">
        <v>153</v>
      </c>
      <c r="N168" t="s">
        <v>178</v>
      </c>
      <c r="O168" t="s">
        <v>160</v>
      </c>
      <c r="P168">
        <v>0.0010750165765809631</v>
      </c>
      <c r="Q168" t="s">
        <v>153</v>
      </c>
    </row>
    <row r="169" spans="9:17" ht="14.25">
      <c r="I169" t="s">
        <v>168</v>
      </c>
      <c r="J169" t="s">
        <v>161</v>
      </c>
      <c r="K169">
        <v>0.011959327132062162</v>
      </c>
      <c r="L169" t="s">
        <v>153</v>
      </c>
      <c r="N169" t="s">
        <v>178</v>
      </c>
      <c r="O169" t="s">
        <v>161</v>
      </c>
      <c r="P169">
        <v>0.0065749241327877697</v>
      </c>
      <c r="Q169" t="s">
        <v>153</v>
      </c>
    </row>
    <row r="170" spans="9:17" ht="14.25">
      <c r="I170" t="s">
        <v>168</v>
      </c>
      <c r="J170" t="s">
        <v>204</v>
      </c>
      <c r="K170">
        <v>0.0012737315673913914</v>
      </c>
      <c r="L170" t="s">
        <v>153</v>
      </c>
      <c r="N170" t="s">
        <v>178</v>
      </c>
      <c r="O170" t="s">
        <v>204</v>
      </c>
      <c r="P170">
        <v>0.00086807190947974216</v>
      </c>
      <c r="Q170" t="s">
        <v>153</v>
      </c>
    </row>
    <row r="171" spans="9:17" ht="14.25">
      <c r="I171" t="s">
        <v>168</v>
      </c>
      <c r="J171" t="s">
        <v>205</v>
      </c>
      <c r="K171">
        <v>0.00082946545464032424</v>
      </c>
      <c r="L171" t="s">
        <v>153</v>
      </c>
      <c r="N171" t="s">
        <v>178</v>
      </c>
      <c r="O171" t="s">
        <v>205</v>
      </c>
      <c r="P171">
        <v>0.00086032016211184275</v>
      </c>
      <c r="Q171" t="s">
        <v>153</v>
      </c>
    </row>
    <row r="172" spans="9:17" ht="14.25">
      <c r="I172" t="s">
        <v>168</v>
      </c>
      <c r="J172" t="s">
        <v>220</v>
      </c>
      <c r="K172">
        <v>0</v>
      </c>
      <c r="L172" t="s">
        <v>153</v>
      </c>
      <c r="N172" t="s">
        <v>178</v>
      </c>
      <c r="O172" t="s">
        <v>220</v>
      </c>
      <c r="P172">
        <v>0.0054692153632326735</v>
      </c>
      <c r="Q172" t="s">
        <v>153</v>
      </c>
    </row>
    <row r="173" spans="9:17" ht="14.25">
      <c r="I173" t="s">
        <v>168</v>
      </c>
      <c r="J173" t="s">
        <v>162</v>
      </c>
      <c r="K173">
        <v>0</v>
      </c>
      <c r="L173" t="s">
        <v>153</v>
      </c>
      <c r="N173" t="s">
        <v>178</v>
      </c>
      <c r="O173" t="s">
        <v>162</v>
      </c>
      <c r="P173">
        <v>0.010461553874010094</v>
      </c>
      <c r="Q173" t="s">
        <v>153</v>
      </c>
    </row>
    <row r="174" spans="9:17" ht="14.25">
      <c r="I174" t="s">
        <v>168</v>
      </c>
      <c r="J174" t="s">
        <v>163</v>
      </c>
      <c r="K174">
        <v>0.0015286816639707866</v>
      </c>
      <c r="L174" t="s">
        <v>153</v>
      </c>
      <c r="N174" t="s">
        <v>178</v>
      </c>
      <c r="O174" t="s">
        <v>163</v>
      </c>
      <c r="P174">
        <v>0.0022456137939991815</v>
      </c>
      <c r="Q174" t="s">
        <v>153</v>
      </c>
    </row>
    <row r="175" spans="9:17" ht="14.25">
      <c r="I175" t="s">
        <v>168</v>
      </c>
      <c r="J175" t="s">
        <v>164</v>
      </c>
      <c r="K175">
        <v>0.024416634320409619</v>
      </c>
      <c r="L175" t="s">
        <v>153</v>
      </c>
      <c r="N175" t="s">
        <v>178</v>
      </c>
      <c r="O175" t="s">
        <v>164</v>
      </c>
      <c r="P175">
        <v>0.013191757860304259</v>
      </c>
      <c r="Q175" t="s">
        <v>153</v>
      </c>
    </row>
    <row r="176" spans="9:17" ht="14.25">
      <c r="I176" t="s">
        <v>168</v>
      </c>
      <c r="J176" t="s">
        <v>206</v>
      </c>
      <c r="K176">
        <v>0.0025934654274234999</v>
      </c>
      <c r="L176" t="s">
        <v>153</v>
      </c>
      <c r="N176" t="s">
        <v>178</v>
      </c>
      <c r="O176" t="s">
        <v>206</v>
      </c>
      <c r="P176">
        <v>0.0013590374228559677</v>
      </c>
      <c r="Q176" t="s">
        <v>153</v>
      </c>
    </row>
    <row r="177" spans="9:17" ht="14.25">
      <c r="I177" t="s">
        <v>168</v>
      </c>
      <c r="J177" t="s">
        <v>207</v>
      </c>
      <c r="K177">
        <v>0.0017621268572384158</v>
      </c>
      <c r="L177" t="s">
        <v>153</v>
      </c>
      <c r="N177" t="s">
        <v>178</v>
      </c>
      <c r="O177" t="s">
        <v>207</v>
      </c>
      <c r="P177">
        <v>0.001511446005872015</v>
      </c>
      <c r="Q177" t="s">
        <v>153</v>
      </c>
    </row>
    <row r="178" spans="9:17" ht="14.25">
      <c r="I178" t="s">
        <v>168</v>
      </c>
      <c r="J178" t="s">
        <v>221</v>
      </c>
      <c r="K178">
        <v>5.8974274394902099E-05</v>
      </c>
      <c r="L178" t="s">
        <v>153</v>
      </c>
      <c r="N178" t="s">
        <v>178</v>
      </c>
      <c r="O178" t="s">
        <v>221</v>
      </c>
      <c r="P178">
        <v>0.0096859607131514411</v>
      </c>
      <c r="Q178" t="s">
        <v>153</v>
      </c>
    </row>
    <row r="179" spans="9:17" ht="14.25">
      <c r="I179" t="s">
        <v>168</v>
      </c>
      <c r="J179" t="s">
        <v>208</v>
      </c>
      <c r="K179">
        <v>5.6726068943476618E-08</v>
      </c>
      <c r="L179" t="s">
        <v>153</v>
      </c>
      <c r="N179" t="s">
        <v>178</v>
      </c>
      <c r="O179" t="s">
        <v>208</v>
      </c>
      <c r="P179">
        <v>0.0029935954101779211</v>
      </c>
      <c r="Q179" t="s">
        <v>153</v>
      </c>
    </row>
    <row r="180" spans="9:17" ht="14.25">
      <c r="I180" t="s">
        <v>168</v>
      </c>
      <c r="J180" t="s">
        <v>209</v>
      </c>
      <c r="K180">
        <v>0.00050809150484196956</v>
      </c>
      <c r="L180" t="s">
        <v>153</v>
      </c>
      <c r="N180" t="s">
        <v>178</v>
      </c>
      <c r="O180" t="s">
        <v>209</v>
      </c>
      <c r="P180">
        <v>0.00031477513724889546</v>
      </c>
      <c r="Q180" t="s">
        <v>153</v>
      </c>
    </row>
    <row r="181" spans="9:17" ht="14.25">
      <c r="I181" t="s">
        <v>168</v>
      </c>
      <c r="J181" t="s">
        <v>210</v>
      </c>
      <c r="K181">
        <v>0.0092821029133916527</v>
      </c>
      <c r="L181" t="s">
        <v>153</v>
      </c>
      <c r="N181" t="s">
        <v>178</v>
      </c>
      <c r="O181" t="s">
        <v>210</v>
      </c>
      <c r="P181">
        <v>0.0041280285316470005</v>
      </c>
      <c r="Q181" t="s">
        <v>153</v>
      </c>
    </row>
    <row r="182" spans="9:17" ht="14.25">
      <c r="I182" t="s">
        <v>168</v>
      </c>
      <c r="J182" t="s">
        <v>211</v>
      </c>
      <c r="K182">
        <v>0.00093318937005341755</v>
      </c>
      <c r="L182" t="s">
        <v>153</v>
      </c>
      <c r="N182" t="s">
        <v>178</v>
      </c>
      <c r="O182" t="s">
        <v>211</v>
      </c>
      <c r="P182">
        <v>0.00065476808858354275</v>
      </c>
      <c r="Q182" t="s">
        <v>153</v>
      </c>
    </row>
    <row r="183" spans="9:17" ht="14.25">
      <c r="I183" t="s">
        <v>168</v>
      </c>
      <c r="J183" t="s">
        <v>212</v>
      </c>
      <c r="K183">
        <v>0.000633866666340191</v>
      </c>
      <c r="L183" t="s">
        <v>153</v>
      </c>
      <c r="N183" t="s">
        <v>178</v>
      </c>
      <c r="O183" t="s">
        <v>212</v>
      </c>
      <c r="P183">
        <v>0.00065021903747803993</v>
      </c>
      <c r="Q183" t="s">
        <v>153</v>
      </c>
    </row>
    <row r="184" spans="9:17" ht="14.25">
      <c r="I184" t="s">
        <v>168</v>
      </c>
      <c r="J184" t="s">
        <v>222</v>
      </c>
      <c r="K184">
        <v>0.00013007733399908697</v>
      </c>
      <c r="L184" t="s">
        <v>153</v>
      </c>
      <c r="N184" t="s">
        <v>178</v>
      </c>
      <c r="O184" t="s">
        <v>222</v>
      </c>
      <c r="P184">
        <v>0.0024168801123132812</v>
      </c>
      <c r="Q184" t="s">
        <v>153</v>
      </c>
    </row>
    <row r="185" spans="9:17" ht="14.25">
      <c r="I185" t="s">
        <v>168</v>
      </c>
      <c r="J185" t="s">
        <v>223</v>
      </c>
      <c r="K185">
        <v>0.014370634444822596</v>
      </c>
      <c r="L185" t="s">
        <v>153</v>
      </c>
      <c r="N185" t="s">
        <v>178</v>
      </c>
      <c r="O185" t="s">
        <v>223</v>
      </c>
      <c r="P185">
        <v>0.1733749801797618</v>
      </c>
      <c r="Q185" t="s">
        <v>153</v>
      </c>
    </row>
    <row r="186" spans="9:17" ht="14.25">
      <c r="I186" t="s">
        <v>168</v>
      </c>
      <c r="J186" t="s">
        <v>224</v>
      </c>
      <c r="K186">
        <v>0.044287593876004915</v>
      </c>
      <c r="L186" t="s">
        <v>153</v>
      </c>
      <c r="N186" t="s">
        <v>178</v>
      </c>
      <c r="O186" t="s">
        <v>224</v>
      </c>
      <c r="P186">
        <v>0.025398980642533191</v>
      </c>
      <c r="Q186" t="s">
        <v>153</v>
      </c>
    </row>
    <row r="187" spans="9:17" ht="14.25">
      <c r="I187" t="s">
        <v>168</v>
      </c>
      <c r="J187" t="s">
        <v>225</v>
      </c>
      <c r="K187">
        <v>0.60790108488727257</v>
      </c>
      <c r="L187" t="s">
        <v>153</v>
      </c>
      <c r="N187" t="s">
        <v>178</v>
      </c>
      <c r="O187" t="s">
        <v>225</v>
      </c>
      <c r="P187">
        <v>0.22857192202200863</v>
      </c>
      <c r="Q187" t="s">
        <v>153</v>
      </c>
    </row>
    <row r="188" spans="9:17" ht="14.25">
      <c r="I188" t="s">
        <v>168</v>
      </c>
      <c r="J188" t="s">
        <v>226</v>
      </c>
      <c r="K188">
        <v>0.056959236123572621</v>
      </c>
      <c r="L188" t="s">
        <v>153</v>
      </c>
      <c r="N188" t="s">
        <v>178</v>
      </c>
      <c r="O188" t="s">
        <v>226</v>
      </c>
      <c r="P188">
        <v>0.041941573417764041</v>
      </c>
      <c r="Q188" t="s">
        <v>153</v>
      </c>
    </row>
    <row r="189" spans="9:17" ht="14.25">
      <c r="I189" t="s">
        <v>168</v>
      </c>
      <c r="J189" t="s">
        <v>227</v>
      </c>
      <c r="K189">
        <v>0.035427956157686527</v>
      </c>
      <c r="L189" t="s">
        <v>153</v>
      </c>
      <c r="N189" t="s">
        <v>178</v>
      </c>
      <c r="O189" t="s">
        <v>227</v>
      </c>
      <c r="P189">
        <v>0.045909837059877084</v>
      </c>
      <c r="Q189" t="s">
        <v>153</v>
      </c>
    </row>
    <row r="190" spans="9:17" ht="14.25">
      <c r="I190" t="s">
        <v>168</v>
      </c>
      <c r="J190" t="s">
        <v>228</v>
      </c>
      <c r="K190">
        <v>0.0093259583765771155</v>
      </c>
      <c r="L190" t="s">
        <v>153</v>
      </c>
      <c r="N190" t="s">
        <v>178</v>
      </c>
      <c r="O190" t="s">
        <v>228</v>
      </c>
      <c r="P190">
        <v>0.22015877868343683</v>
      </c>
      <c r="Q190" t="s">
        <v>153</v>
      </c>
    </row>
    <row r="191" spans="9:17" ht="14.25">
      <c r="I191" t="s">
        <v>169</v>
      </c>
      <c r="J191" t="s">
        <v>152</v>
      </c>
      <c r="K191">
        <v>0</v>
      </c>
      <c r="L191" t="s">
        <v>153</v>
      </c>
      <c r="N191" t="s">
        <v>179</v>
      </c>
      <c r="O191" t="s">
        <v>152</v>
      </c>
      <c r="P191">
        <v>0.02901469066713382</v>
      </c>
      <c r="Q191" t="s">
        <v>153</v>
      </c>
    </row>
    <row r="192" spans="9:17" ht="14.25">
      <c r="I192" t="s">
        <v>169</v>
      </c>
      <c r="J192" t="s">
        <v>154</v>
      </c>
      <c r="K192">
        <v>0.0031020783957555757</v>
      </c>
      <c r="L192" t="s">
        <v>153</v>
      </c>
      <c r="N192" t="s">
        <v>179</v>
      </c>
      <c r="O192" t="s">
        <v>154</v>
      </c>
      <c r="P192">
        <v>0.0038435269231681954</v>
      </c>
      <c r="Q192" t="s">
        <v>153</v>
      </c>
    </row>
    <row r="193" spans="9:17" ht="14.25">
      <c r="I193" t="s">
        <v>169</v>
      </c>
      <c r="J193" t="s">
        <v>155</v>
      </c>
      <c r="K193">
        <v>0.066918183385618307</v>
      </c>
      <c r="L193" t="s">
        <v>153</v>
      </c>
      <c r="N193" t="s">
        <v>179</v>
      </c>
      <c r="O193" t="s">
        <v>155</v>
      </c>
      <c r="P193">
        <v>0.047871514431673694</v>
      </c>
      <c r="Q193" t="s">
        <v>153</v>
      </c>
    </row>
    <row r="194" spans="9:17" ht="14.25">
      <c r="I194" t="s">
        <v>169</v>
      </c>
      <c r="J194" t="s">
        <v>200</v>
      </c>
      <c r="K194">
        <v>0.0066033262151026107</v>
      </c>
      <c r="L194" t="s">
        <v>153</v>
      </c>
      <c r="N194" t="s">
        <v>179</v>
      </c>
      <c r="O194" t="s">
        <v>200</v>
      </c>
      <c r="P194">
        <v>0.0057555556324059547</v>
      </c>
      <c r="Q194" t="s">
        <v>153</v>
      </c>
    </row>
    <row r="195" spans="9:17" ht="14.25">
      <c r="I195" t="s">
        <v>169</v>
      </c>
      <c r="J195" t="s">
        <v>201</v>
      </c>
      <c r="K195">
        <v>0.0037668267179271952</v>
      </c>
      <c r="L195" t="s">
        <v>153</v>
      </c>
      <c r="N195" t="s">
        <v>179</v>
      </c>
      <c r="O195" t="s">
        <v>201</v>
      </c>
      <c r="P195">
        <v>0.0055486367777169646</v>
      </c>
      <c r="Q195" t="s">
        <v>153</v>
      </c>
    </row>
    <row r="196" spans="9:17" ht="14.25">
      <c r="I196" t="s">
        <v>169</v>
      </c>
      <c r="J196" t="s">
        <v>218</v>
      </c>
      <c r="K196">
        <v>0</v>
      </c>
      <c r="L196" t="s">
        <v>153</v>
      </c>
      <c r="N196" t="s">
        <v>179</v>
      </c>
      <c r="O196" t="s">
        <v>218</v>
      </c>
      <c r="P196">
        <v>0.027963145895357287</v>
      </c>
      <c r="Q196" t="s">
        <v>153</v>
      </c>
    </row>
    <row r="197" spans="9:17" ht="14.25">
      <c r="I197" t="s">
        <v>169</v>
      </c>
      <c r="J197" t="s">
        <v>156</v>
      </c>
      <c r="K197">
        <v>0</v>
      </c>
      <c r="L197" t="s">
        <v>153</v>
      </c>
      <c r="N197" t="s">
        <v>179</v>
      </c>
      <c r="O197" t="s">
        <v>156</v>
      </c>
      <c r="P197">
        <v>0.024926551686677598</v>
      </c>
      <c r="Q197" t="s">
        <v>153</v>
      </c>
    </row>
    <row r="198" spans="9:17" ht="14.25">
      <c r="I198" t="s">
        <v>169</v>
      </c>
      <c r="J198" t="s">
        <v>157</v>
      </c>
      <c r="K198">
        <v>0.0038769194075866957</v>
      </c>
      <c r="L198" t="s">
        <v>153</v>
      </c>
      <c r="N198" t="s">
        <v>179</v>
      </c>
      <c r="O198" t="s">
        <v>157</v>
      </c>
      <c r="P198">
        <v>0.0030618441151244479</v>
      </c>
      <c r="Q198" t="s">
        <v>153</v>
      </c>
    </row>
    <row r="199" spans="9:17" ht="14.25">
      <c r="I199" t="s">
        <v>169</v>
      </c>
      <c r="J199" t="s">
        <v>158</v>
      </c>
      <c r="K199">
        <v>0.072658642161546869</v>
      </c>
      <c r="L199" t="s">
        <v>153</v>
      </c>
      <c r="N199" t="s">
        <v>179</v>
      </c>
      <c r="O199" t="s">
        <v>158</v>
      </c>
      <c r="P199">
        <v>0.03212705785690699</v>
      </c>
      <c r="Q199" t="s">
        <v>153</v>
      </c>
    </row>
    <row r="200" spans="9:17" ht="14.25">
      <c r="I200" t="s">
        <v>169</v>
      </c>
      <c r="J200" t="s">
        <v>202</v>
      </c>
      <c r="K200">
        <v>0.0078886293545138639</v>
      </c>
      <c r="L200" t="s">
        <v>153</v>
      </c>
      <c r="N200" t="s">
        <v>179</v>
      </c>
      <c r="O200" t="s">
        <v>202</v>
      </c>
      <c r="P200">
        <v>0.0049995771666641268</v>
      </c>
      <c r="Q200" t="s">
        <v>153</v>
      </c>
    </row>
    <row r="201" spans="9:17" ht="14.25">
      <c r="I201" t="s">
        <v>169</v>
      </c>
      <c r="J201" t="s">
        <v>203</v>
      </c>
      <c r="K201">
        <v>0.0049270685847816924</v>
      </c>
      <c r="L201" t="s">
        <v>153</v>
      </c>
      <c r="N201" t="s">
        <v>179</v>
      </c>
      <c r="O201" t="s">
        <v>203</v>
      </c>
      <c r="P201">
        <v>0.0050728609086995889</v>
      </c>
      <c r="Q201" t="s">
        <v>153</v>
      </c>
    </row>
    <row r="202" spans="9:17" ht="14.25">
      <c r="I202" t="s">
        <v>169</v>
      </c>
      <c r="J202" t="s">
        <v>219</v>
      </c>
      <c r="K202">
        <v>0</v>
      </c>
      <c r="L202" t="s">
        <v>153</v>
      </c>
      <c r="N202" t="s">
        <v>179</v>
      </c>
      <c r="O202" t="s">
        <v>219</v>
      </c>
      <c r="P202">
        <v>0.021425961704446817</v>
      </c>
      <c r="Q202" t="s">
        <v>153</v>
      </c>
    </row>
    <row r="203" spans="9:17" ht="14.25">
      <c r="I203" t="s">
        <v>169</v>
      </c>
      <c r="J203" t="s">
        <v>159</v>
      </c>
      <c r="K203">
        <v>0</v>
      </c>
      <c r="L203" t="s">
        <v>153</v>
      </c>
      <c r="N203" t="s">
        <v>179</v>
      </c>
      <c r="O203" t="s">
        <v>159</v>
      </c>
      <c r="P203">
        <v>0.0024600021154490381</v>
      </c>
      <c r="Q203" t="s">
        <v>153</v>
      </c>
    </row>
    <row r="204" spans="9:17" ht="14.25">
      <c r="I204" t="s">
        <v>169</v>
      </c>
      <c r="J204" t="s">
        <v>160</v>
      </c>
      <c r="K204">
        <v>0.00082219624866894023</v>
      </c>
      <c r="L204" t="s">
        <v>153</v>
      </c>
      <c r="N204" t="s">
        <v>179</v>
      </c>
      <c r="O204" t="s">
        <v>160</v>
      </c>
      <c r="P204">
        <v>0.00037424589946795676</v>
      </c>
      <c r="Q204" t="s">
        <v>153</v>
      </c>
    </row>
    <row r="205" spans="9:17" ht="14.25">
      <c r="I205" t="s">
        <v>169</v>
      </c>
      <c r="J205" t="s">
        <v>161</v>
      </c>
      <c r="K205">
        <v>0.012163286805036025</v>
      </c>
      <c r="L205" t="s">
        <v>153</v>
      </c>
      <c r="N205" t="s">
        <v>179</v>
      </c>
      <c r="O205" t="s">
        <v>161</v>
      </c>
      <c r="P205">
        <v>0.0063176205568789712</v>
      </c>
      <c r="Q205" t="s">
        <v>153</v>
      </c>
    </row>
    <row r="206" spans="9:17" ht="14.25">
      <c r="I206" t="s">
        <v>169</v>
      </c>
      <c r="J206" t="s">
        <v>204</v>
      </c>
      <c r="K206">
        <v>0.001124920618744119</v>
      </c>
      <c r="L206" t="s">
        <v>153</v>
      </c>
      <c r="N206" t="s">
        <v>179</v>
      </c>
      <c r="O206" t="s">
        <v>204</v>
      </c>
      <c r="P206">
        <v>0.00090175105246724399</v>
      </c>
      <c r="Q206" t="s">
        <v>153</v>
      </c>
    </row>
    <row r="207" spans="9:17" ht="14.25">
      <c r="I207" t="s">
        <v>169</v>
      </c>
      <c r="J207" t="s">
        <v>205</v>
      </c>
      <c r="K207">
        <v>0.00070777828348003616</v>
      </c>
      <c r="L207" t="s">
        <v>153</v>
      </c>
      <c r="N207" t="s">
        <v>179</v>
      </c>
      <c r="O207" t="s">
        <v>205</v>
      </c>
      <c r="P207">
        <v>0.00076201340682296808</v>
      </c>
      <c r="Q207" t="s">
        <v>153</v>
      </c>
    </row>
    <row r="208" spans="9:17" ht="14.25">
      <c r="I208" t="s">
        <v>169</v>
      </c>
      <c r="J208" t="s">
        <v>220</v>
      </c>
      <c r="K208">
        <v>0</v>
      </c>
      <c r="L208" t="s">
        <v>153</v>
      </c>
      <c r="N208" t="s">
        <v>179</v>
      </c>
      <c r="O208" t="s">
        <v>220</v>
      </c>
      <c r="P208">
        <v>0.0024493233174246666</v>
      </c>
      <c r="Q208" t="s">
        <v>153</v>
      </c>
    </row>
    <row r="209" spans="9:17" ht="14.25">
      <c r="I209" t="s">
        <v>169</v>
      </c>
      <c r="J209" t="s">
        <v>162</v>
      </c>
      <c r="K209">
        <v>0</v>
      </c>
      <c r="L209" t="s">
        <v>153</v>
      </c>
      <c r="N209" t="s">
        <v>179</v>
      </c>
      <c r="O209" t="s">
        <v>162</v>
      </c>
      <c r="P209">
        <v>0.003323209731216312</v>
      </c>
      <c r="Q209" t="s">
        <v>153</v>
      </c>
    </row>
    <row r="210" spans="9:17" ht="14.25">
      <c r="I210" t="s">
        <v>169</v>
      </c>
      <c r="J210" t="s">
        <v>163</v>
      </c>
      <c r="K210">
        <v>0.0015856514174990202</v>
      </c>
      <c r="L210" t="s">
        <v>153</v>
      </c>
      <c r="N210" t="s">
        <v>179</v>
      </c>
      <c r="O210" t="s">
        <v>163</v>
      </c>
      <c r="P210">
        <v>0.00063795099451240274</v>
      </c>
      <c r="Q210" t="s">
        <v>153</v>
      </c>
    </row>
    <row r="211" spans="9:17" ht="14.25">
      <c r="I211" t="s">
        <v>169</v>
      </c>
      <c r="J211" t="s">
        <v>164</v>
      </c>
      <c r="K211">
        <v>0.024328216194323609</v>
      </c>
      <c r="L211" t="s">
        <v>153</v>
      </c>
      <c r="N211" t="s">
        <v>179</v>
      </c>
      <c r="O211" t="s">
        <v>164</v>
      </c>
      <c r="P211">
        <v>0.0086277592877810807</v>
      </c>
      <c r="Q211" t="s">
        <v>153</v>
      </c>
    </row>
    <row r="212" spans="9:17" ht="14.25">
      <c r="I212" t="s">
        <v>169</v>
      </c>
      <c r="J212" t="s">
        <v>206</v>
      </c>
      <c r="K212">
        <v>0.0025545806803113449</v>
      </c>
      <c r="L212" t="s">
        <v>153</v>
      </c>
      <c r="N212" t="s">
        <v>179</v>
      </c>
      <c r="O212" t="s">
        <v>206</v>
      </c>
      <c r="P212">
        <v>0.0013399953532946861</v>
      </c>
      <c r="Q212" t="s">
        <v>153</v>
      </c>
    </row>
    <row r="213" spans="9:17" ht="14.25">
      <c r="I213" t="s">
        <v>169</v>
      </c>
      <c r="J213" t="s">
        <v>207</v>
      </c>
      <c r="K213">
        <v>0.0016531953861507376</v>
      </c>
      <c r="L213" t="s">
        <v>153</v>
      </c>
      <c r="N213" t="s">
        <v>179</v>
      </c>
      <c r="O213" t="s">
        <v>207</v>
      </c>
      <c r="P213">
        <v>0.0012502598446209204</v>
      </c>
      <c r="Q213" t="s">
        <v>153</v>
      </c>
    </row>
    <row r="214" spans="9:17" ht="14.25">
      <c r="I214" t="s">
        <v>169</v>
      </c>
      <c r="J214" t="s">
        <v>221</v>
      </c>
      <c r="K214">
        <v>0</v>
      </c>
      <c r="L214" t="s">
        <v>153</v>
      </c>
      <c r="N214" t="s">
        <v>179</v>
      </c>
      <c r="O214" t="s">
        <v>221</v>
      </c>
      <c r="P214">
        <v>0.0050213395427133765</v>
      </c>
      <c r="Q214" t="s">
        <v>153</v>
      </c>
    </row>
    <row r="215" spans="9:17" ht="14.25">
      <c r="I215" t="s">
        <v>169</v>
      </c>
      <c r="J215" t="s">
        <v>208</v>
      </c>
      <c r="K215">
        <v>0.00013867052753331643</v>
      </c>
      <c r="L215" t="s">
        <v>153</v>
      </c>
      <c r="N215" t="s">
        <v>179</v>
      </c>
      <c r="O215" t="s">
        <v>208</v>
      </c>
      <c r="P215">
        <v>0.001354899036788942</v>
      </c>
      <c r="Q215" t="s">
        <v>153</v>
      </c>
    </row>
    <row r="216" spans="9:17" ht="14.25">
      <c r="I216" t="s">
        <v>169</v>
      </c>
      <c r="J216" t="s">
        <v>209</v>
      </c>
      <c r="K216">
        <v>0.00048495447098507511</v>
      </c>
      <c r="L216" t="s">
        <v>153</v>
      </c>
      <c r="N216" t="s">
        <v>179</v>
      </c>
      <c r="O216" t="s">
        <v>209</v>
      </c>
      <c r="P216">
        <v>0.00015410053897467298</v>
      </c>
      <c r="Q216" t="s">
        <v>153</v>
      </c>
    </row>
    <row r="217" spans="9:17" ht="14.25">
      <c r="I217" t="s">
        <v>169</v>
      </c>
      <c r="J217" t="s">
        <v>210</v>
      </c>
      <c r="K217">
        <v>0.009008289110625305</v>
      </c>
      <c r="L217" t="s">
        <v>153</v>
      </c>
      <c r="N217" t="s">
        <v>179</v>
      </c>
      <c r="O217" t="s">
        <v>210</v>
      </c>
      <c r="P217">
        <v>0.012998528785239327</v>
      </c>
      <c r="Q217" t="s">
        <v>153</v>
      </c>
    </row>
    <row r="218" spans="9:17" ht="14.25">
      <c r="I218" t="s">
        <v>169</v>
      </c>
      <c r="J218" t="s">
        <v>211</v>
      </c>
      <c r="K218">
        <v>0.00077756599104055097</v>
      </c>
      <c r="L218" t="s">
        <v>153</v>
      </c>
      <c r="N218" t="s">
        <v>179</v>
      </c>
      <c r="O218" t="s">
        <v>211</v>
      </c>
      <c r="P218">
        <v>0.00177727921196804</v>
      </c>
      <c r="Q218" t="s">
        <v>153</v>
      </c>
    </row>
    <row r="219" spans="9:17" ht="14.25">
      <c r="I219" t="s">
        <v>169</v>
      </c>
      <c r="J219" t="s">
        <v>212</v>
      </c>
      <c r="K219">
        <v>0.00043972648205644721</v>
      </c>
      <c r="L219" t="s">
        <v>153</v>
      </c>
      <c r="N219" t="s">
        <v>179</v>
      </c>
      <c r="O219" t="s">
        <v>212</v>
      </c>
      <c r="P219">
        <v>0.0016716061011627348</v>
      </c>
      <c r="Q219" t="s">
        <v>153</v>
      </c>
    </row>
    <row r="220" spans="9:17" ht="14.25">
      <c r="I220" t="s">
        <v>169</v>
      </c>
      <c r="J220" t="s">
        <v>222</v>
      </c>
      <c r="K220">
        <v>0</v>
      </c>
      <c r="L220" t="s">
        <v>153</v>
      </c>
      <c r="N220" t="s">
        <v>179</v>
      </c>
      <c r="O220" t="s">
        <v>222</v>
      </c>
      <c r="P220">
        <v>0.0035697821653888485</v>
      </c>
      <c r="Q220" t="s">
        <v>153</v>
      </c>
    </row>
    <row r="221" spans="9:17" ht="14.25">
      <c r="I221" t="s">
        <v>169</v>
      </c>
      <c r="J221" t="s">
        <v>223</v>
      </c>
      <c r="K221">
        <v>0.017110824375307969</v>
      </c>
      <c r="L221" t="s">
        <v>153</v>
      </c>
      <c r="N221" t="s">
        <v>179</v>
      </c>
      <c r="O221" t="s">
        <v>223</v>
      </c>
      <c r="P221">
        <v>0.15298148631737971</v>
      </c>
      <c r="Q221" t="s">
        <v>153</v>
      </c>
    </row>
    <row r="222" spans="9:17" ht="14.25">
      <c r="I222" t="s">
        <v>169</v>
      </c>
      <c r="J222" t="s">
        <v>224</v>
      </c>
      <c r="K222">
        <v>0.046185948222896588</v>
      </c>
      <c r="L222" t="s">
        <v>153</v>
      </c>
      <c r="N222" t="s">
        <v>179</v>
      </c>
      <c r="O222" t="s">
        <v>224</v>
      </c>
      <c r="P222">
        <v>0.020795192276249347</v>
      </c>
      <c r="Q222" t="s">
        <v>153</v>
      </c>
    </row>
    <row r="223" spans="9:17" ht="14.25">
      <c r="I223" t="s">
        <v>169</v>
      </c>
      <c r="J223" t="s">
        <v>225</v>
      </c>
      <c r="K223">
        <v>0.61715492437614694</v>
      </c>
      <c r="L223" t="s">
        <v>153</v>
      </c>
      <c r="N223" t="s">
        <v>179</v>
      </c>
      <c r="O223" t="s">
        <v>225</v>
      </c>
      <c r="P223">
        <v>0.29652579002502799</v>
      </c>
      <c r="Q223" t="s">
        <v>153</v>
      </c>
    </row>
    <row r="224" spans="9:17" ht="14.25">
      <c r="I224" t="s">
        <v>169</v>
      </c>
      <c r="J224" t="s">
        <v>226</v>
      </c>
      <c r="K224">
        <v>0.055401865281178665</v>
      </c>
      <c r="L224" t="s">
        <v>153</v>
      </c>
      <c r="N224" t="s">
        <v>179</v>
      </c>
      <c r="O224" t="s">
        <v>226</v>
      </c>
      <c r="P224">
        <v>0.049533643974516414</v>
      </c>
      <c r="Q224" t="s">
        <v>153</v>
      </c>
    </row>
    <row r="225" spans="9:17" ht="14.25">
      <c r="I225" t="s">
        <v>169</v>
      </c>
      <c r="J225" t="s">
        <v>227</v>
      </c>
      <c r="K225">
        <v>0.029996066445301277</v>
      </c>
      <c r="L225" t="s">
        <v>153</v>
      </c>
      <c r="N225" t="s">
        <v>179</v>
      </c>
      <c r="O225" t="s">
        <v>227</v>
      </c>
      <c r="P225">
        <v>0.049560606801051559</v>
      </c>
      <c r="Q225" t="s">
        <v>153</v>
      </c>
    </row>
    <row r="226" spans="9:17" ht="14.25">
      <c r="I226" t="s">
        <v>169</v>
      </c>
      <c r="J226" t="s">
        <v>228</v>
      </c>
      <c r="K226">
        <v>0.0086196648598825479</v>
      </c>
      <c r="L226" t="s">
        <v>153</v>
      </c>
      <c r="N226" t="s">
        <v>179</v>
      </c>
      <c r="O226" t="s">
        <v>228</v>
      </c>
      <c r="P226">
        <v>0.1640006898976239</v>
      </c>
      <c r="Q226" t="s">
        <v>153</v>
      </c>
    </row>
    <row r="227" spans="9:17" ht="14.25">
      <c r="I227" t="s">
        <v>170</v>
      </c>
      <c r="J227" t="s">
        <v>152</v>
      </c>
      <c r="K227">
        <v>0</v>
      </c>
      <c r="L227" t="s">
        <v>153</v>
      </c>
      <c r="N227" t="s">
        <v>180</v>
      </c>
      <c r="O227" t="s">
        <v>152</v>
      </c>
      <c r="P227">
        <v>0.032676010556325102</v>
      </c>
      <c r="Q227" t="s">
        <v>153</v>
      </c>
    </row>
    <row r="228" spans="9:17" ht="14.25">
      <c r="I228" t="s">
        <v>170</v>
      </c>
      <c r="J228" t="s">
        <v>154</v>
      </c>
      <c r="K228">
        <v>0.0035503400697175168</v>
      </c>
      <c r="L228" t="s">
        <v>153</v>
      </c>
      <c r="N228" t="s">
        <v>180</v>
      </c>
      <c r="O228" t="s">
        <v>154</v>
      </c>
      <c r="P228">
        <v>0.0054395113900929746</v>
      </c>
      <c r="Q228" t="s">
        <v>153</v>
      </c>
    </row>
    <row r="229" spans="9:17" ht="14.25">
      <c r="I229" t="s">
        <v>170</v>
      </c>
      <c r="J229" t="s">
        <v>155</v>
      </c>
      <c r="K229">
        <v>0.067831896410720099</v>
      </c>
      <c r="L229" t="s">
        <v>153</v>
      </c>
      <c r="N229" t="s">
        <v>180</v>
      </c>
      <c r="O229" t="s">
        <v>155</v>
      </c>
      <c r="P229">
        <v>0.044078245052952381</v>
      </c>
      <c r="Q229" t="s">
        <v>153</v>
      </c>
    </row>
    <row r="230" spans="9:17" ht="14.25">
      <c r="I230" t="s">
        <v>170</v>
      </c>
      <c r="J230" t="s">
        <v>200</v>
      </c>
      <c r="K230">
        <v>0.0063761980908612539</v>
      </c>
      <c r="L230" t="s">
        <v>153</v>
      </c>
      <c r="N230" t="s">
        <v>180</v>
      </c>
      <c r="O230" t="s">
        <v>200</v>
      </c>
      <c r="P230">
        <v>0.0044501603192262972</v>
      </c>
      <c r="Q230" t="s">
        <v>153</v>
      </c>
    </row>
    <row r="231" spans="9:17" ht="14.25">
      <c r="I231" t="s">
        <v>170</v>
      </c>
      <c r="J231" t="s">
        <v>201</v>
      </c>
      <c r="K231">
        <v>0.0036084862216538881</v>
      </c>
      <c r="L231" t="s">
        <v>153</v>
      </c>
      <c r="N231" t="s">
        <v>180</v>
      </c>
      <c r="O231" t="s">
        <v>201</v>
      </c>
      <c r="P231">
        <v>0.004666322877252875</v>
      </c>
      <c r="Q231" t="s">
        <v>153</v>
      </c>
    </row>
    <row r="232" spans="9:17" ht="14.25">
      <c r="I232" t="s">
        <v>170</v>
      </c>
      <c r="J232" t="s">
        <v>218</v>
      </c>
      <c r="K232">
        <v>0</v>
      </c>
      <c r="L232" t="s">
        <v>153</v>
      </c>
      <c r="N232" t="s">
        <v>180</v>
      </c>
      <c r="O232" t="s">
        <v>218</v>
      </c>
      <c r="P232">
        <v>0.026426367402568773</v>
      </c>
      <c r="Q232" t="s">
        <v>153</v>
      </c>
    </row>
    <row r="233" spans="9:17" ht="14.25">
      <c r="I233" t="s">
        <v>170</v>
      </c>
      <c r="J233" t="s">
        <v>156</v>
      </c>
      <c r="K233">
        <v>0</v>
      </c>
      <c r="L233" t="s">
        <v>153</v>
      </c>
      <c r="N233" t="s">
        <v>180</v>
      </c>
      <c r="O233" t="s">
        <v>156</v>
      </c>
      <c r="P233">
        <v>0.02236847278618315</v>
      </c>
      <c r="Q233" t="s">
        <v>153</v>
      </c>
    </row>
    <row r="234" spans="9:17" ht="14.25">
      <c r="I234" t="s">
        <v>170</v>
      </c>
      <c r="J234" t="s">
        <v>157</v>
      </c>
      <c r="K234">
        <v>0.00442312410355094</v>
      </c>
      <c r="L234" t="s">
        <v>153</v>
      </c>
      <c r="N234" t="s">
        <v>180</v>
      </c>
      <c r="O234" t="s">
        <v>157</v>
      </c>
      <c r="P234">
        <v>0.0033991943999443978</v>
      </c>
      <c r="Q234" t="s">
        <v>153</v>
      </c>
    </row>
    <row r="235" spans="9:17" ht="14.25">
      <c r="I235" t="s">
        <v>170</v>
      </c>
      <c r="J235" t="s">
        <v>158</v>
      </c>
      <c r="K235">
        <v>0.073588872571704669</v>
      </c>
      <c r="L235" t="s">
        <v>153</v>
      </c>
      <c r="N235" t="s">
        <v>180</v>
      </c>
      <c r="O235" t="s">
        <v>158</v>
      </c>
      <c r="P235">
        <v>0.025702463396069415</v>
      </c>
      <c r="Q235" t="s">
        <v>153</v>
      </c>
    </row>
    <row r="236" spans="9:17" ht="14.25">
      <c r="I236" t="s">
        <v>170</v>
      </c>
      <c r="J236" t="s">
        <v>202</v>
      </c>
      <c r="K236">
        <v>0.0076725687844946058</v>
      </c>
      <c r="L236" t="s">
        <v>153</v>
      </c>
      <c r="N236" t="s">
        <v>180</v>
      </c>
      <c r="O236" t="s">
        <v>202</v>
      </c>
      <c r="P236">
        <v>0.0039789219628732289</v>
      </c>
      <c r="Q236" t="s">
        <v>153</v>
      </c>
    </row>
    <row r="237" spans="9:17" ht="14.25">
      <c r="I237" t="s">
        <v>170</v>
      </c>
      <c r="J237" t="s">
        <v>203</v>
      </c>
      <c r="K237">
        <v>0.0047856680469049086</v>
      </c>
      <c r="L237" t="s">
        <v>153</v>
      </c>
      <c r="N237" t="s">
        <v>180</v>
      </c>
      <c r="O237" t="s">
        <v>203</v>
      </c>
      <c r="P237">
        <v>0.0049941731492324608</v>
      </c>
      <c r="Q237" t="s">
        <v>153</v>
      </c>
    </row>
    <row r="238" spans="9:17" ht="14.25">
      <c r="I238" t="s">
        <v>170</v>
      </c>
      <c r="J238" t="s">
        <v>219</v>
      </c>
      <c r="K238">
        <v>0</v>
      </c>
      <c r="L238" t="s">
        <v>153</v>
      </c>
      <c r="N238" t="s">
        <v>180</v>
      </c>
      <c r="O238" t="s">
        <v>219</v>
      </c>
      <c r="P238">
        <v>0.025813762846104819</v>
      </c>
      <c r="Q238" t="s">
        <v>153</v>
      </c>
    </row>
    <row r="239" spans="9:17" ht="14.25">
      <c r="I239" t="s">
        <v>170</v>
      </c>
      <c r="J239" t="s">
        <v>159</v>
      </c>
      <c r="K239">
        <v>0</v>
      </c>
      <c r="L239" t="s">
        <v>153</v>
      </c>
      <c r="N239" t="s">
        <v>180</v>
      </c>
      <c r="O239" t="s">
        <v>159</v>
      </c>
      <c r="P239">
        <v>0.0052836771907221348</v>
      </c>
      <c r="Q239" t="s">
        <v>153</v>
      </c>
    </row>
    <row r="240" spans="9:17" ht="14.25">
      <c r="I240" t="s">
        <v>170</v>
      </c>
      <c r="J240" t="s">
        <v>160</v>
      </c>
      <c r="K240">
        <v>0.00085155361123565693</v>
      </c>
      <c r="L240" t="s">
        <v>153</v>
      </c>
      <c r="N240" t="s">
        <v>180</v>
      </c>
      <c r="O240" t="s">
        <v>160</v>
      </c>
      <c r="P240">
        <v>0.00091222888056200695</v>
      </c>
      <c r="Q240" t="s">
        <v>153</v>
      </c>
    </row>
    <row r="241" spans="9:17" ht="14.25">
      <c r="I241" t="s">
        <v>170</v>
      </c>
      <c r="J241" t="s">
        <v>161</v>
      </c>
      <c r="K241">
        <v>0.012109612570819649</v>
      </c>
      <c r="L241" t="s">
        <v>153</v>
      </c>
      <c r="N241" t="s">
        <v>180</v>
      </c>
      <c r="O241" t="s">
        <v>161</v>
      </c>
      <c r="P241">
        <v>0.0060050096875611152</v>
      </c>
      <c r="Q241" t="s">
        <v>153</v>
      </c>
    </row>
    <row r="242" spans="9:17" ht="14.25">
      <c r="I242" t="s">
        <v>170</v>
      </c>
      <c r="J242" t="s">
        <v>204</v>
      </c>
      <c r="K242">
        <v>0.0010952706931463018</v>
      </c>
      <c r="L242" t="s">
        <v>153</v>
      </c>
      <c r="N242" t="s">
        <v>180</v>
      </c>
      <c r="O242" t="s">
        <v>204</v>
      </c>
      <c r="P242">
        <v>0.00060632608534459318</v>
      </c>
      <c r="Q242" t="s">
        <v>153</v>
      </c>
    </row>
    <row r="243" spans="9:17" ht="14.25">
      <c r="I243" t="s">
        <v>170</v>
      </c>
      <c r="J243" t="s">
        <v>205</v>
      </c>
      <c r="K243">
        <v>0.00067315053340817773</v>
      </c>
      <c r="L243" t="s">
        <v>153</v>
      </c>
      <c r="N243" t="s">
        <v>180</v>
      </c>
      <c r="O243" t="s">
        <v>205</v>
      </c>
      <c r="P243">
        <v>0.00064039177715749941</v>
      </c>
      <c r="Q243" t="s">
        <v>153</v>
      </c>
    </row>
    <row r="244" spans="9:17" ht="14.25">
      <c r="I244" t="s">
        <v>170</v>
      </c>
      <c r="J244" t="s">
        <v>220</v>
      </c>
      <c r="K244">
        <v>0</v>
      </c>
      <c r="L244" t="s">
        <v>153</v>
      </c>
      <c r="N244" t="s">
        <v>180</v>
      </c>
      <c r="O244" t="s">
        <v>220</v>
      </c>
      <c r="P244">
        <v>0.0036094240471212049</v>
      </c>
      <c r="Q244" t="s">
        <v>153</v>
      </c>
    </row>
    <row r="245" spans="9:17" ht="14.25">
      <c r="I245" t="s">
        <v>170</v>
      </c>
      <c r="J245" t="s">
        <v>162</v>
      </c>
      <c r="K245">
        <v>0.00012099843009390007</v>
      </c>
      <c r="L245" t="s">
        <v>153</v>
      </c>
      <c r="N245" t="s">
        <v>180</v>
      </c>
      <c r="O245" t="s">
        <v>162</v>
      </c>
      <c r="P245">
        <v>0.006167919117327573</v>
      </c>
      <c r="Q245" t="s">
        <v>153</v>
      </c>
    </row>
    <row r="246" spans="9:17" ht="14.25">
      <c r="I246" t="s">
        <v>170</v>
      </c>
      <c r="J246" t="s">
        <v>163</v>
      </c>
      <c r="K246">
        <v>0.0018190385769122856</v>
      </c>
      <c r="L246" t="s">
        <v>153</v>
      </c>
      <c r="N246" t="s">
        <v>180</v>
      </c>
      <c r="O246" t="s">
        <v>163</v>
      </c>
      <c r="P246">
        <v>0.0018850922598054303</v>
      </c>
      <c r="Q246" t="s">
        <v>153</v>
      </c>
    </row>
    <row r="247" spans="9:17" ht="14.25">
      <c r="I247" t="s">
        <v>170</v>
      </c>
      <c r="J247" t="s">
        <v>164</v>
      </c>
      <c r="K247">
        <v>0.024620913323066377</v>
      </c>
      <c r="L247" t="s">
        <v>153</v>
      </c>
      <c r="N247" t="s">
        <v>180</v>
      </c>
      <c r="O247" t="s">
        <v>164</v>
      </c>
      <c r="P247">
        <v>0.011106531284704934</v>
      </c>
      <c r="Q247" t="s">
        <v>153</v>
      </c>
    </row>
    <row r="248" spans="9:17" ht="14.25">
      <c r="I248" t="s">
        <v>170</v>
      </c>
      <c r="J248" t="s">
        <v>206</v>
      </c>
      <c r="K248">
        <v>0.0024902962220867009</v>
      </c>
      <c r="L248" t="s">
        <v>153</v>
      </c>
      <c r="N248" t="s">
        <v>180</v>
      </c>
      <c r="O248" t="s">
        <v>206</v>
      </c>
      <c r="P248">
        <v>0.0013674314073279605</v>
      </c>
      <c r="Q248" t="s">
        <v>153</v>
      </c>
    </row>
    <row r="249" spans="9:17" ht="14.25">
      <c r="I249" t="s">
        <v>170</v>
      </c>
      <c r="J249" t="s">
        <v>207</v>
      </c>
      <c r="K249">
        <v>0.0015891285031956835</v>
      </c>
      <c r="L249" t="s">
        <v>153</v>
      </c>
      <c r="N249" t="s">
        <v>180</v>
      </c>
      <c r="O249" t="s">
        <v>207</v>
      </c>
      <c r="P249">
        <v>0.0017536154229256199</v>
      </c>
      <c r="Q249" t="s">
        <v>153</v>
      </c>
    </row>
    <row r="250" spans="9:17" ht="14.25">
      <c r="I250" t="s">
        <v>170</v>
      </c>
      <c r="J250" t="s">
        <v>221</v>
      </c>
      <c r="K250">
        <v>0</v>
      </c>
      <c r="L250" t="s">
        <v>153</v>
      </c>
      <c r="N250" t="s">
        <v>180</v>
      </c>
      <c r="O250" t="s">
        <v>221</v>
      </c>
      <c r="P250">
        <v>0.0094881219385079766</v>
      </c>
      <c r="Q250" t="s">
        <v>153</v>
      </c>
    </row>
    <row r="251" spans="9:17" ht="14.25">
      <c r="I251" t="s">
        <v>170</v>
      </c>
      <c r="J251" t="s">
        <v>208</v>
      </c>
      <c r="K251">
        <v>0.00026552913982969456</v>
      </c>
      <c r="L251" t="s">
        <v>153</v>
      </c>
      <c r="N251" t="s">
        <v>180</v>
      </c>
      <c r="O251" t="s">
        <v>208</v>
      </c>
      <c r="P251">
        <v>0.0027970916467950362</v>
      </c>
      <c r="Q251" t="s">
        <v>153</v>
      </c>
    </row>
    <row r="252" spans="9:17" ht="14.25">
      <c r="I252" t="s">
        <v>170</v>
      </c>
      <c r="J252" t="s">
        <v>209</v>
      </c>
      <c r="K252">
        <v>0.00054429185035477653</v>
      </c>
      <c r="L252" t="s">
        <v>153</v>
      </c>
      <c r="N252" t="s">
        <v>180</v>
      </c>
      <c r="O252" t="s">
        <v>209</v>
      </c>
      <c r="P252">
        <v>0.0006503749991947674</v>
      </c>
      <c r="Q252" t="s">
        <v>153</v>
      </c>
    </row>
    <row r="253" spans="9:17" ht="14.25">
      <c r="I253" t="s">
        <v>170</v>
      </c>
      <c r="J253" t="s">
        <v>210</v>
      </c>
      <c r="K253">
        <v>0.0093801671776526617</v>
      </c>
      <c r="L253" t="s">
        <v>153</v>
      </c>
      <c r="N253" t="s">
        <v>180</v>
      </c>
      <c r="O253" t="s">
        <v>210</v>
      </c>
      <c r="P253">
        <v>0.0076889876602803204</v>
      </c>
      <c r="Q253" t="s">
        <v>153</v>
      </c>
    </row>
    <row r="254" spans="9:17" ht="14.25">
      <c r="I254" t="s">
        <v>170</v>
      </c>
      <c r="J254" t="s">
        <v>211</v>
      </c>
      <c r="K254">
        <v>0.00075649284177857273</v>
      </c>
      <c r="L254" t="s">
        <v>153</v>
      </c>
      <c r="N254" t="s">
        <v>180</v>
      </c>
      <c r="O254" t="s">
        <v>211</v>
      </c>
      <c r="P254">
        <v>0.0011924066798385919</v>
      </c>
      <c r="Q254" t="s">
        <v>153</v>
      </c>
    </row>
    <row r="255" spans="9:17" ht="14.25">
      <c r="I255" t="s">
        <v>170</v>
      </c>
      <c r="J255" t="s">
        <v>212</v>
      </c>
      <c r="K255">
        <v>0.00044359452716889768</v>
      </c>
      <c r="L255" t="s">
        <v>153</v>
      </c>
      <c r="N255" t="s">
        <v>180</v>
      </c>
      <c r="O255" t="s">
        <v>212</v>
      </c>
      <c r="P255">
        <v>0.0011940196042577655</v>
      </c>
      <c r="Q255" t="s">
        <v>153</v>
      </c>
    </row>
    <row r="256" spans="9:17" ht="14.25">
      <c r="I256" t="s">
        <v>170</v>
      </c>
      <c r="J256" t="s">
        <v>222</v>
      </c>
      <c r="K256">
        <v>0</v>
      </c>
      <c r="L256" t="s">
        <v>153</v>
      </c>
      <c r="N256" t="s">
        <v>180</v>
      </c>
      <c r="O256" t="s">
        <v>222</v>
      </c>
      <c r="P256">
        <v>0.0028353380905989331</v>
      </c>
      <c r="Q256" t="s">
        <v>153</v>
      </c>
    </row>
    <row r="257" spans="9:17" ht="14.25">
      <c r="I257" t="s">
        <v>170</v>
      </c>
      <c r="J257" t="s">
        <v>223</v>
      </c>
      <c r="K257">
        <v>0.018948699696516136</v>
      </c>
      <c r="L257" t="s">
        <v>153</v>
      </c>
      <c r="N257" t="s">
        <v>180</v>
      </c>
      <c r="O257" t="s">
        <v>223</v>
      </c>
      <c r="P257">
        <v>0.18665117543608656</v>
      </c>
      <c r="Q257" t="s">
        <v>153</v>
      </c>
    </row>
    <row r="258" spans="9:17" ht="14.25">
      <c r="I258" t="s">
        <v>170</v>
      </c>
      <c r="J258" t="s">
        <v>224</v>
      </c>
      <c r="K258">
        <v>0.04846405951948448</v>
      </c>
      <c r="L258" t="s">
        <v>153</v>
      </c>
      <c r="N258" t="s">
        <v>180</v>
      </c>
      <c r="O258" t="s">
        <v>224</v>
      </c>
      <c r="P258">
        <v>0.028776064697875161</v>
      </c>
      <c r="Q258" t="s">
        <v>153</v>
      </c>
    </row>
    <row r="259" spans="9:17" ht="14.25">
      <c r="I259" t="s">
        <v>170</v>
      </c>
      <c r="J259" t="s">
        <v>225</v>
      </c>
      <c r="K259">
        <v>0.61516668289150434</v>
      </c>
      <c r="L259" t="s">
        <v>153</v>
      </c>
      <c r="N259" t="s">
        <v>180</v>
      </c>
      <c r="O259" t="s">
        <v>225</v>
      </c>
      <c r="P259">
        <v>0.21816841457071995</v>
      </c>
      <c r="Q259" t="s">
        <v>153</v>
      </c>
    </row>
    <row r="260" spans="9:17" ht="14.25">
      <c r="I260" t="s">
        <v>170</v>
      </c>
      <c r="J260" t="s">
        <v>226</v>
      </c>
      <c r="K260">
        <v>0.053499815674792589</v>
      </c>
      <c r="L260" t="s">
        <v>153</v>
      </c>
      <c r="N260" t="s">
        <v>180</v>
      </c>
      <c r="O260" t="s">
        <v>226</v>
      </c>
      <c r="P260">
        <v>0.041878464797320721</v>
      </c>
      <c r="Q260" t="s">
        <v>153</v>
      </c>
    </row>
    <row r="261" spans="9:17" ht="14.25">
      <c r="I261" t="s">
        <v>170</v>
      </c>
      <c r="J261" t="s">
        <v>227</v>
      </c>
      <c r="K261">
        <v>0.027660166675633487</v>
      </c>
      <c r="L261" t="s">
        <v>153</v>
      </c>
      <c r="N261" t="s">
        <v>180</v>
      </c>
      <c r="O261" t="s">
        <v>227</v>
      </c>
      <c r="P261">
        <v>0.048445682521241658</v>
      </c>
      <c r="Q261" t="s">
        <v>153</v>
      </c>
    </row>
    <row r="262" spans="9:17" ht="14.25">
      <c r="I262" t="s">
        <v>170</v>
      </c>
      <c r="J262" t="s">
        <v>228</v>
      </c>
      <c r="K262">
        <v>0.0076633832417110975</v>
      </c>
      <c r="L262" t="s">
        <v>153</v>
      </c>
      <c r="N262" t="s">
        <v>180</v>
      </c>
      <c r="O262" t="s">
        <v>228</v>
      </c>
      <c r="P262">
        <v>0.20690260405789837</v>
      </c>
      <c r="Q262" t="s">
        <v>153</v>
      </c>
    </row>
    <row r="263" spans="9:17" ht="14.25">
      <c r="I263" t="s">
        <v>171</v>
      </c>
      <c r="J263" t="s">
        <v>152</v>
      </c>
      <c r="K263">
        <v>0</v>
      </c>
      <c r="L263" t="s">
        <v>153</v>
      </c>
      <c r="N263" t="s">
        <v>181</v>
      </c>
      <c r="O263" t="s">
        <v>152</v>
      </c>
      <c r="P263">
        <v>0.035266808313340406</v>
      </c>
      <c r="Q263" t="s">
        <v>153</v>
      </c>
    </row>
    <row r="264" spans="9:17" ht="14.25">
      <c r="I264" t="s">
        <v>171</v>
      </c>
      <c r="J264" t="s">
        <v>154</v>
      </c>
      <c r="K264">
        <v>0.0040783572626519292</v>
      </c>
      <c r="L264" t="s">
        <v>153</v>
      </c>
      <c r="N264" t="s">
        <v>181</v>
      </c>
      <c r="O264" t="s">
        <v>154</v>
      </c>
      <c r="P264">
        <v>0.004852170629814672</v>
      </c>
      <c r="Q264" t="s">
        <v>153</v>
      </c>
    </row>
    <row r="265" spans="9:17" ht="14.25">
      <c r="I265" t="s">
        <v>171</v>
      </c>
      <c r="J265" t="s">
        <v>155</v>
      </c>
      <c r="K265">
        <v>0.070573174209485376</v>
      </c>
      <c r="L265" t="s">
        <v>153</v>
      </c>
      <c r="N265" t="s">
        <v>181</v>
      </c>
      <c r="O265" t="s">
        <v>155</v>
      </c>
      <c r="P265">
        <v>0.051186006898273705</v>
      </c>
      <c r="Q265" t="s">
        <v>153</v>
      </c>
    </row>
    <row r="266" spans="9:17" ht="14.25">
      <c r="I266" t="s">
        <v>171</v>
      </c>
      <c r="J266" t="s">
        <v>200</v>
      </c>
      <c r="K266">
        <v>0.0068877277876712275</v>
      </c>
      <c r="L266" t="s">
        <v>153</v>
      </c>
      <c r="N266" t="s">
        <v>181</v>
      </c>
      <c r="O266" t="s">
        <v>200</v>
      </c>
      <c r="P266">
        <v>0.006047567756687717</v>
      </c>
      <c r="Q266" t="s">
        <v>153</v>
      </c>
    </row>
    <row r="267" spans="9:17" ht="14.25">
      <c r="I267" t="s">
        <v>171</v>
      </c>
      <c r="J267" t="s">
        <v>201</v>
      </c>
      <c r="K267">
        <v>0.0041144300994917565</v>
      </c>
      <c r="L267" t="s">
        <v>153</v>
      </c>
      <c r="N267" t="s">
        <v>181</v>
      </c>
      <c r="O267" t="s">
        <v>201</v>
      </c>
      <c r="P267">
        <v>0.0057688878272357585</v>
      </c>
      <c r="Q267" t="s">
        <v>153</v>
      </c>
    </row>
    <row r="268" spans="9:17" ht="14.25">
      <c r="I268" t="s">
        <v>171</v>
      </c>
      <c r="J268" t="s">
        <v>218</v>
      </c>
      <c r="K268">
        <v>0</v>
      </c>
      <c r="L268" t="s">
        <v>153</v>
      </c>
      <c r="N268" t="s">
        <v>181</v>
      </c>
      <c r="O268" t="s">
        <v>218</v>
      </c>
      <c r="P268">
        <v>0.027602457958944615</v>
      </c>
      <c r="Q268" t="s">
        <v>153</v>
      </c>
    </row>
    <row r="269" spans="9:17" ht="14.25">
      <c r="I269" t="s">
        <v>171</v>
      </c>
      <c r="J269" t="s">
        <v>156</v>
      </c>
      <c r="K269">
        <v>0</v>
      </c>
      <c r="L269" t="s">
        <v>153</v>
      </c>
      <c r="N269" t="s">
        <v>181</v>
      </c>
      <c r="O269" t="s">
        <v>156</v>
      </c>
      <c r="P269">
        <v>0.017771296821917405</v>
      </c>
      <c r="Q269" t="s">
        <v>153</v>
      </c>
    </row>
    <row r="270" spans="9:17" ht="14.25">
      <c r="I270" t="s">
        <v>171</v>
      </c>
      <c r="J270" t="s">
        <v>157</v>
      </c>
      <c r="K270">
        <v>0.0046062061914917199</v>
      </c>
      <c r="L270" t="s">
        <v>153</v>
      </c>
      <c r="N270" t="s">
        <v>181</v>
      </c>
      <c r="O270" t="s">
        <v>157</v>
      </c>
      <c r="P270">
        <v>0.0024598424590462509</v>
      </c>
      <c r="Q270" t="s">
        <v>153</v>
      </c>
    </row>
    <row r="271" spans="9:17" ht="14.25">
      <c r="I271" t="s">
        <v>171</v>
      </c>
      <c r="J271" t="s">
        <v>158</v>
      </c>
      <c r="K271">
        <v>0.074924504688369017</v>
      </c>
      <c r="L271" t="s">
        <v>153</v>
      </c>
      <c r="N271" t="s">
        <v>181</v>
      </c>
      <c r="O271" t="s">
        <v>158</v>
      </c>
      <c r="P271">
        <v>0.027591199781346252</v>
      </c>
      <c r="Q271" t="s">
        <v>153</v>
      </c>
    </row>
    <row r="272" spans="9:17" ht="14.25">
      <c r="I272" t="s">
        <v>171</v>
      </c>
      <c r="J272" t="s">
        <v>202</v>
      </c>
      <c r="K272">
        <v>0.0078385092037223433</v>
      </c>
      <c r="L272" t="s">
        <v>153</v>
      </c>
      <c r="N272" t="s">
        <v>181</v>
      </c>
      <c r="O272" t="s">
        <v>202</v>
      </c>
      <c r="P272">
        <v>0.0044449423584143636</v>
      </c>
      <c r="Q272" t="s">
        <v>153</v>
      </c>
    </row>
    <row r="273" spans="9:17" ht="14.25">
      <c r="I273" t="s">
        <v>171</v>
      </c>
      <c r="J273" t="s">
        <v>203</v>
      </c>
      <c r="K273">
        <v>0.004865173259292554</v>
      </c>
      <c r="L273" t="s">
        <v>153</v>
      </c>
      <c r="N273" t="s">
        <v>181</v>
      </c>
      <c r="O273" t="s">
        <v>203</v>
      </c>
      <c r="P273">
        <v>0.0046249536158406027</v>
      </c>
      <c r="Q273" t="s">
        <v>153</v>
      </c>
    </row>
    <row r="274" spans="9:17" ht="14.25">
      <c r="I274" t="s">
        <v>171</v>
      </c>
      <c r="J274" t="s">
        <v>219</v>
      </c>
      <c r="K274">
        <v>0</v>
      </c>
      <c r="L274" t="s">
        <v>153</v>
      </c>
      <c r="N274" t="s">
        <v>181</v>
      </c>
      <c r="O274" t="s">
        <v>219</v>
      </c>
      <c r="P274">
        <v>0.021330131393997778</v>
      </c>
      <c r="Q274" t="s">
        <v>153</v>
      </c>
    </row>
    <row r="275" spans="9:17" ht="14.25">
      <c r="I275" t="s">
        <v>171</v>
      </c>
      <c r="J275" t="s">
        <v>159</v>
      </c>
      <c r="K275">
        <v>0</v>
      </c>
      <c r="L275" t="s">
        <v>153</v>
      </c>
      <c r="N275" t="s">
        <v>181</v>
      </c>
      <c r="O275" t="s">
        <v>159</v>
      </c>
      <c r="P275">
        <v>0.0033533615897107598</v>
      </c>
      <c r="Q275" t="s">
        <v>153</v>
      </c>
    </row>
    <row r="276" spans="9:17" ht="14.25">
      <c r="I276" t="s">
        <v>171</v>
      </c>
      <c r="J276" t="s">
        <v>160</v>
      </c>
      <c r="K276">
        <v>0.00087375540491726219</v>
      </c>
      <c r="L276" t="s">
        <v>153</v>
      </c>
      <c r="N276" t="s">
        <v>181</v>
      </c>
      <c r="O276" t="s">
        <v>160</v>
      </c>
      <c r="P276">
        <v>0.00045701274010879513</v>
      </c>
      <c r="Q276" t="s">
        <v>153</v>
      </c>
    </row>
    <row r="277" spans="9:17" ht="14.25">
      <c r="I277" t="s">
        <v>171</v>
      </c>
      <c r="J277" t="s">
        <v>161</v>
      </c>
      <c r="K277">
        <v>0.012140033224677665</v>
      </c>
      <c r="L277" t="s">
        <v>153</v>
      </c>
      <c r="N277" t="s">
        <v>181</v>
      </c>
      <c r="O277" t="s">
        <v>161</v>
      </c>
      <c r="P277">
        <v>0.0079706938045877168</v>
      </c>
      <c r="Q277" t="s">
        <v>153</v>
      </c>
    </row>
    <row r="278" spans="9:17" ht="14.25">
      <c r="I278" t="s">
        <v>171</v>
      </c>
      <c r="J278" t="s">
        <v>204</v>
      </c>
      <c r="K278">
        <v>0.0011744338225047044</v>
      </c>
      <c r="L278" t="s">
        <v>153</v>
      </c>
      <c r="N278" t="s">
        <v>181</v>
      </c>
      <c r="O278" t="s">
        <v>204</v>
      </c>
      <c r="P278">
        <v>0.0012622988436963515</v>
      </c>
      <c r="Q278" t="s">
        <v>153</v>
      </c>
    </row>
    <row r="279" spans="9:17" ht="14.25">
      <c r="I279" t="s">
        <v>171</v>
      </c>
      <c r="J279" t="s">
        <v>205</v>
      </c>
      <c r="K279">
        <v>0.00073560151878616193</v>
      </c>
      <c r="L279" t="s">
        <v>153</v>
      </c>
      <c r="N279" t="s">
        <v>181</v>
      </c>
      <c r="O279" t="s">
        <v>205</v>
      </c>
      <c r="P279">
        <v>0.001014340547244325</v>
      </c>
      <c r="Q279" t="s">
        <v>153</v>
      </c>
    </row>
    <row r="280" spans="9:17" ht="14.25">
      <c r="I280" t="s">
        <v>171</v>
      </c>
      <c r="J280" t="s">
        <v>220</v>
      </c>
      <c r="K280">
        <v>0</v>
      </c>
      <c r="L280" t="s">
        <v>153</v>
      </c>
      <c r="N280" t="s">
        <v>181</v>
      </c>
      <c r="O280" t="s">
        <v>220</v>
      </c>
      <c r="P280">
        <v>0.0032646922512234787</v>
      </c>
      <c r="Q280" t="s">
        <v>153</v>
      </c>
    </row>
    <row r="281" spans="9:17" ht="14.25">
      <c r="I281" t="s">
        <v>171</v>
      </c>
      <c r="J281" t="s">
        <v>162</v>
      </c>
      <c r="K281">
        <v>0.00011263612236980594</v>
      </c>
      <c r="L281" t="s">
        <v>153</v>
      </c>
      <c r="N281" t="s">
        <v>181</v>
      </c>
      <c r="O281" t="s">
        <v>162</v>
      </c>
      <c r="P281">
        <v>0.0062352903199463733</v>
      </c>
      <c r="Q281" t="s">
        <v>153</v>
      </c>
    </row>
    <row r="282" spans="9:17" ht="14.25">
      <c r="I282" t="s">
        <v>171</v>
      </c>
      <c r="J282" t="s">
        <v>163</v>
      </c>
      <c r="K282">
        <v>0.0018790670514046517</v>
      </c>
      <c r="L282" t="s">
        <v>153</v>
      </c>
      <c r="N282" t="s">
        <v>181</v>
      </c>
      <c r="O282" t="s">
        <v>163</v>
      </c>
      <c r="P282">
        <v>0.0013388656063169026</v>
      </c>
      <c r="Q282" t="s">
        <v>153</v>
      </c>
    </row>
    <row r="283" spans="9:17" ht="14.25">
      <c r="I283" t="s">
        <v>171</v>
      </c>
      <c r="J283" t="s">
        <v>164</v>
      </c>
      <c r="K283">
        <v>0.024536251765711024</v>
      </c>
      <c r="L283" t="s">
        <v>153</v>
      </c>
      <c r="N283" t="s">
        <v>181</v>
      </c>
      <c r="O283" t="s">
        <v>164</v>
      </c>
      <c r="P283">
        <v>0.01286581506824982</v>
      </c>
      <c r="Q283" t="s">
        <v>153</v>
      </c>
    </row>
    <row r="284" spans="9:17" ht="14.25">
      <c r="I284" t="s">
        <v>171</v>
      </c>
      <c r="J284" t="s">
        <v>206</v>
      </c>
      <c r="K284">
        <v>0.0024142533887705183</v>
      </c>
      <c r="L284" t="s">
        <v>153</v>
      </c>
      <c r="N284" t="s">
        <v>181</v>
      </c>
      <c r="O284" t="s">
        <v>206</v>
      </c>
      <c r="P284">
        <v>0.0014875733356997151</v>
      </c>
      <c r="Q284" t="s">
        <v>153</v>
      </c>
    </row>
    <row r="285" spans="9:17" ht="14.25">
      <c r="I285" t="s">
        <v>171</v>
      </c>
      <c r="J285" t="s">
        <v>207</v>
      </c>
      <c r="K285">
        <v>0.0015774136494638681</v>
      </c>
      <c r="L285" t="s">
        <v>153</v>
      </c>
      <c r="N285" t="s">
        <v>181</v>
      </c>
      <c r="O285" t="s">
        <v>207</v>
      </c>
      <c r="P285">
        <v>0.0012688658355074186</v>
      </c>
      <c r="Q285" t="s">
        <v>153</v>
      </c>
    </row>
    <row r="286" spans="9:17" ht="14.25">
      <c r="I286" t="s">
        <v>171</v>
      </c>
      <c r="J286" t="s">
        <v>221</v>
      </c>
      <c r="K286">
        <v>0</v>
      </c>
      <c r="L286" t="s">
        <v>153</v>
      </c>
      <c r="N286" t="s">
        <v>181</v>
      </c>
      <c r="O286" t="s">
        <v>221</v>
      </c>
      <c r="P286">
        <v>0.0050644292998079654</v>
      </c>
      <c r="Q286" t="s">
        <v>153</v>
      </c>
    </row>
    <row r="287" spans="9:17" ht="14.25">
      <c r="I287" t="s">
        <v>171</v>
      </c>
      <c r="J287" t="s">
        <v>208</v>
      </c>
      <c r="K287">
        <v>0.0002696748486867787</v>
      </c>
      <c r="L287" t="s">
        <v>153</v>
      </c>
      <c r="N287" t="s">
        <v>181</v>
      </c>
      <c r="O287" t="s">
        <v>208</v>
      </c>
      <c r="P287">
        <v>0.0038482006710615904</v>
      </c>
      <c r="Q287" t="s">
        <v>153</v>
      </c>
    </row>
    <row r="288" spans="9:17" ht="14.25">
      <c r="I288" t="s">
        <v>171</v>
      </c>
      <c r="J288" t="s">
        <v>209</v>
      </c>
      <c r="K288">
        <v>0.0006361864654919273</v>
      </c>
      <c r="L288" t="s">
        <v>153</v>
      </c>
      <c r="N288" t="s">
        <v>181</v>
      </c>
      <c r="O288" t="s">
        <v>209</v>
      </c>
      <c r="P288">
        <v>0.00034171240531631142</v>
      </c>
      <c r="Q288" t="s">
        <v>153</v>
      </c>
    </row>
    <row r="289" spans="9:17" ht="14.25">
      <c r="I289" t="s">
        <v>171</v>
      </c>
      <c r="J289" t="s">
        <v>210</v>
      </c>
      <c r="K289">
        <v>0.0095322624148526467</v>
      </c>
      <c r="L289" t="s">
        <v>153</v>
      </c>
      <c r="N289" t="s">
        <v>181</v>
      </c>
      <c r="O289" t="s">
        <v>210</v>
      </c>
      <c r="P289">
        <v>0.0092389844749202719</v>
      </c>
      <c r="Q289" t="s">
        <v>153</v>
      </c>
    </row>
    <row r="290" spans="9:17" ht="14.25">
      <c r="I290" t="s">
        <v>171</v>
      </c>
      <c r="J290" t="s">
        <v>211</v>
      </c>
      <c r="K290">
        <v>0.00072733616484280887</v>
      </c>
      <c r="L290" t="s">
        <v>153</v>
      </c>
      <c r="N290" t="s">
        <v>181</v>
      </c>
      <c r="O290" t="s">
        <v>211</v>
      </c>
      <c r="P290">
        <v>0.0013838789842699746</v>
      </c>
      <c r="Q290" t="s">
        <v>153</v>
      </c>
    </row>
    <row r="291" spans="9:17" ht="14.25">
      <c r="I291" t="s">
        <v>171</v>
      </c>
      <c r="J291" t="s">
        <v>212</v>
      </c>
      <c r="K291">
        <v>0.00044185007540333574</v>
      </c>
      <c r="L291" t="s">
        <v>153</v>
      </c>
      <c r="N291" t="s">
        <v>181</v>
      </c>
      <c r="O291" t="s">
        <v>212</v>
      </c>
      <c r="P291">
        <v>0.0011675511638556042</v>
      </c>
      <c r="Q291" t="s">
        <v>153</v>
      </c>
    </row>
    <row r="292" spans="9:17" ht="14.25">
      <c r="I292" t="s">
        <v>171</v>
      </c>
      <c r="J292" t="s">
        <v>222</v>
      </c>
      <c r="K292">
        <v>0</v>
      </c>
      <c r="L292" t="s">
        <v>153</v>
      </c>
      <c r="N292" t="s">
        <v>181</v>
      </c>
      <c r="O292" t="s">
        <v>222</v>
      </c>
      <c r="P292">
        <v>0.0027524954870229339</v>
      </c>
      <c r="Q292" t="s">
        <v>153</v>
      </c>
    </row>
    <row r="293" spans="9:17" ht="14.25">
      <c r="I293" t="s">
        <v>171</v>
      </c>
      <c r="J293" t="s">
        <v>223</v>
      </c>
      <c r="K293">
        <v>0.018567658359577514</v>
      </c>
      <c r="L293" t="s">
        <v>153</v>
      </c>
      <c r="N293" t="s">
        <v>181</v>
      </c>
      <c r="O293" t="s">
        <v>223</v>
      </c>
      <c r="P293">
        <v>0.15003659289201485</v>
      </c>
      <c r="Q293" t="s">
        <v>153</v>
      </c>
    </row>
    <row r="294" spans="9:17" ht="14.25">
      <c r="I294" t="s">
        <v>171</v>
      </c>
      <c r="J294" t="s">
        <v>224</v>
      </c>
      <c r="K294">
        <v>0.048628402871604859</v>
      </c>
      <c r="L294" t="s">
        <v>153</v>
      </c>
      <c r="N294" t="s">
        <v>181</v>
      </c>
      <c r="O294" t="s">
        <v>224</v>
      </c>
      <c r="P294">
        <v>0.020464911862978566</v>
      </c>
      <c r="Q294" t="s">
        <v>153</v>
      </c>
    </row>
    <row r="295" spans="9:17" ht="14.25">
      <c r="I295" t="s">
        <v>171</v>
      </c>
      <c r="J295" t="s">
        <v>225</v>
      </c>
      <c r="K295">
        <v>0.6131932402057737</v>
      </c>
      <c r="L295" t="s">
        <v>153</v>
      </c>
      <c r="N295" t="s">
        <v>181</v>
      </c>
      <c r="O295" t="s">
        <v>225</v>
      </c>
      <c r="P295">
        <v>0.26032980113553672</v>
      </c>
      <c r="Q295" t="s">
        <v>153</v>
      </c>
    </row>
    <row r="296" spans="9:17" ht="14.25">
      <c r="I296" t="s">
        <v>171</v>
      </c>
      <c r="J296" t="s">
        <v>226</v>
      </c>
      <c r="K296">
        <v>0.051911799695097995</v>
      </c>
      <c r="L296" t="s">
        <v>153</v>
      </c>
      <c r="N296" t="s">
        <v>181</v>
      </c>
      <c r="O296" t="s">
        <v>226</v>
      </c>
      <c r="P296">
        <v>0.045778122724312593</v>
      </c>
      <c r="Q296" t="s">
        <v>153</v>
      </c>
    </row>
    <row r="297" spans="9:17" ht="14.25">
      <c r="I297" t="s">
        <v>171</v>
      </c>
      <c r="J297" t="s">
        <v>227</v>
      </c>
      <c r="K297">
        <v>0.026256481480863129</v>
      </c>
      <c r="L297" t="s">
        <v>153</v>
      </c>
      <c r="N297" t="s">
        <v>181</v>
      </c>
      <c r="O297" t="s">
        <v>227</v>
      </c>
      <c r="P297">
        <v>0.048001336067766784</v>
      </c>
      <c r="Q297" t="s">
        <v>153</v>
      </c>
    </row>
    <row r="298" spans="9:17" ht="14.25">
      <c r="I298" t="s">
        <v>171</v>
      </c>
      <c r="J298" t="s">
        <v>228</v>
      </c>
      <c r="K298">
        <v>0.0065035787670238206</v>
      </c>
      <c r="L298" t="s">
        <v>153</v>
      </c>
      <c r="N298" t="s">
        <v>181</v>
      </c>
      <c r="O298" t="s">
        <v>228</v>
      </c>
      <c r="P298">
        <v>0.20212690707398531</v>
      </c>
      <c r="Q298" t="s">
        <v>153</v>
      </c>
    </row>
    <row r="299" spans="9:17" ht="14.25">
      <c r="I299" t="s">
        <v>172</v>
      </c>
      <c r="J299" t="s">
        <v>152</v>
      </c>
      <c r="K299">
        <v>0</v>
      </c>
      <c r="L299" t="s">
        <v>153</v>
      </c>
      <c r="N299" t="s">
        <v>182</v>
      </c>
      <c r="O299" t="s">
        <v>152</v>
      </c>
      <c r="P299">
        <v>0.032620850625066422</v>
      </c>
      <c r="Q299" t="s">
        <v>153</v>
      </c>
    </row>
    <row r="300" spans="9:17" ht="14.25">
      <c r="I300" t="s">
        <v>172</v>
      </c>
      <c r="J300" t="s">
        <v>154</v>
      </c>
      <c r="K300">
        <v>0.0033258115608333109</v>
      </c>
      <c r="L300" t="s">
        <v>153</v>
      </c>
      <c r="N300" t="s">
        <v>182</v>
      </c>
      <c r="O300" t="s">
        <v>154</v>
      </c>
      <c r="P300">
        <v>0.0042936634498260242</v>
      </c>
      <c r="Q300" t="s">
        <v>153</v>
      </c>
    </row>
    <row r="301" spans="9:17" ht="14.25">
      <c r="I301" t="s">
        <v>172</v>
      </c>
      <c r="J301" t="s">
        <v>155</v>
      </c>
      <c r="K301">
        <v>0.068093630831231156</v>
      </c>
      <c r="L301" t="s">
        <v>153</v>
      </c>
      <c r="N301" t="s">
        <v>182</v>
      </c>
      <c r="O301" t="s">
        <v>155</v>
      </c>
      <c r="P301">
        <v>0.03224295566081524</v>
      </c>
      <c r="Q301" t="s">
        <v>153</v>
      </c>
    </row>
    <row r="302" spans="9:17" ht="14.25">
      <c r="I302" t="s">
        <v>172</v>
      </c>
      <c r="J302" t="s">
        <v>200</v>
      </c>
      <c r="K302">
        <v>0.0070085099526668417</v>
      </c>
      <c r="L302" t="s">
        <v>153</v>
      </c>
      <c r="N302" t="s">
        <v>182</v>
      </c>
      <c r="O302" t="s">
        <v>200</v>
      </c>
      <c r="P302">
        <v>0.0039994609100566974</v>
      </c>
      <c r="Q302" t="s">
        <v>153</v>
      </c>
    </row>
    <row r="303" spans="9:17" ht="14.25">
      <c r="I303" t="s">
        <v>172</v>
      </c>
      <c r="J303" t="s">
        <v>201</v>
      </c>
      <c r="K303">
        <v>0.003912095408967059</v>
      </c>
      <c r="L303" t="s">
        <v>153</v>
      </c>
      <c r="N303" t="s">
        <v>182</v>
      </c>
      <c r="O303" t="s">
        <v>201</v>
      </c>
      <c r="P303">
        <v>0.004153188178373843</v>
      </c>
      <c r="Q303" t="s">
        <v>153</v>
      </c>
    </row>
    <row r="304" spans="9:17" ht="14.25">
      <c r="I304" t="s">
        <v>172</v>
      </c>
      <c r="J304" t="s">
        <v>218</v>
      </c>
      <c r="K304">
        <v>0</v>
      </c>
      <c r="L304" t="s">
        <v>153</v>
      </c>
      <c r="N304" t="s">
        <v>182</v>
      </c>
      <c r="O304" t="s">
        <v>218</v>
      </c>
      <c r="P304">
        <v>0.031307414110474441</v>
      </c>
      <c r="Q304" t="s">
        <v>153</v>
      </c>
    </row>
    <row r="305" spans="9:17" ht="14.25">
      <c r="I305" t="s">
        <v>172</v>
      </c>
      <c r="J305" t="s">
        <v>156</v>
      </c>
      <c r="K305">
        <v>0</v>
      </c>
      <c r="L305" t="s">
        <v>153</v>
      </c>
      <c r="N305" t="s">
        <v>182</v>
      </c>
      <c r="O305" t="s">
        <v>156</v>
      </c>
      <c r="P305">
        <v>0.028388095719466759</v>
      </c>
      <c r="Q305" t="s">
        <v>153</v>
      </c>
    </row>
    <row r="306" spans="9:17" ht="14.25">
      <c r="I306" t="s">
        <v>172</v>
      </c>
      <c r="J306" t="s">
        <v>157</v>
      </c>
      <c r="K306">
        <v>0.0038313172204457171</v>
      </c>
      <c r="L306" t="s">
        <v>153</v>
      </c>
      <c r="N306" t="s">
        <v>182</v>
      </c>
      <c r="O306" t="s">
        <v>157</v>
      </c>
      <c r="P306">
        <v>0.0038208402982447386</v>
      </c>
      <c r="Q306" t="s">
        <v>153</v>
      </c>
    </row>
    <row r="307" spans="9:17" ht="14.25">
      <c r="I307" t="s">
        <v>172</v>
      </c>
      <c r="J307" t="s">
        <v>158</v>
      </c>
      <c r="K307">
        <v>0.072778437346107727</v>
      </c>
      <c r="L307" t="s">
        <v>153</v>
      </c>
      <c r="N307" t="s">
        <v>182</v>
      </c>
      <c r="O307" t="s">
        <v>158</v>
      </c>
      <c r="P307">
        <v>0.01820694154913343</v>
      </c>
      <c r="Q307" t="s">
        <v>153</v>
      </c>
    </row>
    <row r="308" spans="9:17" ht="14.25">
      <c r="I308" t="s">
        <v>172</v>
      </c>
      <c r="J308" t="s">
        <v>202</v>
      </c>
      <c r="K308">
        <v>0.0079793765841076961</v>
      </c>
      <c r="L308" t="s">
        <v>153</v>
      </c>
      <c r="N308" t="s">
        <v>182</v>
      </c>
      <c r="O308" t="s">
        <v>202</v>
      </c>
      <c r="P308">
        <v>0.0026379864478538843</v>
      </c>
      <c r="Q308" t="s">
        <v>153</v>
      </c>
    </row>
    <row r="309" spans="9:17" ht="14.25">
      <c r="I309" t="s">
        <v>172</v>
      </c>
      <c r="J309" t="s">
        <v>203</v>
      </c>
      <c r="K309">
        <v>0.0050372985864461216</v>
      </c>
      <c r="L309" t="s">
        <v>153</v>
      </c>
      <c r="N309" t="s">
        <v>182</v>
      </c>
      <c r="O309" t="s">
        <v>203</v>
      </c>
      <c r="P309">
        <v>0.0030168329858672772</v>
      </c>
      <c r="Q309" t="s">
        <v>153</v>
      </c>
    </row>
    <row r="310" spans="9:17" ht="14.25">
      <c r="I310" t="s">
        <v>172</v>
      </c>
      <c r="J310" t="s">
        <v>219</v>
      </c>
      <c r="K310">
        <v>0</v>
      </c>
      <c r="L310" t="s">
        <v>153</v>
      </c>
      <c r="N310" t="s">
        <v>182</v>
      </c>
      <c r="O310" t="s">
        <v>219</v>
      </c>
      <c r="P310">
        <v>0.027710590516197061</v>
      </c>
      <c r="Q310" t="s">
        <v>153</v>
      </c>
    </row>
    <row r="311" spans="9:17" ht="14.25">
      <c r="I311" t="s">
        <v>172</v>
      </c>
      <c r="J311" t="s">
        <v>159</v>
      </c>
      <c r="K311">
        <v>0</v>
      </c>
      <c r="L311" t="s">
        <v>153</v>
      </c>
      <c r="N311" t="s">
        <v>182</v>
      </c>
      <c r="O311" t="s">
        <v>159</v>
      </c>
      <c r="P311">
        <v>0.0073077662190577904</v>
      </c>
      <c r="Q311" t="s">
        <v>153</v>
      </c>
    </row>
    <row r="312" spans="9:17" ht="14.25">
      <c r="I312" t="s">
        <v>172</v>
      </c>
      <c r="J312" t="s">
        <v>160</v>
      </c>
      <c r="K312">
        <v>0.00082834867690886004</v>
      </c>
      <c r="L312" t="s">
        <v>153</v>
      </c>
      <c r="N312" t="s">
        <v>182</v>
      </c>
      <c r="O312" t="s">
        <v>160</v>
      </c>
      <c r="P312">
        <v>0.00099086414739468277</v>
      </c>
      <c r="Q312" t="s">
        <v>153</v>
      </c>
    </row>
    <row r="313" spans="9:17" ht="14.25">
      <c r="I313" t="s">
        <v>172</v>
      </c>
      <c r="J313" t="s">
        <v>161</v>
      </c>
      <c r="K313">
        <v>0.012176677125737433</v>
      </c>
      <c r="L313" t="s">
        <v>153</v>
      </c>
      <c r="N313" t="s">
        <v>182</v>
      </c>
      <c r="O313" t="s">
        <v>161</v>
      </c>
      <c r="P313">
        <v>0.005711264635399978</v>
      </c>
      <c r="Q313" t="s">
        <v>153</v>
      </c>
    </row>
    <row r="314" spans="9:17" ht="14.25">
      <c r="I314" t="s">
        <v>172</v>
      </c>
      <c r="J314" t="s">
        <v>204</v>
      </c>
      <c r="K314">
        <v>0.0011745713912854555</v>
      </c>
      <c r="L314" t="s">
        <v>153</v>
      </c>
      <c r="N314" t="s">
        <v>182</v>
      </c>
      <c r="O314" t="s">
        <v>204</v>
      </c>
      <c r="P314">
        <v>0.00069815969749147523</v>
      </c>
      <c r="Q314" t="s">
        <v>153</v>
      </c>
    </row>
    <row r="315" spans="9:17" ht="14.25">
      <c r="I315" t="s">
        <v>172</v>
      </c>
      <c r="J315" t="s">
        <v>205</v>
      </c>
      <c r="K315">
        <v>0.0007411308948208666</v>
      </c>
      <c r="L315" t="s">
        <v>153</v>
      </c>
      <c r="N315" t="s">
        <v>182</v>
      </c>
      <c r="O315" t="s">
        <v>205</v>
      </c>
      <c r="P315">
        <v>0.00066234007300087962</v>
      </c>
      <c r="Q315" t="s">
        <v>153</v>
      </c>
    </row>
    <row r="316" spans="9:17" ht="14.25">
      <c r="I316" t="s">
        <v>172</v>
      </c>
      <c r="J316" t="s">
        <v>220</v>
      </c>
      <c r="K316">
        <v>0</v>
      </c>
      <c r="L316" t="s">
        <v>153</v>
      </c>
      <c r="N316" t="s">
        <v>182</v>
      </c>
      <c r="O316" t="s">
        <v>220</v>
      </c>
      <c r="P316">
        <v>0.006163144193045038</v>
      </c>
      <c r="Q316" t="s">
        <v>153</v>
      </c>
    </row>
    <row r="317" spans="9:17" ht="14.25">
      <c r="I317" t="s">
        <v>172</v>
      </c>
      <c r="J317" t="s">
        <v>162</v>
      </c>
      <c r="K317">
        <v>0</v>
      </c>
      <c r="L317" t="s">
        <v>153</v>
      </c>
      <c r="N317" t="s">
        <v>182</v>
      </c>
      <c r="O317" t="s">
        <v>162</v>
      </c>
      <c r="P317">
        <v>0.010387444191457484</v>
      </c>
      <c r="Q317" t="s">
        <v>153</v>
      </c>
    </row>
    <row r="318" spans="9:17" ht="14.25">
      <c r="I318" t="s">
        <v>172</v>
      </c>
      <c r="J318" t="s">
        <v>163</v>
      </c>
      <c r="K318">
        <v>0.0015871486374144257</v>
      </c>
      <c r="L318" t="s">
        <v>153</v>
      </c>
      <c r="N318" t="s">
        <v>182</v>
      </c>
      <c r="O318" t="s">
        <v>163</v>
      </c>
      <c r="P318">
        <v>0.0017897418753975484</v>
      </c>
      <c r="Q318" t="s">
        <v>153</v>
      </c>
    </row>
    <row r="319" spans="9:17" ht="14.25">
      <c r="I319" t="s">
        <v>172</v>
      </c>
      <c r="J319" t="s">
        <v>164</v>
      </c>
      <c r="K319">
        <v>0.024169191073297701</v>
      </c>
      <c r="L319" t="s">
        <v>153</v>
      </c>
      <c r="N319" t="s">
        <v>182</v>
      </c>
      <c r="O319" t="s">
        <v>164</v>
      </c>
      <c r="P319">
        <v>0.010258529507860843</v>
      </c>
      <c r="Q319" t="s">
        <v>153</v>
      </c>
    </row>
    <row r="320" spans="9:17" ht="14.25">
      <c r="I320" t="s">
        <v>172</v>
      </c>
      <c r="J320" t="s">
        <v>206</v>
      </c>
      <c r="K320">
        <v>0.002547498419761068</v>
      </c>
      <c r="L320" t="s">
        <v>153</v>
      </c>
      <c r="N320" t="s">
        <v>182</v>
      </c>
      <c r="O320" t="s">
        <v>206</v>
      </c>
      <c r="P320">
        <v>0.0011458424301276321</v>
      </c>
      <c r="Q320" t="s">
        <v>153</v>
      </c>
    </row>
    <row r="321" spans="9:17" ht="14.25">
      <c r="I321" t="s">
        <v>172</v>
      </c>
      <c r="J321" t="s">
        <v>207</v>
      </c>
      <c r="K321">
        <v>0.0016684563170708965</v>
      </c>
      <c r="L321" t="s">
        <v>153</v>
      </c>
      <c r="N321" t="s">
        <v>182</v>
      </c>
      <c r="O321" t="s">
        <v>207</v>
      </c>
      <c r="P321">
        <v>0.0011118003430507348</v>
      </c>
      <c r="Q321" t="s">
        <v>153</v>
      </c>
    </row>
    <row r="322" spans="9:17" ht="14.25">
      <c r="I322" t="s">
        <v>172</v>
      </c>
      <c r="J322" t="s">
        <v>221</v>
      </c>
      <c r="K322">
        <v>0</v>
      </c>
      <c r="L322" t="s">
        <v>153</v>
      </c>
      <c r="N322" t="s">
        <v>182</v>
      </c>
      <c r="O322" t="s">
        <v>221</v>
      </c>
      <c r="P322">
        <v>0.0086980263033144094</v>
      </c>
      <c r="Q322" t="s">
        <v>153</v>
      </c>
    </row>
    <row r="323" spans="9:17" ht="14.25">
      <c r="I323" t="s">
        <v>172</v>
      </c>
      <c r="J323" t="s">
        <v>208</v>
      </c>
      <c r="K323">
        <v>0.00010680746829390533</v>
      </c>
      <c r="L323" t="s">
        <v>153</v>
      </c>
      <c r="N323" t="s">
        <v>182</v>
      </c>
      <c r="O323" t="s">
        <v>208</v>
      </c>
      <c r="P323">
        <v>0.0044497291068316906</v>
      </c>
      <c r="Q323" t="s">
        <v>153</v>
      </c>
    </row>
    <row r="324" spans="9:17" ht="14.25">
      <c r="I324" t="s">
        <v>172</v>
      </c>
      <c r="J324" t="s">
        <v>209</v>
      </c>
      <c r="K324">
        <v>0.00056119417393966139</v>
      </c>
      <c r="L324" t="s">
        <v>153</v>
      </c>
      <c r="N324" t="s">
        <v>182</v>
      </c>
      <c r="O324" t="s">
        <v>209</v>
      </c>
      <c r="P324">
        <v>0.00036645892936220683</v>
      </c>
      <c r="Q324" t="s">
        <v>153</v>
      </c>
    </row>
    <row r="325" spans="9:17" ht="14.25">
      <c r="I325" t="s">
        <v>172</v>
      </c>
      <c r="J325" t="s">
        <v>210</v>
      </c>
      <c r="K325">
        <v>0.0089734418206282428</v>
      </c>
      <c r="L325" t="s">
        <v>153</v>
      </c>
      <c r="N325" t="s">
        <v>182</v>
      </c>
      <c r="O325" t="s">
        <v>210</v>
      </c>
      <c r="P325">
        <v>0.0040389888012903824</v>
      </c>
      <c r="Q325" t="s">
        <v>153</v>
      </c>
    </row>
    <row r="326" spans="9:17" ht="14.25">
      <c r="I326" t="s">
        <v>172</v>
      </c>
      <c r="J326" t="s">
        <v>211</v>
      </c>
      <c r="K326">
        <v>0.00078698610487131686</v>
      </c>
      <c r="L326" t="s">
        <v>153</v>
      </c>
      <c r="N326" t="s">
        <v>182</v>
      </c>
      <c r="O326" t="s">
        <v>211</v>
      </c>
      <c r="P326">
        <v>0.00088978810015478645</v>
      </c>
      <c r="Q326" t="s">
        <v>153</v>
      </c>
    </row>
    <row r="327" spans="9:17" ht="14.25">
      <c r="I327" t="s">
        <v>172</v>
      </c>
      <c r="J327" t="s">
        <v>212</v>
      </c>
      <c r="K327">
        <v>0.00050893866381087542</v>
      </c>
      <c r="L327" t="s">
        <v>153</v>
      </c>
      <c r="N327" t="s">
        <v>182</v>
      </c>
      <c r="O327" t="s">
        <v>212</v>
      </c>
      <c r="P327">
        <v>0.00081183957129773911</v>
      </c>
      <c r="Q327" t="s">
        <v>153</v>
      </c>
    </row>
    <row r="328" spans="9:17" ht="14.25">
      <c r="I328" t="s">
        <v>172</v>
      </c>
      <c r="J328" t="s">
        <v>222</v>
      </c>
      <c r="K328">
        <v>0</v>
      </c>
      <c r="L328" t="s">
        <v>153</v>
      </c>
      <c r="N328" t="s">
        <v>182</v>
      </c>
      <c r="O328" t="s">
        <v>222</v>
      </c>
      <c r="P328">
        <v>0.0034939440614465038</v>
      </c>
      <c r="Q328" t="s">
        <v>153</v>
      </c>
    </row>
    <row r="329" spans="9:17" ht="14.25">
      <c r="I329" t="s">
        <v>172</v>
      </c>
      <c r="J329" t="s">
        <v>223</v>
      </c>
      <c r="K329">
        <v>0.016649639661482474</v>
      </c>
      <c r="L329" t="s">
        <v>153</v>
      </c>
      <c r="N329" t="s">
        <v>182</v>
      </c>
      <c r="O329" t="s">
        <v>223</v>
      </c>
      <c r="P329">
        <v>0.21736922763734043</v>
      </c>
      <c r="Q329" t="s">
        <v>153</v>
      </c>
    </row>
    <row r="330" spans="9:17" ht="14.25">
      <c r="I330" t="s">
        <v>172</v>
      </c>
      <c r="J330" t="s">
        <v>224</v>
      </c>
      <c r="K330">
        <v>0.046028068418513472</v>
      </c>
      <c r="L330" t="s">
        <v>153</v>
      </c>
      <c r="N330" t="s">
        <v>182</v>
      </c>
      <c r="O330" t="s">
        <v>224</v>
      </c>
      <c r="P330">
        <v>0.025596423875934912</v>
      </c>
      <c r="Q330" t="s">
        <v>153</v>
      </c>
    </row>
    <row r="331" spans="9:17" ht="14.25">
      <c r="I331" t="s">
        <v>172</v>
      </c>
      <c r="J331" t="s">
        <v>225</v>
      </c>
      <c r="K331">
        <v>0.61568781566648279</v>
      </c>
      <c r="L331" t="s">
        <v>153</v>
      </c>
      <c r="N331" t="s">
        <v>182</v>
      </c>
      <c r="O331" t="s">
        <v>225</v>
      </c>
      <c r="P331">
        <v>0.16771550647303124</v>
      </c>
      <c r="Q331" t="s">
        <v>153</v>
      </c>
    </row>
    <row r="332" spans="9:17" ht="14.25">
      <c r="I332" t="s">
        <v>172</v>
      </c>
      <c r="J332" t="s">
        <v>226</v>
      </c>
      <c r="K332">
        <v>0.05539001750585236</v>
      </c>
      <c r="L332" t="s">
        <v>153</v>
      </c>
      <c r="N332" t="s">
        <v>182</v>
      </c>
      <c r="O332" t="s">
        <v>226</v>
      </c>
      <c r="P332">
        <v>0.027241676083834526</v>
      </c>
      <c r="Q332" t="s">
        <v>153</v>
      </c>
    </row>
    <row r="333" spans="9:17" ht="14.25">
      <c r="I333" t="s">
        <v>172</v>
      </c>
      <c r="J333" t="s">
        <v>227</v>
      </c>
      <c r="K333">
        <v>0.030216580815410427</v>
      </c>
      <c r="L333" t="s">
        <v>153</v>
      </c>
      <c r="N333" t="s">
        <v>182</v>
      </c>
      <c r="O333" t="s">
        <v>227</v>
      </c>
      <c r="P333">
        <v>0.031466144575207362</v>
      </c>
      <c r="Q333" t="s">
        <v>153</v>
      </c>
    </row>
    <row r="334" spans="9:17" ht="14.25">
      <c r="I334" t="s">
        <v>172</v>
      </c>
      <c r="J334" t="s">
        <v>228</v>
      </c>
      <c r="K334">
        <v>0.0082310096736118669</v>
      </c>
      <c r="L334" t="s">
        <v>153</v>
      </c>
      <c r="N334" t="s">
        <v>182</v>
      </c>
      <c r="O334" t="s">
        <v>228</v>
      </c>
      <c r="P334">
        <v>0.26923652871629439</v>
      </c>
      <c r="Q334" t="s">
        <v>153</v>
      </c>
    </row>
    <row r="335" spans="9:17" ht="14.25">
      <c r="I335" t="s">
        <v>173</v>
      </c>
      <c r="J335" t="s">
        <v>152</v>
      </c>
      <c r="K335">
        <v>0</v>
      </c>
      <c r="L335" t="s">
        <v>153</v>
      </c>
      <c r="N335" t="s">
        <v>183</v>
      </c>
      <c r="O335" t="s">
        <v>152</v>
      </c>
      <c r="P335">
        <v>0.033156945564590826</v>
      </c>
      <c r="Q335" t="s">
        <v>153</v>
      </c>
    </row>
    <row r="336" spans="9:17" ht="14.25">
      <c r="I336" t="s">
        <v>173</v>
      </c>
      <c r="J336" t="s">
        <v>154</v>
      </c>
      <c r="K336">
        <v>0.003835990734905008</v>
      </c>
      <c r="L336" t="s">
        <v>153</v>
      </c>
      <c r="N336" t="s">
        <v>183</v>
      </c>
      <c r="O336" t="s">
        <v>154</v>
      </c>
      <c r="P336">
        <v>0.0051635525186665698</v>
      </c>
      <c r="Q336" t="s">
        <v>153</v>
      </c>
    </row>
    <row r="337" spans="9:17" ht="14.25">
      <c r="I337" t="s">
        <v>173</v>
      </c>
      <c r="J337" t="s">
        <v>155</v>
      </c>
      <c r="K337">
        <v>0.07079866322665064</v>
      </c>
      <c r="L337" t="s">
        <v>153</v>
      </c>
      <c r="N337" t="s">
        <v>183</v>
      </c>
      <c r="O337" t="s">
        <v>155</v>
      </c>
      <c r="P337">
        <v>0.041077697930836439</v>
      </c>
      <c r="Q337" t="s">
        <v>153</v>
      </c>
    </row>
    <row r="338" spans="9:17" ht="14.25">
      <c r="I338" t="s">
        <v>173</v>
      </c>
      <c r="J338" t="s">
        <v>200</v>
      </c>
      <c r="K338">
        <v>0.0072503539132897166</v>
      </c>
      <c r="L338" t="s">
        <v>153</v>
      </c>
      <c r="N338" t="s">
        <v>183</v>
      </c>
      <c r="O338" t="s">
        <v>200</v>
      </c>
      <c r="P338">
        <v>0.004468590580574641</v>
      </c>
      <c r="Q338" t="s">
        <v>153</v>
      </c>
    </row>
    <row r="339" spans="9:17" ht="14.25">
      <c r="I339" t="s">
        <v>173</v>
      </c>
      <c r="J339" t="s">
        <v>201</v>
      </c>
      <c r="K339">
        <v>0.0041330373383203422</v>
      </c>
      <c r="L339" t="s">
        <v>153</v>
      </c>
      <c r="N339" t="s">
        <v>183</v>
      </c>
      <c r="O339" t="s">
        <v>201</v>
      </c>
      <c r="P339">
        <v>0.0044703917420148729</v>
      </c>
      <c r="Q339" t="s">
        <v>153</v>
      </c>
    </row>
    <row r="340" spans="9:17" ht="14.25">
      <c r="I340" t="s">
        <v>173</v>
      </c>
      <c r="J340" t="s">
        <v>218</v>
      </c>
      <c r="K340">
        <v>0</v>
      </c>
      <c r="L340" t="s">
        <v>153</v>
      </c>
      <c r="N340" t="s">
        <v>183</v>
      </c>
      <c r="O340" t="s">
        <v>218</v>
      </c>
      <c r="P340">
        <v>0.029602559783529686</v>
      </c>
      <c r="Q340" t="s">
        <v>153</v>
      </c>
    </row>
    <row r="341" spans="9:17" ht="14.25">
      <c r="I341" t="s">
        <v>173</v>
      </c>
      <c r="J341" t="s">
        <v>156</v>
      </c>
      <c r="K341">
        <v>0</v>
      </c>
      <c r="L341" t="s">
        <v>153</v>
      </c>
      <c r="N341" t="s">
        <v>183</v>
      </c>
      <c r="O341" t="s">
        <v>156</v>
      </c>
      <c r="P341">
        <v>0.021502908084287214</v>
      </c>
      <c r="Q341" t="s">
        <v>153</v>
      </c>
    </row>
    <row r="342" spans="9:17" ht="14.25">
      <c r="I342" t="s">
        <v>173</v>
      </c>
      <c r="J342" t="s">
        <v>157</v>
      </c>
      <c r="K342">
        <v>0.0040234687839337743</v>
      </c>
      <c r="L342" t="s">
        <v>153</v>
      </c>
      <c r="N342" t="s">
        <v>183</v>
      </c>
      <c r="O342" t="s">
        <v>157</v>
      </c>
      <c r="P342">
        <v>0.0032758772923087887</v>
      </c>
      <c r="Q342" t="s">
        <v>153</v>
      </c>
    </row>
    <row r="343" spans="9:17" ht="14.25">
      <c r="I343" t="s">
        <v>173</v>
      </c>
      <c r="J343" t="s">
        <v>158</v>
      </c>
      <c r="K343">
        <v>0.073248544402977789</v>
      </c>
      <c r="L343" t="s">
        <v>153</v>
      </c>
      <c r="N343" t="s">
        <v>183</v>
      </c>
      <c r="O343" t="s">
        <v>158</v>
      </c>
      <c r="P343">
        <v>0.022837356278881435</v>
      </c>
      <c r="Q343" t="s">
        <v>153</v>
      </c>
    </row>
    <row r="344" spans="9:17" ht="14.25">
      <c r="I344" t="s">
        <v>173</v>
      </c>
      <c r="J344" t="s">
        <v>202</v>
      </c>
      <c r="K344">
        <v>0.0080025222036830303</v>
      </c>
      <c r="L344" t="s">
        <v>153</v>
      </c>
      <c r="N344" t="s">
        <v>183</v>
      </c>
      <c r="O344" t="s">
        <v>202</v>
      </c>
      <c r="P344">
        <v>0.0031693890548195685</v>
      </c>
      <c r="Q344" t="s">
        <v>153</v>
      </c>
    </row>
    <row r="345" spans="9:17" ht="14.25">
      <c r="I345" t="s">
        <v>173</v>
      </c>
      <c r="J345" t="s">
        <v>203</v>
      </c>
      <c r="K345">
        <v>0.0050457097498893396</v>
      </c>
      <c r="L345" t="s">
        <v>153</v>
      </c>
      <c r="N345" t="s">
        <v>183</v>
      </c>
      <c r="O345" t="s">
        <v>203</v>
      </c>
      <c r="P345">
        <v>0.003685753891731433</v>
      </c>
      <c r="Q345" t="s">
        <v>153</v>
      </c>
    </row>
    <row r="346" spans="9:17" ht="14.25">
      <c r="I346" t="s">
        <v>173</v>
      </c>
      <c r="J346" t="s">
        <v>219</v>
      </c>
      <c r="K346">
        <v>0</v>
      </c>
      <c r="L346" t="s">
        <v>153</v>
      </c>
      <c r="N346" t="s">
        <v>183</v>
      </c>
      <c r="O346" t="s">
        <v>219</v>
      </c>
      <c r="P346">
        <v>0.029008381349583983</v>
      </c>
      <c r="Q346" t="s">
        <v>153</v>
      </c>
    </row>
    <row r="347" spans="9:17" ht="14.25">
      <c r="I347" t="s">
        <v>173</v>
      </c>
      <c r="J347" t="s">
        <v>159</v>
      </c>
      <c r="K347">
        <v>0</v>
      </c>
      <c r="L347" t="s">
        <v>153</v>
      </c>
      <c r="N347" t="s">
        <v>183</v>
      </c>
      <c r="O347" t="s">
        <v>159</v>
      </c>
      <c r="P347">
        <v>0.0060922568691290429</v>
      </c>
      <c r="Q347" t="s">
        <v>153</v>
      </c>
    </row>
    <row r="348" spans="9:17" ht="14.25">
      <c r="I348" t="s">
        <v>173</v>
      </c>
      <c r="J348" t="s">
        <v>160</v>
      </c>
      <c r="K348">
        <v>0.00078203775679432748</v>
      </c>
      <c r="L348" t="s">
        <v>153</v>
      </c>
      <c r="N348" t="s">
        <v>183</v>
      </c>
      <c r="O348" t="s">
        <v>160</v>
      </c>
      <c r="P348">
        <v>0.0010853001764966777</v>
      </c>
      <c r="Q348" t="s">
        <v>153</v>
      </c>
    </row>
    <row r="349" spans="9:17" ht="14.25">
      <c r="I349" t="s">
        <v>173</v>
      </c>
      <c r="J349" t="s">
        <v>161</v>
      </c>
      <c r="K349">
        <v>0.011948561603353785</v>
      </c>
      <c r="L349" t="s">
        <v>153</v>
      </c>
      <c r="N349" t="s">
        <v>183</v>
      </c>
      <c r="O349" t="s">
        <v>161</v>
      </c>
      <c r="P349">
        <v>0.0067883705201844634</v>
      </c>
      <c r="Q349" t="s">
        <v>153</v>
      </c>
    </row>
    <row r="350" spans="9:17" ht="14.25">
      <c r="I350" t="s">
        <v>173</v>
      </c>
      <c r="J350" t="s">
        <v>204</v>
      </c>
      <c r="K350">
        <v>0.0012261368044536448</v>
      </c>
      <c r="L350" t="s">
        <v>153</v>
      </c>
      <c r="N350" t="s">
        <v>183</v>
      </c>
      <c r="O350" t="s">
        <v>204</v>
      </c>
      <c r="P350">
        <v>0.00084881141707301901</v>
      </c>
      <c r="Q350" t="s">
        <v>153</v>
      </c>
    </row>
    <row r="351" spans="9:17" ht="14.25">
      <c r="I351" t="s">
        <v>173</v>
      </c>
      <c r="J351" t="s">
        <v>205</v>
      </c>
      <c r="K351">
        <v>0.00080499342904319143</v>
      </c>
      <c r="L351" t="s">
        <v>153</v>
      </c>
      <c r="N351" t="s">
        <v>183</v>
      </c>
      <c r="O351" t="s">
        <v>205</v>
      </c>
      <c r="P351">
        <v>0.00081769505767041175</v>
      </c>
      <c r="Q351" t="s">
        <v>153</v>
      </c>
    </row>
    <row r="352" spans="9:17" ht="14.25">
      <c r="I352" t="s">
        <v>173</v>
      </c>
      <c r="J352" t="s">
        <v>220</v>
      </c>
      <c r="K352">
        <v>0</v>
      </c>
      <c r="L352" t="s">
        <v>153</v>
      </c>
      <c r="N352" t="s">
        <v>183</v>
      </c>
      <c r="O352" t="s">
        <v>220</v>
      </c>
      <c r="P352">
        <v>0.0049837066939078644</v>
      </c>
      <c r="Q352" t="s">
        <v>153</v>
      </c>
    </row>
    <row r="353" spans="9:17" ht="14.25">
      <c r="I353" t="s">
        <v>173</v>
      </c>
      <c r="J353" t="s">
        <v>162</v>
      </c>
      <c r="K353">
        <v>0</v>
      </c>
      <c r="L353" t="s">
        <v>153</v>
      </c>
      <c r="N353" t="s">
        <v>183</v>
      </c>
      <c r="O353" t="s">
        <v>162</v>
      </c>
      <c r="P353">
        <v>0.0092624553089085248</v>
      </c>
      <c r="Q353" t="s">
        <v>153</v>
      </c>
    </row>
    <row r="354" spans="9:17" ht="14.25">
      <c r="I354" t="s">
        <v>173</v>
      </c>
      <c r="J354" t="s">
        <v>163</v>
      </c>
      <c r="K354">
        <v>0.0017547930226864011</v>
      </c>
      <c r="L354" t="s">
        <v>153</v>
      </c>
      <c r="N354" t="s">
        <v>183</v>
      </c>
      <c r="O354" t="s">
        <v>163</v>
      </c>
      <c r="P354">
        <v>0.0025152558865712497</v>
      </c>
      <c r="Q354" t="s">
        <v>153</v>
      </c>
    </row>
    <row r="355" spans="9:17" ht="14.25">
      <c r="I355" t="s">
        <v>173</v>
      </c>
      <c r="J355" t="s">
        <v>164</v>
      </c>
      <c r="K355">
        <v>0.024581709798146691</v>
      </c>
      <c r="L355" t="s">
        <v>153</v>
      </c>
      <c r="N355" t="s">
        <v>183</v>
      </c>
      <c r="O355" t="s">
        <v>164</v>
      </c>
      <c r="P355">
        <v>0.012518742528454103</v>
      </c>
      <c r="Q355" t="s">
        <v>153</v>
      </c>
    </row>
    <row r="356" spans="9:17" ht="14.25">
      <c r="I356" t="s">
        <v>173</v>
      </c>
      <c r="J356" t="s">
        <v>206</v>
      </c>
      <c r="K356">
        <v>0.0025347327282255021</v>
      </c>
      <c r="L356" t="s">
        <v>153</v>
      </c>
      <c r="N356" t="s">
        <v>183</v>
      </c>
      <c r="O356" t="s">
        <v>206</v>
      </c>
      <c r="P356">
        <v>0.0011177565219613681</v>
      </c>
      <c r="Q356" t="s">
        <v>153</v>
      </c>
    </row>
    <row r="357" spans="9:17" ht="14.25">
      <c r="I357" t="s">
        <v>173</v>
      </c>
      <c r="J357" t="s">
        <v>207</v>
      </c>
      <c r="K357">
        <v>0.0016745693297999886</v>
      </c>
      <c r="L357" t="s">
        <v>153</v>
      </c>
      <c r="N357" t="s">
        <v>183</v>
      </c>
      <c r="O357" t="s">
        <v>207</v>
      </c>
      <c r="P357">
        <v>0.0011500474429138919</v>
      </c>
      <c r="Q357" t="s">
        <v>153</v>
      </c>
    </row>
    <row r="358" spans="9:17" ht="14.25">
      <c r="I358" t="s">
        <v>173</v>
      </c>
      <c r="J358" t="s">
        <v>221</v>
      </c>
      <c r="K358">
        <v>0</v>
      </c>
      <c r="L358" t="s">
        <v>153</v>
      </c>
      <c r="N358" t="s">
        <v>183</v>
      </c>
      <c r="O358" t="s">
        <v>221</v>
      </c>
      <c r="P358">
        <v>0.009267250981043397</v>
      </c>
      <c r="Q358" t="s">
        <v>153</v>
      </c>
    </row>
    <row r="359" spans="9:17" ht="14.25">
      <c r="I359" t="s">
        <v>173</v>
      </c>
      <c r="J359" t="s">
        <v>208</v>
      </c>
      <c r="K359">
        <v>0.00014127909523310148</v>
      </c>
      <c r="L359" t="s">
        <v>153</v>
      </c>
      <c r="N359" t="s">
        <v>183</v>
      </c>
      <c r="O359" t="s">
        <v>208</v>
      </c>
      <c r="P359">
        <v>0.0042357794316220448</v>
      </c>
      <c r="Q359" t="s">
        <v>153</v>
      </c>
    </row>
    <row r="360" spans="9:17" ht="14.25">
      <c r="I360" t="s">
        <v>173</v>
      </c>
      <c r="J360" t="s">
        <v>209</v>
      </c>
      <c r="K360">
        <v>0.00063391755050245873</v>
      </c>
      <c r="L360" t="s">
        <v>153</v>
      </c>
      <c r="N360" t="s">
        <v>183</v>
      </c>
      <c r="O360" t="s">
        <v>209</v>
      </c>
      <c r="P360">
        <v>0.00040580354702017492</v>
      </c>
      <c r="Q360" t="s">
        <v>153</v>
      </c>
    </row>
    <row r="361" spans="9:17" ht="14.25">
      <c r="I361" t="s">
        <v>173</v>
      </c>
      <c r="J361" t="s">
        <v>210</v>
      </c>
      <c r="K361">
        <v>0.0094776589836207178</v>
      </c>
      <c r="L361" t="s">
        <v>153</v>
      </c>
      <c r="N361" t="s">
        <v>183</v>
      </c>
      <c r="O361" t="s">
        <v>210</v>
      </c>
      <c r="P361">
        <v>0.0054250711517820323</v>
      </c>
      <c r="Q361" t="s">
        <v>153</v>
      </c>
    </row>
    <row r="362" spans="9:17" ht="14.25">
      <c r="I362" t="s">
        <v>173</v>
      </c>
      <c r="J362" t="s">
        <v>211</v>
      </c>
      <c r="K362">
        <v>0.00082567219303447768</v>
      </c>
      <c r="L362" t="s">
        <v>153</v>
      </c>
      <c r="N362" t="s">
        <v>183</v>
      </c>
      <c r="O362" t="s">
        <v>211</v>
      </c>
      <c r="P362">
        <v>0.00081626735533526324</v>
      </c>
      <c r="Q362" t="s">
        <v>153</v>
      </c>
    </row>
    <row r="363" spans="9:17" ht="14.25">
      <c r="I363" t="s">
        <v>173</v>
      </c>
      <c r="J363" t="s">
        <v>212</v>
      </c>
      <c r="K363">
        <v>0.00053660836125694715</v>
      </c>
      <c r="L363" t="s">
        <v>153</v>
      </c>
      <c r="N363" t="s">
        <v>183</v>
      </c>
      <c r="O363" t="s">
        <v>212</v>
      </c>
      <c r="P363">
        <v>0.00072132122537884127</v>
      </c>
      <c r="Q363" t="s">
        <v>153</v>
      </c>
    </row>
    <row r="364" spans="9:17" ht="14.25">
      <c r="I364" t="s">
        <v>173</v>
      </c>
      <c r="J364" t="s">
        <v>222</v>
      </c>
      <c r="K364">
        <v>0</v>
      </c>
      <c r="L364" t="s">
        <v>153</v>
      </c>
      <c r="N364" t="s">
        <v>183</v>
      </c>
      <c r="O364" t="s">
        <v>222</v>
      </c>
      <c r="P364">
        <v>0.003297541257909908</v>
      </c>
      <c r="Q364" t="s">
        <v>153</v>
      </c>
    </row>
    <row r="365" spans="9:17" ht="14.25">
      <c r="I365" t="s">
        <v>173</v>
      </c>
      <c r="J365" t="s">
        <v>223</v>
      </c>
      <c r="K365">
        <v>0.016645110750342161</v>
      </c>
      <c r="L365" t="s">
        <v>153</v>
      </c>
      <c r="N365" t="s">
        <v>183</v>
      </c>
      <c r="O365" t="s">
        <v>223</v>
      </c>
      <c r="P365">
        <v>0.18035881488584116</v>
      </c>
      <c r="Q365" t="s">
        <v>153</v>
      </c>
    </row>
    <row r="366" spans="9:17" ht="14.25">
      <c r="I366" t="s">
        <v>173</v>
      </c>
      <c r="J366" t="s">
        <v>224</v>
      </c>
      <c r="K366">
        <v>0.04676067101330747</v>
      </c>
      <c r="L366" t="s">
        <v>153</v>
      </c>
      <c r="N366" t="s">
        <v>183</v>
      </c>
      <c r="O366" t="s">
        <v>224</v>
      </c>
      <c r="P366">
        <v>0.028845030151689741</v>
      </c>
      <c r="Q366" t="s">
        <v>153</v>
      </c>
    </row>
    <row r="367" spans="9:17" ht="14.25">
      <c r="I367" t="s">
        <v>173</v>
      </c>
      <c r="J367" t="s">
        <v>225</v>
      </c>
      <c r="K367">
        <v>0.6116782032091026</v>
      </c>
      <c r="L367" t="s">
        <v>153</v>
      </c>
      <c r="N367" t="s">
        <v>183</v>
      </c>
      <c r="O367" t="s">
        <v>225</v>
      </c>
      <c r="P367">
        <v>0.1999484778946585</v>
      </c>
      <c r="Q367" t="s">
        <v>153</v>
      </c>
    </row>
    <row r="368" spans="9:17" ht="14.25">
      <c r="I368" t="s">
        <v>173</v>
      </c>
      <c r="J368" t="s">
        <v>226</v>
      </c>
      <c r="K368">
        <v>0.054538157317872066</v>
      </c>
      <c r="L368" t="s">
        <v>153</v>
      </c>
      <c r="N368" t="s">
        <v>183</v>
      </c>
      <c r="O368" t="s">
        <v>226</v>
      </c>
      <c r="P368">
        <v>0.03297661902152129</v>
      </c>
      <c r="Q368" t="s">
        <v>153</v>
      </c>
    </row>
    <row r="369" spans="9:17" ht="14.25">
      <c r="I369" t="s">
        <v>173</v>
      </c>
      <c r="J369" t="s">
        <v>227</v>
      </c>
      <c r="K369">
        <v>0.02978453987732128</v>
      </c>
      <c r="L369" t="s">
        <v>153</v>
      </c>
      <c r="N369" t="s">
        <v>183</v>
      </c>
      <c r="O369" t="s">
        <v>227</v>
      </c>
      <c r="P369">
        <v>0.04060695636116117</v>
      </c>
      <c r="Q369" t="s">
        <v>153</v>
      </c>
    </row>
    <row r="370" spans="9:17" ht="14.25">
      <c r="I370" t="s">
        <v>173</v>
      </c>
      <c r="J370" t="s">
        <v>228</v>
      </c>
      <c r="K370">
        <v>0.0073323568222530356</v>
      </c>
      <c r="L370" t="s">
        <v>153</v>
      </c>
      <c r="N370" t="s">
        <v>183</v>
      </c>
      <c r="O370" t="s">
        <v>228</v>
      </c>
      <c r="P370">
        <v>0.24449526423993859</v>
      </c>
      <c r="Q37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75E55-3CB9-4233-9164-3146FA94B2B6}">
  <dimension ref="A9:AN550"/>
  <sheetViews>
    <sheetView workbookViewId="0" topLeftCell="A1"/>
  </sheetViews>
  <sheetFormatPr defaultRowHeight="14.25"/>
  <sheetData>
    <row r="9" spans="3:37" ht="14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ht="14.25">
      <c r="A10" t="s">
        <v>128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ok</v>
      </c>
      <c r="C11" t="s">
        <v>141</v>
      </c>
      <c r="D11" t="s">
        <v>142</v>
      </c>
      <c r="E11" t="s">
        <v>143</v>
      </c>
      <c r="F11" t="s">
        <v>231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0.37814999999999999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0.39410000000000001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0.45477500000000004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0.39522857142857137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0.37730000000000002</v>
      </c>
      <c r="AN19" t="s">
        <v>195</v>
      </c>
    </row>
    <row r="20" spans="9:40" ht="14.25"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2026</v>
      </c>
      <c r="AL20" t="s">
        <v>141</v>
      </c>
      <c r="AM20">
        <v>0.38350000000000001</v>
      </c>
      <c r="AN20" t="s">
        <v>195</v>
      </c>
    </row>
    <row r="21" spans="9:40" ht="14.25"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2026</v>
      </c>
      <c r="AL21" t="s">
        <v>145</v>
      </c>
      <c r="AM21">
        <v>0.38345000000000001</v>
      </c>
      <c r="AN21" t="s">
        <v>195</v>
      </c>
    </row>
    <row r="22" spans="9:40" ht="14.25"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2026</v>
      </c>
      <c r="AL22" t="s">
        <v>147</v>
      </c>
      <c r="AM22">
        <v>0.40485000000000004</v>
      </c>
      <c r="AN22" t="s">
        <v>195</v>
      </c>
    </row>
    <row r="23" spans="9:40" ht="14.25"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0.020626454922893969</v>
      </c>
      <c r="Q23" t="s">
        <v>153</v>
      </c>
      <c r="S23" t="s">
        <v>184</v>
      </c>
      <c r="T23" t="s">
        <v>159</v>
      </c>
      <c r="U23">
        <v>0.023480234332229927</v>
      </c>
      <c r="V23" t="s">
        <v>153</v>
      </c>
      <c r="X23">
        <v>0.023173515981735161</v>
      </c>
      <c r="Y23">
        <v>0.009151646238884887</v>
      </c>
      <c r="Z23" t="s">
        <v>159</v>
      </c>
      <c r="AA23" t="s">
        <v>25</v>
      </c>
      <c r="AC23" t="s">
        <v>22</v>
      </c>
      <c r="AD23" t="s">
        <v>159</v>
      </c>
      <c r="AE23">
        <v>0.014182922210886599</v>
      </c>
      <c r="AG23" t="s">
        <v>96</v>
      </c>
      <c r="AH23" t="s">
        <v>159</v>
      </c>
      <c r="AI23">
        <v>0.16821561110108552</v>
      </c>
      <c r="AK23">
        <v>2026</v>
      </c>
      <c r="AL23" t="s">
        <v>149</v>
      </c>
      <c r="AM23">
        <v>0.42630000000000001</v>
      </c>
      <c r="AN23" t="s">
        <v>195</v>
      </c>
    </row>
    <row r="24" spans="9:40" ht="14.25">
      <c r="I24" t="s">
        <v>151</v>
      </c>
      <c r="J24" t="s">
        <v>160</v>
      </c>
      <c r="K24">
        <v>0.0033341046976158679</v>
      </c>
      <c r="L24" t="s">
        <v>153</v>
      </c>
      <c r="N24" t="s">
        <v>174</v>
      </c>
      <c r="O24" t="s">
        <v>160</v>
      </c>
      <c r="P24">
        <v>0.0031069474378597195</v>
      </c>
      <c r="Q24" t="s">
        <v>153</v>
      </c>
      <c r="S24" t="s">
        <v>184</v>
      </c>
      <c r="T24" t="s">
        <v>160</v>
      </c>
      <c r="U24">
        <v>0.0035126218309970967</v>
      </c>
      <c r="V24" t="s">
        <v>153</v>
      </c>
      <c r="X24">
        <v>0.0033105022831050228</v>
      </c>
      <c r="Y24">
        <v>0.0055275174236962274</v>
      </c>
      <c r="Z24" t="s">
        <v>160</v>
      </c>
      <c r="AA24" t="s">
        <v>25</v>
      </c>
      <c r="AC24" t="s">
        <v>22</v>
      </c>
      <c r="AD24" t="s">
        <v>160</v>
      </c>
      <c r="AE24">
        <v>0.0024913373410257083</v>
      </c>
      <c r="AG24" t="s">
        <v>96</v>
      </c>
      <c r="AH24" t="s">
        <v>160</v>
      </c>
      <c r="AI24">
        <v>0.10725067771056707</v>
      </c>
      <c r="AK24">
        <v>2026</v>
      </c>
      <c r="AL24" t="s">
        <v>198</v>
      </c>
      <c r="AM24">
        <v>0.42630000000000001</v>
      </c>
      <c r="AN24" t="s">
        <v>195</v>
      </c>
    </row>
    <row r="25" spans="9:40" ht="14.25">
      <c r="I25" t="s">
        <v>151</v>
      </c>
      <c r="J25" t="s">
        <v>161</v>
      </c>
      <c r="K25">
        <v>0.068031153967948177</v>
      </c>
      <c r="L25" t="s">
        <v>153</v>
      </c>
      <c r="N25" t="s">
        <v>174</v>
      </c>
      <c r="O25" t="s">
        <v>161</v>
      </c>
      <c r="P25">
        <v>0.017022429581917253</v>
      </c>
      <c r="Q25" t="s">
        <v>153</v>
      </c>
      <c r="S25" t="s">
        <v>184</v>
      </c>
      <c r="T25" t="s">
        <v>161</v>
      </c>
      <c r="U25">
        <v>0.021312255313177673</v>
      </c>
      <c r="V25" t="s">
        <v>153</v>
      </c>
      <c r="X25">
        <v>0.026484018264840183</v>
      </c>
      <c r="Y25">
        <v>0.034395577986061042</v>
      </c>
      <c r="Z25" t="s">
        <v>161</v>
      </c>
      <c r="AA25" t="s">
        <v>25</v>
      </c>
      <c r="AC25" t="s">
        <v>22</v>
      </c>
      <c r="AD25" t="s">
        <v>161</v>
      </c>
      <c r="AE25">
        <v>0.022900236755810651</v>
      </c>
      <c r="AG25" t="s">
        <v>96</v>
      </c>
      <c r="AH25" t="s">
        <v>161</v>
      </c>
      <c r="AI25">
        <v>0.08280273346274547</v>
      </c>
      <c r="AK25">
        <v>2026</v>
      </c>
      <c r="AL25" t="s">
        <v>216</v>
      </c>
      <c r="AM25">
        <v>0.42630000000000001</v>
      </c>
      <c r="AN25" t="s">
        <v>195</v>
      </c>
    </row>
    <row r="26" spans="9:40" ht="14.25">
      <c r="I26" t="s">
        <v>151</v>
      </c>
      <c r="J26" t="s">
        <v>204</v>
      </c>
      <c r="K26">
        <v>0.0076593270461617815</v>
      </c>
      <c r="L26" t="s">
        <v>153</v>
      </c>
      <c r="N26" t="s">
        <v>174</v>
      </c>
      <c r="O26" t="s">
        <v>204</v>
      </c>
      <c r="P26">
        <v>0.0017635946898466165</v>
      </c>
      <c r="Q26" t="s">
        <v>153</v>
      </c>
      <c r="S26" t="s">
        <v>184</v>
      </c>
      <c r="T26" t="s">
        <v>204</v>
      </c>
      <c r="U26">
        <v>0.0023535221867725304</v>
      </c>
      <c r="V26" t="s">
        <v>153</v>
      </c>
      <c r="X26">
        <v>0.0033105022831050228</v>
      </c>
      <c r="Y26">
        <v>0.0064407594328286487</v>
      </c>
      <c r="Z26" t="s">
        <v>204</v>
      </c>
      <c r="AA26" t="s">
        <v>25</v>
      </c>
      <c r="AC26" t="s">
        <v>22</v>
      </c>
      <c r="AD26" t="s">
        <v>204</v>
      </c>
      <c r="AE26">
        <v>0.0029571688480171982</v>
      </c>
      <c r="AG26" t="s">
        <v>96</v>
      </c>
      <c r="AH26" t="s">
        <v>204</v>
      </c>
      <c r="AI26">
        <v>0.064258917072624433</v>
      </c>
      <c r="AK26">
        <v>2026</v>
      </c>
      <c r="AL26" t="s">
        <v>232</v>
      </c>
      <c r="AM26">
        <v>0.45435000000000003</v>
      </c>
      <c r="AN26" t="s">
        <v>195</v>
      </c>
    </row>
    <row r="27" spans="9:40" ht="14.25">
      <c r="I27" t="s">
        <v>151</v>
      </c>
      <c r="J27" t="s">
        <v>205</v>
      </c>
      <c r="K27">
        <v>0.0050982778240415538</v>
      </c>
      <c r="L27" t="s">
        <v>153</v>
      </c>
      <c r="N27" t="s">
        <v>174</v>
      </c>
      <c r="O27" t="s">
        <v>205</v>
      </c>
      <c r="P27">
        <v>0.0017176822539858975</v>
      </c>
      <c r="Q27" t="s">
        <v>153</v>
      </c>
      <c r="S27" t="s">
        <v>184</v>
      </c>
      <c r="T27" t="s">
        <v>205</v>
      </c>
      <c r="U27">
        <v>0.0024082122710091724</v>
      </c>
      <c r="V27" t="s">
        <v>153</v>
      </c>
      <c r="X27">
        <v>0.0033105022831050228</v>
      </c>
      <c r="Y27">
        <v>0.0064407594328286487</v>
      </c>
      <c r="Z27" t="s">
        <v>205</v>
      </c>
      <c r="AA27" t="s">
        <v>25</v>
      </c>
      <c r="AC27" t="s">
        <v>22</v>
      </c>
      <c r="AD27" t="s">
        <v>205</v>
      </c>
      <c r="AE27">
        <v>0.0030353393035406238</v>
      </c>
      <c r="AG27" t="s">
        <v>96</v>
      </c>
      <c r="AH27" t="s">
        <v>205</v>
      </c>
      <c r="AI27">
        <v>0.061364462209302362</v>
      </c>
      <c r="AK27">
        <v>2026</v>
      </c>
      <c r="AL27" t="s">
        <v>233</v>
      </c>
      <c r="AM27">
        <v>0.3993571428571428</v>
      </c>
      <c r="AN27" t="s">
        <v>195</v>
      </c>
    </row>
    <row r="28" spans="9:40" ht="14.25">
      <c r="I28" t="s">
        <v>151</v>
      </c>
      <c r="J28" t="s">
        <v>220</v>
      </c>
      <c r="K28">
        <v>6.6718376137141555E-05</v>
      </c>
      <c r="L28" t="s">
        <v>153</v>
      </c>
      <c r="N28" t="s">
        <v>174</v>
      </c>
      <c r="O28" t="s">
        <v>220</v>
      </c>
      <c r="P28">
        <v>0.015210560523380238</v>
      </c>
      <c r="Q28" t="s">
        <v>153</v>
      </c>
      <c r="S28" t="s">
        <v>184</v>
      </c>
      <c r="T28" t="s">
        <v>220</v>
      </c>
      <c r="U28">
        <v>0.015160503026582995</v>
      </c>
      <c r="V28" t="s">
        <v>153</v>
      </c>
      <c r="X28">
        <v>0.019863013698630139</v>
      </c>
      <c r="Y28">
        <v>0.017495794280221105</v>
      </c>
      <c r="Z28" t="s">
        <v>220</v>
      </c>
      <c r="AA28" t="s">
        <v>25</v>
      </c>
      <c r="AC28" t="s">
        <v>22</v>
      </c>
      <c r="AD28" t="s">
        <v>220</v>
      </c>
      <c r="AE28">
        <v>0.017322424650190297</v>
      </c>
      <c r="AG28" t="s">
        <v>96</v>
      </c>
      <c r="AH28" t="s">
        <v>220</v>
      </c>
      <c r="AI28">
        <v>0.1446266724447014</v>
      </c>
      <c r="AK28">
        <v>2026</v>
      </c>
      <c r="AL28" t="s">
        <v>234</v>
      </c>
      <c r="AM28">
        <v>0.38779999999999998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0.0087032253576991014</v>
      </c>
      <c r="Q29" t="s">
        <v>153</v>
      </c>
      <c r="S29" t="s">
        <v>184</v>
      </c>
      <c r="T29" t="s">
        <v>162</v>
      </c>
      <c r="U29">
        <v>0.0084505739912975261</v>
      </c>
      <c r="V29" t="s">
        <v>153</v>
      </c>
      <c r="X29">
        <v>0.0039954337899543377</v>
      </c>
      <c r="Y29">
        <v>0.0015778700411870491</v>
      </c>
      <c r="Z29" t="s">
        <v>162</v>
      </c>
      <c r="AA29" t="s">
        <v>25</v>
      </c>
      <c r="AC29" t="s">
        <v>22</v>
      </c>
      <c r="AD29" t="s">
        <v>162</v>
      </c>
      <c r="AE29">
        <v>0.0024122876866128776</v>
      </c>
      <c r="AG29" t="s">
        <v>96</v>
      </c>
      <c r="AH29" t="s">
        <v>162</v>
      </c>
      <c r="AI29">
        <v>0.10163534179290701</v>
      </c>
      <c r="AK29">
        <v>2027</v>
      </c>
      <c r="AL29" t="s">
        <v>141</v>
      </c>
      <c r="AM29">
        <v>0.3599</v>
      </c>
      <c r="AN29" t="s">
        <v>195</v>
      </c>
    </row>
    <row r="30" spans="9:40" ht="14.25">
      <c r="I30" t="s">
        <v>151</v>
      </c>
      <c r="J30" t="s">
        <v>163</v>
      </c>
      <c r="K30">
        <v>0.00061369233638903728</v>
      </c>
      <c r="L30" t="s">
        <v>153</v>
      </c>
      <c r="N30" t="s">
        <v>174</v>
      </c>
      <c r="O30" t="s">
        <v>163</v>
      </c>
      <c r="P30">
        <v>0.0012089108643196747</v>
      </c>
      <c r="Q30" t="s">
        <v>153</v>
      </c>
      <c r="S30" t="s">
        <v>184</v>
      </c>
      <c r="T30" t="s">
        <v>163</v>
      </c>
      <c r="U30">
        <v>0.0013053373063065532</v>
      </c>
      <c r="V30" t="s">
        <v>153</v>
      </c>
      <c r="X30">
        <v>0.00057077625570776253</v>
      </c>
      <c r="Y30">
        <v>0.00095302024546486681</v>
      </c>
      <c r="Z30" t="s">
        <v>163</v>
      </c>
      <c r="AA30" t="s">
        <v>25</v>
      </c>
      <c r="AC30" t="s">
        <v>22</v>
      </c>
      <c r="AD30" t="s">
        <v>163</v>
      </c>
      <c r="AE30">
        <v>0.00040120199239294013</v>
      </c>
      <c r="AG30" t="s">
        <v>96</v>
      </c>
      <c r="AH30" t="s">
        <v>163</v>
      </c>
      <c r="AI30">
        <v>0.066241209524557254</v>
      </c>
      <c r="AK30">
        <v>2027</v>
      </c>
      <c r="AL30" t="s">
        <v>145</v>
      </c>
      <c r="AM30">
        <v>0.37134999999999996</v>
      </c>
      <c r="AN30" t="s">
        <v>195</v>
      </c>
    </row>
    <row r="31" spans="9:40" ht="14.25">
      <c r="I31" t="s">
        <v>151</v>
      </c>
      <c r="J31" t="s">
        <v>164</v>
      </c>
      <c r="K31">
        <v>0.011578452639173885</v>
      </c>
      <c r="L31" t="s">
        <v>153</v>
      </c>
      <c r="N31" t="s">
        <v>174</v>
      </c>
      <c r="O31" t="s">
        <v>164</v>
      </c>
      <c r="P31">
        <v>0.0085428577049227444</v>
      </c>
      <c r="Q31" t="s">
        <v>153</v>
      </c>
      <c r="S31" t="s">
        <v>184</v>
      </c>
      <c r="T31" t="s">
        <v>164</v>
      </c>
      <c r="U31">
        <v>0.008430638759258988</v>
      </c>
      <c r="V31" t="s">
        <v>153</v>
      </c>
      <c r="X31">
        <v>0.0045662100456621002</v>
      </c>
      <c r="Y31">
        <v>0.00593027206656225</v>
      </c>
      <c r="Z31" t="s">
        <v>164</v>
      </c>
      <c r="AA31" t="s">
        <v>25</v>
      </c>
      <c r="AC31" t="s">
        <v>22</v>
      </c>
      <c r="AD31" t="s">
        <v>164</v>
      </c>
      <c r="AE31">
        <v>0.0038277161892622149</v>
      </c>
      <c r="AG31" t="s">
        <v>96</v>
      </c>
      <c r="AH31" t="s">
        <v>164</v>
      </c>
      <c r="AI31">
        <v>0.1109117342249144</v>
      </c>
      <c r="AK31">
        <v>2027</v>
      </c>
      <c r="AL31" t="s">
        <v>147</v>
      </c>
      <c r="AM31">
        <v>0.41015000000000001</v>
      </c>
      <c r="AN31" t="s">
        <v>195</v>
      </c>
    </row>
    <row r="32" spans="9:40" ht="14.25">
      <c r="I32" t="s">
        <v>151</v>
      </c>
      <c r="J32" t="s">
        <v>206</v>
      </c>
      <c r="K32">
        <v>0.0012677897306796154</v>
      </c>
      <c r="L32" t="s">
        <v>153</v>
      </c>
      <c r="N32" t="s">
        <v>174</v>
      </c>
      <c r="O32" t="s">
        <v>206</v>
      </c>
      <c r="P32">
        <v>0.00085234379320610072</v>
      </c>
      <c r="Q32" t="s">
        <v>153</v>
      </c>
      <c r="S32" t="s">
        <v>184</v>
      </c>
      <c r="T32" t="s">
        <v>206</v>
      </c>
      <c r="U32">
        <v>0.00095208691646582943</v>
      </c>
      <c r="V32" t="s">
        <v>153</v>
      </c>
      <c r="X32">
        <v>0.00057077625570776253</v>
      </c>
      <c r="Y32">
        <v>0.0011104757642808013</v>
      </c>
      <c r="Z32" t="s">
        <v>206</v>
      </c>
      <c r="AA32" t="s">
        <v>25</v>
      </c>
      <c r="AC32" t="s">
        <v>22</v>
      </c>
      <c r="AD32" t="s">
        <v>206</v>
      </c>
      <c r="AE32">
        <v>0.00049046881379483109</v>
      </c>
      <c r="AG32" t="s">
        <v>96</v>
      </c>
      <c r="AH32" t="s">
        <v>206</v>
      </c>
      <c r="AI32">
        <v>0.077541642734060945</v>
      </c>
      <c r="AK32">
        <v>2027</v>
      </c>
      <c r="AL32" t="s">
        <v>149</v>
      </c>
      <c r="AM32">
        <v>0.4375</v>
      </c>
      <c r="AN32" t="s">
        <v>195</v>
      </c>
    </row>
    <row r="33" spans="9:40" ht="14.25">
      <c r="I33" t="s">
        <v>151</v>
      </c>
      <c r="J33" t="s">
        <v>207</v>
      </c>
      <c r="K33">
        <v>0.00088490024450055076</v>
      </c>
      <c r="L33" t="s">
        <v>153</v>
      </c>
      <c r="N33" t="s">
        <v>174</v>
      </c>
      <c r="O33" t="s">
        <v>207</v>
      </c>
      <c r="P33">
        <v>0.00077733937564607332</v>
      </c>
      <c r="Q33" t="s">
        <v>153</v>
      </c>
      <c r="S33" t="s">
        <v>184</v>
      </c>
      <c r="T33" t="s">
        <v>207</v>
      </c>
      <c r="U33">
        <v>0.00096346675328436832</v>
      </c>
      <c r="V33" t="s">
        <v>153</v>
      </c>
      <c r="X33">
        <v>0.00057077625570776253</v>
      </c>
      <c r="Y33">
        <v>0.0011104757642808013</v>
      </c>
      <c r="Z33" t="s">
        <v>207</v>
      </c>
      <c r="AA33" t="s">
        <v>25</v>
      </c>
      <c r="AC33" t="s">
        <v>22</v>
      </c>
      <c r="AD33" t="s">
        <v>207</v>
      </c>
      <c r="AE33">
        <v>0.00050456388212415386</v>
      </c>
      <c r="AG33" t="s">
        <v>96</v>
      </c>
      <c r="AH33" t="s">
        <v>207</v>
      </c>
      <c r="AI33">
        <v>0.071381788240577837</v>
      </c>
      <c r="AK33">
        <v>2027</v>
      </c>
      <c r="AL33" t="s">
        <v>198</v>
      </c>
      <c r="AM33">
        <v>0.4375</v>
      </c>
      <c r="AN33" t="s">
        <v>195</v>
      </c>
    </row>
    <row r="34" spans="9:40" ht="14.25">
      <c r="I34" t="s">
        <v>151</v>
      </c>
      <c r="J34" t="s">
        <v>221</v>
      </c>
      <c r="K34">
        <v>0.0002665742077808644</v>
      </c>
      <c r="L34" t="s">
        <v>153</v>
      </c>
      <c r="N34" t="s">
        <v>174</v>
      </c>
      <c r="O34" t="s">
        <v>221</v>
      </c>
      <c r="P34">
        <v>0.0059676447949860425</v>
      </c>
      <c r="Q34" t="s">
        <v>153</v>
      </c>
      <c r="S34" t="s">
        <v>184</v>
      </c>
      <c r="T34" t="s">
        <v>221</v>
      </c>
      <c r="U34">
        <v>0.0071004498681479155</v>
      </c>
      <c r="V34" t="s">
        <v>153</v>
      </c>
      <c r="X34">
        <v>0.0034246575342465752</v>
      </c>
      <c r="Y34">
        <v>0.0030165162552105349</v>
      </c>
      <c r="Z34" t="s">
        <v>221</v>
      </c>
      <c r="AA34" t="s">
        <v>25</v>
      </c>
      <c r="AC34" t="s">
        <v>22</v>
      </c>
      <c r="AD34" t="s">
        <v>221</v>
      </c>
      <c r="AE34">
        <v>0.0029155853646013748</v>
      </c>
      <c r="AG34" t="s">
        <v>96</v>
      </c>
      <c r="AH34" t="s">
        <v>221</v>
      </c>
      <c r="AI34">
        <v>0.16616004359476788</v>
      </c>
      <c r="AK34">
        <v>2027</v>
      </c>
      <c r="AL34" t="s">
        <v>216</v>
      </c>
      <c r="AM34">
        <v>0.4375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0.011759829769369748</v>
      </c>
      <c r="Q35" t="s">
        <v>153</v>
      </c>
      <c r="S35" t="s">
        <v>184</v>
      </c>
      <c r="T35" t="s">
        <v>208</v>
      </c>
      <c r="U35">
        <v>0.0080208779736630174</v>
      </c>
      <c r="V35" t="s">
        <v>153</v>
      </c>
      <c r="X35">
        <v>0.0079908675799086754</v>
      </c>
      <c r="Y35">
        <v>0.0031557400823740982</v>
      </c>
      <c r="Z35" t="s">
        <v>208</v>
      </c>
      <c r="AA35" t="s">
        <v>25</v>
      </c>
      <c r="AC35" t="s">
        <v>22</v>
      </c>
      <c r="AD35" t="s">
        <v>208</v>
      </c>
      <c r="AE35">
        <v>0.004861749949134052</v>
      </c>
      <c r="AG35" t="s">
        <v>96</v>
      </c>
      <c r="AH35" t="s">
        <v>208</v>
      </c>
      <c r="AI35">
        <v>0.10593493028244549</v>
      </c>
      <c r="AK35">
        <v>2027</v>
      </c>
      <c r="AL35" t="s">
        <v>232</v>
      </c>
      <c r="AM35">
        <v>0.46809999999999996</v>
      </c>
      <c r="AN35" t="s">
        <v>195</v>
      </c>
    </row>
    <row r="36" spans="9:40" ht="14.25">
      <c r="I36" t="s">
        <v>151</v>
      </c>
      <c r="J36" t="s">
        <v>209</v>
      </c>
      <c r="K36">
        <v>0.001298460068873621</v>
      </c>
      <c r="L36" t="s">
        <v>153</v>
      </c>
      <c r="N36" t="s">
        <v>174</v>
      </c>
      <c r="O36" t="s">
        <v>209</v>
      </c>
      <c r="P36">
        <v>0.001886974464808056</v>
      </c>
      <c r="Q36" t="s">
        <v>153</v>
      </c>
      <c r="S36" t="s">
        <v>184</v>
      </c>
      <c r="T36" t="s">
        <v>209</v>
      </c>
      <c r="U36">
        <v>0.0010965307123337114</v>
      </c>
      <c r="V36" t="s">
        <v>153</v>
      </c>
      <c r="X36">
        <v>0.0011415525114155251</v>
      </c>
      <c r="Y36">
        <v>0.0019060404909297334</v>
      </c>
      <c r="Z36" t="s">
        <v>209</v>
      </c>
      <c r="AA36" t="s">
        <v>25</v>
      </c>
      <c r="AC36" t="s">
        <v>22</v>
      </c>
      <c r="AD36" t="s">
        <v>209</v>
      </c>
      <c r="AE36">
        <v>0.00083819005644650355</v>
      </c>
      <c r="AG36" t="s">
        <v>96</v>
      </c>
      <c r="AH36" t="s">
        <v>209</v>
      </c>
      <c r="AI36">
        <v>0.043252445080562918</v>
      </c>
      <c r="AK36">
        <v>2027</v>
      </c>
      <c r="AL36" t="s">
        <v>233</v>
      </c>
      <c r="AM36">
        <v>0.40239999999999998</v>
      </c>
      <c r="AN36" t="s">
        <v>195</v>
      </c>
    </row>
    <row r="37" spans="9:40" ht="14.25">
      <c r="I37" t="s">
        <v>151</v>
      </c>
      <c r="J37" t="s">
        <v>210</v>
      </c>
      <c r="K37">
        <v>0.023803428544525662</v>
      </c>
      <c r="L37" t="s">
        <v>153</v>
      </c>
      <c r="N37" t="s">
        <v>174</v>
      </c>
      <c r="O37" t="s">
        <v>210</v>
      </c>
      <c r="P37">
        <v>0.011467264097356209</v>
      </c>
      <c r="Q37" t="s">
        <v>153</v>
      </c>
      <c r="S37" t="s">
        <v>184</v>
      </c>
      <c r="T37" t="s">
        <v>210</v>
      </c>
      <c r="U37">
        <v>0.010137243194830198</v>
      </c>
      <c r="V37" t="s">
        <v>153</v>
      </c>
      <c r="X37">
        <v>0.0091324200913242004</v>
      </c>
      <c r="Y37">
        <v>0.0118605441331245</v>
      </c>
      <c r="Z37" t="s">
        <v>210</v>
      </c>
      <c r="AA37" t="s">
        <v>25</v>
      </c>
      <c r="AC37" t="s">
        <v>22</v>
      </c>
      <c r="AD37" t="s">
        <v>210</v>
      </c>
      <c r="AE37">
        <v>0.0080568442892856289</v>
      </c>
      <c r="AG37" t="s">
        <v>96</v>
      </c>
      <c r="AH37" t="s">
        <v>210</v>
      </c>
      <c r="AI37">
        <v>0.057611599520396517</v>
      </c>
      <c r="AK37">
        <v>2027</v>
      </c>
      <c r="AL37" t="s">
        <v>234</v>
      </c>
      <c r="AM37">
        <v>0.3735</v>
      </c>
      <c r="AN37" t="s">
        <v>195</v>
      </c>
    </row>
    <row r="38" spans="9:40" ht="14.25">
      <c r="I38" t="s">
        <v>151</v>
      </c>
      <c r="J38" t="s">
        <v>211</v>
      </c>
      <c r="K38">
        <v>0.0026395625166874353</v>
      </c>
      <c r="L38" t="s">
        <v>153</v>
      </c>
      <c r="N38" t="s">
        <v>174</v>
      </c>
      <c r="O38" t="s">
        <v>211</v>
      </c>
      <c r="P38">
        <v>0.0016406269313405982</v>
      </c>
      <c r="Q38" t="s">
        <v>153</v>
      </c>
      <c r="S38" t="s">
        <v>184</v>
      </c>
      <c r="T38" t="s">
        <v>211</v>
      </c>
      <c r="U38">
        <v>0.0013017416663372353</v>
      </c>
      <c r="V38" t="s">
        <v>153</v>
      </c>
      <c r="X38">
        <v>0.0011415525114155251</v>
      </c>
      <c r="Y38">
        <v>0.002220951528561603</v>
      </c>
      <c r="Z38" t="s">
        <v>211</v>
      </c>
      <c r="AA38" t="s">
        <v>25</v>
      </c>
      <c r="AC38" t="s">
        <v>22</v>
      </c>
      <c r="AD38" t="s">
        <v>211</v>
      </c>
      <c r="AE38">
        <v>0.0010391556271171093</v>
      </c>
      <c r="AG38" t="s">
        <v>96</v>
      </c>
      <c r="AH38" t="s">
        <v>211</v>
      </c>
      <c r="AI38">
        <v>0.03755613319384743</v>
      </c>
      <c r="AK38">
        <v>2028</v>
      </c>
      <c r="AL38" t="s">
        <v>141</v>
      </c>
      <c r="AM38">
        <v>0.34389999999999998</v>
      </c>
      <c r="AN38" t="s">
        <v>195</v>
      </c>
    </row>
    <row r="39" spans="9:40" ht="14.25">
      <c r="I39" t="s">
        <v>151</v>
      </c>
      <c r="J39" t="s">
        <v>212</v>
      </c>
      <c r="K39">
        <v>0.0018427790730180041</v>
      </c>
      <c r="L39" t="s">
        <v>153</v>
      </c>
      <c r="N39" t="s">
        <v>174</v>
      </c>
      <c r="O39" t="s">
        <v>212</v>
      </c>
      <c r="P39">
        <v>0.0016179796400579247</v>
      </c>
      <c r="Q39" t="s">
        <v>153</v>
      </c>
      <c r="S39" t="s">
        <v>184</v>
      </c>
      <c r="T39" t="s">
        <v>212</v>
      </c>
      <c r="U39">
        <v>0.00132851187526874</v>
      </c>
      <c r="V39" t="s">
        <v>153</v>
      </c>
      <c r="X39">
        <v>0.0011415525114155251</v>
      </c>
      <c r="Y39">
        <v>0.002220951528561603</v>
      </c>
      <c r="Z39" t="s">
        <v>212</v>
      </c>
      <c r="AA39" t="s">
        <v>25</v>
      </c>
      <c r="AC39" t="s">
        <v>22</v>
      </c>
      <c r="AD39" t="s">
        <v>212</v>
      </c>
      <c r="AE39">
        <v>0.0010634077790397066</v>
      </c>
      <c r="AG39" t="s">
        <v>96</v>
      </c>
      <c r="AH39" t="s">
        <v>212</v>
      </c>
      <c r="AI39">
        <v>0.035300552327666601</v>
      </c>
      <c r="AK39">
        <v>2028</v>
      </c>
      <c r="AL39" t="s">
        <v>145</v>
      </c>
      <c r="AM39">
        <v>0.36244999999999999</v>
      </c>
      <c r="AN39" t="s">
        <v>195</v>
      </c>
    </row>
    <row r="40" spans="9:40" ht="14.25">
      <c r="I40" t="s">
        <v>151</v>
      </c>
      <c r="J40" t="s">
        <v>222</v>
      </c>
      <c r="K40">
        <v>0.00090286145011865906</v>
      </c>
      <c r="L40" t="s">
        <v>153</v>
      </c>
      <c r="N40" t="s">
        <v>174</v>
      </c>
      <c r="O40" t="s">
        <v>222</v>
      </c>
      <c r="P40">
        <v>0.010111393207733962</v>
      </c>
      <c r="Q40" t="s">
        <v>153</v>
      </c>
      <c r="S40" t="s">
        <v>184</v>
      </c>
      <c r="T40" t="s">
        <v>222</v>
      </c>
      <c r="U40">
        <v>0.0087667651039062162</v>
      </c>
      <c r="V40" t="s">
        <v>153</v>
      </c>
      <c r="X40">
        <v>0.0068493150684931503</v>
      </c>
      <c r="Y40">
        <v>0.0060330325104210707</v>
      </c>
      <c r="Z40" t="s">
        <v>222</v>
      </c>
      <c r="AA40" t="s">
        <v>25</v>
      </c>
      <c r="AC40" t="s">
        <v>22</v>
      </c>
      <c r="AD40" t="s">
        <v>222</v>
      </c>
      <c r="AE40">
        <v>0.0060336473192017055</v>
      </c>
      <c r="AG40" t="s">
        <v>96</v>
      </c>
      <c r="AH40" t="s">
        <v>222</v>
      </c>
      <c r="AI40">
        <v>0.1347478911432709</v>
      </c>
      <c r="AK40">
        <v>2028</v>
      </c>
      <c r="AL40" t="s">
        <v>147</v>
      </c>
      <c r="AM40">
        <v>0.37054999999999999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2028</v>
      </c>
      <c r="AL41" t="s">
        <v>149</v>
      </c>
      <c r="AM41">
        <v>0.36009999999999998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2028</v>
      </c>
      <c r="AL42" t="s">
        <v>198</v>
      </c>
      <c r="AM42">
        <v>0.36009999999999998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2028</v>
      </c>
      <c r="AL43" t="s">
        <v>216</v>
      </c>
      <c r="AM43">
        <v>0.36009999999999998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2028</v>
      </c>
      <c r="AL44" t="s">
        <v>232</v>
      </c>
      <c r="AM44">
        <v>0.44514999999999999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2028</v>
      </c>
      <c r="AL45" t="s">
        <v>233</v>
      </c>
      <c r="AM45">
        <v>0.40011428571428576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2028</v>
      </c>
      <c r="AL46" t="s">
        <v>234</v>
      </c>
      <c r="AM46">
        <v>0.36930000000000002</v>
      </c>
      <c r="AN46" t="s">
        <v>195</v>
      </c>
    </row>
    <row r="47" spans="9:40" ht="14.25">
      <c r="I47" t="s">
        <v>151</v>
      </c>
      <c r="J47" t="s">
        <v>235</v>
      </c>
      <c r="K47">
        <v>0.0048561384750677389</v>
      </c>
      <c r="L47" t="s">
        <v>153</v>
      </c>
      <c r="N47" t="s">
        <v>174</v>
      </c>
      <c r="O47" t="s">
        <v>235</v>
      </c>
      <c r="P47">
        <v>0.066696387219779552</v>
      </c>
      <c r="Q47" t="s">
        <v>153</v>
      </c>
      <c r="S47" t="s">
        <v>184</v>
      </c>
      <c r="T47" t="s">
        <v>235</v>
      </c>
      <c r="U47">
        <v>0.07116740273105944</v>
      </c>
      <c r="V47" t="s">
        <v>153</v>
      </c>
      <c r="X47">
        <v>0.059132420091324203</v>
      </c>
      <c r="Y47">
        <v>0.023352476609568327</v>
      </c>
      <c r="Z47" t="s">
        <v>235</v>
      </c>
      <c r="AA47" t="s">
        <v>25</v>
      </c>
      <c r="AC47" t="s">
        <v>22</v>
      </c>
      <c r="AD47" t="s">
        <v>235</v>
      </c>
      <c r="AE47">
        <v>0.045681036843610599</v>
      </c>
      <c r="AG47" t="s">
        <v>96</v>
      </c>
      <c r="AH47" t="s">
        <v>235</v>
      </c>
      <c r="AI47">
        <v>0.44638357442837129</v>
      </c>
      <c r="AK47">
        <v>2029</v>
      </c>
      <c r="AL47" t="s">
        <v>141</v>
      </c>
      <c r="AM47">
        <v>0.4204</v>
      </c>
      <c r="AN47" t="s">
        <v>195</v>
      </c>
    </row>
    <row r="48" spans="9:40" ht="14.25">
      <c r="I48" t="s">
        <v>151</v>
      </c>
      <c r="J48" t="s">
        <v>236</v>
      </c>
      <c r="K48">
        <v>0.011983833021955059</v>
      </c>
      <c r="L48" t="s">
        <v>153</v>
      </c>
      <c r="N48" t="s">
        <v>174</v>
      </c>
      <c r="O48" t="s">
        <v>236</v>
      </c>
      <c r="P48">
        <v>0.0082297905285833948</v>
      </c>
      <c r="Q48" t="s">
        <v>153</v>
      </c>
      <c r="S48" t="s">
        <v>184</v>
      </c>
      <c r="T48" t="s">
        <v>236</v>
      </c>
      <c r="U48">
        <v>0.0096652278131361645</v>
      </c>
      <c r="V48" t="s">
        <v>153</v>
      </c>
      <c r="X48">
        <v>0.0084474885844748864</v>
      </c>
      <c r="Y48">
        <v>0.014104699632880028</v>
      </c>
      <c r="Z48" t="s">
        <v>236</v>
      </c>
      <c r="AA48" t="s">
        <v>25</v>
      </c>
      <c r="AC48" t="s">
        <v>22</v>
      </c>
      <c r="AD48" t="s">
        <v>236</v>
      </c>
      <c r="AE48">
        <v>0.0069970220690771428</v>
      </c>
      <c r="AG48" t="s">
        <v>96</v>
      </c>
      <c r="AH48" t="s">
        <v>236</v>
      </c>
      <c r="AI48">
        <v>0.28047647078081961</v>
      </c>
      <c r="AK48">
        <v>2029</v>
      </c>
      <c r="AL48" t="s">
        <v>145</v>
      </c>
      <c r="AM48">
        <v>0.39860000000000001</v>
      </c>
      <c r="AN48" t="s">
        <v>195</v>
      </c>
    </row>
    <row r="49" spans="9:40" ht="14.25">
      <c r="I49" t="s">
        <v>151</v>
      </c>
      <c r="J49" t="s">
        <v>237</v>
      </c>
      <c r="K49">
        <v>0.1647345533352291</v>
      </c>
      <c r="L49" t="s">
        <v>153</v>
      </c>
      <c r="N49" t="s">
        <v>174</v>
      </c>
      <c r="O49" t="s">
        <v>237</v>
      </c>
      <c r="P49">
        <v>0.063576607812872915</v>
      </c>
      <c r="Q49" t="s">
        <v>153</v>
      </c>
      <c r="S49" t="s">
        <v>184</v>
      </c>
      <c r="T49" t="s">
        <v>237</v>
      </c>
      <c r="U49">
        <v>0.073423893747958283</v>
      </c>
      <c r="V49" t="s">
        <v>153</v>
      </c>
      <c r="X49">
        <v>0.067579908675799091</v>
      </c>
      <c r="Y49">
        <v>0.087768026585121298</v>
      </c>
      <c r="Z49" t="s">
        <v>237</v>
      </c>
      <c r="AA49" t="s">
        <v>25</v>
      </c>
      <c r="AC49" t="s">
        <v>22</v>
      </c>
      <c r="AD49" t="s">
        <v>237</v>
      </c>
      <c r="AE49">
        <v>0.071192042010231021</v>
      </c>
      <c r="AG49" t="s">
        <v>96</v>
      </c>
      <c r="AH49" t="s">
        <v>237</v>
      </c>
      <c r="AI49">
        <v>0.24697127815754794</v>
      </c>
      <c r="AK49">
        <v>2029</v>
      </c>
      <c r="AL49" t="s">
        <v>147</v>
      </c>
      <c r="AM49">
        <v>0.43955</v>
      </c>
      <c r="AN49" t="s">
        <v>195</v>
      </c>
    </row>
    <row r="50" spans="9:40" ht="14.25">
      <c r="I50" t="s">
        <v>151</v>
      </c>
      <c r="J50" t="s">
        <v>238</v>
      </c>
      <c r="K50">
        <v>0.016970804541776265</v>
      </c>
      <c r="L50" t="s">
        <v>153</v>
      </c>
      <c r="N50" t="s">
        <v>174</v>
      </c>
      <c r="O50" t="s">
        <v>238</v>
      </c>
      <c r="P50">
        <v>0.010808719233102651</v>
      </c>
      <c r="Q50" t="s">
        <v>153</v>
      </c>
      <c r="S50" t="s">
        <v>184</v>
      </c>
      <c r="T50" t="s">
        <v>238</v>
      </c>
      <c r="U50">
        <v>0.0086130614781997072</v>
      </c>
      <c r="V50" t="s">
        <v>153</v>
      </c>
      <c r="X50">
        <v>0.0084474885844748864</v>
      </c>
      <c r="Y50">
        <v>0.016435041311355859</v>
      </c>
      <c r="Z50" t="s">
        <v>238</v>
      </c>
      <c r="AA50" t="s">
        <v>25</v>
      </c>
      <c r="AC50" t="s">
        <v>22</v>
      </c>
      <c r="AD50" t="s">
        <v>238</v>
      </c>
      <c r="AE50">
        <v>0.0090821062271200428</v>
      </c>
      <c r="AG50" t="s">
        <v>96</v>
      </c>
      <c r="AH50" t="s">
        <v>238</v>
      </c>
      <c r="AI50">
        <v>0.2174815406106565</v>
      </c>
      <c r="AK50">
        <v>2029</v>
      </c>
      <c r="AL50" t="s">
        <v>149</v>
      </c>
      <c r="AM50">
        <v>0.50229999999999997</v>
      </c>
      <c r="AN50" t="s">
        <v>195</v>
      </c>
    </row>
    <row r="51" spans="9:40" ht="14.25">
      <c r="I51" t="s">
        <v>151</v>
      </c>
      <c r="J51" t="s">
        <v>239</v>
      </c>
      <c r="K51">
        <v>0.012345680172261711</v>
      </c>
      <c r="L51" t="s">
        <v>153</v>
      </c>
      <c r="N51" t="s">
        <v>174</v>
      </c>
      <c r="O51" t="s">
        <v>239</v>
      </c>
      <c r="P51">
        <v>0.011224731587384388</v>
      </c>
      <c r="Q51" t="s">
        <v>153</v>
      </c>
      <c r="S51" t="s">
        <v>184</v>
      </c>
      <c r="T51" t="s">
        <v>239</v>
      </c>
      <c r="U51">
        <v>0.0089473139246618177</v>
      </c>
      <c r="V51" t="s">
        <v>153</v>
      </c>
      <c r="X51">
        <v>0.0084474885844748864</v>
      </c>
      <c r="Y51">
        <v>0.016435041311355859</v>
      </c>
      <c r="Z51" t="s">
        <v>239</v>
      </c>
      <c r="AA51" t="s">
        <v>25</v>
      </c>
      <c r="AC51" t="s">
        <v>22</v>
      </c>
      <c r="AD51" t="s">
        <v>239</v>
      </c>
      <c r="AE51">
        <v>0.0091381714616584515</v>
      </c>
      <c r="AG51" t="s">
        <v>96</v>
      </c>
      <c r="AH51" t="s">
        <v>239</v>
      </c>
      <c r="AI51">
        <v>0.21342719780219799</v>
      </c>
      <c r="AK51">
        <v>2029</v>
      </c>
      <c r="AL51" t="s">
        <v>198</v>
      </c>
      <c r="AM51">
        <v>0.50229999999999997</v>
      </c>
      <c r="AN51" t="s">
        <v>195</v>
      </c>
    </row>
    <row r="52" spans="9:40" ht="14.25">
      <c r="I52" t="s">
        <v>151</v>
      </c>
      <c r="J52" t="s">
        <v>240</v>
      </c>
      <c r="K52">
        <v>0.0056064909150162004</v>
      </c>
      <c r="L52" t="s">
        <v>153</v>
      </c>
      <c r="N52" t="s">
        <v>174</v>
      </c>
      <c r="O52" t="s">
        <v>240</v>
      </c>
      <c r="P52">
        <v>0.070453626860479956</v>
      </c>
      <c r="Q52" t="s">
        <v>153</v>
      </c>
      <c r="S52" t="s">
        <v>184</v>
      </c>
      <c r="T52" t="s">
        <v>240</v>
      </c>
      <c r="U52">
        <v>0.060441112829573776</v>
      </c>
      <c r="V52" t="s">
        <v>153</v>
      </c>
      <c r="X52">
        <v>0.050684931506849315</v>
      </c>
      <c r="Y52">
        <v>0.044644440577115911</v>
      </c>
      <c r="Z52" t="s">
        <v>240</v>
      </c>
      <c r="AA52" t="s">
        <v>25</v>
      </c>
      <c r="AC52" t="s">
        <v>22</v>
      </c>
      <c r="AD52" t="s">
        <v>240</v>
      </c>
      <c r="AE52">
        <v>0.053415286415657875</v>
      </c>
      <c r="AG52" t="s">
        <v>96</v>
      </c>
      <c r="AH52" t="s">
        <v>240</v>
      </c>
      <c r="AI52">
        <v>0.23640952072596888</v>
      </c>
      <c r="AK52">
        <v>2029</v>
      </c>
      <c r="AL52" t="s">
        <v>216</v>
      </c>
      <c r="AM52">
        <v>0.50229999999999997</v>
      </c>
      <c r="AN52" t="s">
        <v>195</v>
      </c>
    </row>
    <row r="53" spans="9:40" ht="14.25">
      <c r="I53" t="s">
        <v>151</v>
      </c>
      <c r="J53" t="s">
        <v>241</v>
      </c>
      <c r="K53">
        <v>0.0055017438017939038</v>
      </c>
      <c r="L53" t="s">
        <v>153</v>
      </c>
      <c r="N53" t="s">
        <v>174</v>
      </c>
      <c r="O53" t="s">
        <v>241</v>
      </c>
      <c r="P53">
        <v>0.11879847679548899</v>
      </c>
      <c r="Q53" t="s">
        <v>153</v>
      </c>
      <c r="S53" t="s">
        <v>184</v>
      </c>
      <c r="T53" t="s">
        <v>241</v>
      </c>
      <c r="U53">
        <v>0.13180847139285337</v>
      </c>
      <c r="V53" t="s">
        <v>153</v>
      </c>
      <c r="X53">
        <v>0.15182648401826485</v>
      </c>
      <c r="Y53">
        <v>0.059959061565107864</v>
      </c>
      <c r="Z53" t="s">
        <v>241</v>
      </c>
      <c r="AA53" t="s">
        <v>25</v>
      </c>
      <c r="AC53" t="s">
        <v>22</v>
      </c>
      <c r="AD53" t="s">
        <v>241</v>
      </c>
      <c r="AE53">
        <v>0.15003984052945635</v>
      </c>
      <c r="AG53" t="s">
        <v>96</v>
      </c>
      <c r="AH53" t="s">
        <v>241</v>
      </c>
      <c r="AI53">
        <v>0.2256455452935493</v>
      </c>
      <c r="AK53">
        <v>2029</v>
      </c>
      <c r="AL53" t="s">
        <v>232</v>
      </c>
      <c r="AM53">
        <v>0.52090000000000003</v>
      </c>
      <c r="AN53" t="s">
        <v>195</v>
      </c>
    </row>
    <row r="54" spans="9:40" ht="14.25">
      <c r="I54" t="s">
        <v>151</v>
      </c>
      <c r="J54" t="s">
        <v>242</v>
      </c>
      <c r="K54">
        <v>0.026521341117641796</v>
      </c>
      <c r="L54" t="s">
        <v>153</v>
      </c>
      <c r="N54" t="s">
        <v>174</v>
      </c>
      <c r="O54" t="s">
        <v>242</v>
      </c>
      <c r="P54">
        <v>0.015811553558023259</v>
      </c>
      <c r="Q54" t="s">
        <v>153</v>
      </c>
      <c r="S54" t="s">
        <v>184</v>
      </c>
      <c r="T54" t="s">
        <v>242</v>
      </c>
      <c r="U54">
        <v>0.01882321774225949</v>
      </c>
      <c r="V54" t="s">
        <v>153</v>
      </c>
      <c r="X54">
        <v>0.021689497716894976</v>
      </c>
      <c r="Y54">
        <v>0.036214769327664931</v>
      </c>
      <c r="Z54" t="s">
        <v>242</v>
      </c>
      <c r="AA54" t="s">
        <v>25</v>
      </c>
      <c r="AC54" t="s">
        <v>22</v>
      </c>
      <c r="AD54" t="s">
        <v>242</v>
      </c>
      <c r="AE54">
        <v>0.021620164149142349</v>
      </c>
      <c r="AG54" t="s">
        <v>96</v>
      </c>
      <c r="AH54" t="s">
        <v>242</v>
      </c>
      <c r="AI54">
        <v>0.19792576558765007</v>
      </c>
      <c r="AK54">
        <v>2029</v>
      </c>
      <c r="AL54" t="s">
        <v>233</v>
      </c>
      <c r="AM54">
        <v>0.44334285714285715</v>
      </c>
      <c r="AN54" t="s">
        <v>195</v>
      </c>
    </row>
    <row r="55" spans="9:40" ht="14.25">
      <c r="I55" t="s">
        <v>151</v>
      </c>
      <c r="J55" t="s">
        <v>243</v>
      </c>
      <c r="K55">
        <v>0.40728294636025791</v>
      </c>
      <c r="L55" t="s">
        <v>153</v>
      </c>
      <c r="N55" t="s">
        <v>174</v>
      </c>
      <c r="O55" t="s">
        <v>243</v>
      </c>
      <c r="P55">
        <v>0.13593955569443064</v>
      </c>
      <c r="Q55" t="s">
        <v>153</v>
      </c>
      <c r="S55" t="s">
        <v>184</v>
      </c>
      <c r="T55" t="s">
        <v>243</v>
      </c>
      <c r="U55">
        <v>0.13458040027611329</v>
      </c>
      <c r="V55" t="s">
        <v>153</v>
      </c>
      <c r="X55">
        <v>0.17351598173515981</v>
      </c>
      <c r="Y55">
        <v>0.22535033852936548</v>
      </c>
      <c r="Z55" t="s">
        <v>243</v>
      </c>
      <c r="AA55" t="s">
        <v>25</v>
      </c>
      <c r="AC55" t="s">
        <v>22</v>
      </c>
      <c r="AD55" t="s">
        <v>243</v>
      </c>
      <c r="AE55">
        <v>0.20764670353490802</v>
      </c>
      <c r="AG55" t="s">
        <v>96</v>
      </c>
      <c r="AH55" t="s">
        <v>243</v>
      </c>
      <c r="AI55">
        <v>0.15247074329240173</v>
      </c>
      <c r="AK55">
        <v>2029</v>
      </c>
      <c r="AL55" t="s">
        <v>234</v>
      </c>
      <c r="AM55">
        <v>0.39279999999999998</v>
      </c>
      <c r="AN55" t="s">
        <v>195</v>
      </c>
    </row>
    <row r="56" spans="9:40" ht="14.25">
      <c r="I56" t="s">
        <v>151</v>
      </c>
      <c r="J56" t="s">
        <v>244</v>
      </c>
      <c r="K56">
        <v>0.039496445407299088</v>
      </c>
      <c r="L56" t="s">
        <v>153</v>
      </c>
      <c r="N56" t="s">
        <v>174</v>
      </c>
      <c r="O56" t="s">
        <v>244</v>
      </c>
      <c r="P56">
        <v>0.024542203389334872</v>
      </c>
      <c r="Q56" t="s">
        <v>153</v>
      </c>
      <c r="S56" t="s">
        <v>184</v>
      </c>
      <c r="T56" t="s">
        <v>244</v>
      </c>
      <c r="U56">
        <v>0.017854964495303851</v>
      </c>
      <c r="V56" t="s">
        <v>153</v>
      </c>
      <c r="X56">
        <v>0.021689497716894976</v>
      </c>
      <c r="Y56">
        <v>0.042198079042670457</v>
      </c>
      <c r="Z56" t="s">
        <v>244</v>
      </c>
      <c r="AA56" t="s">
        <v>25</v>
      </c>
      <c r="AC56" t="s">
        <v>22</v>
      </c>
      <c r="AD56" t="s">
        <v>244</v>
      </c>
      <c r="AE56">
        <v>0.026524676190703533</v>
      </c>
      <c r="AG56" t="s">
        <v>96</v>
      </c>
      <c r="AH56" t="s">
        <v>244</v>
      </c>
      <c r="AI56">
        <v>0.12589039392531087</v>
      </c>
      <c r="AK56">
        <v>2030</v>
      </c>
      <c r="AL56" t="s">
        <v>141</v>
      </c>
      <c r="AM56">
        <v>0.42020000000000002</v>
      </c>
      <c r="AN56" t="s">
        <v>195</v>
      </c>
    </row>
    <row r="57" spans="9:40" ht="14.25">
      <c r="I57" t="s">
        <v>151</v>
      </c>
      <c r="J57" t="s">
        <v>245</v>
      </c>
      <c r="K57">
        <v>0.02512807267153341</v>
      </c>
      <c r="L57" t="s">
        <v>153</v>
      </c>
      <c r="N57" t="s">
        <v>174</v>
      </c>
      <c r="O57" t="s">
        <v>245</v>
      </c>
      <c r="P57">
        <v>0.025429729756614432</v>
      </c>
      <c r="Q57" t="s">
        <v>153</v>
      </c>
      <c r="S57" t="s">
        <v>184</v>
      </c>
      <c r="T57" t="s">
        <v>245</v>
      </c>
      <c r="U57">
        <v>0.018647426675959353</v>
      </c>
      <c r="V57" t="s">
        <v>153</v>
      </c>
      <c r="X57">
        <v>0.021689497716894976</v>
      </c>
      <c r="Y57">
        <v>0.042198079042670457</v>
      </c>
      <c r="Z57" t="s">
        <v>245</v>
      </c>
      <c r="AA57" t="s">
        <v>25</v>
      </c>
      <c r="AC57" t="s">
        <v>22</v>
      </c>
      <c r="AD57" t="s">
        <v>245</v>
      </c>
      <c r="AE57">
        <v>0.02656690305517689</v>
      </c>
      <c r="AG57" t="s">
        <v>96</v>
      </c>
      <c r="AH57" t="s">
        <v>245</v>
      </c>
      <c r="AI57">
        <v>0.12095366891910109</v>
      </c>
      <c r="AK57">
        <v>2030</v>
      </c>
      <c r="AL57" t="s">
        <v>145</v>
      </c>
      <c r="AM57">
        <v>0.42715000000000003</v>
      </c>
      <c r="AN57" t="s">
        <v>195</v>
      </c>
    </row>
    <row r="58" spans="9:40" ht="14.25">
      <c r="I58" t="s">
        <v>151</v>
      </c>
      <c r="J58" t="s">
        <v>246</v>
      </c>
      <c r="K58">
        <v>0.0059769630670801696</v>
      </c>
      <c r="L58" t="s">
        <v>153</v>
      </c>
      <c r="N58" t="s">
        <v>174</v>
      </c>
      <c r="O58" t="s">
        <v>246</v>
      </c>
      <c r="P58">
        <v>0.13561492262942593</v>
      </c>
      <c r="Q58" t="s">
        <v>153</v>
      </c>
      <c r="S58" t="s">
        <v>184</v>
      </c>
      <c r="T58" t="s">
        <v>246</v>
      </c>
      <c r="U58">
        <v>0.11234885316503755</v>
      </c>
      <c r="V58" t="s">
        <v>153</v>
      </c>
      <c r="X58">
        <v>0.13013698630136986</v>
      </c>
      <c r="Y58">
        <v>0.11462761769800033</v>
      </c>
      <c r="Z58" t="s">
        <v>246</v>
      </c>
      <c r="AA58" t="s">
        <v>25</v>
      </c>
      <c r="AC58" t="s">
        <v>22</v>
      </c>
      <c r="AD58" t="s">
        <v>246</v>
      </c>
      <c r="AE58">
        <v>0.15515153936986648</v>
      </c>
      <c r="AG58" t="s">
        <v>96</v>
      </c>
      <c r="AH58" t="s">
        <v>246</v>
      </c>
      <c r="AI58">
        <v>0.15001983220613369</v>
      </c>
      <c r="AK58">
        <v>2030</v>
      </c>
      <c r="AL58" t="s">
        <v>147</v>
      </c>
      <c r="AM58">
        <v>0.46509999999999996</v>
      </c>
      <c r="AN58" t="s">
        <v>195</v>
      </c>
    </row>
    <row r="59" spans="9:40" ht="14.25">
      <c r="I59" t="s">
        <v>151</v>
      </c>
      <c r="J59" t="s">
        <v>247</v>
      </c>
      <c r="K59">
        <v>0</v>
      </c>
      <c r="L59" t="s">
        <v>153</v>
      </c>
      <c r="N59" t="s">
        <v>174</v>
      </c>
      <c r="O59" t="s">
        <v>247</v>
      </c>
      <c r="P59">
        <v>0.017420111407944704</v>
      </c>
      <c r="Q59" t="s">
        <v>153</v>
      </c>
      <c r="S59" t="s">
        <v>184</v>
      </c>
      <c r="T59" t="s">
        <v>247</v>
      </c>
      <c r="U59">
        <v>0.02157582521478861</v>
      </c>
      <c r="V59" t="s">
        <v>153</v>
      </c>
      <c r="X59">
        <v>0.013584474885844749</v>
      </c>
      <c r="Y59">
        <v>0.0053647581400359679</v>
      </c>
      <c r="Z59" t="s">
        <v>247</v>
      </c>
      <c r="AA59" t="s">
        <v>25</v>
      </c>
      <c r="AC59" t="s">
        <v>22</v>
      </c>
      <c r="AD59" t="s">
        <v>247</v>
      </c>
      <c r="AE59">
        <v>0.0082907939296213411</v>
      </c>
      <c r="AG59" t="s">
        <v>96</v>
      </c>
      <c r="AH59" t="s">
        <v>247</v>
      </c>
      <c r="AI59">
        <v>0.15946513009647445</v>
      </c>
      <c r="AK59">
        <v>2030</v>
      </c>
      <c r="AL59" t="s">
        <v>149</v>
      </c>
      <c r="AM59">
        <v>0.49609999999999999</v>
      </c>
      <c r="AN59" t="s">
        <v>195</v>
      </c>
    </row>
    <row r="60" spans="9:40" ht="14.25">
      <c r="I60" t="s">
        <v>151</v>
      </c>
      <c r="J60" t="s">
        <v>248</v>
      </c>
      <c r="K60">
        <v>0.0017780730400826904</v>
      </c>
      <c r="L60" t="s">
        <v>153</v>
      </c>
      <c r="N60" t="s">
        <v>174</v>
      </c>
      <c r="O60" t="s">
        <v>248</v>
      </c>
      <c r="P60">
        <v>0.0027143617289733021</v>
      </c>
      <c r="Q60" t="s">
        <v>153</v>
      </c>
      <c r="S60" t="s">
        <v>184</v>
      </c>
      <c r="T60" t="s">
        <v>248</v>
      </c>
      <c r="U60">
        <v>0.0033067020884608553</v>
      </c>
      <c r="V60" t="s">
        <v>153</v>
      </c>
      <c r="X60">
        <v>0.0019406392694063927</v>
      </c>
      <c r="Y60">
        <v>0.0032402688345805472</v>
      </c>
      <c r="Z60" t="s">
        <v>248</v>
      </c>
      <c r="AA60" t="s">
        <v>25</v>
      </c>
      <c r="AC60" t="s">
        <v>22</v>
      </c>
      <c r="AD60" t="s">
        <v>248</v>
      </c>
      <c r="AE60">
        <v>0.0014651003516604239</v>
      </c>
      <c r="AG60" t="s">
        <v>96</v>
      </c>
      <c r="AH60" t="s">
        <v>248</v>
      </c>
      <c r="AI60">
        <v>0.094146312548162081</v>
      </c>
      <c r="AK60">
        <v>2030</v>
      </c>
      <c r="AL60" t="s">
        <v>198</v>
      </c>
      <c r="AM60">
        <v>0.49609999999999999</v>
      </c>
      <c r="AN60" t="s">
        <v>195</v>
      </c>
    </row>
    <row r="61" spans="9:40" ht="14.25">
      <c r="I61" t="s">
        <v>151</v>
      </c>
      <c r="J61" t="s">
        <v>249</v>
      </c>
      <c r="K61">
        <v>0.035072542206881649</v>
      </c>
      <c r="L61" t="s">
        <v>153</v>
      </c>
      <c r="N61" t="s">
        <v>174</v>
      </c>
      <c r="O61" t="s">
        <v>249</v>
      </c>
      <c r="P61">
        <v>0.018824961916173905</v>
      </c>
      <c r="Q61" t="s">
        <v>153</v>
      </c>
      <c r="S61" t="s">
        <v>184</v>
      </c>
      <c r="T61" t="s">
        <v>249</v>
      </c>
      <c r="U61">
        <v>0.025901069659635061</v>
      </c>
      <c r="V61" t="s">
        <v>153</v>
      </c>
      <c r="X61">
        <v>0.015525114155251141</v>
      </c>
      <c r="Y61">
        <v>0.020162925026311649</v>
      </c>
      <c r="Z61" t="s">
        <v>249</v>
      </c>
      <c r="AA61" t="s">
        <v>25</v>
      </c>
      <c r="AC61" t="s">
        <v>22</v>
      </c>
      <c r="AD61" t="s">
        <v>249</v>
      </c>
      <c r="AE61">
        <v>0.013047804490456864</v>
      </c>
      <c r="AG61" t="s">
        <v>96</v>
      </c>
      <c r="AH61" t="s">
        <v>249</v>
      </c>
      <c r="AI61">
        <v>0.080849740769317169</v>
      </c>
      <c r="AK61">
        <v>2030</v>
      </c>
      <c r="AL61" t="s">
        <v>216</v>
      </c>
      <c r="AM61">
        <v>0.49609999999999999</v>
      </c>
      <c r="AN61" t="s">
        <v>195</v>
      </c>
    </row>
    <row r="62" spans="9:40" ht="14.25">
      <c r="I62" t="s">
        <v>151</v>
      </c>
      <c r="J62" t="s">
        <v>250</v>
      </c>
      <c r="K62">
        <v>0.0036425578464106788</v>
      </c>
      <c r="L62" t="s">
        <v>153</v>
      </c>
      <c r="N62" t="s">
        <v>174</v>
      </c>
      <c r="O62" t="s">
        <v>250</v>
      </c>
      <c r="P62">
        <v>0.0026349826509500379</v>
      </c>
      <c r="Q62" t="s">
        <v>153</v>
      </c>
      <c r="S62" t="s">
        <v>184</v>
      </c>
      <c r="T62" t="s">
        <v>250</v>
      </c>
      <c r="U62">
        <v>0.0029955218570010011</v>
      </c>
      <c r="V62" t="s">
        <v>153</v>
      </c>
      <c r="X62">
        <v>0.0019406392694063927</v>
      </c>
      <c r="Y62">
        <v>0.0037756175985547247</v>
      </c>
      <c r="Z62" t="s">
        <v>250</v>
      </c>
      <c r="AA62" t="s">
        <v>25</v>
      </c>
      <c r="AC62" t="s">
        <v>22</v>
      </c>
      <c r="AD62" t="s">
        <v>250</v>
      </c>
      <c r="AE62">
        <v>0.0016578515778742056</v>
      </c>
      <c r="AG62" t="s">
        <v>96</v>
      </c>
      <c r="AH62" t="s">
        <v>250</v>
      </c>
      <c r="AI62">
        <v>0.057920310431821553</v>
      </c>
      <c r="AK62">
        <v>2030</v>
      </c>
      <c r="AL62" t="s">
        <v>232</v>
      </c>
      <c r="AM62">
        <v>0.53352500000000003</v>
      </c>
      <c r="AN62" t="s">
        <v>195</v>
      </c>
    </row>
    <row r="63" spans="9:40" ht="14.25">
      <c r="I63" t="s">
        <v>151</v>
      </c>
      <c r="J63" t="s">
        <v>251</v>
      </c>
      <c r="K63">
        <v>0.0020528583026460396</v>
      </c>
      <c r="L63" t="s">
        <v>153</v>
      </c>
      <c r="N63" t="s">
        <v>174</v>
      </c>
      <c r="O63" t="s">
        <v>251</v>
      </c>
      <c r="P63">
        <v>0.0026312578111569269</v>
      </c>
      <c r="Q63" t="s">
        <v>153</v>
      </c>
      <c r="S63" t="s">
        <v>184</v>
      </c>
      <c r="T63" t="s">
        <v>251</v>
      </c>
      <c r="U63">
        <v>0.0028671674200768387</v>
      </c>
      <c r="V63" t="s">
        <v>153</v>
      </c>
      <c r="X63">
        <v>0.0019406392694063927</v>
      </c>
      <c r="Y63">
        <v>0.0037756175985547247</v>
      </c>
      <c r="Z63" t="s">
        <v>251</v>
      </c>
      <c r="AA63" t="s">
        <v>25</v>
      </c>
      <c r="AC63" t="s">
        <v>22</v>
      </c>
      <c r="AD63" t="s">
        <v>251</v>
      </c>
      <c r="AE63">
        <v>0.0017072309894385219</v>
      </c>
      <c r="AG63" t="s">
        <v>96</v>
      </c>
      <c r="AH63" t="s">
        <v>251</v>
      </c>
      <c r="AI63">
        <v>0.04980996365002377</v>
      </c>
      <c r="AK63">
        <v>2030</v>
      </c>
      <c r="AL63" t="s">
        <v>233</v>
      </c>
      <c r="AM63">
        <v>0.45697142857142847</v>
      </c>
      <c r="AN63" t="s">
        <v>195</v>
      </c>
    </row>
    <row r="64" spans="9:40" ht="14.25">
      <c r="I64" t="s">
        <v>151</v>
      </c>
      <c r="J64" t="s">
        <v>252</v>
      </c>
      <c r="K64">
        <v>0</v>
      </c>
      <c r="L64" t="s">
        <v>153</v>
      </c>
      <c r="N64" t="s">
        <v>174</v>
      </c>
      <c r="O64" t="s">
        <v>252</v>
      </c>
      <c r="P64">
        <v>0.015263974380171075</v>
      </c>
      <c r="Q64" t="s">
        <v>153</v>
      </c>
      <c r="S64" t="s">
        <v>184</v>
      </c>
      <c r="T64" t="s">
        <v>252</v>
      </c>
      <c r="U64">
        <v>0.016089412219345622</v>
      </c>
      <c r="V64" t="s">
        <v>153</v>
      </c>
      <c r="X64">
        <v>0.011643835616438357</v>
      </c>
      <c r="Y64">
        <v>0.010256155267715819</v>
      </c>
      <c r="Z64" t="s">
        <v>252</v>
      </c>
      <c r="AA64" t="s">
        <v>25</v>
      </c>
      <c r="AC64" t="s">
        <v>22</v>
      </c>
      <c r="AD64" t="s">
        <v>252</v>
      </c>
      <c r="AE64">
        <v>0.0096486977350246778</v>
      </c>
      <c r="AG64" t="s">
        <v>96</v>
      </c>
      <c r="AH64" t="s">
        <v>252</v>
      </c>
      <c r="AI64">
        <v>0.11563931870151034</v>
      </c>
      <c r="AK64">
        <v>2030</v>
      </c>
      <c r="AL64" t="s">
        <v>234</v>
      </c>
      <c r="AM64">
        <v>0.41639999999999999</v>
      </c>
      <c r="AN64" t="s">
        <v>195</v>
      </c>
    </row>
    <row r="65" spans="9:40" ht="14.25">
      <c r="I65" t="s">
        <v>165</v>
      </c>
      <c r="J65" t="s">
        <v>152</v>
      </c>
      <c r="K65">
        <v>0</v>
      </c>
      <c r="L65" t="s">
        <v>153</v>
      </c>
      <c r="N65" t="s">
        <v>175</v>
      </c>
      <c r="O65" t="s">
        <v>152</v>
      </c>
      <c r="P65">
        <v>0.0031934356333305986</v>
      </c>
      <c r="Q65" t="s">
        <v>153</v>
      </c>
      <c r="S65" t="s">
        <v>185</v>
      </c>
      <c r="T65" t="s">
        <v>152</v>
      </c>
      <c r="U65">
        <v>0.0054491011881560008</v>
      </c>
      <c r="V65" t="s">
        <v>153</v>
      </c>
      <c r="AC65" t="s">
        <v>19</v>
      </c>
      <c r="AD65" t="s">
        <v>152</v>
      </c>
      <c r="AE65">
        <v>0.0047142860976000216</v>
      </c>
      <c r="AK65">
        <v>2031</v>
      </c>
      <c r="AL65" t="s">
        <v>141</v>
      </c>
      <c r="AM65">
        <v>0.4083</v>
      </c>
      <c r="AN65" t="s">
        <v>195</v>
      </c>
    </row>
    <row r="66" spans="9:40" ht="14.25">
      <c r="I66" t="s">
        <v>165</v>
      </c>
      <c r="J66" t="s">
        <v>154</v>
      </c>
      <c r="K66">
        <v>0.00071764673192090209</v>
      </c>
      <c r="L66" t="s">
        <v>153</v>
      </c>
      <c r="N66" t="s">
        <v>175</v>
      </c>
      <c r="O66" t="s">
        <v>154</v>
      </c>
      <c r="P66">
        <v>0.00042631725119052742</v>
      </c>
      <c r="Q66" t="s">
        <v>153</v>
      </c>
      <c r="S66" t="s">
        <v>185</v>
      </c>
      <c r="T66" t="s">
        <v>154</v>
      </c>
      <c r="U66">
        <v>0.00059713332078231143</v>
      </c>
      <c r="V66" t="s">
        <v>153</v>
      </c>
      <c r="AC66" t="s">
        <v>19</v>
      </c>
      <c r="AD66" t="s">
        <v>154</v>
      </c>
      <c r="AE66">
        <v>0.00068159373523424553</v>
      </c>
      <c r="AK66">
        <v>2031</v>
      </c>
      <c r="AL66" t="s">
        <v>145</v>
      </c>
      <c r="AM66">
        <v>0.41054999999999997</v>
      </c>
      <c r="AN66" t="s">
        <v>195</v>
      </c>
    </row>
    <row r="67" spans="9:40" ht="14.25">
      <c r="I67" t="s">
        <v>165</v>
      </c>
      <c r="J67" t="s">
        <v>155</v>
      </c>
      <c r="K67">
        <v>0.012505253190177722</v>
      </c>
      <c r="L67" t="s">
        <v>153</v>
      </c>
      <c r="N67" t="s">
        <v>175</v>
      </c>
      <c r="O67" t="s">
        <v>155</v>
      </c>
      <c r="P67">
        <v>0.0033386248420097333</v>
      </c>
      <c r="Q67" t="s">
        <v>153</v>
      </c>
      <c r="S67" t="s">
        <v>185</v>
      </c>
      <c r="T67" t="s">
        <v>155</v>
      </c>
      <c r="U67">
        <v>0.0042221150892224127</v>
      </c>
      <c r="V67" t="s">
        <v>153</v>
      </c>
      <c r="AC67" t="s">
        <v>19</v>
      </c>
      <c r="AD67" t="s">
        <v>155</v>
      </c>
      <c r="AE67">
        <v>0.0054985857690303137</v>
      </c>
      <c r="AK67">
        <v>2031</v>
      </c>
      <c r="AL67" t="s">
        <v>147</v>
      </c>
      <c r="AM67">
        <v>0.43759999999999999</v>
      </c>
      <c r="AN67" t="s">
        <v>195</v>
      </c>
    </row>
    <row r="68" spans="9:40" ht="14.25">
      <c r="I68" t="s">
        <v>165</v>
      </c>
      <c r="J68" t="s">
        <v>200</v>
      </c>
      <c r="K68">
        <v>0.0013054883626511474</v>
      </c>
      <c r="L68" t="s">
        <v>153</v>
      </c>
      <c r="N68" t="s">
        <v>175</v>
      </c>
      <c r="O68" t="s">
        <v>200</v>
      </c>
      <c r="P68">
        <v>0.00048896665922057013</v>
      </c>
      <c r="Q68" t="s">
        <v>153</v>
      </c>
      <c r="S68" t="s">
        <v>185</v>
      </c>
      <c r="T68" t="s">
        <v>200</v>
      </c>
      <c r="U68">
        <v>0.00052606468121687558</v>
      </c>
      <c r="V68" t="s">
        <v>153</v>
      </c>
      <c r="AC68" t="s">
        <v>19</v>
      </c>
      <c r="AD68" t="s">
        <v>200</v>
      </c>
      <c r="AE68">
        <v>0.00068920859504358685</v>
      </c>
      <c r="AK68">
        <v>2031</v>
      </c>
      <c r="AL68" t="s">
        <v>149</v>
      </c>
      <c r="AM68">
        <v>0.46239999999999998</v>
      </c>
      <c r="AN68" t="s">
        <v>195</v>
      </c>
    </row>
    <row r="69" spans="9:40" ht="14.25">
      <c r="I69" t="s">
        <v>165</v>
      </c>
      <c r="J69" t="s">
        <v>201</v>
      </c>
      <c r="K69">
        <v>0.00072023261326945726</v>
      </c>
      <c r="L69" t="s">
        <v>153</v>
      </c>
      <c r="N69" t="s">
        <v>175</v>
      </c>
      <c r="O69" t="s">
        <v>201</v>
      </c>
      <c r="P69">
        <v>0.00042595756633041803</v>
      </c>
      <c r="Q69" t="s">
        <v>153</v>
      </c>
      <c r="S69" t="s">
        <v>185</v>
      </c>
      <c r="T69" t="s">
        <v>201</v>
      </c>
      <c r="U69">
        <v>0.00051734265622384388</v>
      </c>
      <c r="V69" t="s">
        <v>153</v>
      </c>
      <c r="AC69" t="s">
        <v>19</v>
      </c>
      <c r="AD69" t="s">
        <v>201</v>
      </c>
      <c r="AE69">
        <v>0.00069039888600774346</v>
      </c>
      <c r="AK69">
        <v>2031</v>
      </c>
      <c r="AL69" t="s">
        <v>198</v>
      </c>
      <c r="AM69">
        <v>0.46239999999999998</v>
      </c>
      <c r="AN69" t="s">
        <v>195</v>
      </c>
    </row>
    <row r="70" spans="9:40" ht="14.25">
      <c r="I70" t="s">
        <v>165</v>
      </c>
      <c r="J70" t="s">
        <v>218</v>
      </c>
      <c r="K70">
        <v>0</v>
      </c>
      <c r="L70" t="s">
        <v>153</v>
      </c>
      <c r="N70" t="s">
        <v>175</v>
      </c>
      <c r="O70" t="s">
        <v>218</v>
      </c>
      <c r="P70">
        <v>0.0026342547573437072</v>
      </c>
      <c r="Q70" t="s">
        <v>153</v>
      </c>
      <c r="S70" t="s">
        <v>185</v>
      </c>
      <c r="T70" t="s">
        <v>218</v>
      </c>
      <c r="U70">
        <v>0.0031416947543552796</v>
      </c>
      <c r="V70" t="s">
        <v>153</v>
      </c>
      <c r="AC70" t="s">
        <v>19</v>
      </c>
      <c r="AD70" t="s">
        <v>218</v>
      </c>
      <c r="AE70">
        <v>0.0041253524946352864</v>
      </c>
      <c r="AK70">
        <v>2031</v>
      </c>
      <c r="AL70" t="s">
        <v>216</v>
      </c>
      <c r="AM70">
        <v>0.46239999999999998</v>
      </c>
      <c r="AN70" t="s">
        <v>195</v>
      </c>
    </row>
    <row r="71" spans="9:40" ht="14.25">
      <c r="I71" t="s">
        <v>165</v>
      </c>
      <c r="J71" t="s">
        <v>156</v>
      </c>
      <c r="K71">
        <v>0</v>
      </c>
      <c r="L71" t="s">
        <v>153</v>
      </c>
      <c r="N71" t="s">
        <v>175</v>
      </c>
      <c r="O71" t="s">
        <v>156</v>
      </c>
      <c r="P71">
        <v>0.036150239011509842</v>
      </c>
      <c r="Q71" t="s">
        <v>153</v>
      </c>
      <c r="S71" t="s">
        <v>185</v>
      </c>
      <c r="T71" t="s">
        <v>156</v>
      </c>
      <c r="U71">
        <v>0.033260825065773131</v>
      </c>
      <c r="V71" t="s">
        <v>153</v>
      </c>
      <c r="AC71" t="s">
        <v>19</v>
      </c>
      <c r="AD71" t="s">
        <v>156</v>
      </c>
      <c r="AE71">
        <v>0.02278981271076843</v>
      </c>
      <c r="AK71">
        <v>2031</v>
      </c>
      <c r="AL71" t="s">
        <v>232</v>
      </c>
      <c r="AM71">
        <v>0.51995000000000002</v>
      </c>
      <c r="AN71" t="s">
        <v>195</v>
      </c>
    </row>
    <row r="72" spans="9:40" ht="14.25">
      <c r="I72" t="s">
        <v>165</v>
      </c>
      <c r="J72" t="s">
        <v>157</v>
      </c>
      <c r="K72">
        <v>0.0032617715316588616</v>
      </c>
      <c r="L72" t="s">
        <v>153</v>
      </c>
      <c r="N72" t="s">
        <v>175</v>
      </c>
      <c r="O72" t="s">
        <v>157</v>
      </c>
      <c r="P72">
        <v>0.0056964147127611621</v>
      </c>
      <c r="Q72" t="s">
        <v>153</v>
      </c>
      <c r="S72" t="s">
        <v>185</v>
      </c>
      <c r="T72" t="s">
        <v>157</v>
      </c>
      <c r="U72">
        <v>0.0054634448317739063</v>
      </c>
      <c r="V72" t="s">
        <v>153</v>
      </c>
      <c r="AC72" t="s">
        <v>19</v>
      </c>
      <c r="AD72" t="s">
        <v>157</v>
      </c>
      <c r="AE72">
        <v>0.0032944958165521412</v>
      </c>
      <c r="AK72">
        <v>2031</v>
      </c>
      <c r="AL72" t="s">
        <v>233</v>
      </c>
      <c r="AM72">
        <v>0.45467142857142856</v>
      </c>
      <c r="AN72" t="s">
        <v>195</v>
      </c>
    </row>
    <row r="73" spans="9:40" ht="14.25">
      <c r="I73" t="s">
        <v>165</v>
      </c>
      <c r="J73" t="s">
        <v>158</v>
      </c>
      <c r="K73">
        <v>0.059212594081102285</v>
      </c>
      <c r="L73" t="s">
        <v>153</v>
      </c>
      <c r="N73" t="s">
        <v>175</v>
      </c>
      <c r="O73" t="s">
        <v>158</v>
      </c>
      <c r="P73">
        <v>0.036869377705332489</v>
      </c>
      <c r="Q73" t="s">
        <v>153</v>
      </c>
      <c r="S73" t="s">
        <v>185</v>
      </c>
      <c r="T73" t="s">
        <v>158</v>
      </c>
      <c r="U73">
        <v>0.037183072023683969</v>
      </c>
      <c r="V73" t="s">
        <v>153</v>
      </c>
      <c r="AC73" t="s">
        <v>19</v>
      </c>
      <c r="AD73" t="s">
        <v>158</v>
      </c>
      <c r="AE73">
        <v>0.026592427178506871</v>
      </c>
      <c r="AK73">
        <v>2031</v>
      </c>
      <c r="AL73" t="s">
        <v>234</v>
      </c>
      <c r="AM73">
        <v>0.41980000000000001</v>
      </c>
      <c r="AN73" t="s">
        <v>195</v>
      </c>
    </row>
    <row r="74" spans="9:40" ht="14.25">
      <c r="I74" t="s">
        <v>165</v>
      </c>
      <c r="J74" t="s">
        <v>202</v>
      </c>
      <c r="K74">
        <v>0.0062256385278781955</v>
      </c>
      <c r="L74" t="s">
        <v>153</v>
      </c>
      <c r="N74" t="s">
        <v>175</v>
      </c>
      <c r="O74" t="s">
        <v>202</v>
      </c>
      <c r="P74">
        <v>0.0039534582855934274</v>
      </c>
      <c r="Q74" t="s">
        <v>153</v>
      </c>
      <c r="S74" t="s">
        <v>185</v>
      </c>
      <c r="T74" t="s">
        <v>202</v>
      </c>
      <c r="U74">
        <v>0.0035645049332744729</v>
      </c>
      <c r="V74" t="s">
        <v>153</v>
      </c>
      <c r="AC74" t="s">
        <v>19</v>
      </c>
      <c r="AD74" t="s">
        <v>202</v>
      </c>
      <c r="AE74">
        <v>0.0033307929114334881</v>
      </c>
      <c r="AK74">
        <v>2032</v>
      </c>
      <c r="AL74" t="s">
        <v>141</v>
      </c>
      <c r="AM74">
        <v>0.39329999999999998</v>
      </c>
      <c r="AN74" t="s">
        <v>195</v>
      </c>
    </row>
    <row r="75" spans="9:40" ht="14.25">
      <c r="I75" t="s">
        <v>165</v>
      </c>
      <c r="J75" t="s">
        <v>203</v>
      </c>
      <c r="K75">
        <v>0.0036396543316790822</v>
      </c>
      <c r="L75" t="s">
        <v>153</v>
      </c>
      <c r="N75" t="s">
        <v>175</v>
      </c>
      <c r="O75" t="s">
        <v>203</v>
      </c>
      <c r="P75">
        <v>0.0039027472926017673</v>
      </c>
      <c r="Q75" t="s">
        <v>153</v>
      </c>
      <c r="S75" t="s">
        <v>185</v>
      </c>
      <c r="T75" t="s">
        <v>203</v>
      </c>
      <c r="U75">
        <v>0.0034635548337689083</v>
      </c>
      <c r="V75" t="s">
        <v>153</v>
      </c>
      <c r="AC75" t="s">
        <v>19</v>
      </c>
      <c r="AD75" t="s">
        <v>203</v>
      </c>
      <c r="AE75">
        <v>0.0033380896177996025</v>
      </c>
      <c r="AK75">
        <v>2032</v>
      </c>
      <c r="AL75" t="s">
        <v>145</v>
      </c>
      <c r="AM75">
        <v>0.38580000000000003</v>
      </c>
      <c r="AN75" t="s">
        <v>195</v>
      </c>
    </row>
    <row r="76" spans="9:40" ht="14.25">
      <c r="I76" t="s">
        <v>165</v>
      </c>
      <c r="J76" t="s">
        <v>219</v>
      </c>
      <c r="K76">
        <v>0</v>
      </c>
      <c r="L76" t="s">
        <v>153</v>
      </c>
      <c r="N76" t="s">
        <v>175</v>
      </c>
      <c r="O76" t="s">
        <v>219</v>
      </c>
      <c r="P76">
        <v>0.025899636085785271</v>
      </c>
      <c r="Q76" t="s">
        <v>153</v>
      </c>
      <c r="S76" t="s">
        <v>185</v>
      </c>
      <c r="T76" t="s">
        <v>219</v>
      </c>
      <c r="U76">
        <v>0.022781404585808542</v>
      </c>
      <c r="V76" t="s">
        <v>153</v>
      </c>
      <c r="AC76" t="s">
        <v>19</v>
      </c>
      <c r="AD76" t="s">
        <v>219</v>
      </c>
      <c r="AE76">
        <v>0.019952556659832602</v>
      </c>
      <c r="AK76">
        <v>2032</v>
      </c>
      <c r="AL76" t="s">
        <v>147</v>
      </c>
      <c r="AM76">
        <v>0.40265000000000001</v>
      </c>
      <c r="AN76" t="s">
        <v>195</v>
      </c>
    </row>
    <row r="77" spans="9:40" ht="14.25">
      <c r="I77" t="s">
        <v>165</v>
      </c>
      <c r="J77" t="s">
        <v>159</v>
      </c>
      <c r="K77">
        <v>0</v>
      </c>
      <c r="L77" t="s">
        <v>153</v>
      </c>
      <c r="N77" t="s">
        <v>175</v>
      </c>
      <c r="O77" t="s">
        <v>159</v>
      </c>
      <c r="P77">
        <v>0.020942053639710287</v>
      </c>
      <c r="Q77" t="s">
        <v>153</v>
      </c>
      <c r="S77" t="s">
        <v>185</v>
      </c>
      <c r="T77" t="s">
        <v>159</v>
      </c>
      <c r="U77">
        <v>0.02408145811207138</v>
      </c>
      <c r="V77" t="s">
        <v>153</v>
      </c>
      <c r="AC77" t="s">
        <v>19</v>
      </c>
      <c r="AD77" t="s">
        <v>159</v>
      </c>
      <c r="AE77">
        <v>0.022792422860275979</v>
      </c>
      <c r="AK77">
        <v>2032</v>
      </c>
      <c r="AL77" t="s">
        <v>149</v>
      </c>
      <c r="AM77">
        <v>0.42699999999999999</v>
      </c>
      <c r="AN77" t="s">
        <v>195</v>
      </c>
    </row>
    <row r="78" spans="9:40" ht="14.25">
      <c r="I78" t="s">
        <v>165</v>
      </c>
      <c r="J78" t="s">
        <v>160</v>
      </c>
      <c r="K78">
        <v>0.003347833599912981</v>
      </c>
      <c r="L78" t="s">
        <v>153</v>
      </c>
      <c r="N78" t="s">
        <v>175</v>
      </c>
      <c r="O78" t="s">
        <v>160</v>
      </c>
      <c r="P78">
        <v>0.0030363233127378379</v>
      </c>
      <c r="Q78" t="s">
        <v>153</v>
      </c>
      <c r="S78" t="s">
        <v>185</v>
      </c>
      <c r="T78" t="s">
        <v>160</v>
      </c>
      <c r="U78">
        <v>0.0035017268075006893</v>
      </c>
      <c r="V78" t="s">
        <v>153</v>
      </c>
      <c r="AC78" t="s">
        <v>19</v>
      </c>
      <c r="AD78" t="s">
        <v>160</v>
      </c>
      <c r="AE78">
        <v>0.0032946745100749333</v>
      </c>
      <c r="AK78">
        <v>2032</v>
      </c>
      <c r="AL78" t="s">
        <v>198</v>
      </c>
      <c r="AM78">
        <v>0.42699999999999999</v>
      </c>
      <c r="AN78" t="s">
        <v>195</v>
      </c>
    </row>
    <row r="79" spans="9:40" ht="14.25">
      <c r="I79" t="s">
        <v>165</v>
      </c>
      <c r="J79" t="s">
        <v>161</v>
      </c>
      <c r="K79">
        <v>0.067857316359379069</v>
      </c>
      <c r="L79" t="s">
        <v>153</v>
      </c>
      <c r="N79" t="s">
        <v>175</v>
      </c>
      <c r="O79" t="s">
        <v>161</v>
      </c>
      <c r="P79">
        <v>0.016980568631698674</v>
      </c>
      <c r="Q79" t="s">
        <v>153</v>
      </c>
      <c r="S79" t="s">
        <v>185</v>
      </c>
      <c r="T79" t="s">
        <v>161</v>
      </c>
      <c r="U79">
        <v>0.021870440099692912</v>
      </c>
      <c r="V79" t="s">
        <v>153</v>
      </c>
      <c r="AC79" t="s">
        <v>19</v>
      </c>
      <c r="AD79" t="s">
        <v>161</v>
      </c>
      <c r="AE79">
        <v>0.026603880739284016</v>
      </c>
      <c r="AK79">
        <v>2032</v>
      </c>
      <c r="AL79" t="s">
        <v>216</v>
      </c>
      <c r="AM79">
        <v>0.42699999999999999</v>
      </c>
      <c r="AN79" t="s">
        <v>195</v>
      </c>
    </row>
    <row r="80" spans="9:40" ht="14.25">
      <c r="I80" t="s">
        <v>165</v>
      </c>
      <c r="J80" t="s">
        <v>204</v>
      </c>
      <c r="K80">
        <v>0.0076411974080341366</v>
      </c>
      <c r="L80" t="s">
        <v>153</v>
      </c>
      <c r="N80" t="s">
        <v>175</v>
      </c>
      <c r="O80" t="s">
        <v>204</v>
      </c>
      <c r="P80">
        <v>0.0017562239407953246</v>
      </c>
      <c r="Q80" t="s">
        <v>153</v>
      </c>
      <c r="S80" t="s">
        <v>185</v>
      </c>
      <c r="T80" t="s">
        <v>204</v>
      </c>
      <c r="U80">
        <v>0.0023827557641016147</v>
      </c>
      <c r="V80" t="s">
        <v>153</v>
      </c>
      <c r="AC80" t="s">
        <v>19</v>
      </c>
      <c r="AD80" t="s">
        <v>204</v>
      </c>
      <c r="AE80">
        <v>0.0033333405648410053</v>
      </c>
      <c r="AK80">
        <v>2032</v>
      </c>
      <c r="AL80" t="s">
        <v>232</v>
      </c>
      <c r="AM80">
        <v>0.51534999999999997</v>
      </c>
      <c r="AN80" t="s">
        <v>195</v>
      </c>
    </row>
    <row r="81" spans="9:40" ht="14.25">
      <c r="I81" t="s">
        <v>165</v>
      </c>
      <c r="J81" t="s">
        <v>205</v>
      </c>
      <c r="K81">
        <v>0.0051360012477910449</v>
      </c>
      <c r="L81" t="s">
        <v>153</v>
      </c>
      <c r="N81" t="s">
        <v>175</v>
      </c>
      <c r="O81" t="s">
        <v>205</v>
      </c>
      <c r="P81">
        <v>0.0020229498614307657</v>
      </c>
      <c r="Q81" t="s">
        <v>153</v>
      </c>
      <c r="S81" t="s">
        <v>185</v>
      </c>
      <c r="T81" t="s">
        <v>205</v>
      </c>
      <c r="U81">
        <v>0.0024127038172715876</v>
      </c>
      <c r="V81" t="s">
        <v>153</v>
      </c>
      <c r="AC81" t="s">
        <v>19</v>
      </c>
      <c r="AD81" t="s">
        <v>205</v>
      </c>
      <c r="AE81">
        <v>0.0033398290549259248</v>
      </c>
      <c r="AK81">
        <v>2032</v>
      </c>
      <c r="AL81" t="s">
        <v>233</v>
      </c>
      <c r="AM81">
        <v>0.4507714285714286</v>
      </c>
      <c r="AN81" t="s">
        <v>195</v>
      </c>
    </row>
    <row r="82" spans="9:40" ht="14.25">
      <c r="I82" t="s">
        <v>165</v>
      </c>
      <c r="J82" t="s">
        <v>220</v>
      </c>
      <c r="K82">
        <v>7.4295217525200373E-05</v>
      </c>
      <c r="L82" t="s">
        <v>153</v>
      </c>
      <c r="N82" t="s">
        <v>175</v>
      </c>
      <c r="O82" t="s">
        <v>220</v>
      </c>
      <c r="P82">
        <v>0.016559885087287177</v>
      </c>
      <c r="Q82" t="s">
        <v>153</v>
      </c>
      <c r="S82" t="s">
        <v>185</v>
      </c>
      <c r="T82" t="s">
        <v>220</v>
      </c>
      <c r="U82">
        <v>0.015033321316263887</v>
      </c>
      <c r="V82" t="s">
        <v>153</v>
      </c>
      <c r="AC82" t="s">
        <v>19</v>
      </c>
      <c r="AD82" t="s">
        <v>220</v>
      </c>
      <c r="AE82">
        <v>0.019965132707114391</v>
      </c>
      <c r="AK82">
        <v>2032</v>
      </c>
      <c r="AL82" t="s">
        <v>234</v>
      </c>
      <c r="AM82">
        <v>0.4017</v>
      </c>
      <c r="AN82" t="s">
        <v>195</v>
      </c>
    </row>
    <row r="83" spans="9:40" ht="14.25">
      <c r="I83" t="s">
        <v>165</v>
      </c>
      <c r="J83" t="s">
        <v>162</v>
      </c>
      <c r="K83">
        <v>0</v>
      </c>
      <c r="L83" t="s">
        <v>153</v>
      </c>
      <c r="N83" t="s">
        <v>175</v>
      </c>
      <c r="O83" t="s">
        <v>162</v>
      </c>
      <c r="P83">
        <v>0.0084388206352944209</v>
      </c>
      <c r="Q83" t="s">
        <v>153</v>
      </c>
      <c r="S83" t="s">
        <v>185</v>
      </c>
      <c r="T83" t="s">
        <v>162</v>
      </c>
      <c r="U83">
        <v>0.0083640391461505294</v>
      </c>
      <c r="V83" t="s">
        <v>153</v>
      </c>
      <c r="AC83" t="s">
        <v>19</v>
      </c>
      <c r="AD83" t="s">
        <v>162</v>
      </c>
      <c r="AE83">
        <v>0.0039294361911891675</v>
      </c>
      <c r="AK83">
        <v>2033</v>
      </c>
      <c r="AL83" t="s">
        <v>141</v>
      </c>
      <c r="AM83">
        <v>0.42799999999999999</v>
      </c>
      <c r="AN83" t="s">
        <v>195</v>
      </c>
    </row>
    <row r="84" spans="9:40" ht="14.25">
      <c r="I84" t="s">
        <v>165</v>
      </c>
      <c r="J84" t="s">
        <v>163</v>
      </c>
      <c r="K84">
        <v>0.00057853488669095256</v>
      </c>
      <c r="L84" t="s">
        <v>153</v>
      </c>
      <c r="N84" t="s">
        <v>175</v>
      </c>
      <c r="O84" t="s">
        <v>163</v>
      </c>
      <c r="P84">
        <v>0.0012832463934063156</v>
      </c>
      <c r="Q84" t="s">
        <v>153</v>
      </c>
      <c r="S84" t="s">
        <v>185</v>
      </c>
      <c r="T84" t="s">
        <v>163</v>
      </c>
      <c r="U84">
        <v>0.0011869928848239641</v>
      </c>
      <c r="V84" t="s">
        <v>153</v>
      </c>
      <c r="AC84" t="s">
        <v>19</v>
      </c>
      <c r="AD84" t="s">
        <v>163</v>
      </c>
      <c r="AE84">
        <v>0.0005660452007507983</v>
      </c>
      <c r="AK84">
        <v>2033</v>
      </c>
      <c r="AL84" t="s">
        <v>145</v>
      </c>
      <c r="AM84">
        <v>0.41839999999999999</v>
      </c>
      <c r="AN84" t="s">
        <v>195</v>
      </c>
    </row>
    <row r="85" spans="9:40" ht="14.25">
      <c r="I85" t="s">
        <v>165</v>
      </c>
      <c r="J85" t="s">
        <v>164</v>
      </c>
      <c r="K85">
        <v>0.011204393696279739</v>
      </c>
      <c r="L85" t="s">
        <v>153</v>
      </c>
      <c r="N85" t="s">
        <v>175</v>
      </c>
      <c r="O85" t="s">
        <v>164</v>
      </c>
      <c r="P85">
        <v>0.0085512521203766883</v>
      </c>
      <c r="Q85" t="s">
        <v>153</v>
      </c>
      <c r="S85" t="s">
        <v>185</v>
      </c>
      <c r="T85" t="s">
        <v>164</v>
      </c>
      <c r="U85">
        <v>0.0084172899628977907</v>
      </c>
      <c r="V85" t="s">
        <v>153</v>
      </c>
      <c r="AC85" t="s">
        <v>19</v>
      </c>
      <c r="AD85" t="s">
        <v>164</v>
      </c>
      <c r="AE85">
        <v>0.0045796666331746087</v>
      </c>
      <c r="AK85">
        <v>2033</v>
      </c>
      <c r="AL85" t="s">
        <v>147</v>
      </c>
      <c r="AM85">
        <v>0.45025000000000004</v>
      </c>
      <c r="AN85" t="s">
        <v>195</v>
      </c>
    </row>
    <row r="86" spans="9:40" ht="14.25">
      <c r="I86" t="s">
        <v>165</v>
      </c>
      <c r="J86" t="s">
        <v>206</v>
      </c>
      <c r="K86">
        <v>0.0012017230957213944</v>
      </c>
      <c r="L86" t="s">
        <v>153</v>
      </c>
      <c r="N86" t="s">
        <v>175</v>
      </c>
      <c r="O86" t="s">
        <v>206</v>
      </c>
      <c r="P86">
        <v>0.0007974052025730015</v>
      </c>
      <c r="Q86" t="s">
        <v>153</v>
      </c>
      <c r="S86" t="s">
        <v>185</v>
      </c>
      <c r="T86" t="s">
        <v>206</v>
      </c>
      <c r="U86">
        <v>0.0010310545982818464</v>
      </c>
      <c r="V86" t="s">
        <v>153</v>
      </c>
      <c r="AC86" t="s">
        <v>19</v>
      </c>
      <c r="AD86" t="s">
        <v>206</v>
      </c>
      <c r="AE86">
        <v>0.00057345473779008168</v>
      </c>
      <c r="AK86">
        <v>2033</v>
      </c>
      <c r="AL86" t="s">
        <v>149</v>
      </c>
      <c r="AM86">
        <v>0.49170000000000003</v>
      </c>
      <c r="AN86" t="s">
        <v>195</v>
      </c>
    </row>
    <row r="87" spans="9:40" ht="14.25">
      <c r="I87" t="s">
        <v>165</v>
      </c>
      <c r="J87" t="s">
        <v>207</v>
      </c>
      <c r="K87">
        <v>0.00084061811600362739</v>
      </c>
      <c r="L87" t="s">
        <v>153</v>
      </c>
      <c r="N87" t="s">
        <v>175</v>
      </c>
      <c r="O87" t="s">
        <v>207</v>
      </c>
      <c r="P87">
        <v>0.00075022497470855428</v>
      </c>
      <c r="Q87" t="s">
        <v>153</v>
      </c>
      <c r="S87" t="s">
        <v>185</v>
      </c>
      <c r="T87" t="s">
        <v>207</v>
      </c>
      <c r="U87">
        <v>0.0010551404062830844</v>
      </c>
      <c r="V87" t="s">
        <v>153</v>
      </c>
      <c r="AC87" t="s">
        <v>19</v>
      </c>
      <c r="AD87" t="s">
        <v>207</v>
      </c>
      <c r="AE87">
        <v>0.00057462469017795887</v>
      </c>
      <c r="AK87">
        <v>2033</v>
      </c>
      <c r="AL87" t="s">
        <v>198</v>
      </c>
      <c r="AM87">
        <v>0.49170000000000003</v>
      </c>
      <c r="AN87" t="s">
        <v>195</v>
      </c>
    </row>
    <row r="88" spans="9:40" ht="14.25">
      <c r="I88" t="s">
        <v>165</v>
      </c>
      <c r="J88" t="s">
        <v>221</v>
      </c>
      <c r="K88">
        <v>0.00032486945302458923</v>
      </c>
      <c r="L88" t="s">
        <v>153</v>
      </c>
      <c r="N88" t="s">
        <v>175</v>
      </c>
      <c r="O88" t="s">
        <v>221</v>
      </c>
      <c r="P88">
        <v>0.0057772740734066182</v>
      </c>
      <c r="Q88" t="s">
        <v>153</v>
      </c>
      <c r="S88" t="s">
        <v>185</v>
      </c>
      <c r="T88" t="s">
        <v>221</v>
      </c>
      <c r="U88">
        <v>0.0076423743437399293</v>
      </c>
      <c r="V88" t="s">
        <v>153</v>
      </c>
      <c r="AC88" t="s">
        <v>19</v>
      </c>
      <c r="AD88" t="s">
        <v>221</v>
      </c>
      <c r="AE88">
        <v>0.003438468423514405</v>
      </c>
      <c r="AK88">
        <v>2033</v>
      </c>
      <c r="AL88" t="s">
        <v>216</v>
      </c>
      <c r="AM88">
        <v>0.49170000000000003</v>
      </c>
      <c r="AN88" t="s">
        <v>195</v>
      </c>
    </row>
    <row r="89" spans="9:40" ht="14.25">
      <c r="I89" t="s">
        <v>165</v>
      </c>
      <c r="J89" t="s">
        <v>208</v>
      </c>
      <c r="K89">
        <v>0</v>
      </c>
      <c r="L89" t="s">
        <v>153</v>
      </c>
      <c r="N89" t="s">
        <v>175</v>
      </c>
      <c r="O89" t="s">
        <v>208</v>
      </c>
      <c r="P89">
        <v>0.0098480370520020767</v>
      </c>
      <c r="Q89" t="s">
        <v>153</v>
      </c>
      <c r="S89" t="s">
        <v>185</v>
      </c>
      <c r="T89" t="s">
        <v>208</v>
      </c>
      <c r="U89">
        <v>0.0085666073143354417</v>
      </c>
      <c r="V89" t="s">
        <v>153</v>
      </c>
      <c r="AC89" t="s">
        <v>19</v>
      </c>
      <c r="AD89" t="s">
        <v>208</v>
      </c>
      <c r="AE89">
        <v>0.0078619580349509974</v>
      </c>
      <c r="AK89">
        <v>2033</v>
      </c>
      <c r="AL89" t="s">
        <v>232</v>
      </c>
      <c r="AM89">
        <v>0.52477499999999999</v>
      </c>
      <c r="AN89" t="s">
        <v>195</v>
      </c>
    </row>
    <row r="90" spans="9:40" ht="14.25">
      <c r="I90" t="s">
        <v>165</v>
      </c>
      <c r="J90" t="s">
        <v>209</v>
      </c>
      <c r="K90">
        <v>0.0013269075954664368</v>
      </c>
      <c r="L90" t="s">
        <v>153</v>
      </c>
      <c r="N90" t="s">
        <v>175</v>
      </c>
      <c r="O90" t="s">
        <v>209</v>
      </c>
      <c r="P90">
        <v>0.0015075127069314356</v>
      </c>
      <c r="Q90" t="s">
        <v>153</v>
      </c>
      <c r="S90" t="s">
        <v>185</v>
      </c>
      <c r="T90" t="s">
        <v>209</v>
      </c>
      <c r="U90">
        <v>0.001178843158215045</v>
      </c>
      <c r="V90" t="s">
        <v>153</v>
      </c>
      <c r="AC90" t="s">
        <v>19</v>
      </c>
      <c r="AD90" t="s">
        <v>209</v>
      </c>
      <c r="AE90">
        <v>0.00113506080214201</v>
      </c>
      <c r="AK90">
        <v>2033</v>
      </c>
      <c r="AL90" t="s">
        <v>233</v>
      </c>
      <c r="AM90">
        <v>0.4419142857142857</v>
      </c>
      <c r="AN90" t="s">
        <v>195</v>
      </c>
    </row>
    <row r="91" spans="9:40" ht="14.25">
      <c r="I91" t="s">
        <v>165</v>
      </c>
      <c r="J91" t="s">
        <v>210</v>
      </c>
      <c r="K91">
        <v>0.023907470946049544</v>
      </c>
      <c r="L91" t="s">
        <v>153</v>
      </c>
      <c r="N91" t="s">
        <v>175</v>
      </c>
      <c r="O91" t="s">
        <v>210</v>
      </c>
      <c r="P91">
        <v>0.010590886824579173</v>
      </c>
      <c r="Q91" t="s">
        <v>153</v>
      </c>
      <c r="S91" t="s">
        <v>185</v>
      </c>
      <c r="T91" t="s">
        <v>210</v>
      </c>
      <c r="U91">
        <v>0.0097153757986410353</v>
      </c>
      <c r="V91" t="s">
        <v>153</v>
      </c>
      <c r="AC91" t="s">
        <v>19</v>
      </c>
      <c r="AD91" t="s">
        <v>210</v>
      </c>
      <c r="AE91">
        <v>0.0091926522125610911</v>
      </c>
      <c r="AK91">
        <v>2033</v>
      </c>
      <c r="AL91" t="s">
        <v>234</v>
      </c>
      <c r="AM91">
        <v>0.43409999999999999</v>
      </c>
      <c r="AN91" t="s">
        <v>195</v>
      </c>
    </row>
    <row r="92" spans="9:40" ht="14.25">
      <c r="I92" t="s">
        <v>165</v>
      </c>
      <c r="J92" t="s">
        <v>211</v>
      </c>
      <c r="K92">
        <v>0.0026084398641549999</v>
      </c>
      <c r="L92" t="s">
        <v>153</v>
      </c>
      <c r="N92" t="s">
        <v>175</v>
      </c>
      <c r="O92" t="s">
        <v>211</v>
      </c>
      <c r="P92">
        <v>0.0017687332482659297</v>
      </c>
      <c r="Q92" t="s">
        <v>153</v>
      </c>
      <c r="S92" t="s">
        <v>185</v>
      </c>
      <c r="T92" t="s">
        <v>211</v>
      </c>
      <c r="U92">
        <v>0.001231451107517909</v>
      </c>
      <c r="V92" t="s">
        <v>153</v>
      </c>
      <c r="AC92" t="s">
        <v>19</v>
      </c>
      <c r="AD92" t="s">
        <v>211</v>
      </c>
      <c r="AE92">
        <v>0.0011517418244537669</v>
      </c>
      <c r="AK92">
        <v>2034</v>
      </c>
      <c r="AL92" t="s">
        <v>141</v>
      </c>
      <c r="AM92">
        <v>0.3925</v>
      </c>
      <c r="AN92" t="s">
        <v>195</v>
      </c>
    </row>
    <row r="93" spans="9:40" ht="14.25">
      <c r="I93" t="s">
        <v>165</v>
      </c>
      <c r="J93" t="s">
        <v>212</v>
      </c>
      <c r="K93">
        <v>0.0018003614043453965</v>
      </c>
      <c r="L93" t="s">
        <v>153</v>
      </c>
      <c r="N93" t="s">
        <v>175</v>
      </c>
      <c r="O93" t="s">
        <v>212</v>
      </c>
      <c r="P93">
        <v>0.0017581719392896151</v>
      </c>
      <c r="Q93" t="s">
        <v>153</v>
      </c>
      <c r="S93" t="s">
        <v>185</v>
      </c>
      <c r="T93" t="s">
        <v>212</v>
      </c>
      <c r="U93">
        <v>0.0012930796224281255</v>
      </c>
      <c r="V93" t="s">
        <v>153</v>
      </c>
      <c r="AC93" t="s">
        <v>19</v>
      </c>
      <c r="AD93" t="s">
        <v>212</v>
      </c>
      <c r="AE93">
        <v>0.0011537548592536037</v>
      </c>
      <c r="AK93">
        <v>2034</v>
      </c>
      <c r="AL93" t="s">
        <v>145</v>
      </c>
      <c r="AM93">
        <v>0.38305</v>
      </c>
      <c r="AN93" t="s">
        <v>195</v>
      </c>
    </row>
    <row r="94" spans="9:40" ht="14.25">
      <c r="I94" t="s">
        <v>165</v>
      </c>
      <c r="J94" t="s">
        <v>222</v>
      </c>
      <c r="K94">
        <v>0.00088968186120512872</v>
      </c>
      <c r="L94" t="s">
        <v>153</v>
      </c>
      <c r="N94" t="s">
        <v>175</v>
      </c>
      <c r="O94" t="s">
        <v>222</v>
      </c>
      <c r="P94">
        <v>0.010367613848508133</v>
      </c>
      <c r="Q94" t="s">
        <v>153</v>
      </c>
      <c r="S94" t="s">
        <v>185</v>
      </c>
      <c r="T94" t="s">
        <v>222</v>
      </c>
      <c r="U94">
        <v>0.008890228777007422</v>
      </c>
      <c r="V94" t="s">
        <v>153</v>
      </c>
      <c r="AC94" t="s">
        <v>19</v>
      </c>
      <c r="AD94" t="s">
        <v>222</v>
      </c>
      <c r="AE94">
        <v>0.0068937432905609572</v>
      </c>
      <c r="AK94">
        <v>2034</v>
      </c>
      <c r="AL94" t="s">
        <v>147</v>
      </c>
      <c r="AM94">
        <v>0.36754999999999999</v>
      </c>
      <c r="AN94" t="s">
        <v>195</v>
      </c>
    </row>
    <row r="95" spans="9:40" ht="14.25">
      <c r="I95" t="s">
        <v>165</v>
      </c>
      <c r="J95" t="s">
        <v>223</v>
      </c>
      <c r="K95">
        <v>0</v>
      </c>
      <c r="L95" t="s">
        <v>153</v>
      </c>
      <c r="N95" t="s">
        <v>175</v>
      </c>
      <c r="O95" t="s">
        <v>223</v>
      </c>
      <c r="P95">
        <v>0.0035184950744195616</v>
      </c>
      <c r="Q95" t="s">
        <v>153</v>
      </c>
      <c r="S95" t="s">
        <v>185</v>
      </c>
      <c r="T95" t="s">
        <v>223</v>
      </c>
      <c r="U95">
        <v>0.0047234850363887231</v>
      </c>
      <c r="V95" t="s">
        <v>153</v>
      </c>
      <c r="AC95" t="s">
        <v>19</v>
      </c>
      <c r="AD95" t="s">
        <v>223</v>
      </c>
      <c r="AE95">
        <v>0.0039295427265887252</v>
      </c>
      <c r="AK95">
        <v>2034</v>
      </c>
      <c r="AL95" t="s">
        <v>149</v>
      </c>
      <c r="AM95">
        <v>0.36149999999999999</v>
      </c>
      <c r="AN95" t="s">
        <v>195</v>
      </c>
    </row>
    <row r="96" spans="9:40" ht="14.25">
      <c r="I96" t="s">
        <v>165</v>
      </c>
      <c r="J96" t="s">
        <v>224</v>
      </c>
      <c r="K96">
        <v>0.00046566878571141496</v>
      </c>
      <c r="L96" t="s">
        <v>153</v>
      </c>
      <c r="N96" t="s">
        <v>175</v>
      </c>
      <c r="O96" t="s">
        <v>224</v>
      </c>
      <c r="P96">
        <v>0.00061450226448089699</v>
      </c>
      <c r="Q96" t="s">
        <v>153</v>
      </c>
      <c r="S96" t="s">
        <v>185</v>
      </c>
      <c r="T96" t="s">
        <v>224</v>
      </c>
      <c r="U96">
        <v>0.00096567166253647705</v>
      </c>
      <c r="V96" t="s">
        <v>153</v>
      </c>
      <c r="AC96" t="s">
        <v>19</v>
      </c>
      <c r="AD96" t="s">
        <v>224</v>
      </c>
      <c r="AE96">
        <v>0.00056604810626169539</v>
      </c>
      <c r="AK96">
        <v>2034</v>
      </c>
      <c r="AL96" t="s">
        <v>198</v>
      </c>
      <c r="AM96">
        <v>0.36149999999999999</v>
      </c>
      <c r="AN96" t="s">
        <v>195</v>
      </c>
    </row>
    <row r="97" spans="9:40" ht="14.25">
      <c r="I97" t="s">
        <v>165</v>
      </c>
      <c r="J97" t="s">
        <v>225</v>
      </c>
      <c r="K97">
        <v>0.010459549478115809</v>
      </c>
      <c r="L97" t="s">
        <v>153</v>
      </c>
      <c r="N97" t="s">
        <v>175</v>
      </c>
      <c r="O97" t="s">
        <v>225</v>
      </c>
      <c r="P97">
        <v>0.0035073586497505688</v>
      </c>
      <c r="Q97" t="s">
        <v>153</v>
      </c>
      <c r="S97" t="s">
        <v>185</v>
      </c>
      <c r="T97" t="s">
        <v>225</v>
      </c>
      <c r="U97">
        <v>0.0070866405918694709</v>
      </c>
      <c r="V97" t="s">
        <v>153</v>
      </c>
      <c r="AC97" t="s">
        <v>19</v>
      </c>
      <c r="AD97" t="s">
        <v>225</v>
      </c>
      <c r="AE97">
        <v>0.004579601743431241</v>
      </c>
      <c r="AK97">
        <v>2034</v>
      </c>
      <c r="AL97" t="s">
        <v>216</v>
      </c>
      <c r="AM97">
        <v>0.36149999999999999</v>
      </c>
      <c r="AN97" t="s">
        <v>195</v>
      </c>
    </row>
    <row r="98" spans="9:40" ht="14.25">
      <c r="I98" t="s">
        <v>165</v>
      </c>
      <c r="J98" t="s">
        <v>226</v>
      </c>
      <c r="K98">
        <v>0.0011495862338769432</v>
      </c>
      <c r="L98" t="s">
        <v>153</v>
      </c>
      <c r="N98" t="s">
        <v>175</v>
      </c>
      <c r="O98" t="s">
        <v>226</v>
      </c>
      <c r="P98">
        <v>0.00071912938100795651</v>
      </c>
      <c r="Q98" t="s">
        <v>153</v>
      </c>
      <c r="S98" t="s">
        <v>185</v>
      </c>
      <c r="T98" t="s">
        <v>226</v>
      </c>
      <c r="U98">
        <v>0.00063768362510061081</v>
      </c>
      <c r="V98" t="s">
        <v>153</v>
      </c>
      <c r="AC98" t="s">
        <v>19</v>
      </c>
      <c r="AD98" t="s">
        <v>226</v>
      </c>
      <c r="AE98">
        <v>0.00057358548578044879</v>
      </c>
      <c r="AK98">
        <v>2034</v>
      </c>
      <c r="AL98" t="s">
        <v>232</v>
      </c>
      <c r="AM98">
        <v>0.43320000000000003</v>
      </c>
      <c r="AN98" t="s">
        <v>195</v>
      </c>
    </row>
    <row r="99" spans="9:40" ht="14.25">
      <c r="I99" t="s">
        <v>165</v>
      </c>
      <c r="J99" t="s">
        <v>227</v>
      </c>
      <c r="K99">
        <v>0.00078430919640836002</v>
      </c>
      <c r="L99" t="s">
        <v>153</v>
      </c>
      <c r="N99" t="s">
        <v>175</v>
      </c>
      <c r="O99" t="s">
        <v>227</v>
      </c>
      <c r="P99">
        <v>0.00070367256789129835</v>
      </c>
      <c r="Q99" t="s">
        <v>153</v>
      </c>
      <c r="S99" t="s">
        <v>185</v>
      </c>
      <c r="T99" t="s">
        <v>227</v>
      </c>
      <c r="U99">
        <v>0.00067307298359109511</v>
      </c>
      <c r="V99" t="s">
        <v>153</v>
      </c>
      <c r="AC99" t="s">
        <v>19</v>
      </c>
      <c r="AD99" t="s">
        <v>227</v>
      </c>
      <c r="AE99">
        <v>0.00057407603287023341</v>
      </c>
      <c r="AK99">
        <v>2034</v>
      </c>
      <c r="AL99" t="s">
        <v>233</v>
      </c>
      <c r="AM99">
        <v>0.39028571428571424</v>
      </c>
      <c r="AN99" t="s">
        <v>195</v>
      </c>
    </row>
    <row r="100" spans="9:40" ht="14.25">
      <c r="I100" t="s">
        <v>165</v>
      </c>
      <c r="J100" t="s">
        <v>228</v>
      </c>
      <c r="K100">
        <v>0.00035126497405937922</v>
      </c>
      <c r="L100" t="s">
        <v>153</v>
      </c>
      <c r="N100" t="s">
        <v>175</v>
      </c>
      <c r="O100" t="s">
        <v>228</v>
      </c>
      <c r="P100">
        <v>0.0035762341623198396</v>
      </c>
      <c r="Q100" t="s">
        <v>153</v>
      </c>
      <c r="S100" t="s">
        <v>185</v>
      </c>
      <c r="T100" t="s">
        <v>228</v>
      </c>
      <c r="U100">
        <v>0.0049668245105186342</v>
      </c>
      <c r="V100" t="s">
        <v>153</v>
      </c>
      <c r="AC100" t="s">
        <v>19</v>
      </c>
      <c r="AD100" t="s">
        <v>228</v>
      </c>
      <c r="AE100">
        <v>0.003437656817470497</v>
      </c>
      <c r="AK100">
        <v>2034</v>
      </c>
      <c r="AL100" t="s">
        <v>234</v>
      </c>
      <c r="AM100">
        <v>0.33429999999999999</v>
      </c>
      <c r="AN100" t="s">
        <v>195</v>
      </c>
    </row>
    <row r="101" spans="9:40" ht="14.25">
      <c r="I101" t="s">
        <v>165</v>
      </c>
      <c r="J101" t="s">
        <v>235</v>
      </c>
      <c r="K101">
        <v>0.0047021277325694725</v>
      </c>
      <c r="L101" t="s">
        <v>153</v>
      </c>
      <c r="N101" t="s">
        <v>175</v>
      </c>
      <c r="O101" t="s">
        <v>235</v>
      </c>
      <c r="P101">
        <v>0.062066295622766207</v>
      </c>
      <c r="Q101" t="s">
        <v>153</v>
      </c>
      <c r="S101" t="s">
        <v>185</v>
      </c>
      <c r="T101" t="s">
        <v>235</v>
      </c>
      <c r="U101">
        <v>0.079119970466304604</v>
      </c>
      <c r="V101" t="s">
        <v>153</v>
      </c>
      <c r="AC101" t="s">
        <v>19</v>
      </c>
      <c r="AD101" t="s">
        <v>235</v>
      </c>
      <c r="AE101">
        <v>0.058171450441368837</v>
      </c>
      <c r="AK101">
        <v>2035</v>
      </c>
      <c r="AL101" t="s">
        <v>141</v>
      </c>
      <c r="AM101">
        <v>0.32340000000000002</v>
      </c>
      <c r="AN101" t="s">
        <v>195</v>
      </c>
    </row>
    <row r="102" spans="9:40" ht="14.25">
      <c r="I102" t="s">
        <v>165</v>
      </c>
      <c r="J102" t="s">
        <v>236</v>
      </c>
      <c r="K102">
        <v>0.011668146618549037</v>
      </c>
      <c r="L102" t="s">
        <v>153</v>
      </c>
      <c r="N102" t="s">
        <v>175</v>
      </c>
      <c r="O102" t="s">
        <v>236</v>
      </c>
      <c r="P102">
        <v>0.0083217350469834226</v>
      </c>
      <c r="Q102" t="s">
        <v>153</v>
      </c>
      <c r="S102" t="s">
        <v>185</v>
      </c>
      <c r="T102" t="s">
        <v>236</v>
      </c>
      <c r="U102">
        <v>0.010142529932774843</v>
      </c>
      <c r="V102" t="s">
        <v>153</v>
      </c>
      <c r="AC102" t="s">
        <v>19</v>
      </c>
      <c r="AD102" t="s">
        <v>236</v>
      </c>
      <c r="AE102">
        <v>0.0083493155209417337</v>
      </c>
      <c r="AK102">
        <v>2035</v>
      </c>
      <c r="AL102" t="s">
        <v>145</v>
      </c>
      <c r="AM102">
        <v>0.33030000000000004</v>
      </c>
      <c r="AN102" t="s">
        <v>195</v>
      </c>
    </row>
    <row r="103" spans="9:40" ht="14.25">
      <c r="I103" t="s">
        <v>165</v>
      </c>
      <c r="J103" t="s">
        <v>237</v>
      </c>
      <c r="K103">
        <v>0.1663835049212308</v>
      </c>
      <c r="L103" t="s">
        <v>153</v>
      </c>
      <c r="N103" t="s">
        <v>175</v>
      </c>
      <c r="O103" t="s">
        <v>237</v>
      </c>
      <c r="P103">
        <v>0.06698537183733326</v>
      </c>
      <c r="Q103" t="s">
        <v>153</v>
      </c>
      <c r="S103" t="s">
        <v>185</v>
      </c>
      <c r="T103" t="s">
        <v>237</v>
      </c>
      <c r="U103">
        <v>0.074013568567218163</v>
      </c>
      <c r="V103" t="s">
        <v>153</v>
      </c>
      <c r="AC103" t="s">
        <v>19</v>
      </c>
      <c r="AD103" t="s">
        <v>237</v>
      </c>
      <c r="AE103">
        <v>0.068057507624571759</v>
      </c>
      <c r="AK103">
        <v>2035</v>
      </c>
      <c r="AL103" t="s">
        <v>147</v>
      </c>
      <c r="AM103">
        <v>0.38490000000000002</v>
      </c>
      <c r="AN103" t="s">
        <v>195</v>
      </c>
    </row>
    <row r="104" spans="9:40" ht="14.25">
      <c r="I104" t="s">
        <v>165</v>
      </c>
      <c r="J104" t="s">
        <v>238</v>
      </c>
      <c r="K104">
        <v>0.016862129833309262</v>
      </c>
      <c r="L104" t="s">
        <v>153</v>
      </c>
      <c r="N104" t="s">
        <v>175</v>
      </c>
      <c r="O104" t="s">
        <v>238</v>
      </c>
      <c r="P104">
        <v>0.011190747297583301</v>
      </c>
      <c r="Q104" t="s">
        <v>153</v>
      </c>
      <c r="S104" t="s">
        <v>185</v>
      </c>
      <c r="T104" t="s">
        <v>238</v>
      </c>
      <c r="U104">
        <v>0.0094998917695565573</v>
      </c>
      <c r="V104" t="s">
        <v>153</v>
      </c>
      <c r="AC104" t="s">
        <v>19</v>
      </c>
      <c r="AD104" t="s">
        <v>238</v>
      </c>
      <c r="AE104">
        <v>0.0085223866357906231</v>
      </c>
      <c r="AK104">
        <v>2035</v>
      </c>
      <c r="AL104" t="s">
        <v>149</v>
      </c>
      <c r="AM104">
        <v>0.43259999999999998</v>
      </c>
      <c r="AN104" t="s">
        <v>195</v>
      </c>
    </row>
    <row r="105" spans="9:40" ht="14.25">
      <c r="I105" t="s">
        <v>165</v>
      </c>
      <c r="J105" t="s">
        <v>239</v>
      </c>
      <c r="K105">
        <v>0.012336363705343014</v>
      </c>
      <c r="L105" t="s">
        <v>153</v>
      </c>
      <c r="N105" t="s">
        <v>175</v>
      </c>
      <c r="O105" t="s">
        <v>239</v>
      </c>
      <c r="P105">
        <v>0.011197714831829736</v>
      </c>
      <c r="Q105" t="s">
        <v>153</v>
      </c>
      <c r="S105" t="s">
        <v>185</v>
      </c>
      <c r="T105" t="s">
        <v>239</v>
      </c>
      <c r="U105">
        <v>0.0099338079149160399</v>
      </c>
      <c r="V105" t="s">
        <v>153</v>
      </c>
      <c r="AC105" t="s">
        <v>19</v>
      </c>
      <c r="AD105" t="s">
        <v>239</v>
      </c>
      <c r="AE105">
        <v>0.0085270402957440573</v>
      </c>
      <c r="AK105">
        <v>2035</v>
      </c>
      <c r="AL105" t="s">
        <v>198</v>
      </c>
      <c r="AM105">
        <v>0.43259999999999998</v>
      </c>
      <c r="AN105" t="s">
        <v>195</v>
      </c>
    </row>
    <row r="106" spans="9:40" ht="14.25">
      <c r="I106" t="s">
        <v>165</v>
      </c>
      <c r="J106" t="s">
        <v>240</v>
      </c>
      <c r="K106">
        <v>0.0057134282824727696</v>
      </c>
      <c r="L106" t="s">
        <v>153</v>
      </c>
      <c r="N106" t="s">
        <v>175</v>
      </c>
      <c r="O106" t="s">
        <v>240</v>
      </c>
      <c r="P106">
        <v>0.064716413738127088</v>
      </c>
      <c r="Q106" t="s">
        <v>153</v>
      </c>
      <c r="S106" t="s">
        <v>185</v>
      </c>
      <c r="T106" t="s">
        <v>240</v>
      </c>
      <c r="U106">
        <v>0.067573990539022036</v>
      </c>
      <c r="V106" t="s">
        <v>153</v>
      </c>
      <c r="AC106" t="s">
        <v>19</v>
      </c>
      <c r="AD106" t="s">
        <v>240</v>
      </c>
      <c r="AE106">
        <v>0.051044894968858091</v>
      </c>
      <c r="AK106">
        <v>2035</v>
      </c>
      <c r="AL106" t="s">
        <v>216</v>
      </c>
      <c r="AM106">
        <v>0.43259999999999998</v>
      </c>
      <c r="AN106" t="s">
        <v>195</v>
      </c>
    </row>
    <row r="107" spans="9:40" ht="14.25">
      <c r="I107" t="s">
        <v>165</v>
      </c>
      <c r="J107" t="s">
        <v>241</v>
      </c>
      <c r="K107">
        <v>0.0055012638289688538</v>
      </c>
      <c r="L107" t="s">
        <v>153</v>
      </c>
      <c r="N107" t="s">
        <v>175</v>
      </c>
      <c r="O107" t="s">
        <v>241</v>
      </c>
      <c r="P107">
        <v>0.11641570056673077</v>
      </c>
      <c r="Q107" t="s">
        <v>153</v>
      </c>
      <c r="S107" t="s">
        <v>185</v>
      </c>
      <c r="T107" t="s">
        <v>241</v>
      </c>
      <c r="U107">
        <v>0.12806422810409127</v>
      </c>
      <c r="V107" t="s">
        <v>153</v>
      </c>
      <c r="AC107" t="s">
        <v>19</v>
      </c>
      <c r="AD107" t="s">
        <v>241</v>
      </c>
      <c r="AE107">
        <v>0.15021584378787226</v>
      </c>
      <c r="AK107">
        <v>2035</v>
      </c>
      <c r="AL107" t="s">
        <v>232</v>
      </c>
      <c r="AM107">
        <v>0.46002500000000002</v>
      </c>
      <c r="AN107" t="s">
        <v>195</v>
      </c>
    </row>
    <row r="108" spans="9:40" ht="14.25">
      <c r="I108" t="s">
        <v>165</v>
      </c>
      <c r="J108" t="s">
        <v>242</v>
      </c>
      <c r="K108">
        <v>0.025938417473634231</v>
      </c>
      <c r="L108" t="s">
        <v>153</v>
      </c>
      <c r="N108" t="s">
        <v>175</v>
      </c>
      <c r="O108" t="s">
        <v>242</v>
      </c>
      <c r="P108">
        <v>0.017175224360650412</v>
      </c>
      <c r="Q108" t="s">
        <v>153</v>
      </c>
      <c r="S108" t="s">
        <v>185</v>
      </c>
      <c r="T108" t="s">
        <v>242</v>
      </c>
      <c r="U108">
        <v>0.017185380733177449</v>
      </c>
      <c r="V108" t="s">
        <v>153</v>
      </c>
      <c r="AC108" t="s">
        <v>19</v>
      </c>
      <c r="AD108" t="s">
        <v>242</v>
      </c>
      <c r="AE108">
        <v>0.021474836870353887</v>
      </c>
      <c r="AK108">
        <v>2035</v>
      </c>
      <c r="AL108" t="s">
        <v>233</v>
      </c>
      <c r="AM108">
        <v>0.38968571428571425</v>
      </c>
      <c r="AN108" t="s">
        <v>195</v>
      </c>
    </row>
    <row r="109" spans="9:40" ht="14.25">
      <c r="I109" t="s">
        <v>165</v>
      </c>
      <c r="J109" t="s">
        <v>243</v>
      </c>
      <c r="K109">
        <v>0.4071256561275699</v>
      </c>
      <c r="L109" t="s">
        <v>153</v>
      </c>
      <c r="N109" t="s">
        <v>175</v>
      </c>
      <c r="O109" t="s">
        <v>243</v>
      </c>
      <c r="P109">
        <v>0.14874574737005375</v>
      </c>
      <c r="Q109" t="s">
        <v>153</v>
      </c>
      <c r="S109" t="s">
        <v>185</v>
      </c>
      <c r="T109" t="s">
        <v>243</v>
      </c>
      <c r="U109">
        <v>0.11411594315292391</v>
      </c>
      <c r="V109" t="s">
        <v>153</v>
      </c>
      <c r="AC109" t="s">
        <v>19</v>
      </c>
      <c r="AD109" t="s">
        <v>243</v>
      </c>
      <c r="AE109">
        <v>0.1746777342343459</v>
      </c>
      <c r="AK109">
        <v>2035</v>
      </c>
      <c r="AL109" t="s">
        <v>234</v>
      </c>
      <c r="AM109">
        <v>0.36630000000000001</v>
      </c>
      <c r="AN109" t="s">
        <v>195</v>
      </c>
    </row>
    <row r="110" spans="9:40" ht="14.25">
      <c r="I110" t="s">
        <v>165</v>
      </c>
      <c r="J110" t="s">
        <v>244</v>
      </c>
      <c r="K110">
        <v>0.039736825385280894</v>
      </c>
      <c r="L110" t="s">
        <v>153</v>
      </c>
      <c r="N110" t="s">
        <v>175</v>
      </c>
      <c r="O110" t="s">
        <v>244</v>
      </c>
      <c r="P110">
        <v>0.024333669424786732</v>
      </c>
      <c r="Q110" t="s">
        <v>153</v>
      </c>
      <c r="S110" t="s">
        <v>185</v>
      </c>
      <c r="T110" t="s">
        <v>244</v>
      </c>
      <c r="U110">
        <v>0.015222597100519141</v>
      </c>
      <c r="V110" t="s">
        <v>153</v>
      </c>
      <c r="AC110" t="s">
        <v>19</v>
      </c>
      <c r="AD110" t="s">
        <v>244</v>
      </c>
      <c r="AE110">
        <v>0.02188193284465716</v>
      </c>
      <c r="AK110">
        <v>2036</v>
      </c>
      <c r="AL110" t="s">
        <v>141</v>
      </c>
      <c r="AM110">
        <v>0.28370000000000001</v>
      </c>
      <c r="AN110" t="s">
        <v>195</v>
      </c>
    </row>
    <row r="111" spans="9:40" ht="14.25">
      <c r="I111" t="s">
        <v>165</v>
      </c>
      <c r="J111" t="s">
        <v>245</v>
      </c>
      <c r="K111">
        <v>0.025805945318515561</v>
      </c>
      <c r="L111" t="s">
        <v>153</v>
      </c>
      <c r="N111" t="s">
        <v>175</v>
      </c>
      <c r="O111" t="s">
        <v>245</v>
      </c>
      <c r="P111">
        <v>0.024151948800106387</v>
      </c>
      <c r="Q111" t="s">
        <v>153</v>
      </c>
      <c r="S111" t="s">
        <v>185</v>
      </c>
      <c r="T111" t="s">
        <v>245</v>
      </c>
      <c r="U111">
        <v>0.016742485097644019</v>
      </c>
      <c r="V111" t="s">
        <v>153</v>
      </c>
      <c r="AC111" t="s">
        <v>19</v>
      </c>
      <c r="AD111" t="s">
        <v>245</v>
      </c>
      <c r="AE111">
        <v>0.02188543785930263</v>
      </c>
      <c r="AK111">
        <v>2036</v>
      </c>
      <c r="AL111" t="s">
        <v>145</v>
      </c>
      <c r="AM111">
        <v>0.29039999999999999</v>
      </c>
      <c r="AN111" t="s">
        <v>195</v>
      </c>
    </row>
    <row r="112" spans="9:40" ht="14.25">
      <c r="I112" t="s">
        <v>165</v>
      </c>
      <c r="J112" t="s">
        <v>246</v>
      </c>
      <c r="K112">
        <v>0.0065212461715998815</v>
      </c>
      <c r="L112" t="s">
        <v>153</v>
      </c>
      <c r="N112" t="s">
        <v>175</v>
      </c>
      <c r="O112" t="s">
        <v>246</v>
      </c>
      <c r="P112">
        <v>0.12048956152420379</v>
      </c>
      <c r="Q112" t="s">
        <v>153</v>
      </c>
      <c r="S112" t="s">
        <v>185</v>
      </c>
      <c r="T112" t="s">
        <v>246</v>
      </c>
      <c r="U112">
        <v>0.111162877936788</v>
      </c>
      <c r="V112" t="s">
        <v>153</v>
      </c>
      <c r="AC112" t="s">
        <v>19</v>
      </c>
      <c r="AD112" t="s">
        <v>246</v>
      </c>
      <c r="AE112">
        <v>0.1309598685935536</v>
      </c>
      <c r="AK112">
        <v>2036</v>
      </c>
      <c r="AL112" t="s">
        <v>147</v>
      </c>
      <c r="AM112">
        <v>0.31884999999999997</v>
      </c>
      <c r="AN112" t="s">
        <v>195</v>
      </c>
    </row>
    <row r="113" spans="9:40" ht="14.25">
      <c r="I113" t="s">
        <v>165</v>
      </c>
      <c r="J113" t="s">
        <v>247</v>
      </c>
      <c r="K113">
        <v>0</v>
      </c>
      <c r="L113" t="s">
        <v>153</v>
      </c>
      <c r="N113" t="s">
        <v>175</v>
      </c>
      <c r="O113" t="s">
        <v>247</v>
      </c>
      <c r="P113">
        <v>0.019899868043976827</v>
      </c>
      <c r="Q113" t="s">
        <v>153</v>
      </c>
      <c r="S113" t="s">
        <v>185</v>
      </c>
      <c r="T113" t="s">
        <v>247</v>
      </c>
      <c r="U113">
        <v>0.023077303065438273</v>
      </c>
      <c r="V113" t="s">
        <v>153</v>
      </c>
      <c r="AC113" t="s">
        <v>19</v>
      </c>
      <c r="AD113" t="s">
        <v>247</v>
      </c>
      <c r="AE113">
        <v>0.013381722533679332</v>
      </c>
      <c r="AK113">
        <v>2036</v>
      </c>
      <c r="AL113" t="s">
        <v>149</v>
      </c>
      <c r="AM113">
        <v>0.34060000000000001</v>
      </c>
      <c r="AN113" t="s">
        <v>195</v>
      </c>
    </row>
    <row r="114" spans="9:40" ht="14.25">
      <c r="I114" t="s">
        <v>165</v>
      </c>
      <c r="J114" t="s">
        <v>248</v>
      </c>
      <c r="K114">
        <v>0.0018602290983071299</v>
      </c>
      <c r="L114" t="s">
        <v>153</v>
      </c>
      <c r="N114" t="s">
        <v>175</v>
      </c>
      <c r="O114" t="s">
        <v>248</v>
      </c>
      <c r="P114">
        <v>0.0030417920907023057</v>
      </c>
      <c r="Q114" t="s">
        <v>153</v>
      </c>
      <c r="S114" t="s">
        <v>185</v>
      </c>
      <c r="T114" t="s">
        <v>248</v>
      </c>
      <c r="U114">
        <v>0.0037450074349188044</v>
      </c>
      <c r="V114" t="s">
        <v>153</v>
      </c>
      <c r="AC114" t="s">
        <v>19</v>
      </c>
      <c r="AD114" t="s">
        <v>248</v>
      </c>
      <c r="AE114">
        <v>0.0019349740779095494</v>
      </c>
      <c r="AK114">
        <v>2036</v>
      </c>
      <c r="AL114" t="s">
        <v>198</v>
      </c>
      <c r="AM114">
        <v>0.34060000000000001</v>
      </c>
      <c r="AN114" t="s">
        <v>195</v>
      </c>
    </row>
    <row r="115" spans="9:40" ht="14.25">
      <c r="I115" t="s">
        <v>165</v>
      </c>
      <c r="J115" t="s">
        <v>249</v>
      </c>
      <c r="K115">
        <v>0.0347723927324309</v>
      </c>
      <c r="L115" t="s">
        <v>153</v>
      </c>
      <c r="N115" t="s">
        <v>175</v>
      </c>
      <c r="O115" t="s">
        <v>249</v>
      </c>
      <c r="P115">
        <v>0.021957041171948518</v>
      </c>
      <c r="Q115" t="s">
        <v>153</v>
      </c>
      <c r="S115" t="s">
        <v>185</v>
      </c>
      <c r="T115" t="s">
        <v>249</v>
      </c>
      <c r="U115">
        <v>0.028905821212674716</v>
      </c>
      <c r="V115" t="s">
        <v>153</v>
      </c>
      <c r="AC115" t="s">
        <v>19</v>
      </c>
      <c r="AD115" t="s">
        <v>249</v>
      </c>
      <c r="AE115">
        <v>0.015589939572879779</v>
      </c>
      <c r="AK115">
        <v>2036</v>
      </c>
      <c r="AL115" t="s">
        <v>216</v>
      </c>
      <c r="AM115">
        <v>0.34060000000000001</v>
      </c>
      <c r="AN115" t="s">
        <v>195</v>
      </c>
    </row>
    <row r="116" spans="9:40" ht="14.25">
      <c r="I116" t="s">
        <v>165</v>
      </c>
      <c r="J116" t="s">
        <v>250</v>
      </c>
      <c r="K116">
        <v>0.0035351448363540681</v>
      </c>
      <c r="L116" t="s">
        <v>153</v>
      </c>
      <c r="N116" t="s">
        <v>175</v>
      </c>
      <c r="O116" t="s">
        <v>250</v>
      </c>
      <c r="P116">
        <v>0.0027347102133329598</v>
      </c>
      <c r="Q116" t="s">
        <v>153</v>
      </c>
      <c r="S116" t="s">
        <v>185</v>
      </c>
      <c r="T116" t="s">
        <v>250</v>
      </c>
      <c r="U116">
        <v>0.0031865558549760424</v>
      </c>
      <c r="V116" t="s">
        <v>153</v>
      </c>
      <c r="AC116" t="s">
        <v>19</v>
      </c>
      <c r="AD116" t="s">
        <v>250</v>
      </c>
      <c r="AE116">
        <v>0.0019509732736641332</v>
      </c>
      <c r="AK116">
        <v>2036</v>
      </c>
      <c r="AL116" t="s">
        <v>232</v>
      </c>
      <c r="AM116">
        <v>0.39682499999999998</v>
      </c>
      <c r="AN116" t="s">
        <v>195</v>
      </c>
    </row>
    <row r="117" spans="9:40" ht="14.25">
      <c r="I117" t="s">
        <v>165</v>
      </c>
      <c r="J117" t="s">
        <v>251</v>
      </c>
      <c r="K117">
        <v>0.0019988751437695906</v>
      </c>
      <c r="L117" t="s">
        <v>153</v>
      </c>
      <c r="N117" t="s">
        <v>175</v>
      </c>
      <c r="O117" t="s">
        <v>251</v>
      </c>
      <c r="P117">
        <v>0.0026410656059615801</v>
      </c>
      <c r="Q117" t="s">
        <v>153</v>
      </c>
      <c r="S117" t="s">
        <v>185</v>
      </c>
      <c r="T117" t="s">
        <v>251</v>
      </c>
      <c r="U117">
        <v>0.0030708615041492495</v>
      </c>
      <c r="V117" t="s">
        <v>153</v>
      </c>
      <c r="AC117" t="s">
        <v>19</v>
      </c>
      <c r="AD117" t="s">
        <v>251</v>
      </c>
      <c r="AE117">
        <v>0.0019550719810362328</v>
      </c>
      <c r="AK117">
        <v>2036</v>
      </c>
      <c r="AL117" t="s">
        <v>233</v>
      </c>
      <c r="AM117">
        <v>0.33695714285714284</v>
      </c>
      <c r="AN117" t="s">
        <v>195</v>
      </c>
    </row>
    <row r="118" spans="9:40" ht="14.25">
      <c r="I118" t="s">
        <v>165</v>
      </c>
      <c r="J118" t="s">
        <v>252</v>
      </c>
      <c r="K118">
        <v>0</v>
      </c>
      <c r="L118" t="s">
        <v>153</v>
      </c>
      <c r="N118" t="s">
        <v>175</v>
      </c>
      <c r="O118" t="s">
        <v>252</v>
      </c>
      <c r="P118">
        <v>0.015579387057039804</v>
      </c>
      <c r="Q118" t="s">
        <v>153</v>
      </c>
      <c r="S118" t="s">
        <v>185</v>
      </c>
      <c r="T118" t="s">
        <v>252</v>
      </c>
      <c r="U118">
        <v>0.01815866020164093</v>
      </c>
      <c r="V118" t="s">
        <v>153</v>
      </c>
      <c r="AC118" t="s">
        <v>19</v>
      </c>
      <c r="AD118" t="s">
        <v>252</v>
      </c>
      <c r="AE118">
        <v>0.011681070161587483</v>
      </c>
      <c r="AK118">
        <v>2036</v>
      </c>
      <c r="AL118" t="s">
        <v>234</v>
      </c>
      <c r="AM118">
        <v>0.3306</v>
      </c>
      <c r="AN118" t="s">
        <v>195</v>
      </c>
    </row>
    <row r="119" spans="9:40" ht="14.25">
      <c r="I119" t="s">
        <v>166</v>
      </c>
      <c r="J119" t="s">
        <v>152</v>
      </c>
      <c r="K119">
        <v>0</v>
      </c>
      <c r="L119" t="s">
        <v>153</v>
      </c>
      <c r="N119" t="s">
        <v>176</v>
      </c>
      <c r="O119" t="s">
        <v>152</v>
      </c>
      <c r="P119">
        <v>0.0029982892223411285</v>
      </c>
      <c r="Q119" t="s">
        <v>153</v>
      </c>
      <c r="AK119">
        <v>2037</v>
      </c>
      <c r="AL119" t="s">
        <v>141</v>
      </c>
      <c r="AM119">
        <v>0.32519999999999999</v>
      </c>
      <c r="AN119" t="s">
        <v>195</v>
      </c>
    </row>
    <row r="120" spans="9:40" ht="14.25">
      <c r="I120" t="s">
        <v>166</v>
      </c>
      <c r="J120" t="s">
        <v>154</v>
      </c>
      <c r="K120">
        <v>0.00066523709985895547</v>
      </c>
      <c r="L120" t="s">
        <v>153</v>
      </c>
      <c r="N120" t="s">
        <v>176</v>
      </c>
      <c r="O120" t="s">
        <v>154</v>
      </c>
      <c r="P120">
        <v>0.00033102716916862004</v>
      </c>
      <c r="Q120" t="s">
        <v>153</v>
      </c>
      <c r="AK120">
        <v>2037</v>
      </c>
      <c r="AL120" t="s">
        <v>145</v>
      </c>
      <c r="AM120">
        <v>0.31469999999999998</v>
      </c>
      <c r="AN120" t="s">
        <v>195</v>
      </c>
    </row>
    <row r="121" spans="9:40" ht="14.25">
      <c r="I121" t="s">
        <v>166</v>
      </c>
      <c r="J121" t="s">
        <v>155</v>
      </c>
      <c r="K121">
        <v>0.012717815527225645</v>
      </c>
      <c r="L121" t="s">
        <v>153</v>
      </c>
      <c r="N121" t="s">
        <v>176</v>
      </c>
      <c r="O121" t="s">
        <v>155</v>
      </c>
      <c r="P121">
        <v>0.0020142499571041924</v>
      </c>
      <c r="Q121" t="s">
        <v>153</v>
      </c>
      <c r="AK121">
        <v>2037</v>
      </c>
      <c r="AL121" t="s">
        <v>147</v>
      </c>
      <c r="AM121">
        <v>0.31910000000000005</v>
      </c>
      <c r="AN121" t="s">
        <v>195</v>
      </c>
    </row>
    <row r="122" spans="9:40" ht="14.25">
      <c r="I122" t="s">
        <v>166</v>
      </c>
      <c r="J122" t="s">
        <v>200</v>
      </c>
      <c r="K122">
        <v>0.0013053131173750225</v>
      </c>
      <c r="L122" t="s">
        <v>153</v>
      </c>
      <c r="N122" t="s">
        <v>176</v>
      </c>
      <c r="O122" t="s">
        <v>200</v>
      </c>
      <c r="P122">
        <v>0.00049317674909242146</v>
      </c>
      <c r="Q122" t="s">
        <v>153</v>
      </c>
      <c r="AK122">
        <v>2037</v>
      </c>
      <c r="AL122" t="s">
        <v>149</v>
      </c>
      <c r="AM122">
        <v>0.33400000000000002</v>
      </c>
      <c r="AN122" t="s">
        <v>195</v>
      </c>
    </row>
    <row r="123" spans="9:40" ht="14.25">
      <c r="I123" t="s">
        <v>166</v>
      </c>
      <c r="J123" t="s">
        <v>201</v>
      </c>
      <c r="K123">
        <v>0.00071717615811211664</v>
      </c>
      <c r="L123" t="s">
        <v>153</v>
      </c>
      <c r="N123" t="s">
        <v>176</v>
      </c>
      <c r="O123" t="s">
        <v>201</v>
      </c>
      <c r="P123">
        <v>0.00054708693157855335</v>
      </c>
      <c r="Q123" t="s">
        <v>153</v>
      </c>
      <c r="AK123">
        <v>2037</v>
      </c>
      <c r="AL123" t="s">
        <v>198</v>
      </c>
      <c r="AM123">
        <v>0.33400000000000002</v>
      </c>
      <c r="AN123" t="s">
        <v>195</v>
      </c>
    </row>
    <row r="124" spans="9:40" ht="14.25">
      <c r="I124" t="s">
        <v>166</v>
      </c>
      <c r="J124" t="s">
        <v>218</v>
      </c>
      <c r="K124">
        <v>0</v>
      </c>
      <c r="L124" t="s">
        <v>153</v>
      </c>
      <c r="N124" t="s">
        <v>176</v>
      </c>
      <c r="O124" t="s">
        <v>218</v>
      </c>
      <c r="P124">
        <v>0.0038986394066436226</v>
      </c>
      <c r="Q124" t="s">
        <v>153</v>
      </c>
      <c r="AK124">
        <v>2037</v>
      </c>
      <c r="AL124" t="s">
        <v>216</v>
      </c>
      <c r="AM124">
        <v>0.33400000000000002</v>
      </c>
      <c r="AN124" t="s">
        <v>195</v>
      </c>
    </row>
    <row r="125" spans="9:40" ht="14.25">
      <c r="I125" t="s">
        <v>166</v>
      </c>
      <c r="J125" t="s">
        <v>156</v>
      </c>
      <c r="K125">
        <v>0</v>
      </c>
      <c r="L125" t="s">
        <v>153</v>
      </c>
      <c r="N125" t="s">
        <v>176</v>
      </c>
      <c r="O125" t="s">
        <v>156</v>
      </c>
      <c r="P125">
        <v>0.035873388290415135</v>
      </c>
      <c r="Q125" t="s">
        <v>153</v>
      </c>
      <c r="AK125">
        <v>2037</v>
      </c>
      <c r="AL125" t="s">
        <v>232</v>
      </c>
      <c r="AM125">
        <v>0.40400000000000003</v>
      </c>
      <c r="AN125" t="s">
        <v>195</v>
      </c>
    </row>
    <row r="126" spans="9:40" ht="14.25">
      <c r="I126" t="s">
        <v>166</v>
      </c>
      <c r="J126" t="s">
        <v>157</v>
      </c>
      <c r="K126">
        <v>0.0029245844980125353</v>
      </c>
      <c r="L126" t="s">
        <v>153</v>
      </c>
      <c r="N126" t="s">
        <v>176</v>
      </c>
      <c r="O126" t="s">
        <v>157</v>
      </c>
      <c r="P126">
        <v>0.005084754495342507</v>
      </c>
      <c r="Q126" t="s">
        <v>153</v>
      </c>
      <c r="AK126">
        <v>2037</v>
      </c>
      <c r="AL126" t="s">
        <v>233</v>
      </c>
      <c r="AM126">
        <v>0.34275714285714282</v>
      </c>
      <c r="AN126" t="s">
        <v>195</v>
      </c>
    </row>
    <row r="127" spans="9:40" ht="14.25">
      <c r="I127" t="s">
        <v>166</v>
      </c>
      <c r="J127" t="s">
        <v>158</v>
      </c>
      <c r="K127">
        <v>0.060549197177267866</v>
      </c>
      <c r="L127" t="s">
        <v>153</v>
      </c>
      <c r="N127" t="s">
        <v>176</v>
      </c>
      <c r="O127" t="s">
        <v>158</v>
      </c>
      <c r="P127">
        <v>0.034756311368943686</v>
      </c>
      <c r="Q127" t="s">
        <v>153</v>
      </c>
      <c r="AK127">
        <v>2037</v>
      </c>
      <c r="AL127" t="s">
        <v>234</v>
      </c>
      <c r="AM127">
        <v>0.30159999999999998</v>
      </c>
      <c r="AN127" t="s">
        <v>195</v>
      </c>
    </row>
    <row r="128" spans="9:40" ht="14.25">
      <c r="I128" t="s">
        <v>166</v>
      </c>
      <c r="J128" t="s">
        <v>202</v>
      </c>
      <c r="K128">
        <v>0.0063694652066651862</v>
      </c>
      <c r="L128" t="s">
        <v>153</v>
      </c>
      <c r="N128" t="s">
        <v>176</v>
      </c>
      <c r="O128" t="s">
        <v>202</v>
      </c>
      <c r="P128">
        <v>0.0039706338807455662</v>
      </c>
      <c r="Q128" t="s">
        <v>153</v>
      </c>
      <c r="AK128">
        <v>2038</v>
      </c>
      <c r="AL128" t="s">
        <v>141</v>
      </c>
      <c r="AM128">
        <v>0.32719999999999999</v>
      </c>
      <c r="AN128" t="s">
        <v>195</v>
      </c>
    </row>
    <row r="129" spans="9:40" ht="14.25">
      <c r="I129" t="s">
        <v>166</v>
      </c>
      <c r="J129" t="s">
        <v>203</v>
      </c>
      <c r="K129">
        <v>0.003596859524537113</v>
      </c>
      <c r="L129" t="s">
        <v>153</v>
      </c>
      <c r="N129" t="s">
        <v>176</v>
      </c>
      <c r="O129" t="s">
        <v>203</v>
      </c>
      <c r="P129">
        <v>0.0038931582550589187</v>
      </c>
      <c r="Q129" t="s">
        <v>153</v>
      </c>
      <c r="AK129">
        <v>2038</v>
      </c>
      <c r="AL129" t="s">
        <v>145</v>
      </c>
      <c r="AM129">
        <v>0.32955000000000001</v>
      </c>
      <c r="AN129" t="s">
        <v>195</v>
      </c>
    </row>
    <row r="130" spans="9:40" ht="14.25">
      <c r="I130" t="s">
        <v>166</v>
      </c>
      <c r="J130" t="s">
        <v>219</v>
      </c>
      <c r="K130">
        <v>0</v>
      </c>
      <c r="L130" t="s">
        <v>153</v>
      </c>
      <c r="N130" t="s">
        <v>176</v>
      </c>
      <c r="O130" t="s">
        <v>219</v>
      </c>
      <c r="P130">
        <v>0.028298426650028834</v>
      </c>
      <c r="Q130" t="s">
        <v>153</v>
      </c>
      <c r="AK130">
        <v>2038</v>
      </c>
      <c r="AL130" t="s">
        <v>147</v>
      </c>
      <c r="AM130">
        <v>0.34384999999999999</v>
      </c>
      <c r="AN130" t="s">
        <v>195</v>
      </c>
    </row>
    <row r="131" spans="9:40" ht="14.25">
      <c r="I131" t="s">
        <v>166</v>
      </c>
      <c r="J131" t="s">
        <v>159</v>
      </c>
      <c r="K131">
        <v>0</v>
      </c>
      <c r="L131" t="s">
        <v>153</v>
      </c>
      <c r="N131" t="s">
        <v>176</v>
      </c>
      <c r="O131" t="s">
        <v>159</v>
      </c>
      <c r="P131">
        <v>0.020537462144454555</v>
      </c>
      <c r="Q131" t="s">
        <v>153</v>
      </c>
      <c r="AK131">
        <v>2038</v>
      </c>
      <c r="AL131" t="s">
        <v>149</v>
      </c>
      <c r="AM131">
        <v>0.35580000000000001</v>
      </c>
      <c r="AN131" t="s">
        <v>195</v>
      </c>
    </row>
    <row r="132" spans="9:40" ht="14.25">
      <c r="I132" t="s">
        <v>166</v>
      </c>
      <c r="J132" t="s">
        <v>160</v>
      </c>
      <c r="K132">
        <v>0.0033202170341437038</v>
      </c>
      <c r="L132" t="s">
        <v>153</v>
      </c>
      <c r="N132" t="s">
        <v>176</v>
      </c>
      <c r="O132" t="s">
        <v>160</v>
      </c>
      <c r="P132">
        <v>0.0030309558334491878</v>
      </c>
      <c r="Q132" t="s">
        <v>153</v>
      </c>
      <c r="AK132">
        <v>2038</v>
      </c>
      <c r="AL132" t="s">
        <v>198</v>
      </c>
      <c r="AM132">
        <v>0.35580000000000001</v>
      </c>
      <c r="AN132" t="s">
        <v>195</v>
      </c>
    </row>
    <row r="133" spans="9:40" ht="14.25">
      <c r="I133" t="s">
        <v>166</v>
      </c>
      <c r="J133" t="s">
        <v>161</v>
      </c>
      <c r="K133">
        <v>0.067756348180640316</v>
      </c>
      <c r="L133" t="s">
        <v>153</v>
      </c>
      <c r="N133" t="s">
        <v>176</v>
      </c>
      <c r="O133" t="s">
        <v>161</v>
      </c>
      <c r="P133">
        <v>0.015105246378131845</v>
      </c>
      <c r="Q133" t="s">
        <v>153</v>
      </c>
      <c r="AK133">
        <v>2038</v>
      </c>
      <c r="AL133" t="s">
        <v>216</v>
      </c>
      <c r="AM133">
        <v>0.35580000000000001</v>
      </c>
      <c r="AN133" t="s">
        <v>195</v>
      </c>
    </row>
    <row r="134" spans="9:40" ht="14.25">
      <c r="I134" t="s">
        <v>166</v>
      </c>
      <c r="J134" t="s">
        <v>204</v>
      </c>
      <c r="K134">
        <v>0.0076204808049898289</v>
      </c>
      <c r="L134" t="s">
        <v>153</v>
      </c>
      <c r="N134" t="s">
        <v>176</v>
      </c>
      <c r="O134" t="s">
        <v>204</v>
      </c>
      <c r="P134">
        <v>0.0017276560449554805</v>
      </c>
      <c r="Q134" t="s">
        <v>153</v>
      </c>
      <c r="AK134">
        <v>2038</v>
      </c>
      <c r="AL134" t="s">
        <v>232</v>
      </c>
      <c r="AM134">
        <v>0.38650000000000001</v>
      </c>
      <c r="AN134" t="s">
        <v>195</v>
      </c>
    </row>
    <row r="135" spans="9:40" ht="14.25">
      <c r="I135" t="s">
        <v>166</v>
      </c>
      <c r="J135" t="s">
        <v>205</v>
      </c>
      <c r="K135">
        <v>0.004908822761044253</v>
      </c>
      <c r="L135" t="s">
        <v>153</v>
      </c>
      <c r="N135" t="s">
        <v>176</v>
      </c>
      <c r="O135" t="s">
        <v>205</v>
      </c>
      <c r="P135">
        <v>0.0018158601627109752</v>
      </c>
      <c r="Q135" t="s">
        <v>153</v>
      </c>
      <c r="AK135">
        <v>2038</v>
      </c>
      <c r="AL135" t="s">
        <v>233</v>
      </c>
      <c r="AM135">
        <v>0.33142857142857141</v>
      </c>
      <c r="AN135" t="s">
        <v>195</v>
      </c>
    </row>
    <row r="136" spans="9:40" ht="14.25">
      <c r="I136" t="s">
        <v>166</v>
      </c>
      <c r="J136" t="s">
        <v>220</v>
      </c>
      <c r="K136">
        <v>0</v>
      </c>
      <c r="L136" t="s">
        <v>153</v>
      </c>
      <c r="N136" t="s">
        <v>176</v>
      </c>
      <c r="O136" t="s">
        <v>220</v>
      </c>
      <c r="P136">
        <v>0.016727358018664349</v>
      </c>
      <c r="Q136" t="s">
        <v>153</v>
      </c>
      <c r="AK136">
        <v>2038</v>
      </c>
      <c r="AL136" t="s">
        <v>234</v>
      </c>
      <c r="AM136">
        <v>0.29320000000000002</v>
      </c>
      <c r="AN136" t="s">
        <v>195</v>
      </c>
    </row>
    <row r="137" spans="9:40" ht="14.25">
      <c r="I137" t="s">
        <v>166</v>
      </c>
      <c r="J137" t="s">
        <v>162</v>
      </c>
      <c r="K137">
        <v>0</v>
      </c>
      <c r="L137" t="s">
        <v>153</v>
      </c>
      <c r="N137" t="s">
        <v>176</v>
      </c>
      <c r="O137" t="s">
        <v>162</v>
      </c>
      <c r="P137">
        <v>0.0079168332745121976</v>
      </c>
      <c r="Q137" t="s">
        <v>153</v>
      </c>
      <c r="AK137">
        <v>2039</v>
      </c>
      <c r="AL137" t="s">
        <v>141</v>
      </c>
      <c r="AM137">
        <v>0.30669999999999997</v>
      </c>
      <c r="AN137" t="s">
        <v>195</v>
      </c>
    </row>
    <row r="138" spans="9:40" ht="14.25">
      <c r="I138" t="s">
        <v>166</v>
      </c>
      <c r="J138" t="s">
        <v>163</v>
      </c>
      <c r="K138">
        <v>0.00073609849614422469</v>
      </c>
      <c r="L138" t="s">
        <v>153</v>
      </c>
      <c r="N138" t="s">
        <v>176</v>
      </c>
      <c r="O138" t="s">
        <v>163</v>
      </c>
      <c r="P138">
        <v>0.00092873580828644524</v>
      </c>
      <c r="Q138" t="s">
        <v>153</v>
      </c>
      <c r="AK138">
        <v>2039</v>
      </c>
      <c r="AL138" t="s">
        <v>145</v>
      </c>
      <c r="AM138">
        <v>0.30184999999999995</v>
      </c>
      <c r="AN138" t="s">
        <v>195</v>
      </c>
    </row>
    <row r="139" spans="9:40" ht="14.25">
      <c r="I139" t="s">
        <v>166</v>
      </c>
      <c r="J139" t="s">
        <v>164</v>
      </c>
      <c r="K139">
        <v>0.011888508423588681</v>
      </c>
      <c r="L139" t="s">
        <v>153</v>
      </c>
      <c r="N139" t="s">
        <v>176</v>
      </c>
      <c r="O139" t="s">
        <v>164</v>
      </c>
      <c r="P139">
        <v>0.0056523518102568303</v>
      </c>
      <c r="Q139" t="s">
        <v>153</v>
      </c>
      <c r="AK139">
        <v>2039</v>
      </c>
      <c r="AL139" t="s">
        <v>147</v>
      </c>
      <c r="AM139">
        <v>0.30669999999999997</v>
      </c>
      <c r="AN139" t="s">
        <v>195</v>
      </c>
    </row>
    <row r="140" spans="9:40" ht="14.25">
      <c r="I140" t="s">
        <v>166</v>
      </c>
      <c r="J140" t="s">
        <v>206</v>
      </c>
      <c r="K140">
        <v>0.0011910545216688921</v>
      </c>
      <c r="L140" t="s">
        <v>153</v>
      </c>
      <c r="N140" t="s">
        <v>176</v>
      </c>
      <c r="O140" t="s">
        <v>206</v>
      </c>
      <c r="P140">
        <v>0.00075223452837814263</v>
      </c>
      <c r="Q140" t="s">
        <v>153</v>
      </c>
      <c r="AK140">
        <v>2039</v>
      </c>
      <c r="AL140" t="s">
        <v>149</v>
      </c>
      <c r="AM140">
        <v>0.31640000000000001</v>
      </c>
      <c r="AN140" t="s">
        <v>195</v>
      </c>
    </row>
    <row r="141" spans="9:40" ht="14.25">
      <c r="I141" t="s">
        <v>166</v>
      </c>
      <c r="J141" t="s">
        <v>207</v>
      </c>
      <c r="K141">
        <v>0.00079300563734205766</v>
      </c>
      <c r="L141" t="s">
        <v>153</v>
      </c>
      <c r="N141" t="s">
        <v>176</v>
      </c>
      <c r="O141" t="s">
        <v>207</v>
      </c>
      <c r="P141">
        <v>0.00073459119358391825</v>
      </c>
      <c r="Q141" t="s">
        <v>153</v>
      </c>
      <c r="AK141">
        <v>2039</v>
      </c>
      <c r="AL141" t="s">
        <v>198</v>
      </c>
      <c r="AM141">
        <v>0.31640000000000001</v>
      </c>
      <c r="AN141" t="s">
        <v>195</v>
      </c>
    </row>
    <row r="142" spans="9:40" ht="14.25">
      <c r="I142" t="s">
        <v>166</v>
      </c>
      <c r="J142" t="s">
        <v>221</v>
      </c>
      <c r="K142">
        <v>0</v>
      </c>
      <c r="L142" t="s">
        <v>153</v>
      </c>
      <c r="N142" t="s">
        <v>176</v>
      </c>
      <c r="O142" t="s">
        <v>221</v>
      </c>
      <c r="P142">
        <v>0.0061013873774807877</v>
      </c>
      <c r="Q142" t="s">
        <v>153</v>
      </c>
      <c r="AK142">
        <v>2039</v>
      </c>
      <c r="AL142" t="s">
        <v>216</v>
      </c>
      <c r="AM142">
        <v>0.31640000000000001</v>
      </c>
      <c r="AN142" t="s">
        <v>195</v>
      </c>
    </row>
    <row r="143" spans="9:40" ht="14.25">
      <c r="I143" t="s">
        <v>166</v>
      </c>
      <c r="J143" t="s">
        <v>208</v>
      </c>
      <c r="K143">
        <v>0</v>
      </c>
      <c r="L143" t="s">
        <v>153</v>
      </c>
      <c r="N143" t="s">
        <v>176</v>
      </c>
      <c r="O143" t="s">
        <v>208</v>
      </c>
      <c r="P143">
        <v>0.011728980909368011</v>
      </c>
      <c r="Q143" t="s">
        <v>153</v>
      </c>
      <c r="AK143">
        <v>2039</v>
      </c>
      <c r="AL143" t="s">
        <v>232</v>
      </c>
      <c r="AM143">
        <v>0.38092500000000001</v>
      </c>
      <c r="AN143" t="s">
        <v>195</v>
      </c>
    </row>
    <row r="144" spans="9:40" ht="14.25">
      <c r="I144" t="s">
        <v>166</v>
      </c>
      <c r="J144" t="s">
        <v>209</v>
      </c>
      <c r="K144">
        <v>0.0014210823196491751</v>
      </c>
      <c r="L144" t="s">
        <v>153</v>
      </c>
      <c r="N144" t="s">
        <v>176</v>
      </c>
      <c r="O144" t="s">
        <v>209</v>
      </c>
      <c r="P144">
        <v>0.0018738149543164454</v>
      </c>
      <c r="Q144" t="s">
        <v>153</v>
      </c>
      <c r="AK144">
        <v>2039</v>
      </c>
      <c r="AL144" t="s">
        <v>233</v>
      </c>
      <c r="AM144">
        <v>0.33131428571428573</v>
      </c>
      <c r="AN144" t="s">
        <v>195</v>
      </c>
    </row>
    <row r="145" spans="9:40" ht="14.25">
      <c r="I145" t="s">
        <v>166</v>
      </c>
      <c r="J145" t="s">
        <v>210</v>
      </c>
      <c r="K145">
        <v>0.023955591575721445</v>
      </c>
      <c r="L145" t="s">
        <v>153</v>
      </c>
      <c r="N145" t="s">
        <v>176</v>
      </c>
      <c r="O145" t="s">
        <v>210</v>
      </c>
      <c r="P145">
        <v>0.012189201308330849</v>
      </c>
      <c r="Q145" t="s">
        <v>153</v>
      </c>
      <c r="AK145">
        <v>2039</v>
      </c>
      <c r="AL145" t="s">
        <v>234</v>
      </c>
      <c r="AM145">
        <v>0.316</v>
      </c>
      <c r="AN145" t="s">
        <v>195</v>
      </c>
    </row>
    <row r="146" spans="9:40" ht="14.25">
      <c r="I146" t="s">
        <v>166</v>
      </c>
      <c r="J146" t="s">
        <v>211</v>
      </c>
      <c r="K146">
        <v>0.0026069882604432887</v>
      </c>
      <c r="L146" t="s">
        <v>153</v>
      </c>
      <c r="N146" t="s">
        <v>176</v>
      </c>
      <c r="O146" t="s">
        <v>211</v>
      </c>
      <c r="P146">
        <v>0.0013970278209539638</v>
      </c>
      <c r="Q146" t="s">
        <v>153</v>
      </c>
      <c r="AK146">
        <v>2040</v>
      </c>
      <c r="AL146" t="s">
        <v>141</v>
      </c>
      <c r="AM146">
        <v>0.41510000000000002</v>
      </c>
      <c r="AN146" t="s">
        <v>195</v>
      </c>
    </row>
    <row r="147" spans="9:40" ht="14.25">
      <c r="I147" t="s">
        <v>166</v>
      </c>
      <c r="J147" t="s">
        <v>212</v>
      </c>
      <c r="K147">
        <v>0.001771811201495654</v>
      </c>
      <c r="L147" t="s">
        <v>153</v>
      </c>
      <c r="N147" t="s">
        <v>176</v>
      </c>
      <c r="O147" t="s">
        <v>212</v>
      </c>
      <c r="P147">
        <v>0.0013305746985395601</v>
      </c>
      <c r="Q147" t="s">
        <v>153</v>
      </c>
      <c r="AK147">
        <v>2040</v>
      </c>
      <c r="AL147" t="s">
        <v>145</v>
      </c>
      <c r="AM147">
        <v>0.40085000000000004</v>
      </c>
      <c r="AN147" t="s">
        <v>195</v>
      </c>
    </row>
    <row r="148" spans="9:40" ht="14.25">
      <c r="I148" t="s">
        <v>166</v>
      </c>
      <c r="J148" t="s">
        <v>222</v>
      </c>
      <c r="K148">
        <v>0.00017475174439127812</v>
      </c>
      <c r="L148" t="s">
        <v>153</v>
      </c>
      <c r="N148" t="s">
        <v>176</v>
      </c>
      <c r="O148" t="s">
        <v>222</v>
      </c>
      <c r="P148">
        <v>0.0089937640070515933</v>
      </c>
      <c r="Q148" t="s">
        <v>153</v>
      </c>
      <c r="AK148">
        <v>2040</v>
      </c>
      <c r="AL148" t="s">
        <v>147</v>
      </c>
      <c r="AM148">
        <v>0.40165000000000001</v>
      </c>
      <c r="AN148" t="s">
        <v>195</v>
      </c>
    </row>
    <row r="149" spans="9:40" ht="14.25">
      <c r="I149" t="s">
        <v>166</v>
      </c>
      <c r="J149" t="s">
        <v>223</v>
      </c>
      <c r="K149">
        <v>1.7261924968309395E-07</v>
      </c>
      <c r="L149" t="s">
        <v>153</v>
      </c>
      <c r="N149" t="s">
        <v>176</v>
      </c>
      <c r="O149" t="s">
        <v>223</v>
      </c>
      <c r="P149">
        <v>0.0037255022435567177</v>
      </c>
      <c r="Q149" t="s">
        <v>153</v>
      </c>
      <c r="AK149">
        <v>2040</v>
      </c>
      <c r="AL149" t="s">
        <v>149</v>
      </c>
      <c r="AM149">
        <v>0.41670000000000001</v>
      </c>
      <c r="AN149" t="s">
        <v>195</v>
      </c>
    </row>
    <row r="150" spans="9:40" ht="14.25">
      <c r="I150" t="s">
        <v>166</v>
      </c>
      <c r="J150" t="s">
        <v>224</v>
      </c>
      <c r="K150">
        <v>0.00049261065240267137</v>
      </c>
      <c r="L150" t="s">
        <v>153</v>
      </c>
      <c r="N150" t="s">
        <v>176</v>
      </c>
      <c r="O150" t="s">
        <v>224</v>
      </c>
      <c r="P150">
        <v>0.00031595961618654156</v>
      </c>
      <c r="Q150" t="s">
        <v>153</v>
      </c>
      <c r="AK150">
        <v>2040</v>
      </c>
      <c r="AL150" t="s">
        <v>198</v>
      </c>
      <c r="AM150">
        <v>0.41670000000000001</v>
      </c>
      <c r="AN150" t="s">
        <v>195</v>
      </c>
    </row>
    <row r="151" spans="9:40" ht="14.25">
      <c r="I151" t="s">
        <v>166</v>
      </c>
      <c r="J151" t="s">
        <v>225</v>
      </c>
      <c r="K151">
        <v>0.0092850988793491008</v>
      </c>
      <c r="L151" t="s">
        <v>153</v>
      </c>
      <c r="N151" t="s">
        <v>176</v>
      </c>
      <c r="O151" t="s">
        <v>225</v>
      </c>
      <c r="P151">
        <v>0.0031191472498083039</v>
      </c>
      <c r="Q151" t="s">
        <v>153</v>
      </c>
      <c r="AK151">
        <v>2040</v>
      </c>
      <c r="AL151" t="s">
        <v>216</v>
      </c>
      <c r="AM151">
        <v>0.41670000000000001</v>
      </c>
      <c r="AN151" t="s">
        <v>195</v>
      </c>
    </row>
    <row r="152" spans="9:40" ht="14.25">
      <c r="I152" t="s">
        <v>166</v>
      </c>
      <c r="J152" t="s">
        <v>226</v>
      </c>
      <c r="K152">
        <v>0.0010077365213449368</v>
      </c>
      <c r="L152" t="s">
        <v>153</v>
      </c>
      <c r="N152" t="s">
        <v>176</v>
      </c>
      <c r="O152" t="s">
        <v>226</v>
      </c>
      <c r="P152">
        <v>0.00056668614421545409</v>
      </c>
      <c r="Q152" t="s">
        <v>153</v>
      </c>
      <c r="AK152">
        <v>2040</v>
      </c>
      <c r="AL152" t="s">
        <v>232</v>
      </c>
      <c r="AM152">
        <v>0.49785000000000001</v>
      </c>
      <c r="AN152" t="s">
        <v>195</v>
      </c>
    </row>
    <row r="153" spans="9:40" ht="14.25">
      <c r="I153" t="s">
        <v>166</v>
      </c>
      <c r="J153" t="s">
        <v>227</v>
      </c>
      <c r="K153">
        <v>0.00070383037494433981</v>
      </c>
      <c r="L153" t="s">
        <v>153</v>
      </c>
      <c r="N153" t="s">
        <v>176</v>
      </c>
      <c r="O153" t="s">
        <v>227</v>
      </c>
      <c r="P153">
        <v>0.00050424086155228349</v>
      </c>
      <c r="Q153" t="s">
        <v>153</v>
      </c>
      <c r="AK153">
        <v>2040</v>
      </c>
      <c r="AL153" t="s">
        <v>233</v>
      </c>
      <c r="AM153">
        <v>0.44432857142857146</v>
      </c>
      <c r="AN153" t="s">
        <v>195</v>
      </c>
    </row>
    <row r="154" spans="9:40" ht="14.25">
      <c r="I154" t="s">
        <v>166</v>
      </c>
      <c r="J154" t="s">
        <v>228</v>
      </c>
      <c r="K154">
        <v>0.00020740068944006255</v>
      </c>
      <c r="L154" t="s">
        <v>153</v>
      </c>
      <c r="N154" t="s">
        <v>176</v>
      </c>
      <c r="O154" t="s">
        <v>228</v>
      </c>
      <c r="P154">
        <v>0.0029687888610537391</v>
      </c>
      <c r="Q154" t="s">
        <v>153</v>
      </c>
      <c r="AK154">
        <v>2040</v>
      </c>
      <c r="AL154" t="s">
        <v>234</v>
      </c>
      <c r="AM154">
        <v>0.40689999999999998</v>
      </c>
      <c r="AN154" t="s">
        <v>195</v>
      </c>
    </row>
    <row r="155" spans="9:40" ht="14.25">
      <c r="I155" t="s">
        <v>166</v>
      </c>
      <c r="J155" t="s">
        <v>235</v>
      </c>
      <c r="K155">
        <v>0.006353648893253616</v>
      </c>
      <c r="L155" t="s">
        <v>153</v>
      </c>
      <c r="N155" t="s">
        <v>176</v>
      </c>
      <c r="O155" t="s">
        <v>235</v>
      </c>
      <c r="P155">
        <v>0.058234095634120527</v>
      </c>
      <c r="Q155" t="s">
        <v>153</v>
      </c>
      <c r="AK155">
        <v>2041</v>
      </c>
      <c r="AL155" t="s">
        <v>141</v>
      </c>
      <c r="AM155">
        <v>0.35699999999999998</v>
      </c>
      <c r="AN155" t="s">
        <v>195</v>
      </c>
    </row>
    <row r="156" spans="9:40" ht="14.25">
      <c r="I156" t="s">
        <v>166</v>
      </c>
      <c r="J156" t="s">
        <v>236</v>
      </c>
      <c r="K156">
        <v>0.01315399791818816</v>
      </c>
      <c r="L156" t="s">
        <v>153</v>
      </c>
      <c r="N156" t="s">
        <v>176</v>
      </c>
      <c r="O156" t="s">
        <v>236</v>
      </c>
      <c r="P156">
        <v>0.0068277725949421018</v>
      </c>
      <c r="Q156" t="s">
        <v>153</v>
      </c>
      <c r="AK156">
        <v>2041</v>
      </c>
      <c r="AL156" t="s">
        <v>145</v>
      </c>
      <c r="AM156">
        <v>0.35865000000000002</v>
      </c>
      <c r="AN156" t="s">
        <v>195</v>
      </c>
    </row>
    <row r="157" spans="9:40" ht="14.25">
      <c r="I157" t="s">
        <v>166</v>
      </c>
      <c r="J157" t="s">
        <v>237</v>
      </c>
      <c r="K157">
        <v>0.1660068943844136</v>
      </c>
      <c r="L157" t="s">
        <v>153</v>
      </c>
      <c r="N157" t="s">
        <v>176</v>
      </c>
      <c r="O157" t="s">
        <v>237</v>
      </c>
      <c r="P157">
        <v>0.056205381668961357</v>
      </c>
      <c r="Q157" t="s">
        <v>153</v>
      </c>
      <c r="AK157">
        <v>2041</v>
      </c>
      <c r="AL157" t="s">
        <v>147</v>
      </c>
      <c r="AM157">
        <v>0.38819999999999999</v>
      </c>
      <c r="AN157" t="s">
        <v>195</v>
      </c>
    </row>
    <row r="158" spans="9:40" ht="14.25">
      <c r="I158" t="s">
        <v>166</v>
      </c>
      <c r="J158" t="s">
        <v>238</v>
      </c>
      <c r="K158">
        <v>0.016753622902098347</v>
      </c>
      <c r="L158" t="s">
        <v>153</v>
      </c>
      <c r="N158" t="s">
        <v>176</v>
      </c>
      <c r="O158" t="s">
        <v>238</v>
      </c>
      <c r="P158">
        <v>0.01005883583370687</v>
      </c>
      <c r="Q158" t="s">
        <v>153</v>
      </c>
      <c r="AK158">
        <v>2041</v>
      </c>
      <c r="AL158" t="s">
        <v>149</v>
      </c>
      <c r="AM158">
        <v>0.41610000000000003</v>
      </c>
      <c r="AN158" t="s">
        <v>195</v>
      </c>
    </row>
    <row r="159" spans="9:40" ht="14.25">
      <c r="I159" t="s">
        <v>166</v>
      </c>
      <c r="J159" t="s">
        <v>239</v>
      </c>
      <c r="K159">
        <v>0.012021305620456073</v>
      </c>
      <c r="L159" t="s">
        <v>153</v>
      </c>
      <c r="N159" t="s">
        <v>176</v>
      </c>
      <c r="O159" t="s">
        <v>239</v>
      </c>
      <c r="P159">
        <v>0.010942488675965685</v>
      </c>
      <c r="Q159" t="s">
        <v>153</v>
      </c>
      <c r="AK159">
        <v>2041</v>
      </c>
      <c r="AL159" t="s">
        <v>198</v>
      </c>
      <c r="AM159">
        <v>0.41610000000000003</v>
      </c>
      <c r="AN159" t="s">
        <v>195</v>
      </c>
    </row>
    <row r="160" spans="9:40" ht="14.25">
      <c r="I160" t="s">
        <v>166</v>
      </c>
      <c r="J160" t="s">
        <v>240</v>
      </c>
      <c r="K160">
        <v>0.0053708746837696584</v>
      </c>
      <c r="L160" t="s">
        <v>153</v>
      </c>
      <c r="N160" t="s">
        <v>176</v>
      </c>
      <c r="O160" t="s">
        <v>240</v>
      </c>
      <c r="P160">
        <v>0.068067860962197815</v>
      </c>
      <c r="Q160" t="s">
        <v>153</v>
      </c>
      <c r="AK160">
        <v>2041</v>
      </c>
      <c r="AL160" t="s">
        <v>216</v>
      </c>
      <c r="AM160">
        <v>0.41610000000000003</v>
      </c>
      <c r="AN160" t="s">
        <v>195</v>
      </c>
    </row>
    <row r="161" spans="9:40" ht="14.25">
      <c r="I161" t="s">
        <v>166</v>
      </c>
      <c r="J161" t="s">
        <v>241</v>
      </c>
      <c r="K161">
        <v>0.0073435384046081562</v>
      </c>
      <c r="L161" t="s">
        <v>153</v>
      </c>
      <c r="N161" t="s">
        <v>176</v>
      </c>
      <c r="O161" t="s">
        <v>241</v>
      </c>
      <c r="P161">
        <v>0.1345829874541872</v>
      </c>
      <c r="Q161" t="s">
        <v>153</v>
      </c>
      <c r="AK161">
        <v>2041</v>
      </c>
      <c r="AL161" t="s">
        <v>232</v>
      </c>
      <c r="AM161">
        <v>0.47020000000000001</v>
      </c>
      <c r="AN161" t="s">
        <v>195</v>
      </c>
    </row>
    <row r="162" spans="9:40" ht="14.25">
      <c r="I162" t="s">
        <v>166</v>
      </c>
      <c r="J162" t="s">
        <v>242</v>
      </c>
      <c r="K162">
        <v>0.027821126603108124</v>
      </c>
      <c r="L162" t="s">
        <v>153</v>
      </c>
      <c r="N162" t="s">
        <v>176</v>
      </c>
      <c r="O162" t="s">
        <v>242</v>
      </c>
      <c r="P162">
        <v>0.017249050125809823</v>
      </c>
      <c r="Q162" t="s">
        <v>153</v>
      </c>
      <c r="AK162">
        <v>2041</v>
      </c>
      <c r="AL162" t="s">
        <v>233</v>
      </c>
      <c r="AM162">
        <v>0.39704285714285714</v>
      </c>
      <c r="AN162" t="s">
        <v>195</v>
      </c>
    </row>
    <row r="163" spans="9:40" ht="14.25">
      <c r="I163" t="s">
        <v>166</v>
      </c>
      <c r="J163" t="s">
        <v>243</v>
      </c>
      <c r="K163">
        <v>0.40834866206112463</v>
      </c>
      <c r="L163" t="s">
        <v>153</v>
      </c>
      <c r="N163" t="s">
        <v>176</v>
      </c>
      <c r="O163" t="s">
        <v>243</v>
      </c>
      <c r="P163">
        <v>0.12324559011982521</v>
      </c>
      <c r="Q163" t="s">
        <v>153</v>
      </c>
      <c r="AK163">
        <v>2041</v>
      </c>
      <c r="AL163" t="s">
        <v>234</v>
      </c>
      <c r="AM163">
        <v>0.3412</v>
      </c>
      <c r="AN163" t="s">
        <v>195</v>
      </c>
    </row>
    <row r="164" spans="9:40" ht="14.25">
      <c r="I164" t="s">
        <v>166</v>
      </c>
      <c r="J164" t="s">
        <v>244</v>
      </c>
      <c r="K164">
        <v>0.038239078683995606</v>
      </c>
      <c r="L164" t="s">
        <v>153</v>
      </c>
      <c r="N164" t="s">
        <v>176</v>
      </c>
      <c r="O164" t="s">
        <v>244</v>
      </c>
      <c r="P164">
        <v>0.019893751110469999</v>
      </c>
      <c r="Q164" t="s">
        <v>153</v>
      </c>
      <c r="AK164">
        <v>2042</v>
      </c>
      <c r="AL164" t="s">
        <v>141</v>
      </c>
      <c r="AM164">
        <v>0.27339999999999998</v>
      </c>
      <c r="AN164" t="s">
        <v>195</v>
      </c>
    </row>
    <row r="165" spans="9:40" ht="14.25">
      <c r="I165" t="s">
        <v>166</v>
      </c>
      <c r="J165" t="s">
        <v>245</v>
      </c>
      <c r="K165">
        <v>0.022428869022289917</v>
      </c>
      <c r="L165" t="s">
        <v>153</v>
      </c>
      <c r="N165" t="s">
        <v>176</v>
      </c>
      <c r="O165" t="s">
        <v>245</v>
      </c>
      <c r="P165">
        <v>0.022661195384368105</v>
      </c>
      <c r="Q165" t="s">
        <v>153</v>
      </c>
      <c r="AK165">
        <v>2042</v>
      </c>
      <c r="AL165" t="s">
        <v>145</v>
      </c>
      <c r="AM165">
        <v>0.2873</v>
      </c>
      <c r="AN165" t="s">
        <v>195</v>
      </c>
    </row>
    <row r="166" spans="9:40" ht="14.25">
      <c r="I166" t="s">
        <v>166</v>
      </c>
      <c r="J166" t="s">
        <v>246</v>
      </c>
      <c r="K166">
        <v>0.0049794698830925013</v>
      </c>
      <c r="L166" t="s">
        <v>153</v>
      </c>
      <c r="N166" t="s">
        <v>176</v>
      </c>
      <c r="O166" t="s">
        <v>246</v>
      </c>
      <c r="P166">
        <v>0.14805575447910249</v>
      </c>
      <c r="Q166" t="s">
        <v>153</v>
      </c>
      <c r="AK166">
        <v>2042</v>
      </c>
      <c r="AL166" t="s">
        <v>147</v>
      </c>
      <c r="AM166">
        <v>0.3306</v>
      </c>
      <c r="AN166" t="s">
        <v>195</v>
      </c>
    </row>
    <row r="167" spans="9:40" ht="14.25">
      <c r="I167" t="s">
        <v>166</v>
      </c>
      <c r="J167" t="s">
        <v>247</v>
      </c>
      <c r="K167">
        <v>0</v>
      </c>
      <c r="L167" t="s">
        <v>153</v>
      </c>
      <c r="N167" t="s">
        <v>176</v>
      </c>
      <c r="O167" t="s">
        <v>247</v>
      </c>
      <c r="P167">
        <v>0.021122867923421943</v>
      </c>
      <c r="Q167" t="s">
        <v>153</v>
      </c>
      <c r="AK167">
        <v>2042</v>
      </c>
      <c r="AL167" t="s">
        <v>149</v>
      </c>
      <c r="AM167">
        <v>0.36</v>
      </c>
      <c r="AN167" t="s">
        <v>195</v>
      </c>
    </row>
    <row r="168" spans="9:40" ht="14.25">
      <c r="I168" t="s">
        <v>166</v>
      </c>
      <c r="J168" t="s">
        <v>248</v>
      </c>
      <c r="K168">
        <v>0.0019493746306862073</v>
      </c>
      <c r="L168" t="s">
        <v>153</v>
      </c>
      <c r="N168" t="s">
        <v>176</v>
      </c>
      <c r="O168" t="s">
        <v>248</v>
      </c>
      <c r="P168">
        <v>0.0026979761423454669</v>
      </c>
      <c r="Q168" t="s">
        <v>153</v>
      </c>
      <c r="AK168">
        <v>2042</v>
      </c>
      <c r="AL168" t="s">
        <v>198</v>
      </c>
      <c r="AM168">
        <v>0.36</v>
      </c>
      <c r="AN168" t="s">
        <v>195</v>
      </c>
    </row>
    <row r="169" spans="9:40" ht="14.25">
      <c r="I169" t="s">
        <v>166</v>
      </c>
      <c r="J169" t="s">
        <v>249</v>
      </c>
      <c r="K169">
        <v>0.035115139093955187</v>
      </c>
      <c r="L169" t="s">
        <v>153</v>
      </c>
      <c r="N169" t="s">
        <v>176</v>
      </c>
      <c r="O169" t="s">
        <v>249</v>
      </c>
      <c r="P169">
        <v>0.019799791913824121</v>
      </c>
      <c r="Q169" t="s">
        <v>153</v>
      </c>
      <c r="AK169">
        <v>2042</v>
      </c>
      <c r="AL169" t="s">
        <v>216</v>
      </c>
      <c r="AM169">
        <v>0.36</v>
      </c>
      <c r="AN169" t="s">
        <v>195</v>
      </c>
    </row>
    <row r="170" spans="9:40" ht="14.25">
      <c r="I170" t="s">
        <v>166</v>
      </c>
      <c r="J170" t="s">
        <v>250</v>
      </c>
      <c r="K170">
        <v>0.0034125626747954661</v>
      </c>
      <c r="L170" t="s">
        <v>153</v>
      </c>
      <c r="N170" t="s">
        <v>176</v>
      </c>
      <c r="O170" t="s">
        <v>250</v>
      </c>
      <c r="P170">
        <v>0.0029986843812791087</v>
      </c>
      <c r="Q170" t="s">
        <v>153</v>
      </c>
      <c r="AK170">
        <v>2042</v>
      </c>
      <c r="AL170" t="s">
        <v>232</v>
      </c>
      <c r="AM170">
        <v>0.39432499999999998</v>
      </c>
      <c r="AN170" t="s">
        <v>195</v>
      </c>
    </row>
    <row r="171" spans="9:40" ht="14.25">
      <c r="I171" t="s">
        <v>166</v>
      </c>
      <c r="J171" t="s">
        <v>251</v>
      </c>
      <c r="K171">
        <v>0.0020145755331166019</v>
      </c>
      <c r="L171" t="s">
        <v>153</v>
      </c>
      <c r="N171" t="s">
        <v>176</v>
      </c>
      <c r="O171" t="s">
        <v>251</v>
      </c>
      <c r="P171">
        <v>0.003255826203125495</v>
      </c>
      <c r="Q171" t="s">
        <v>153</v>
      </c>
      <c r="AK171">
        <v>2042</v>
      </c>
      <c r="AL171" t="s">
        <v>233</v>
      </c>
      <c r="AM171">
        <v>0.34351428571428577</v>
      </c>
      <c r="AN171" t="s">
        <v>195</v>
      </c>
    </row>
    <row r="172" spans="9:40" ht="14.25">
      <c r="I172" t="s">
        <v>166</v>
      </c>
      <c r="J172" t="s">
        <v>252</v>
      </c>
      <c r="K172">
        <v>0</v>
      </c>
      <c r="L172" t="s">
        <v>153</v>
      </c>
      <c r="N172" t="s">
        <v>176</v>
      </c>
      <c r="O172" t="s">
        <v>252</v>
      </c>
      <c r="P172">
        <v>0.02219658576608818</v>
      </c>
      <c r="Q172" t="s">
        <v>153</v>
      </c>
      <c r="AK172">
        <v>2042</v>
      </c>
      <c r="AL172" t="s">
        <v>234</v>
      </c>
      <c r="AM172">
        <v>0.3019</v>
      </c>
      <c r="AN172" t="s">
        <v>195</v>
      </c>
    </row>
    <row r="173" spans="9:40" ht="14.25">
      <c r="I173" t="s">
        <v>167</v>
      </c>
      <c r="J173" t="s">
        <v>152</v>
      </c>
      <c r="K173">
        <v>0</v>
      </c>
      <c r="L173" t="s">
        <v>153</v>
      </c>
      <c r="N173" t="s">
        <v>177</v>
      </c>
      <c r="O173" t="s">
        <v>152</v>
      </c>
      <c r="P173">
        <v>0.0024642819257952812</v>
      </c>
      <c r="Q173" t="s">
        <v>153</v>
      </c>
      <c r="AK173">
        <v>2043</v>
      </c>
      <c r="AL173" t="s">
        <v>141</v>
      </c>
      <c r="AM173">
        <v>0.29010000000000002</v>
      </c>
      <c r="AN173" t="s">
        <v>195</v>
      </c>
    </row>
    <row r="174" spans="9:40" ht="14.25">
      <c r="I174" t="s">
        <v>167</v>
      </c>
      <c r="J174" t="s">
        <v>154</v>
      </c>
      <c r="K174">
        <v>0.00069150139217662881</v>
      </c>
      <c r="L174" t="s">
        <v>153</v>
      </c>
      <c r="N174" t="s">
        <v>177</v>
      </c>
      <c r="O174" t="s">
        <v>154</v>
      </c>
      <c r="P174">
        <v>0.00030896382505469187</v>
      </c>
      <c r="Q174" t="s">
        <v>153</v>
      </c>
      <c r="AK174">
        <v>2043</v>
      </c>
      <c r="AL174" t="s">
        <v>145</v>
      </c>
      <c r="AM174">
        <v>0.30680000000000002</v>
      </c>
      <c r="AN174" t="s">
        <v>195</v>
      </c>
    </row>
    <row r="175" spans="9:40" ht="14.25">
      <c r="I175" t="s">
        <v>167</v>
      </c>
      <c r="J175" t="s">
        <v>155</v>
      </c>
      <c r="K175">
        <v>0.012807700185566408</v>
      </c>
      <c r="L175" t="s">
        <v>153</v>
      </c>
      <c r="N175" t="s">
        <v>177</v>
      </c>
      <c r="O175" t="s">
        <v>155</v>
      </c>
      <c r="P175">
        <v>0.0030993931215933116</v>
      </c>
      <c r="Q175" t="s">
        <v>153</v>
      </c>
      <c r="AK175">
        <v>2043</v>
      </c>
      <c r="AL175" t="s">
        <v>147</v>
      </c>
      <c r="AM175">
        <v>0.32584999999999997</v>
      </c>
      <c r="AN175" t="s">
        <v>195</v>
      </c>
    </row>
    <row r="176" spans="9:40" ht="14.25">
      <c r="I176" t="s">
        <v>167</v>
      </c>
      <c r="J176" t="s">
        <v>200</v>
      </c>
      <c r="K176">
        <v>0.0013476523451734954</v>
      </c>
      <c r="L176" t="s">
        <v>153</v>
      </c>
      <c r="N176" t="s">
        <v>177</v>
      </c>
      <c r="O176" t="s">
        <v>200</v>
      </c>
      <c r="P176">
        <v>0.00062503764430562182</v>
      </c>
      <c r="Q176" t="s">
        <v>153</v>
      </c>
      <c r="AK176">
        <v>2043</v>
      </c>
      <c r="AL176" t="s">
        <v>149</v>
      </c>
      <c r="AM176">
        <v>0.32819999999999999</v>
      </c>
      <c r="AN176" t="s">
        <v>195</v>
      </c>
    </row>
    <row r="177" spans="9:40" ht="14.25">
      <c r="I177" t="s">
        <v>167</v>
      </c>
      <c r="J177" t="s">
        <v>201</v>
      </c>
      <c r="K177">
        <v>0.00074178097846597691</v>
      </c>
      <c r="L177" t="s">
        <v>153</v>
      </c>
      <c r="N177" t="s">
        <v>177</v>
      </c>
      <c r="O177" t="s">
        <v>201</v>
      </c>
      <c r="P177">
        <v>0.00053140388145060831</v>
      </c>
      <c r="Q177" t="s">
        <v>153</v>
      </c>
      <c r="AK177">
        <v>2043</v>
      </c>
      <c r="AL177" t="s">
        <v>198</v>
      </c>
      <c r="AM177">
        <v>0.32819999999999999</v>
      </c>
      <c r="AN177" t="s">
        <v>195</v>
      </c>
    </row>
    <row r="178" spans="9:40" ht="14.25">
      <c r="I178" t="s">
        <v>167</v>
      </c>
      <c r="J178" t="s">
        <v>218</v>
      </c>
      <c r="K178">
        <v>0</v>
      </c>
      <c r="L178" t="s">
        <v>153</v>
      </c>
      <c r="N178" t="s">
        <v>177</v>
      </c>
      <c r="O178" t="s">
        <v>218</v>
      </c>
      <c r="P178">
        <v>0.0025541484678246393</v>
      </c>
      <c r="Q178" t="s">
        <v>153</v>
      </c>
      <c r="AK178">
        <v>2043</v>
      </c>
      <c r="AL178" t="s">
        <v>216</v>
      </c>
      <c r="AM178">
        <v>0.32819999999999999</v>
      </c>
      <c r="AN178" t="s">
        <v>195</v>
      </c>
    </row>
    <row r="179" spans="9:40" ht="14.25">
      <c r="I179" t="s">
        <v>167</v>
      </c>
      <c r="J179" t="s">
        <v>156</v>
      </c>
      <c r="K179">
        <v>0</v>
      </c>
      <c r="L179" t="s">
        <v>153</v>
      </c>
      <c r="N179" t="s">
        <v>177</v>
      </c>
      <c r="O179" t="s">
        <v>156</v>
      </c>
      <c r="P179">
        <v>0.035097372627749292</v>
      </c>
      <c r="Q179" t="s">
        <v>153</v>
      </c>
      <c r="AK179">
        <v>2043</v>
      </c>
      <c r="AL179" t="s">
        <v>232</v>
      </c>
      <c r="AM179">
        <v>0.36940000000000001</v>
      </c>
      <c r="AN179" t="s">
        <v>195</v>
      </c>
    </row>
    <row r="180" spans="9:40" ht="14.25">
      <c r="I180" t="s">
        <v>167</v>
      </c>
      <c r="J180" t="s">
        <v>157</v>
      </c>
      <c r="K180">
        <v>0.0028697250980176882</v>
      </c>
      <c r="L180" t="s">
        <v>153</v>
      </c>
      <c r="N180" t="s">
        <v>177</v>
      </c>
      <c r="O180" t="s">
        <v>157</v>
      </c>
      <c r="P180">
        <v>0.0051667172188439858</v>
      </c>
      <c r="Q180" t="s">
        <v>153</v>
      </c>
      <c r="AK180">
        <v>2043</v>
      </c>
      <c r="AL180" t="s">
        <v>233</v>
      </c>
      <c r="AM180">
        <v>0.33372857142857143</v>
      </c>
      <c r="AN180" t="s">
        <v>195</v>
      </c>
    </row>
    <row r="181" spans="9:40" ht="14.25">
      <c r="I181" t="s">
        <v>167</v>
      </c>
      <c r="J181" t="s">
        <v>158</v>
      </c>
      <c r="K181">
        <v>0.0615214672662701</v>
      </c>
      <c r="L181" t="s">
        <v>153</v>
      </c>
      <c r="N181" t="s">
        <v>177</v>
      </c>
      <c r="O181" t="s">
        <v>158</v>
      </c>
      <c r="P181">
        <v>0.0380431801667587</v>
      </c>
      <c r="Q181" t="s">
        <v>153</v>
      </c>
      <c r="AK181">
        <v>2043</v>
      </c>
      <c r="AL181" t="s">
        <v>234</v>
      </c>
      <c r="AM181">
        <v>0.30049999999999999</v>
      </c>
      <c r="AN181" t="s">
        <v>195</v>
      </c>
    </row>
    <row r="182" spans="9:40" ht="14.25">
      <c r="I182" t="s">
        <v>167</v>
      </c>
      <c r="J182" t="s">
        <v>202</v>
      </c>
      <c r="K182">
        <v>0.0066995461422805613</v>
      </c>
      <c r="L182" t="s">
        <v>153</v>
      </c>
      <c r="N182" t="s">
        <v>177</v>
      </c>
      <c r="O182" t="s">
        <v>202</v>
      </c>
      <c r="P182">
        <v>0.0044676058762341802</v>
      </c>
      <c r="Q182" t="s">
        <v>153</v>
      </c>
      <c r="AK182">
        <v>2044</v>
      </c>
      <c r="AL182" t="s">
        <v>141</v>
      </c>
      <c r="AM182">
        <v>0.33079999999999998</v>
      </c>
      <c r="AN182" t="s">
        <v>195</v>
      </c>
    </row>
    <row r="183" spans="9:40" ht="14.25">
      <c r="I183" t="s">
        <v>167</v>
      </c>
      <c r="J183" t="s">
        <v>203</v>
      </c>
      <c r="K183">
        <v>0.0038871255655491838</v>
      </c>
      <c r="L183" t="s">
        <v>153</v>
      </c>
      <c r="N183" t="s">
        <v>177</v>
      </c>
      <c r="O183" t="s">
        <v>203</v>
      </c>
      <c r="P183">
        <v>0.0045342428127351109</v>
      </c>
      <c r="Q183" t="s">
        <v>153</v>
      </c>
      <c r="AK183">
        <v>2044</v>
      </c>
      <c r="AL183" t="s">
        <v>145</v>
      </c>
      <c r="AM183">
        <v>0.32669999999999999</v>
      </c>
      <c r="AN183" t="s">
        <v>195</v>
      </c>
    </row>
    <row r="184" spans="9:40" ht="14.25">
      <c r="I184" t="s">
        <v>167</v>
      </c>
      <c r="J184" t="s">
        <v>219</v>
      </c>
      <c r="K184">
        <v>0</v>
      </c>
      <c r="L184" t="s">
        <v>153</v>
      </c>
      <c r="N184" t="s">
        <v>177</v>
      </c>
      <c r="O184" t="s">
        <v>219</v>
      </c>
      <c r="P184">
        <v>0.02744552089452966</v>
      </c>
      <c r="Q184" t="s">
        <v>153</v>
      </c>
      <c r="AK184">
        <v>2044</v>
      </c>
      <c r="AL184" t="s">
        <v>147</v>
      </c>
      <c r="AM184">
        <v>0.37060000000000004</v>
      </c>
      <c r="AN184" t="s">
        <v>195</v>
      </c>
    </row>
    <row r="185" spans="9:40" ht="14.25">
      <c r="I185" t="s">
        <v>167</v>
      </c>
      <c r="J185" t="s">
        <v>159</v>
      </c>
      <c r="K185">
        <v>0</v>
      </c>
      <c r="L185" t="s">
        <v>153</v>
      </c>
      <c r="N185" t="s">
        <v>177</v>
      </c>
      <c r="O185" t="s">
        <v>159</v>
      </c>
      <c r="P185">
        <v>0.015898048277601124</v>
      </c>
      <c r="Q185" t="s">
        <v>153</v>
      </c>
      <c r="AK185">
        <v>2044</v>
      </c>
      <c r="AL185" t="s">
        <v>149</v>
      </c>
      <c r="AM185">
        <v>0.41860000000000003</v>
      </c>
      <c r="AN185" t="s">
        <v>195</v>
      </c>
    </row>
    <row r="186" spans="9:40" ht="14.25">
      <c r="I186" t="s">
        <v>167</v>
      </c>
      <c r="J186" t="s">
        <v>160</v>
      </c>
      <c r="K186">
        <v>0.0032434471054709987</v>
      </c>
      <c r="L186" t="s">
        <v>153</v>
      </c>
      <c r="N186" t="s">
        <v>177</v>
      </c>
      <c r="O186" t="s">
        <v>160</v>
      </c>
      <c r="P186">
        <v>0.0023342079483188692</v>
      </c>
      <c r="Q186" t="s">
        <v>153</v>
      </c>
      <c r="AK186">
        <v>2044</v>
      </c>
      <c r="AL186" t="s">
        <v>198</v>
      </c>
      <c r="AM186">
        <v>0.41860000000000003</v>
      </c>
      <c r="AN186" t="s">
        <v>195</v>
      </c>
    </row>
    <row r="187" spans="9:40" ht="14.25">
      <c r="I187" t="s">
        <v>167</v>
      </c>
      <c r="J187" t="s">
        <v>161</v>
      </c>
      <c r="K187">
        <v>0.067567998971594725</v>
      </c>
      <c r="L187" t="s">
        <v>153</v>
      </c>
      <c r="N187" t="s">
        <v>177</v>
      </c>
      <c r="O187" t="s">
        <v>161</v>
      </c>
      <c r="P187">
        <v>0.018753439884411135</v>
      </c>
      <c r="Q187" t="s">
        <v>153</v>
      </c>
      <c r="AK187">
        <v>2044</v>
      </c>
      <c r="AL187" t="s">
        <v>216</v>
      </c>
      <c r="AM187">
        <v>0.41860000000000003</v>
      </c>
      <c r="AN187" t="s">
        <v>195</v>
      </c>
    </row>
    <row r="188" spans="9:40" ht="14.25">
      <c r="I188" t="s">
        <v>167</v>
      </c>
      <c r="J188" t="s">
        <v>204</v>
      </c>
      <c r="K188">
        <v>0.0076882275976079386</v>
      </c>
      <c r="L188" t="s">
        <v>153</v>
      </c>
      <c r="N188" t="s">
        <v>177</v>
      </c>
      <c r="O188" t="s">
        <v>204</v>
      </c>
      <c r="P188">
        <v>0.0022840849933535869</v>
      </c>
      <c r="Q188" t="s">
        <v>153</v>
      </c>
      <c r="AK188">
        <v>2044</v>
      </c>
      <c r="AL188" t="s">
        <v>232</v>
      </c>
      <c r="AM188">
        <v>0.45490000000000003</v>
      </c>
      <c r="AN188" t="s">
        <v>195</v>
      </c>
    </row>
    <row r="189" spans="9:40" ht="14.25">
      <c r="I189" t="s">
        <v>167</v>
      </c>
      <c r="J189" t="s">
        <v>205</v>
      </c>
      <c r="K189">
        <v>0.0050277609984131647</v>
      </c>
      <c r="L189" t="s">
        <v>153</v>
      </c>
      <c r="N189" t="s">
        <v>177</v>
      </c>
      <c r="O189" t="s">
        <v>205</v>
      </c>
      <c r="P189">
        <v>0.0024305561757089985</v>
      </c>
      <c r="Q189" t="s">
        <v>153</v>
      </c>
      <c r="AK189">
        <v>2044</v>
      </c>
      <c r="AL189" t="s">
        <v>233</v>
      </c>
      <c r="AM189">
        <v>0.38919999999999993</v>
      </c>
      <c r="AN189" t="s">
        <v>195</v>
      </c>
    </row>
    <row r="190" spans="9:40" ht="14.25">
      <c r="I190" t="s">
        <v>167</v>
      </c>
      <c r="J190" t="s">
        <v>220</v>
      </c>
      <c r="K190">
        <v>0</v>
      </c>
      <c r="L190" t="s">
        <v>153</v>
      </c>
      <c r="N190" t="s">
        <v>177</v>
      </c>
      <c r="O190" t="s">
        <v>220</v>
      </c>
      <c r="P190">
        <v>0.016065577624729599</v>
      </c>
      <c r="Q190" t="s">
        <v>153</v>
      </c>
      <c r="AK190">
        <v>2044</v>
      </c>
      <c r="AL190" t="s">
        <v>234</v>
      </c>
      <c r="AM190">
        <v>0.32669999999999999</v>
      </c>
      <c r="AN190" t="s">
        <v>195</v>
      </c>
    </row>
    <row r="191" spans="9:40" ht="14.25">
      <c r="I191" t="s">
        <v>167</v>
      </c>
      <c r="J191" t="s">
        <v>162</v>
      </c>
      <c r="K191">
        <v>0</v>
      </c>
      <c r="L191" t="s">
        <v>153</v>
      </c>
      <c r="N191" t="s">
        <v>177</v>
      </c>
      <c r="O191" t="s">
        <v>162</v>
      </c>
      <c r="P191">
        <v>0.0083136477972953361</v>
      </c>
      <c r="Q191" t="s">
        <v>153</v>
      </c>
      <c r="AK191">
        <v>2045</v>
      </c>
      <c r="AL191" t="s">
        <v>141</v>
      </c>
      <c r="AM191">
        <v>0.38329999999999997</v>
      </c>
      <c r="AN191" t="s">
        <v>195</v>
      </c>
    </row>
    <row r="192" spans="9:40" ht="14.25">
      <c r="I192" t="s">
        <v>167</v>
      </c>
      <c r="J192" t="s">
        <v>163</v>
      </c>
      <c r="K192">
        <v>0.00066632525588037022</v>
      </c>
      <c r="L192" t="s">
        <v>153</v>
      </c>
      <c r="N192" t="s">
        <v>177</v>
      </c>
      <c r="O192" t="s">
        <v>163</v>
      </c>
      <c r="P192">
        <v>0.0010056575717980929</v>
      </c>
      <c r="Q192" t="s">
        <v>153</v>
      </c>
      <c r="AK192">
        <v>2045</v>
      </c>
      <c r="AL192" t="s">
        <v>145</v>
      </c>
      <c r="AM192">
        <v>0.3876</v>
      </c>
      <c r="AN192" t="s">
        <v>195</v>
      </c>
    </row>
    <row r="193" spans="9:40" ht="14.25">
      <c r="I193" t="s">
        <v>167</v>
      </c>
      <c r="J193" t="s">
        <v>164</v>
      </c>
      <c r="K193">
        <v>0.011911487734898203</v>
      </c>
      <c r="L193" t="s">
        <v>153</v>
      </c>
      <c r="N193" t="s">
        <v>177</v>
      </c>
      <c r="O193" t="s">
        <v>164</v>
      </c>
      <c r="P193">
        <v>0.0077885039631903127</v>
      </c>
      <c r="Q193" t="s">
        <v>153</v>
      </c>
      <c r="AK193">
        <v>2045</v>
      </c>
      <c r="AL193" t="s">
        <v>147</v>
      </c>
      <c r="AM193">
        <v>0.39700000000000002</v>
      </c>
      <c r="AN193" t="s">
        <v>195</v>
      </c>
    </row>
    <row r="194" spans="9:40" ht="14.25">
      <c r="I194" t="s">
        <v>167</v>
      </c>
      <c r="J194" t="s">
        <v>206</v>
      </c>
      <c r="K194">
        <v>0.0012603276483127072</v>
      </c>
      <c r="L194" t="s">
        <v>153</v>
      </c>
      <c r="N194" t="s">
        <v>177</v>
      </c>
      <c r="O194" t="s">
        <v>206</v>
      </c>
      <c r="P194">
        <v>0.00089718128610735638</v>
      </c>
      <c r="Q194" t="s">
        <v>153</v>
      </c>
      <c r="AK194">
        <v>2045</v>
      </c>
      <c r="AL194" t="s">
        <v>149</v>
      </c>
      <c r="AM194">
        <v>0.40210000000000001</v>
      </c>
      <c r="AN194" t="s">
        <v>195</v>
      </c>
    </row>
    <row r="195" spans="9:40" ht="14.25">
      <c r="I195" t="s">
        <v>167</v>
      </c>
      <c r="J195" t="s">
        <v>207</v>
      </c>
      <c r="K195">
        <v>0.00086868461557812861</v>
      </c>
      <c r="L195" t="s">
        <v>153</v>
      </c>
      <c r="N195" t="s">
        <v>177</v>
      </c>
      <c r="O195" t="s">
        <v>207</v>
      </c>
      <c r="P195">
        <v>0.00081266924693798614</v>
      </c>
      <c r="Q195" t="s">
        <v>153</v>
      </c>
      <c r="AK195">
        <v>2045</v>
      </c>
      <c r="AL195" t="s">
        <v>198</v>
      </c>
      <c r="AM195">
        <v>0.40210000000000001</v>
      </c>
      <c r="AN195" t="s">
        <v>195</v>
      </c>
    </row>
    <row r="196" spans="9:40" ht="14.25">
      <c r="I196" t="s">
        <v>167</v>
      </c>
      <c r="J196" t="s">
        <v>221</v>
      </c>
      <c r="K196">
        <v>1.2405347262786679E-05</v>
      </c>
      <c r="L196" t="s">
        <v>153</v>
      </c>
      <c r="N196" t="s">
        <v>177</v>
      </c>
      <c r="O196" t="s">
        <v>221</v>
      </c>
      <c r="P196">
        <v>0.0050804646556730669</v>
      </c>
      <c r="Q196" t="s">
        <v>153</v>
      </c>
      <c r="AK196">
        <v>2045</v>
      </c>
      <c r="AL196" t="s">
        <v>216</v>
      </c>
      <c r="AM196">
        <v>0.40210000000000001</v>
      </c>
      <c r="AN196" t="s">
        <v>195</v>
      </c>
    </row>
    <row r="197" spans="9:40" ht="14.25">
      <c r="I197" t="s">
        <v>167</v>
      </c>
      <c r="J197" t="s">
        <v>208</v>
      </c>
      <c r="K197">
        <v>0</v>
      </c>
      <c r="L197" t="s">
        <v>153</v>
      </c>
      <c r="N197" t="s">
        <v>177</v>
      </c>
      <c r="O197" t="s">
        <v>208</v>
      </c>
      <c r="P197">
        <v>0.011266868952170536</v>
      </c>
      <c r="Q197" t="s">
        <v>153</v>
      </c>
      <c r="AK197">
        <v>2045</v>
      </c>
      <c r="AL197" t="s">
        <v>232</v>
      </c>
      <c r="AM197">
        <v>0.45332500000000003</v>
      </c>
      <c r="AN197" t="s">
        <v>195</v>
      </c>
    </row>
    <row r="198" spans="9:40" ht="14.25">
      <c r="I198" t="s">
        <v>167</v>
      </c>
      <c r="J198" t="s">
        <v>209</v>
      </c>
      <c r="K198">
        <v>0.0014195459202520795</v>
      </c>
      <c r="L198" t="s">
        <v>153</v>
      </c>
      <c r="N198" t="s">
        <v>177</v>
      </c>
      <c r="O198" t="s">
        <v>209</v>
      </c>
      <c r="P198">
        <v>0.0018200770244120533</v>
      </c>
      <c r="Q198" t="s">
        <v>153</v>
      </c>
      <c r="AK198">
        <v>2045</v>
      </c>
      <c r="AL198" t="s">
        <v>233</v>
      </c>
      <c r="AM198">
        <v>0.39807142857142852</v>
      </c>
      <c r="AN198" t="s">
        <v>195</v>
      </c>
    </row>
    <row r="199" spans="9:40" ht="14.25">
      <c r="I199" t="s">
        <v>167</v>
      </c>
      <c r="J199" t="s">
        <v>210</v>
      </c>
      <c r="K199">
        <v>0.024236169828347209</v>
      </c>
      <c r="L199" t="s">
        <v>153</v>
      </c>
      <c r="N199" t="s">
        <v>177</v>
      </c>
      <c r="O199" t="s">
        <v>210</v>
      </c>
      <c r="P199">
        <v>0.011909964927267345</v>
      </c>
      <c r="Q199" t="s">
        <v>153</v>
      </c>
      <c r="AK199">
        <v>2045</v>
      </c>
      <c r="AL199" t="s">
        <v>234</v>
      </c>
      <c r="AM199">
        <v>0.37159999999999999</v>
      </c>
      <c r="AN199" t="s">
        <v>195</v>
      </c>
    </row>
    <row r="200" spans="9:40" ht="14.25">
      <c r="I200" t="s">
        <v>167</v>
      </c>
      <c r="J200" t="s">
        <v>211</v>
      </c>
      <c r="K200">
        <v>0.0026334502876725497</v>
      </c>
      <c r="L200" t="s">
        <v>153</v>
      </c>
      <c r="N200" t="s">
        <v>177</v>
      </c>
      <c r="O200" t="s">
        <v>211</v>
      </c>
      <c r="P200">
        <v>0.0017062544285329042</v>
      </c>
      <c r="Q200" t="s">
        <v>153</v>
      </c>
      <c r="AK200">
        <v>2046</v>
      </c>
      <c r="AL200" t="s">
        <v>141</v>
      </c>
      <c r="AM200">
        <v>0.33639999999999998</v>
      </c>
      <c r="AN200" t="s">
        <v>195</v>
      </c>
    </row>
    <row r="201" spans="9:40" ht="14.25">
      <c r="I201" t="s">
        <v>167</v>
      </c>
      <c r="J201" t="s">
        <v>212</v>
      </c>
      <c r="K201">
        <v>0.0018045942173520397</v>
      </c>
      <c r="L201" t="s">
        <v>153</v>
      </c>
      <c r="N201" t="s">
        <v>177</v>
      </c>
      <c r="O201" t="s">
        <v>212</v>
      </c>
      <c r="P201">
        <v>0.0017717596803975407</v>
      </c>
      <c r="Q201" t="s">
        <v>153</v>
      </c>
      <c r="AK201">
        <v>2046</v>
      </c>
      <c r="AL201" t="s">
        <v>145</v>
      </c>
      <c r="AM201">
        <v>0.34104999999999996</v>
      </c>
      <c r="AN201" t="s">
        <v>195</v>
      </c>
    </row>
    <row r="202" spans="9:40" ht="14.25">
      <c r="I202" t="s">
        <v>167</v>
      </c>
      <c r="J202" t="s">
        <v>222</v>
      </c>
      <c r="K202">
        <v>0.00054377702683338334</v>
      </c>
      <c r="L202" t="s">
        <v>153</v>
      </c>
      <c r="N202" t="s">
        <v>177</v>
      </c>
      <c r="O202" t="s">
        <v>222</v>
      </c>
      <c r="P202">
        <v>0.010688870153501062</v>
      </c>
      <c r="Q202" t="s">
        <v>153</v>
      </c>
      <c r="AK202">
        <v>2046</v>
      </c>
      <c r="AL202" t="s">
        <v>147</v>
      </c>
      <c r="AM202">
        <v>0.36299999999999999</v>
      </c>
      <c r="AN202" t="s">
        <v>195</v>
      </c>
    </row>
    <row r="203" spans="9:40" ht="14.25">
      <c r="I203" t="s">
        <v>167</v>
      </c>
      <c r="J203" t="s">
        <v>223</v>
      </c>
      <c r="K203">
        <v>0</v>
      </c>
      <c r="L203" t="s">
        <v>153</v>
      </c>
      <c r="N203" t="s">
        <v>177</v>
      </c>
      <c r="O203" t="s">
        <v>223</v>
      </c>
      <c r="P203">
        <v>0.0025391533755643233</v>
      </c>
      <c r="Q203" t="s">
        <v>153</v>
      </c>
      <c r="AK203">
        <v>2046</v>
      </c>
      <c r="AL203" t="s">
        <v>149</v>
      </c>
      <c r="AM203">
        <v>0.38030000000000003</v>
      </c>
      <c r="AN203" t="s">
        <v>195</v>
      </c>
    </row>
    <row r="204" spans="9:40" ht="14.25">
      <c r="I204" t="s">
        <v>167</v>
      </c>
      <c r="J204" t="s">
        <v>224</v>
      </c>
      <c r="K204">
        <v>0.00045967684715852856</v>
      </c>
      <c r="L204" t="s">
        <v>153</v>
      </c>
      <c r="N204" t="s">
        <v>177</v>
      </c>
      <c r="O204" t="s">
        <v>224</v>
      </c>
      <c r="P204">
        <v>0.00024925287259153244</v>
      </c>
      <c r="Q204" t="s">
        <v>153</v>
      </c>
      <c r="AK204">
        <v>2046</v>
      </c>
      <c r="AL204" t="s">
        <v>198</v>
      </c>
      <c r="AM204">
        <v>0.38030000000000003</v>
      </c>
      <c r="AN204" t="s">
        <v>195</v>
      </c>
    </row>
    <row r="205" spans="9:40" ht="14.25">
      <c r="I205" t="s">
        <v>167</v>
      </c>
      <c r="J205" t="s">
        <v>225</v>
      </c>
      <c r="K205">
        <v>0.0093738677800163633</v>
      </c>
      <c r="L205" t="s">
        <v>153</v>
      </c>
      <c r="N205" t="s">
        <v>177</v>
      </c>
      <c r="O205" t="s">
        <v>225</v>
      </c>
      <c r="P205">
        <v>0.003344427614892309</v>
      </c>
      <c r="Q205" t="s">
        <v>153</v>
      </c>
      <c r="AK205">
        <v>2046</v>
      </c>
      <c r="AL205" t="s">
        <v>216</v>
      </c>
      <c r="AM205">
        <v>0.38030000000000003</v>
      </c>
      <c r="AN205" t="s">
        <v>195</v>
      </c>
    </row>
    <row r="206" spans="9:40" ht="14.25">
      <c r="I206" t="s">
        <v>167</v>
      </c>
      <c r="J206" t="s">
        <v>226</v>
      </c>
      <c r="K206">
        <v>0.0010285050207132147</v>
      </c>
      <c r="L206" t="s">
        <v>153</v>
      </c>
      <c r="N206" t="s">
        <v>177</v>
      </c>
      <c r="O206" t="s">
        <v>226</v>
      </c>
      <c r="P206">
        <v>0.00075724913691743267</v>
      </c>
      <c r="Q206" t="s">
        <v>153</v>
      </c>
      <c r="AK206">
        <v>2046</v>
      </c>
      <c r="AL206" t="s">
        <v>232</v>
      </c>
      <c r="AM206">
        <v>0.43419999999999997</v>
      </c>
      <c r="AN206" t="s">
        <v>195</v>
      </c>
    </row>
    <row r="207" spans="9:40" ht="14.25">
      <c r="I207" t="s">
        <v>167</v>
      </c>
      <c r="J207" t="s">
        <v>227</v>
      </c>
      <c r="K207">
        <v>0.00075720951313434611</v>
      </c>
      <c r="L207" t="s">
        <v>153</v>
      </c>
      <c r="N207" t="s">
        <v>177</v>
      </c>
      <c r="O207" t="s">
        <v>227</v>
      </c>
      <c r="P207">
        <v>0.00075823416592980743</v>
      </c>
      <c r="Q207" t="s">
        <v>153</v>
      </c>
      <c r="AK207">
        <v>2046</v>
      </c>
      <c r="AL207" t="s">
        <v>233</v>
      </c>
      <c r="AM207">
        <v>0.39972857142857138</v>
      </c>
      <c r="AN207" t="s">
        <v>195</v>
      </c>
    </row>
    <row r="208" spans="9:40" ht="14.25">
      <c r="I208" t="s">
        <v>167</v>
      </c>
      <c r="J208" t="s">
        <v>228</v>
      </c>
      <c r="K208">
        <v>0.00039471332728498366</v>
      </c>
      <c r="L208" t="s">
        <v>153</v>
      </c>
      <c r="N208" t="s">
        <v>177</v>
      </c>
      <c r="O208" t="s">
        <v>228</v>
      </c>
      <c r="P208">
        <v>0.0024153885327925593</v>
      </c>
      <c r="Q208" t="s">
        <v>153</v>
      </c>
      <c r="AK208">
        <v>2046</v>
      </c>
      <c r="AL208" t="s">
        <v>234</v>
      </c>
      <c r="AM208">
        <v>0.38229999999999997</v>
      </c>
      <c r="AN208" t="s">
        <v>195</v>
      </c>
    </row>
    <row r="209" spans="9:40" ht="14.25">
      <c r="I209" t="s">
        <v>167</v>
      </c>
      <c r="J209" t="s">
        <v>235</v>
      </c>
      <c r="K209">
        <v>0.005747999883017497</v>
      </c>
      <c r="L209" t="s">
        <v>153</v>
      </c>
      <c r="N209" t="s">
        <v>177</v>
      </c>
      <c r="O209" t="s">
        <v>235</v>
      </c>
      <c r="P209">
        <v>0.052019544857948637</v>
      </c>
      <c r="Q209" t="s">
        <v>153</v>
      </c>
      <c r="AK209">
        <v>2047</v>
      </c>
      <c r="AL209" t="s">
        <v>141</v>
      </c>
      <c r="AM209">
        <v>0.34370000000000001</v>
      </c>
      <c r="AN209" t="s">
        <v>195</v>
      </c>
    </row>
    <row r="210" spans="9:40" ht="14.25">
      <c r="I210" t="s">
        <v>167</v>
      </c>
      <c r="J210" t="s">
        <v>236</v>
      </c>
      <c r="K210">
        <v>0.01279956200629623</v>
      </c>
      <c r="L210" t="s">
        <v>153</v>
      </c>
      <c r="N210" t="s">
        <v>177</v>
      </c>
      <c r="O210" t="s">
        <v>236</v>
      </c>
      <c r="P210">
        <v>0.0072578144770788873</v>
      </c>
      <c r="Q210" t="s">
        <v>153</v>
      </c>
      <c r="AK210">
        <v>2047</v>
      </c>
      <c r="AL210" t="s">
        <v>145</v>
      </c>
      <c r="AM210">
        <v>0.36030000000000001</v>
      </c>
      <c r="AN210" t="s">
        <v>195</v>
      </c>
    </row>
    <row r="211" spans="9:40" ht="14.25">
      <c r="I211" t="s">
        <v>167</v>
      </c>
      <c r="J211" t="s">
        <v>237</v>
      </c>
      <c r="K211">
        <v>0.16391141780529603</v>
      </c>
      <c r="L211" t="s">
        <v>153</v>
      </c>
      <c r="N211" t="s">
        <v>177</v>
      </c>
      <c r="O211" t="s">
        <v>237</v>
      </c>
      <c r="P211">
        <v>0.072550460031910097</v>
      </c>
      <c r="Q211" t="s">
        <v>153</v>
      </c>
      <c r="AK211">
        <v>2047</v>
      </c>
      <c r="AL211" t="s">
        <v>147</v>
      </c>
      <c r="AM211">
        <v>0.379</v>
      </c>
      <c r="AN211" t="s">
        <v>195</v>
      </c>
    </row>
    <row r="212" spans="9:40" ht="14.25">
      <c r="I212" t="s">
        <v>167</v>
      </c>
      <c r="J212" t="s">
        <v>238</v>
      </c>
      <c r="K212">
        <v>0.01683713426027961</v>
      </c>
      <c r="L212" t="s">
        <v>153</v>
      </c>
      <c r="N212" t="s">
        <v>177</v>
      </c>
      <c r="O212" t="s">
        <v>238</v>
      </c>
      <c r="P212">
        <v>0.013073290094667105</v>
      </c>
      <c r="Q212" t="s">
        <v>153</v>
      </c>
      <c r="AK212">
        <v>2047</v>
      </c>
      <c r="AL212" t="s">
        <v>149</v>
      </c>
      <c r="AM212">
        <v>0.38109999999999999</v>
      </c>
      <c r="AN212" t="s">
        <v>195</v>
      </c>
    </row>
    <row r="213" spans="9:40" ht="14.25">
      <c r="I213" t="s">
        <v>167</v>
      </c>
      <c r="J213" t="s">
        <v>239</v>
      </c>
      <c r="K213">
        <v>0.012104322279390206</v>
      </c>
      <c r="L213" t="s">
        <v>153</v>
      </c>
      <c r="N213" t="s">
        <v>177</v>
      </c>
      <c r="O213" t="s">
        <v>239</v>
      </c>
      <c r="P213">
        <v>0.012577878292189886</v>
      </c>
      <c r="Q213" t="s">
        <v>153</v>
      </c>
      <c r="AK213">
        <v>2047</v>
      </c>
      <c r="AL213" t="s">
        <v>198</v>
      </c>
      <c r="AM213">
        <v>0.38109999999999999</v>
      </c>
      <c r="AN213" t="s">
        <v>195</v>
      </c>
    </row>
    <row r="214" spans="9:40" ht="14.25">
      <c r="I214" t="s">
        <v>167</v>
      </c>
      <c r="J214" t="s">
        <v>240</v>
      </c>
      <c r="K214">
        <v>0.0055047371101213747</v>
      </c>
      <c r="L214" t="s">
        <v>153</v>
      </c>
      <c r="N214" t="s">
        <v>177</v>
      </c>
      <c r="O214" t="s">
        <v>240</v>
      </c>
      <c r="P214">
        <v>0.054581792177935039</v>
      </c>
      <c r="Q214" t="s">
        <v>153</v>
      </c>
      <c r="AK214">
        <v>2047</v>
      </c>
      <c r="AL214" t="s">
        <v>216</v>
      </c>
      <c r="AM214">
        <v>0.38109999999999999</v>
      </c>
      <c r="AN214" t="s">
        <v>195</v>
      </c>
    </row>
    <row r="215" spans="9:40" ht="14.25">
      <c r="I215" t="s">
        <v>167</v>
      </c>
      <c r="J215" t="s">
        <v>241</v>
      </c>
      <c r="K215">
        <v>0.0064030555716865839</v>
      </c>
      <c r="L215" t="s">
        <v>153</v>
      </c>
      <c r="N215" t="s">
        <v>177</v>
      </c>
      <c r="O215" t="s">
        <v>241</v>
      </c>
      <c r="P215">
        <v>0.10916869870592498</v>
      </c>
      <c r="Q215" t="s">
        <v>153</v>
      </c>
      <c r="AK215">
        <v>2047</v>
      </c>
      <c r="AL215" t="s">
        <v>232</v>
      </c>
      <c r="AM215">
        <v>0.428125</v>
      </c>
      <c r="AN215" t="s">
        <v>195</v>
      </c>
    </row>
    <row r="216" spans="9:40" ht="14.25">
      <c r="I216" t="s">
        <v>167</v>
      </c>
      <c r="J216" t="s">
        <v>242</v>
      </c>
      <c r="K216">
        <v>0.027353995555494254</v>
      </c>
      <c r="L216" t="s">
        <v>153</v>
      </c>
      <c r="N216" t="s">
        <v>177</v>
      </c>
      <c r="O216" t="s">
        <v>242</v>
      </c>
      <c r="P216">
        <v>0.015686746908631834</v>
      </c>
      <c r="Q216" t="s">
        <v>153</v>
      </c>
      <c r="AK216">
        <v>2047</v>
      </c>
      <c r="AL216" t="s">
        <v>233</v>
      </c>
      <c r="AM216">
        <v>0.39322857142857143</v>
      </c>
      <c r="AN216" t="s">
        <v>195</v>
      </c>
    </row>
    <row r="217" spans="9:40" ht="14.25">
      <c r="I217" t="s">
        <v>167</v>
      </c>
      <c r="J217" t="s">
        <v>243</v>
      </c>
      <c r="K217">
        <v>0.40726283329601853</v>
      </c>
      <c r="L217" t="s">
        <v>153</v>
      </c>
      <c r="N217" t="s">
        <v>177</v>
      </c>
      <c r="O217" t="s">
        <v>243</v>
      </c>
      <c r="P217">
        <v>0.1569524785293285</v>
      </c>
      <c r="Q217" t="s">
        <v>153</v>
      </c>
      <c r="AK217">
        <v>2047</v>
      </c>
      <c r="AL217" t="s">
        <v>234</v>
      </c>
      <c r="AM217">
        <v>0.3468</v>
      </c>
      <c r="AN217" t="s">
        <v>195</v>
      </c>
    </row>
    <row r="218" spans="9:40" ht="14.25">
      <c r="I218" t="s">
        <v>167</v>
      </c>
      <c r="J218" t="s">
        <v>244</v>
      </c>
      <c r="K218">
        <v>0.038299897012525362</v>
      </c>
      <c r="L218" t="s">
        <v>153</v>
      </c>
      <c r="N218" t="s">
        <v>177</v>
      </c>
      <c r="O218" t="s">
        <v>244</v>
      </c>
      <c r="P218">
        <v>0.029348592845586857</v>
      </c>
      <c r="Q218" t="s">
        <v>153</v>
      </c>
      <c r="AK218">
        <v>2048</v>
      </c>
      <c r="AL218" t="s">
        <v>141</v>
      </c>
      <c r="AM218">
        <v>0.3377</v>
      </c>
      <c r="AN218" t="s">
        <v>195</v>
      </c>
    </row>
    <row r="219" spans="9:40" ht="14.25">
      <c r="I219" t="s">
        <v>167</v>
      </c>
      <c r="J219" t="s">
        <v>245</v>
      </c>
      <c r="K219">
        <v>0.024209305739690663</v>
      </c>
      <c r="L219" t="s">
        <v>153</v>
      </c>
      <c r="N219" t="s">
        <v>177</v>
      </c>
      <c r="O219" t="s">
        <v>245</v>
      </c>
      <c r="P219">
        <v>0.029511999361862641</v>
      </c>
      <c r="Q219" t="s">
        <v>153</v>
      </c>
      <c r="AK219">
        <v>2048</v>
      </c>
      <c r="AL219" t="s">
        <v>145</v>
      </c>
      <c r="AM219">
        <v>0.34720000000000001</v>
      </c>
      <c r="AN219" t="s">
        <v>195</v>
      </c>
    </row>
    <row r="220" spans="9:40" ht="14.25">
      <c r="I220" t="s">
        <v>167</v>
      </c>
      <c r="J220" t="s">
        <v>246</v>
      </c>
      <c r="K220">
        <v>0.0049704932341134911</v>
      </c>
      <c r="L220" t="s">
        <v>153</v>
      </c>
      <c r="N220" t="s">
        <v>177</v>
      </c>
      <c r="O220" t="s">
        <v>246</v>
      </c>
      <c r="P220">
        <v>0.12066275485575798</v>
      </c>
      <c r="Q220" t="s">
        <v>153</v>
      </c>
      <c r="AK220">
        <v>2048</v>
      </c>
      <c r="AL220" t="s">
        <v>147</v>
      </c>
      <c r="AM220">
        <v>0.37065000000000003</v>
      </c>
      <c r="AN220" t="s">
        <v>195</v>
      </c>
    </row>
    <row r="221" spans="9:40" ht="14.25">
      <c r="I221" t="s">
        <v>167</v>
      </c>
      <c r="J221" t="s">
        <v>247</v>
      </c>
      <c r="K221">
        <v>0</v>
      </c>
      <c r="L221" t="s">
        <v>153</v>
      </c>
      <c r="N221" t="s">
        <v>177</v>
      </c>
      <c r="O221" t="s">
        <v>247</v>
      </c>
      <c r="P221">
        <v>0.018834538551533286</v>
      </c>
      <c r="Q221" t="s">
        <v>153</v>
      </c>
      <c r="AK221">
        <v>2048</v>
      </c>
      <c r="AL221" t="s">
        <v>149</v>
      </c>
      <c r="AM221">
        <v>0.3846</v>
      </c>
      <c r="AN221" t="s">
        <v>195</v>
      </c>
    </row>
    <row r="222" spans="9:40" ht="14.25">
      <c r="I222" t="s">
        <v>167</v>
      </c>
      <c r="J222" t="s">
        <v>248</v>
      </c>
      <c r="K222">
        <v>0.001841394352940695</v>
      </c>
      <c r="L222" t="s">
        <v>153</v>
      </c>
      <c r="N222" t="s">
        <v>177</v>
      </c>
      <c r="O222" t="s">
        <v>248</v>
      </c>
      <c r="P222">
        <v>0.0027023446660737536</v>
      </c>
      <c r="Q222" t="s">
        <v>153</v>
      </c>
      <c r="AK222">
        <v>2048</v>
      </c>
      <c r="AL222" t="s">
        <v>198</v>
      </c>
      <c r="AM222">
        <v>0.3846</v>
      </c>
      <c r="AN222" t="s">
        <v>195</v>
      </c>
    </row>
    <row r="223" spans="9:40" ht="14.25">
      <c r="I223" t="s">
        <v>167</v>
      </c>
      <c r="J223" t="s">
        <v>249</v>
      </c>
      <c r="K223">
        <v>0.035565636175364831</v>
      </c>
      <c r="L223" t="s">
        <v>153</v>
      </c>
      <c r="N223" t="s">
        <v>177</v>
      </c>
      <c r="O223" t="s">
        <v>249</v>
      </c>
      <c r="P223">
        <v>0.024893678919961807</v>
      </c>
      <c r="Q223" t="s">
        <v>153</v>
      </c>
      <c r="AK223">
        <v>2048</v>
      </c>
      <c r="AL223" t="s">
        <v>216</v>
      </c>
      <c r="AM223">
        <v>0.3846</v>
      </c>
      <c r="AN223" t="s">
        <v>195</v>
      </c>
    </row>
    <row r="224" spans="9:40" ht="14.25">
      <c r="I224" t="s">
        <v>167</v>
      </c>
      <c r="J224" t="s">
        <v>250</v>
      </c>
      <c r="K224">
        <v>0.0036496639993476325</v>
      </c>
      <c r="L224" t="s">
        <v>153</v>
      </c>
      <c r="N224" t="s">
        <v>177</v>
      </c>
      <c r="O224" t="s">
        <v>250</v>
      </c>
      <c r="P224">
        <v>0.0035967727979777423</v>
      </c>
      <c r="Q224" t="s">
        <v>153</v>
      </c>
      <c r="AK224">
        <v>2048</v>
      </c>
      <c r="AL224" t="s">
        <v>232</v>
      </c>
      <c r="AM224">
        <v>0.441</v>
      </c>
      <c r="AN224" t="s">
        <v>195</v>
      </c>
    </row>
    <row r="225" spans="9:40" ht="14.25">
      <c r="I225" t="s">
        <v>167</v>
      </c>
      <c r="J225" t="s">
        <v>251</v>
      </c>
      <c r="K225">
        <v>0.0020738777011326199</v>
      </c>
      <c r="L225" t="s">
        <v>153</v>
      </c>
      <c r="N225" t="s">
        <v>177</v>
      </c>
      <c r="O225" t="s">
        <v>251</v>
      </c>
      <c r="P225">
        <v>0.0034339658438639728</v>
      </c>
      <c r="Q225" t="s">
        <v>153</v>
      </c>
      <c r="AK225">
        <v>2048</v>
      </c>
      <c r="AL225" t="s">
        <v>233</v>
      </c>
      <c r="AM225">
        <v>0.38204285714285724</v>
      </c>
      <c r="AN225" t="s">
        <v>195</v>
      </c>
    </row>
    <row r="226" spans="9:40" ht="14.25">
      <c r="I226" t="s">
        <v>167</v>
      </c>
      <c r="J226" t="s">
        <v>252</v>
      </c>
      <c r="K226">
        <v>0</v>
      </c>
      <c r="L226" t="s">
        <v>153</v>
      </c>
      <c r="N226" t="s">
        <v>177</v>
      </c>
      <c r="O226" t="s">
        <v>252</v>
      </c>
      <c r="P226">
        <v>0.017917239328792592</v>
      </c>
      <c r="Q226" t="s">
        <v>153</v>
      </c>
      <c r="AK226">
        <v>2048</v>
      </c>
      <c r="AL226" t="s">
        <v>234</v>
      </c>
      <c r="AM226">
        <v>0.36909999999999998</v>
      </c>
      <c r="AN226" t="s">
        <v>195</v>
      </c>
    </row>
    <row r="227" spans="9:40" ht="14.25">
      <c r="I227" t="s">
        <v>168</v>
      </c>
      <c r="J227" t="s">
        <v>152</v>
      </c>
      <c r="K227">
        <v>0</v>
      </c>
      <c r="L227" t="s">
        <v>153</v>
      </c>
      <c r="N227" t="s">
        <v>178</v>
      </c>
      <c r="O227" t="s">
        <v>152</v>
      </c>
      <c r="P227">
        <v>0.0018774775855887921</v>
      </c>
      <c r="Q227" t="s">
        <v>153</v>
      </c>
      <c r="AK227">
        <v>2049</v>
      </c>
      <c r="AL227" t="s">
        <v>141</v>
      </c>
      <c r="AM227">
        <v>0.40889999999999999</v>
      </c>
      <c r="AN227" t="s">
        <v>195</v>
      </c>
    </row>
    <row r="228" spans="9:40" ht="14.25">
      <c r="I228" t="s">
        <v>168</v>
      </c>
      <c r="J228" t="s">
        <v>154</v>
      </c>
      <c r="K228">
        <v>0.00075198849983565722</v>
      </c>
      <c r="L228" t="s">
        <v>153</v>
      </c>
      <c r="N228" t="s">
        <v>178</v>
      </c>
      <c r="O228" t="s">
        <v>154</v>
      </c>
      <c r="P228">
        <v>0.00012455113579056904</v>
      </c>
      <c r="Q228" t="s">
        <v>153</v>
      </c>
      <c r="AK228">
        <v>2049</v>
      </c>
      <c r="AL228" t="s">
        <v>145</v>
      </c>
      <c r="AM228">
        <v>0.39829999999999999</v>
      </c>
      <c r="AN228" t="s">
        <v>195</v>
      </c>
    </row>
    <row r="229" spans="9:40" ht="14.25">
      <c r="I229" t="s">
        <v>168</v>
      </c>
      <c r="J229" t="s">
        <v>155</v>
      </c>
      <c r="K229">
        <v>0.01302005445210805</v>
      </c>
      <c r="L229" t="s">
        <v>153</v>
      </c>
      <c r="N229" t="s">
        <v>178</v>
      </c>
      <c r="O229" t="s">
        <v>155</v>
      </c>
      <c r="P229">
        <v>0.001672633251301219</v>
      </c>
      <c r="Q229" t="s">
        <v>153</v>
      </c>
      <c r="AK229">
        <v>2049</v>
      </c>
      <c r="AL229" t="s">
        <v>147</v>
      </c>
      <c r="AM229">
        <v>0.43204999999999999</v>
      </c>
      <c r="AN229" t="s">
        <v>195</v>
      </c>
    </row>
    <row r="230" spans="9:40" ht="14.25">
      <c r="I230" t="s">
        <v>168</v>
      </c>
      <c r="J230" t="s">
        <v>200</v>
      </c>
      <c r="K230">
        <v>0.0013197538031123317</v>
      </c>
      <c r="L230" t="s">
        <v>153</v>
      </c>
      <c r="N230" t="s">
        <v>178</v>
      </c>
      <c r="O230" t="s">
        <v>200</v>
      </c>
      <c r="P230">
        <v>0.00059790105921574068</v>
      </c>
      <c r="Q230" t="s">
        <v>153</v>
      </c>
      <c r="AK230">
        <v>2049</v>
      </c>
      <c r="AL230" t="s">
        <v>149</v>
      </c>
      <c r="AM230">
        <v>0.47639999999999999</v>
      </c>
      <c r="AN230" t="s">
        <v>195</v>
      </c>
    </row>
    <row r="231" spans="9:40" ht="14.25">
      <c r="I231" t="s">
        <v>168</v>
      </c>
      <c r="J231" t="s">
        <v>201</v>
      </c>
      <c r="K231">
        <v>0.00072844762621582162</v>
      </c>
      <c r="L231" t="s">
        <v>153</v>
      </c>
      <c r="N231" t="s">
        <v>178</v>
      </c>
      <c r="O231" t="s">
        <v>201</v>
      </c>
      <c r="P231">
        <v>0.00060757350501561497</v>
      </c>
      <c r="Q231" t="s">
        <v>153</v>
      </c>
      <c r="AK231">
        <v>2049</v>
      </c>
      <c r="AL231" t="s">
        <v>198</v>
      </c>
      <c r="AM231">
        <v>0.47639999999999999</v>
      </c>
      <c r="AN231" t="s">
        <v>195</v>
      </c>
    </row>
    <row r="232" spans="9:40" ht="14.25">
      <c r="I232" t="s">
        <v>168</v>
      </c>
      <c r="J232" t="s">
        <v>218</v>
      </c>
      <c r="K232">
        <v>0</v>
      </c>
      <c r="L232" t="s">
        <v>153</v>
      </c>
      <c r="N232" t="s">
        <v>178</v>
      </c>
      <c r="O232" t="s">
        <v>218</v>
      </c>
      <c r="P232">
        <v>0.0037843744141628417</v>
      </c>
      <c r="Q232" t="s">
        <v>153</v>
      </c>
      <c r="AK232">
        <v>2049</v>
      </c>
      <c r="AL232" t="s">
        <v>216</v>
      </c>
      <c r="AM232">
        <v>0.47639999999999999</v>
      </c>
      <c r="AN232" t="s">
        <v>195</v>
      </c>
    </row>
    <row r="233" spans="9:40" ht="14.25">
      <c r="I233" t="s">
        <v>168</v>
      </c>
      <c r="J233" t="s">
        <v>156</v>
      </c>
      <c r="K233">
        <v>0</v>
      </c>
      <c r="L233" t="s">
        <v>153</v>
      </c>
      <c r="N233" t="s">
        <v>178</v>
      </c>
      <c r="O233" t="s">
        <v>156</v>
      </c>
      <c r="P233">
        <v>0.037052604822843054</v>
      </c>
      <c r="Q233" t="s">
        <v>153</v>
      </c>
      <c r="AK233">
        <v>2049</v>
      </c>
      <c r="AL233" t="s">
        <v>232</v>
      </c>
      <c r="AM233">
        <v>0.51875000000000004</v>
      </c>
      <c r="AN233" t="s">
        <v>195</v>
      </c>
    </row>
    <row r="234" spans="9:40" ht="14.25">
      <c r="I234" t="s">
        <v>168</v>
      </c>
      <c r="J234" t="s">
        <v>157</v>
      </c>
      <c r="K234">
        <v>0.0030987118667629605</v>
      </c>
      <c r="L234" t="s">
        <v>153</v>
      </c>
      <c r="N234" t="s">
        <v>178</v>
      </c>
      <c r="O234" t="s">
        <v>157</v>
      </c>
      <c r="P234">
        <v>0.0057639838588306085</v>
      </c>
      <c r="Q234" t="s">
        <v>153</v>
      </c>
      <c r="AK234">
        <v>2049</v>
      </c>
      <c r="AL234" t="s">
        <v>233</v>
      </c>
      <c r="AM234">
        <v>0.44244285714285719</v>
      </c>
      <c r="AN234" t="s">
        <v>195</v>
      </c>
    </row>
    <row r="235" spans="9:40" ht="14.25">
      <c r="I235" t="s">
        <v>168</v>
      </c>
      <c r="J235" t="s">
        <v>158</v>
      </c>
      <c r="K235">
        <v>0.062259389767720656</v>
      </c>
      <c r="L235" t="s">
        <v>153</v>
      </c>
      <c r="N235" t="s">
        <v>178</v>
      </c>
      <c r="O235" t="s">
        <v>158</v>
      </c>
      <c r="P235">
        <v>0.041970928566009237</v>
      </c>
      <c r="Q235" t="s">
        <v>153</v>
      </c>
      <c r="AK235">
        <v>2049</v>
      </c>
      <c r="AL235" t="s">
        <v>234</v>
      </c>
      <c r="AM235">
        <v>0.44180000000000003</v>
      </c>
      <c r="AN235" t="s">
        <v>195</v>
      </c>
    </row>
    <row r="236" spans="9:40" ht="14.25">
      <c r="I236" t="s">
        <v>168</v>
      </c>
      <c r="J236" t="s">
        <v>202</v>
      </c>
      <c r="K236">
        <v>0.006596691317377011</v>
      </c>
      <c r="L236" t="s">
        <v>153</v>
      </c>
      <c r="N236" t="s">
        <v>178</v>
      </c>
      <c r="O236" t="s">
        <v>202</v>
      </c>
      <c r="P236">
        <v>0.0045786654590871737</v>
      </c>
      <c r="Q236" t="s">
        <v>153</v>
      </c>
      <c r="AK236">
        <v>2050</v>
      </c>
      <c r="AL236" t="s">
        <v>141</v>
      </c>
      <c r="AM236">
        <v>0.42380000000000001</v>
      </c>
      <c r="AN236" t="s">
        <v>195</v>
      </c>
    </row>
    <row r="237" spans="9:40" ht="14.25">
      <c r="I237" t="s">
        <v>168</v>
      </c>
      <c r="J237" t="s">
        <v>203</v>
      </c>
      <c r="K237">
        <v>0.0038009450746665408</v>
      </c>
      <c r="L237" t="s">
        <v>153</v>
      </c>
      <c r="N237" t="s">
        <v>178</v>
      </c>
      <c r="O237" t="s">
        <v>203</v>
      </c>
      <c r="P237">
        <v>0.004648750542891455</v>
      </c>
      <c r="Q237" t="s">
        <v>153</v>
      </c>
      <c r="AK237">
        <v>2050</v>
      </c>
      <c r="AL237" t="s">
        <v>145</v>
      </c>
      <c r="AM237">
        <v>0.43230000000000002</v>
      </c>
      <c r="AN237" t="s">
        <v>195</v>
      </c>
    </row>
    <row r="238" spans="9:40" ht="14.25">
      <c r="I238" t="s">
        <v>168</v>
      </c>
      <c r="J238" t="s">
        <v>219</v>
      </c>
      <c r="K238">
        <v>0</v>
      </c>
      <c r="L238" t="s">
        <v>153</v>
      </c>
      <c r="N238" t="s">
        <v>178</v>
      </c>
      <c r="O238" t="s">
        <v>219</v>
      </c>
      <c r="P238">
        <v>0.029405728157384806</v>
      </c>
      <c r="Q238" t="s">
        <v>153</v>
      </c>
      <c r="AK238">
        <v>2050</v>
      </c>
      <c r="AL238" t="s">
        <v>147</v>
      </c>
      <c r="AM238">
        <v>0.46965000000000001</v>
      </c>
      <c r="AN238" t="s">
        <v>195</v>
      </c>
    </row>
    <row r="239" spans="9:40" ht="14.25">
      <c r="I239" t="s">
        <v>168</v>
      </c>
      <c r="J239" t="s">
        <v>159</v>
      </c>
      <c r="K239">
        <v>0</v>
      </c>
      <c r="L239" t="s">
        <v>153</v>
      </c>
      <c r="N239" t="s">
        <v>178</v>
      </c>
      <c r="O239" t="s">
        <v>159</v>
      </c>
      <c r="P239">
        <v>0.014871437409800826</v>
      </c>
      <c r="Q239" t="s">
        <v>153</v>
      </c>
      <c r="AK239">
        <v>2050</v>
      </c>
      <c r="AL239" t="s">
        <v>149</v>
      </c>
      <c r="AM239">
        <v>0.4985</v>
      </c>
      <c r="AN239" t="s">
        <v>195</v>
      </c>
    </row>
    <row r="240" spans="9:40" ht="14.25">
      <c r="I240" t="s">
        <v>168</v>
      </c>
      <c r="J240" t="s">
        <v>160</v>
      </c>
      <c r="K240">
        <v>0.0033264099957807792</v>
      </c>
      <c r="L240" t="s">
        <v>153</v>
      </c>
      <c r="N240" t="s">
        <v>178</v>
      </c>
      <c r="O240" t="s">
        <v>160</v>
      </c>
      <c r="P240">
        <v>0.0024029845226723671</v>
      </c>
      <c r="Q240" t="s">
        <v>153</v>
      </c>
      <c r="AK240">
        <v>2050</v>
      </c>
      <c r="AL240" t="s">
        <v>198</v>
      </c>
      <c r="AM240">
        <v>0.4985</v>
      </c>
      <c r="AN240" t="s">
        <v>195</v>
      </c>
    </row>
    <row r="241" spans="9:40" ht="14.25">
      <c r="I241" t="s">
        <v>168</v>
      </c>
      <c r="J241" t="s">
        <v>161</v>
      </c>
      <c r="K241">
        <v>0.067659576994435908</v>
      </c>
      <c r="L241" t="s">
        <v>153</v>
      </c>
      <c r="N241" t="s">
        <v>178</v>
      </c>
      <c r="O241" t="s">
        <v>161</v>
      </c>
      <c r="P241">
        <v>0.018920175783445695</v>
      </c>
      <c r="Q241" t="s">
        <v>153</v>
      </c>
      <c r="AK241">
        <v>2050</v>
      </c>
      <c r="AL241" t="s">
        <v>216</v>
      </c>
      <c r="AM241">
        <v>0.4985</v>
      </c>
      <c r="AN241" t="s">
        <v>195</v>
      </c>
    </row>
    <row r="242" spans="9:40" ht="14.25">
      <c r="I242" t="s">
        <v>168</v>
      </c>
      <c r="J242" t="s">
        <v>204</v>
      </c>
      <c r="K242">
        <v>0.0076275036793093899</v>
      </c>
      <c r="L242" t="s">
        <v>153</v>
      </c>
      <c r="N242" t="s">
        <v>178</v>
      </c>
      <c r="O242" t="s">
        <v>204</v>
      </c>
      <c r="P242">
        <v>0.0025196387954421573</v>
      </c>
      <c r="Q242" t="s">
        <v>153</v>
      </c>
      <c r="AK242">
        <v>2050</v>
      </c>
      <c r="AL242" t="s">
        <v>232</v>
      </c>
      <c r="AM242">
        <v>0.52457500000000001</v>
      </c>
      <c r="AN242" t="s">
        <v>195</v>
      </c>
    </row>
    <row r="243" spans="9:40" ht="14.25">
      <c r="I243" t="s">
        <v>168</v>
      </c>
      <c r="J243" t="s">
        <v>205</v>
      </c>
      <c r="K243">
        <v>0.0049131518254398815</v>
      </c>
      <c r="L243" t="s">
        <v>153</v>
      </c>
      <c r="N243" t="s">
        <v>178</v>
      </c>
      <c r="O243" t="s">
        <v>205</v>
      </c>
      <c r="P243">
        <v>0.0028467529291552607</v>
      </c>
      <c r="Q243" t="s">
        <v>153</v>
      </c>
      <c r="AK243">
        <v>2050</v>
      </c>
      <c r="AL243" t="s">
        <v>233</v>
      </c>
      <c r="AM243">
        <v>0.44947142857142852</v>
      </c>
      <c r="AN243" t="s">
        <v>195</v>
      </c>
    </row>
    <row r="244" spans="9:40" ht="14.25">
      <c r="I244" t="s">
        <v>168</v>
      </c>
      <c r="J244" t="s">
        <v>220</v>
      </c>
      <c r="K244">
        <v>0</v>
      </c>
      <c r="L244" t="s">
        <v>153</v>
      </c>
      <c r="N244" t="s">
        <v>178</v>
      </c>
      <c r="O244" t="s">
        <v>220</v>
      </c>
      <c r="P244">
        <v>0.019374939614760767</v>
      </c>
      <c r="Q244" t="s">
        <v>153</v>
      </c>
      <c r="AK244">
        <v>2050</v>
      </c>
      <c r="AL244" t="s">
        <v>234</v>
      </c>
      <c r="AM244">
        <v>0.39979999999999999</v>
      </c>
      <c r="AN244" t="s">
        <v>195</v>
      </c>
    </row>
    <row r="245" spans="9:17" ht="14.25">
      <c r="I245" t="s">
        <v>168</v>
      </c>
      <c r="J245" t="s">
        <v>162</v>
      </c>
      <c r="K245">
        <v>0</v>
      </c>
      <c r="L245" t="s">
        <v>153</v>
      </c>
      <c r="N245" t="s">
        <v>178</v>
      </c>
      <c r="O245" t="s">
        <v>162</v>
      </c>
      <c r="P245">
        <v>0.0071616424493862116</v>
      </c>
      <c r="Q245" t="s">
        <v>153</v>
      </c>
    </row>
    <row r="246" spans="9:17" ht="14.25">
      <c r="I246" t="s">
        <v>168</v>
      </c>
      <c r="J246" t="s">
        <v>163</v>
      </c>
      <c r="K246">
        <v>0.00071512001906876292</v>
      </c>
      <c r="L246" t="s">
        <v>153</v>
      </c>
      <c r="N246" t="s">
        <v>178</v>
      </c>
      <c r="O246" t="s">
        <v>163</v>
      </c>
      <c r="P246">
        <v>0.0010750165765809631</v>
      </c>
      <c r="Q246" t="s">
        <v>153</v>
      </c>
    </row>
    <row r="247" spans="9:17" ht="14.25">
      <c r="I247" t="s">
        <v>168</v>
      </c>
      <c r="J247" t="s">
        <v>164</v>
      </c>
      <c r="K247">
        <v>0.011959327132062162</v>
      </c>
      <c r="L247" t="s">
        <v>153</v>
      </c>
      <c r="N247" t="s">
        <v>178</v>
      </c>
      <c r="O247" t="s">
        <v>164</v>
      </c>
      <c r="P247">
        <v>0.0065749241327877697</v>
      </c>
      <c r="Q247" t="s">
        <v>153</v>
      </c>
    </row>
    <row r="248" spans="9:17" ht="14.25">
      <c r="I248" t="s">
        <v>168</v>
      </c>
      <c r="J248" t="s">
        <v>206</v>
      </c>
      <c r="K248">
        <v>0.0012737315673913914</v>
      </c>
      <c r="L248" t="s">
        <v>153</v>
      </c>
      <c r="N248" t="s">
        <v>178</v>
      </c>
      <c r="O248" t="s">
        <v>206</v>
      </c>
      <c r="P248">
        <v>0.00086807190947974216</v>
      </c>
      <c r="Q248" t="s">
        <v>153</v>
      </c>
    </row>
    <row r="249" spans="9:17" ht="14.25">
      <c r="I249" t="s">
        <v>168</v>
      </c>
      <c r="J249" t="s">
        <v>207</v>
      </c>
      <c r="K249">
        <v>0.00082946545464032424</v>
      </c>
      <c r="L249" t="s">
        <v>153</v>
      </c>
      <c r="N249" t="s">
        <v>178</v>
      </c>
      <c r="O249" t="s">
        <v>207</v>
      </c>
      <c r="P249">
        <v>0.00086032016211184275</v>
      </c>
      <c r="Q249" t="s">
        <v>153</v>
      </c>
    </row>
    <row r="250" spans="9:17" ht="14.25">
      <c r="I250" t="s">
        <v>168</v>
      </c>
      <c r="J250" t="s">
        <v>221</v>
      </c>
      <c r="K250">
        <v>0</v>
      </c>
      <c r="L250" t="s">
        <v>153</v>
      </c>
      <c r="N250" t="s">
        <v>178</v>
      </c>
      <c r="O250" t="s">
        <v>221</v>
      </c>
      <c r="P250">
        <v>0.0054692153632326735</v>
      </c>
      <c r="Q250" t="s">
        <v>153</v>
      </c>
    </row>
    <row r="251" spans="9:17" ht="14.25">
      <c r="I251" t="s">
        <v>168</v>
      </c>
      <c r="J251" t="s">
        <v>208</v>
      </c>
      <c r="K251">
        <v>0</v>
      </c>
      <c r="L251" t="s">
        <v>153</v>
      </c>
      <c r="N251" t="s">
        <v>178</v>
      </c>
      <c r="O251" t="s">
        <v>208</v>
      </c>
      <c r="P251">
        <v>0.010461553874010094</v>
      </c>
      <c r="Q251" t="s">
        <v>153</v>
      </c>
    </row>
    <row r="252" spans="9:17" ht="14.25">
      <c r="I252" t="s">
        <v>168</v>
      </c>
      <c r="J252" t="s">
        <v>209</v>
      </c>
      <c r="K252">
        <v>0.0015286816639707866</v>
      </c>
      <c r="L252" t="s">
        <v>153</v>
      </c>
      <c r="N252" t="s">
        <v>178</v>
      </c>
      <c r="O252" t="s">
        <v>209</v>
      </c>
      <c r="P252">
        <v>0.0022456137939991815</v>
      </c>
      <c r="Q252" t="s">
        <v>153</v>
      </c>
    </row>
    <row r="253" spans="9:17" ht="14.25">
      <c r="I253" t="s">
        <v>168</v>
      </c>
      <c r="J253" t="s">
        <v>210</v>
      </c>
      <c r="K253">
        <v>0.024416634320409619</v>
      </c>
      <c r="L253" t="s">
        <v>153</v>
      </c>
      <c r="N253" t="s">
        <v>178</v>
      </c>
      <c r="O253" t="s">
        <v>210</v>
      </c>
      <c r="P253">
        <v>0.013191757860304259</v>
      </c>
      <c r="Q253" t="s">
        <v>153</v>
      </c>
    </row>
    <row r="254" spans="9:17" ht="14.25">
      <c r="I254" t="s">
        <v>168</v>
      </c>
      <c r="J254" t="s">
        <v>211</v>
      </c>
      <c r="K254">
        <v>0.0025934654274234999</v>
      </c>
      <c r="L254" t="s">
        <v>153</v>
      </c>
      <c r="N254" t="s">
        <v>178</v>
      </c>
      <c r="O254" t="s">
        <v>211</v>
      </c>
      <c r="P254">
        <v>0.0013590374228559677</v>
      </c>
      <c r="Q254" t="s">
        <v>153</v>
      </c>
    </row>
    <row r="255" spans="9:17" ht="14.25">
      <c r="I255" t="s">
        <v>168</v>
      </c>
      <c r="J255" t="s">
        <v>212</v>
      </c>
      <c r="K255">
        <v>0.0017621268572384158</v>
      </c>
      <c r="L255" t="s">
        <v>153</v>
      </c>
      <c r="N255" t="s">
        <v>178</v>
      </c>
      <c r="O255" t="s">
        <v>212</v>
      </c>
      <c r="P255">
        <v>0.001511446005872015</v>
      </c>
      <c r="Q255" t="s">
        <v>153</v>
      </c>
    </row>
    <row r="256" spans="9:17" ht="14.25">
      <c r="I256" t="s">
        <v>168</v>
      </c>
      <c r="J256" t="s">
        <v>222</v>
      </c>
      <c r="K256">
        <v>5.8974274394902099E-05</v>
      </c>
      <c r="L256" t="s">
        <v>153</v>
      </c>
      <c r="N256" t="s">
        <v>178</v>
      </c>
      <c r="O256" t="s">
        <v>222</v>
      </c>
      <c r="P256">
        <v>0.0096859607131514411</v>
      </c>
      <c r="Q256" t="s">
        <v>153</v>
      </c>
    </row>
    <row r="257" spans="9:17" ht="14.25">
      <c r="I257" t="s">
        <v>168</v>
      </c>
      <c r="J257" t="s">
        <v>223</v>
      </c>
      <c r="K257">
        <v>5.6726068943476618E-08</v>
      </c>
      <c r="L257" t="s">
        <v>153</v>
      </c>
      <c r="N257" t="s">
        <v>178</v>
      </c>
      <c r="O257" t="s">
        <v>223</v>
      </c>
      <c r="P257">
        <v>0.0029935954101779211</v>
      </c>
      <c r="Q257" t="s">
        <v>153</v>
      </c>
    </row>
    <row r="258" spans="9:17" ht="14.25">
      <c r="I258" t="s">
        <v>168</v>
      </c>
      <c r="J258" t="s">
        <v>224</v>
      </c>
      <c r="K258">
        <v>0.00050809150484196956</v>
      </c>
      <c r="L258" t="s">
        <v>153</v>
      </c>
      <c r="N258" t="s">
        <v>178</v>
      </c>
      <c r="O258" t="s">
        <v>224</v>
      </c>
      <c r="P258">
        <v>0.00031477513724889546</v>
      </c>
      <c r="Q258" t="s">
        <v>153</v>
      </c>
    </row>
    <row r="259" spans="9:17" ht="14.25">
      <c r="I259" t="s">
        <v>168</v>
      </c>
      <c r="J259" t="s">
        <v>225</v>
      </c>
      <c r="K259">
        <v>0.0092821029133916527</v>
      </c>
      <c r="L259" t="s">
        <v>153</v>
      </c>
      <c r="N259" t="s">
        <v>178</v>
      </c>
      <c r="O259" t="s">
        <v>225</v>
      </c>
      <c r="P259">
        <v>0.0041280285316470005</v>
      </c>
      <c r="Q259" t="s">
        <v>153</v>
      </c>
    </row>
    <row r="260" spans="9:17" ht="14.25">
      <c r="I260" t="s">
        <v>168</v>
      </c>
      <c r="J260" t="s">
        <v>226</v>
      </c>
      <c r="K260">
        <v>0.00093318937005341755</v>
      </c>
      <c r="L260" t="s">
        <v>153</v>
      </c>
      <c r="N260" t="s">
        <v>178</v>
      </c>
      <c r="O260" t="s">
        <v>226</v>
      </c>
      <c r="P260">
        <v>0.00065476808858354275</v>
      </c>
      <c r="Q260" t="s">
        <v>153</v>
      </c>
    </row>
    <row r="261" spans="9:17" ht="14.25">
      <c r="I261" t="s">
        <v>168</v>
      </c>
      <c r="J261" t="s">
        <v>227</v>
      </c>
      <c r="K261">
        <v>0.000633866666340191</v>
      </c>
      <c r="L261" t="s">
        <v>153</v>
      </c>
      <c r="N261" t="s">
        <v>178</v>
      </c>
      <c r="O261" t="s">
        <v>227</v>
      </c>
      <c r="P261">
        <v>0.00065021903747803993</v>
      </c>
      <c r="Q261" t="s">
        <v>153</v>
      </c>
    </row>
    <row r="262" spans="9:17" ht="14.25">
      <c r="I262" t="s">
        <v>168</v>
      </c>
      <c r="J262" t="s">
        <v>228</v>
      </c>
      <c r="K262">
        <v>0.00013007733399908697</v>
      </c>
      <c r="L262" t="s">
        <v>153</v>
      </c>
      <c r="N262" t="s">
        <v>178</v>
      </c>
      <c r="O262" t="s">
        <v>228</v>
      </c>
      <c r="P262">
        <v>0.0024168801123132812</v>
      </c>
      <c r="Q262" t="s">
        <v>153</v>
      </c>
    </row>
    <row r="263" spans="9:17" ht="14.25">
      <c r="I263" t="s">
        <v>168</v>
      </c>
      <c r="J263" t="s">
        <v>235</v>
      </c>
      <c r="K263">
        <v>0.0067465408551673134</v>
      </c>
      <c r="L263" t="s">
        <v>153</v>
      </c>
      <c r="N263" t="s">
        <v>178</v>
      </c>
      <c r="O263" t="s">
        <v>235</v>
      </c>
      <c r="P263">
        <v>0.044139258939833434</v>
      </c>
      <c r="Q263" t="s">
        <v>153</v>
      </c>
    </row>
    <row r="264" spans="9:17" ht="14.25">
      <c r="I264" t="s">
        <v>168</v>
      </c>
      <c r="J264" t="s">
        <v>236</v>
      </c>
      <c r="K264">
        <v>0.013702627277568409</v>
      </c>
      <c r="L264" t="s">
        <v>153</v>
      </c>
      <c r="N264" t="s">
        <v>178</v>
      </c>
      <c r="O264" t="s">
        <v>236</v>
      </c>
      <c r="P264">
        <v>0.0059147438638279433</v>
      </c>
      <c r="Q264" t="s">
        <v>153</v>
      </c>
    </row>
    <row r="265" spans="9:17" ht="14.25">
      <c r="I265" t="s">
        <v>168</v>
      </c>
      <c r="J265" t="s">
        <v>237</v>
      </c>
      <c r="K265">
        <v>0.16349127220918597</v>
      </c>
      <c r="L265" t="s">
        <v>153</v>
      </c>
      <c r="N265" t="s">
        <v>178</v>
      </c>
      <c r="O265" t="s">
        <v>237</v>
      </c>
      <c r="P265">
        <v>0.066197290130224629</v>
      </c>
      <c r="Q265" t="s">
        <v>153</v>
      </c>
    </row>
    <row r="266" spans="9:17" ht="14.25">
      <c r="I266" t="s">
        <v>168</v>
      </c>
      <c r="J266" t="s">
        <v>238</v>
      </c>
      <c r="K266">
        <v>0.016120297498485859</v>
      </c>
      <c r="L266" t="s">
        <v>153</v>
      </c>
      <c r="N266" t="s">
        <v>178</v>
      </c>
      <c r="O266" t="s">
        <v>238</v>
      </c>
      <c r="P266">
        <v>0.012800857668943417</v>
      </c>
      <c r="Q266" t="s">
        <v>153</v>
      </c>
    </row>
    <row r="267" spans="9:17" ht="14.25">
      <c r="I267" t="s">
        <v>168</v>
      </c>
      <c r="J267" t="s">
        <v>239</v>
      </c>
      <c r="K267">
        <v>0.011472813822863248</v>
      </c>
      <c r="L267" t="s">
        <v>153</v>
      </c>
      <c r="N267" t="s">
        <v>178</v>
      </c>
      <c r="O267" t="s">
        <v>239</v>
      </c>
      <c r="P267">
        <v>0.013526322084467527</v>
      </c>
      <c r="Q267" t="s">
        <v>153</v>
      </c>
    </row>
    <row r="268" spans="9:17" ht="14.25">
      <c r="I268" t="s">
        <v>168</v>
      </c>
      <c r="J268" t="s">
        <v>240</v>
      </c>
      <c r="K268">
        <v>0.0051407096051323637</v>
      </c>
      <c r="L268" t="s">
        <v>153</v>
      </c>
      <c r="N268" t="s">
        <v>178</v>
      </c>
      <c r="O268" t="s">
        <v>240</v>
      </c>
      <c r="P268">
        <v>0.061958256860914419</v>
      </c>
      <c r="Q268" t="s">
        <v>153</v>
      </c>
    </row>
    <row r="269" spans="9:17" ht="14.25">
      <c r="I269" t="s">
        <v>168</v>
      </c>
      <c r="J269" t="s">
        <v>241</v>
      </c>
      <c r="K269">
        <v>0.0076240935896552831</v>
      </c>
      <c r="L269" t="s">
        <v>153</v>
      </c>
      <c r="N269" t="s">
        <v>178</v>
      </c>
      <c r="O269" t="s">
        <v>241</v>
      </c>
      <c r="P269">
        <v>0.10872219924364371</v>
      </c>
      <c r="Q269" t="s">
        <v>153</v>
      </c>
    </row>
    <row r="270" spans="9:17" ht="14.25">
      <c r="I270" t="s">
        <v>168</v>
      </c>
      <c r="J270" t="s">
        <v>242</v>
      </c>
      <c r="K270">
        <v>0.028420236606854981</v>
      </c>
      <c r="L270" t="s">
        <v>153</v>
      </c>
      <c r="N270" t="s">
        <v>178</v>
      </c>
      <c r="O270" t="s">
        <v>242</v>
      </c>
      <c r="P270">
        <v>0.016832369623085926</v>
      </c>
      <c r="Q270" t="s">
        <v>153</v>
      </c>
    </row>
    <row r="271" spans="9:17" ht="14.25">
      <c r="I271" t="s">
        <v>168</v>
      </c>
      <c r="J271" t="s">
        <v>243</v>
      </c>
      <c r="K271">
        <v>0.40768189741056232</v>
      </c>
      <c r="L271" t="s">
        <v>153</v>
      </c>
      <c r="N271" t="s">
        <v>178</v>
      </c>
      <c r="O271" t="s">
        <v>243</v>
      </c>
      <c r="P271">
        <v>0.13915769661212735</v>
      </c>
      <c r="Q271" t="s">
        <v>153</v>
      </c>
    </row>
    <row r="272" spans="9:17" ht="14.25">
      <c r="I272" t="s">
        <v>168</v>
      </c>
      <c r="J272" t="s">
        <v>244</v>
      </c>
      <c r="K272">
        <v>0.037225447574701677</v>
      </c>
      <c r="L272" t="s">
        <v>153</v>
      </c>
      <c r="N272" t="s">
        <v>178</v>
      </c>
      <c r="O272" t="s">
        <v>244</v>
      </c>
      <c r="P272">
        <v>0.025479739274429432</v>
      </c>
      <c r="Q272" t="s">
        <v>153</v>
      </c>
    </row>
    <row r="273" spans="9:17" ht="14.25">
      <c r="I273" t="s">
        <v>168</v>
      </c>
      <c r="J273" t="s">
        <v>245</v>
      </c>
      <c r="K273">
        <v>0.021786397704107254</v>
      </c>
      <c r="L273" t="s">
        <v>153</v>
      </c>
      <c r="N273" t="s">
        <v>178</v>
      </c>
      <c r="O273" t="s">
        <v>245</v>
      </c>
      <c r="P273">
        <v>0.028527725803063692</v>
      </c>
      <c r="Q273" t="s">
        <v>153</v>
      </c>
    </row>
    <row r="274" spans="9:17" ht="14.25">
      <c r="I274" t="s">
        <v>168</v>
      </c>
      <c r="J274" t="s">
        <v>246</v>
      </c>
      <c r="K274">
        <v>0.0041852487714447517</v>
      </c>
      <c r="L274" t="s">
        <v>153</v>
      </c>
      <c r="N274" t="s">
        <v>178</v>
      </c>
      <c r="O274" t="s">
        <v>246</v>
      </c>
      <c r="P274">
        <v>0.13665758513578313</v>
      </c>
      <c r="Q274" t="s">
        <v>153</v>
      </c>
    </row>
    <row r="275" spans="9:17" ht="14.25">
      <c r="I275" t="s">
        <v>168</v>
      </c>
      <c r="J275" t="s">
        <v>247</v>
      </c>
      <c r="K275">
        <v>0</v>
      </c>
      <c r="L275" t="s">
        <v>153</v>
      </c>
      <c r="N275" t="s">
        <v>178</v>
      </c>
      <c r="O275" t="s">
        <v>247</v>
      </c>
      <c r="P275">
        <v>0.020513521996284655</v>
      </c>
      <c r="Q275" t="s">
        <v>153</v>
      </c>
    </row>
    <row r="276" spans="9:17" ht="14.25">
      <c r="I276" t="s">
        <v>168</v>
      </c>
      <c r="J276" t="s">
        <v>248</v>
      </c>
      <c r="K276">
        <v>0.0021647299915815215</v>
      </c>
      <c r="L276" t="s">
        <v>153</v>
      </c>
      <c r="N276" t="s">
        <v>178</v>
      </c>
      <c r="O276" t="s">
        <v>248</v>
      </c>
      <c r="P276">
        <v>0.00265186715561932</v>
      </c>
      <c r="Q276" t="s">
        <v>153</v>
      </c>
    </row>
    <row r="277" spans="9:17" ht="14.25">
      <c r="I277" t="s">
        <v>168</v>
      </c>
      <c r="J277" t="s">
        <v>249</v>
      </c>
      <c r="K277">
        <v>0.03672791526752435</v>
      </c>
      <c r="L277" t="s">
        <v>153</v>
      </c>
      <c r="N277" t="s">
        <v>178</v>
      </c>
      <c r="O277" t="s">
        <v>249</v>
      </c>
      <c r="P277">
        <v>0.023216935279656653</v>
      </c>
      <c r="Q277" t="s">
        <v>153</v>
      </c>
    </row>
    <row r="278" spans="9:17" ht="14.25">
      <c r="I278" t="s">
        <v>168</v>
      </c>
      <c r="J278" t="s">
        <v>250</v>
      </c>
      <c r="K278">
        <v>0.0036134910503850849</v>
      </c>
      <c r="L278" t="s">
        <v>153</v>
      </c>
      <c r="N278" t="s">
        <v>178</v>
      </c>
      <c r="O278" t="s">
        <v>250</v>
      </c>
      <c r="P278">
        <v>0.0036609764743911915</v>
      </c>
      <c r="Q278" t="s">
        <v>153</v>
      </c>
    </row>
    <row r="279" spans="9:17" ht="14.25">
      <c r="I279" t="s">
        <v>168</v>
      </c>
      <c r="J279" t="s">
        <v>251</v>
      </c>
      <c r="K279">
        <v>0.0021687446307160235</v>
      </c>
      <c r="L279" t="s">
        <v>153</v>
      </c>
      <c r="N279" t="s">
        <v>178</v>
      </c>
      <c r="O279" t="s">
        <v>251</v>
      </c>
      <c r="P279">
        <v>0.0038557891723458612</v>
      </c>
      <c r="Q279" t="s">
        <v>153</v>
      </c>
    </row>
    <row r="280" spans="9:17" ht="14.25">
      <c r="I280" t="s">
        <v>168</v>
      </c>
      <c r="J280" t="s">
        <v>252</v>
      </c>
      <c r="K280">
        <v>0</v>
      </c>
      <c r="L280" t="s">
        <v>153</v>
      </c>
      <c r="N280" t="s">
        <v>178</v>
      </c>
      <c r="O280" t="s">
        <v>252</v>
      </c>
      <c r="P280">
        <v>0.021542936686739272</v>
      </c>
      <c r="Q280" t="s">
        <v>153</v>
      </c>
    </row>
    <row r="281" spans="9:17" ht="14.25">
      <c r="I281" t="s">
        <v>169</v>
      </c>
      <c r="J281" t="s">
        <v>152</v>
      </c>
      <c r="K281">
        <v>0</v>
      </c>
      <c r="L281" t="s">
        <v>153</v>
      </c>
      <c r="N281" t="s">
        <v>179</v>
      </c>
      <c r="O281" t="s">
        <v>152</v>
      </c>
      <c r="P281">
        <v>0.0016047073232582643</v>
      </c>
      <c r="Q281" t="s">
        <v>153</v>
      </c>
    </row>
    <row r="282" spans="9:17" ht="14.25">
      <c r="I282" t="s">
        <v>169</v>
      </c>
      <c r="J282" t="s">
        <v>154</v>
      </c>
      <c r="K282">
        <v>0.00061071200684151457</v>
      </c>
      <c r="L282" t="s">
        <v>153</v>
      </c>
      <c r="N282" t="s">
        <v>179</v>
      </c>
      <c r="O282" t="s">
        <v>154</v>
      </c>
      <c r="P282">
        <v>6.9439347593644958E-05</v>
      </c>
      <c r="Q282" t="s">
        <v>153</v>
      </c>
    </row>
    <row r="283" spans="9:17" ht="14.25">
      <c r="I283" t="s">
        <v>169</v>
      </c>
      <c r="J283" t="s">
        <v>155</v>
      </c>
      <c r="K283">
        <v>0.012372418307158819</v>
      </c>
      <c r="L283" t="s">
        <v>153</v>
      </c>
      <c r="N283" t="s">
        <v>179</v>
      </c>
      <c r="O283" t="s">
        <v>155</v>
      </c>
      <c r="P283">
        <v>0.0041438429469994736</v>
      </c>
      <c r="Q283" t="s">
        <v>153</v>
      </c>
    </row>
    <row r="284" spans="9:17" ht="14.25">
      <c r="I284" t="s">
        <v>169</v>
      </c>
      <c r="J284" t="s">
        <v>200</v>
      </c>
      <c r="K284">
        <v>0.0011939612982765067</v>
      </c>
      <c r="L284" t="s">
        <v>153</v>
      </c>
      <c r="N284" t="s">
        <v>179</v>
      </c>
      <c r="O284" t="s">
        <v>200</v>
      </c>
      <c r="P284">
        <v>0.00093719087972709495</v>
      </c>
      <c r="Q284" t="s">
        <v>153</v>
      </c>
    </row>
    <row r="285" spans="9:17" ht="14.25">
      <c r="I285" t="s">
        <v>169</v>
      </c>
      <c r="J285" t="s">
        <v>201</v>
      </c>
      <c r="K285">
        <v>0.00074215502781257363</v>
      </c>
      <c r="L285" t="s">
        <v>153</v>
      </c>
      <c r="N285" t="s">
        <v>179</v>
      </c>
      <c r="O285" t="s">
        <v>201</v>
      </c>
      <c r="P285">
        <v>0.00089103540976010452</v>
      </c>
      <c r="Q285" t="s">
        <v>153</v>
      </c>
    </row>
    <row r="286" spans="9:17" ht="14.25">
      <c r="I286" t="s">
        <v>169</v>
      </c>
      <c r="J286" t="s">
        <v>218</v>
      </c>
      <c r="K286">
        <v>0</v>
      </c>
      <c r="L286" t="s">
        <v>153</v>
      </c>
      <c r="N286" t="s">
        <v>179</v>
      </c>
      <c r="O286" t="s">
        <v>218</v>
      </c>
      <c r="P286">
        <v>0.0019822820145941962</v>
      </c>
      <c r="Q286" t="s">
        <v>153</v>
      </c>
    </row>
    <row r="287" spans="9:17" ht="14.25">
      <c r="I287" t="s">
        <v>169</v>
      </c>
      <c r="J287" t="s">
        <v>156</v>
      </c>
      <c r="K287">
        <v>0</v>
      </c>
      <c r="L287" t="s">
        <v>153</v>
      </c>
      <c r="N287" t="s">
        <v>179</v>
      </c>
      <c r="O287" t="s">
        <v>156</v>
      </c>
      <c r="P287">
        <v>0.039314674801849851</v>
      </c>
      <c r="Q287" t="s">
        <v>153</v>
      </c>
    </row>
    <row r="288" spans="9:17" ht="14.25">
      <c r="I288" t="s">
        <v>169</v>
      </c>
      <c r="J288" t="s">
        <v>157</v>
      </c>
      <c r="K288">
        <v>0.0027788455110164083</v>
      </c>
      <c r="L288" t="s">
        <v>153</v>
      </c>
      <c r="N288" t="s">
        <v>179</v>
      </c>
      <c r="O288" t="s">
        <v>157</v>
      </c>
      <c r="P288">
        <v>0.004944005622987498</v>
      </c>
      <c r="Q288" t="s">
        <v>153</v>
      </c>
    </row>
    <row r="289" spans="9:17" ht="14.25">
      <c r="I289" t="s">
        <v>169</v>
      </c>
      <c r="J289" t="s">
        <v>158</v>
      </c>
      <c r="K289">
        <v>0.05919466650554174</v>
      </c>
      <c r="L289" t="s">
        <v>153</v>
      </c>
      <c r="N289" t="s">
        <v>179</v>
      </c>
      <c r="O289" t="s">
        <v>158</v>
      </c>
      <c r="P289">
        <v>0.052951446003163351</v>
      </c>
      <c r="Q289" t="s">
        <v>153</v>
      </c>
    </row>
    <row r="290" spans="9:17" ht="14.25">
      <c r="I290" t="s">
        <v>169</v>
      </c>
      <c r="J290" t="s">
        <v>202</v>
      </c>
      <c r="K290">
        <v>0.00590732299064966</v>
      </c>
      <c r="L290" t="s">
        <v>153</v>
      </c>
      <c r="N290" t="s">
        <v>179</v>
      </c>
      <c r="O290" t="s">
        <v>202</v>
      </c>
      <c r="P290">
        <v>0.0059127940469873063</v>
      </c>
      <c r="Q290" t="s">
        <v>153</v>
      </c>
    </row>
    <row r="291" spans="9:17" ht="14.25">
      <c r="I291" t="s">
        <v>169</v>
      </c>
      <c r="J291" t="s">
        <v>203</v>
      </c>
      <c r="K291">
        <v>0.0033323131078732849</v>
      </c>
      <c r="L291" t="s">
        <v>153</v>
      </c>
      <c r="N291" t="s">
        <v>179</v>
      </c>
      <c r="O291" t="s">
        <v>203</v>
      </c>
      <c r="P291">
        <v>0.0057501506274752366</v>
      </c>
      <c r="Q291" t="s">
        <v>153</v>
      </c>
    </row>
    <row r="292" spans="9:17" ht="14.25">
      <c r="I292" t="s">
        <v>169</v>
      </c>
      <c r="J292" t="s">
        <v>219</v>
      </c>
      <c r="K292">
        <v>0</v>
      </c>
      <c r="L292" t="s">
        <v>153</v>
      </c>
      <c r="N292" t="s">
        <v>179</v>
      </c>
      <c r="O292" t="s">
        <v>219</v>
      </c>
      <c r="P292">
        <v>0.032506565851459335</v>
      </c>
      <c r="Q292" t="s">
        <v>153</v>
      </c>
    </row>
    <row r="293" spans="9:17" ht="14.25">
      <c r="I293" t="s">
        <v>169</v>
      </c>
      <c r="J293" t="s">
        <v>159</v>
      </c>
      <c r="K293">
        <v>0</v>
      </c>
      <c r="L293" t="s">
        <v>153</v>
      </c>
      <c r="N293" t="s">
        <v>179</v>
      </c>
      <c r="O293" t="s">
        <v>159</v>
      </c>
      <c r="P293">
        <v>0.013021860228703306</v>
      </c>
      <c r="Q293" t="s">
        <v>153</v>
      </c>
    </row>
    <row r="294" spans="9:17" ht="14.25">
      <c r="I294" t="s">
        <v>169</v>
      </c>
      <c r="J294" t="s">
        <v>160</v>
      </c>
      <c r="K294">
        <v>0.0035894402854843481</v>
      </c>
      <c r="L294" t="s">
        <v>153</v>
      </c>
      <c r="N294" t="s">
        <v>179</v>
      </c>
      <c r="O294" t="s">
        <v>160</v>
      </c>
      <c r="P294">
        <v>0.0018919260677115002</v>
      </c>
      <c r="Q294" t="s">
        <v>153</v>
      </c>
    </row>
    <row r="295" spans="9:17" ht="14.25">
      <c r="I295" t="s">
        <v>169</v>
      </c>
      <c r="J295" t="s">
        <v>161</v>
      </c>
      <c r="K295">
        <v>0.068009740734464613</v>
      </c>
      <c r="L295" t="s">
        <v>153</v>
      </c>
      <c r="N295" t="s">
        <v>179</v>
      </c>
      <c r="O295" t="s">
        <v>161</v>
      </c>
      <c r="P295">
        <v>0.02290328333841786</v>
      </c>
      <c r="Q295" t="s">
        <v>153</v>
      </c>
    </row>
    <row r="296" spans="9:17" ht="14.25">
      <c r="I296" t="s">
        <v>169</v>
      </c>
      <c r="J296" t="s">
        <v>204</v>
      </c>
      <c r="K296">
        <v>0.0073906712806903084</v>
      </c>
      <c r="L296" t="s">
        <v>153</v>
      </c>
      <c r="N296" t="s">
        <v>179</v>
      </c>
      <c r="O296" t="s">
        <v>204</v>
      </c>
      <c r="P296">
        <v>0.0039051478723556798</v>
      </c>
      <c r="Q296" t="s">
        <v>153</v>
      </c>
    </row>
    <row r="297" spans="9:17" ht="14.25">
      <c r="I297" t="s">
        <v>169</v>
      </c>
      <c r="J297" t="s">
        <v>205</v>
      </c>
      <c r="K297">
        <v>0.0046194271670230288</v>
      </c>
      <c r="L297" t="s">
        <v>153</v>
      </c>
      <c r="N297" t="s">
        <v>179</v>
      </c>
      <c r="O297" t="s">
        <v>205</v>
      </c>
      <c r="P297">
        <v>0.0039803116491812125</v>
      </c>
      <c r="Q297" t="s">
        <v>153</v>
      </c>
    </row>
    <row r="298" spans="9:17" ht="14.25">
      <c r="I298" t="s">
        <v>169</v>
      </c>
      <c r="J298" t="s">
        <v>220</v>
      </c>
      <c r="K298">
        <v>0</v>
      </c>
      <c r="L298" t="s">
        <v>153</v>
      </c>
      <c r="N298" t="s">
        <v>179</v>
      </c>
      <c r="O298" t="s">
        <v>220</v>
      </c>
      <c r="P298">
        <v>0.014900259733750575</v>
      </c>
      <c r="Q298" t="s">
        <v>153</v>
      </c>
    </row>
    <row r="299" spans="9:17" ht="14.25">
      <c r="I299" t="s">
        <v>169</v>
      </c>
      <c r="J299" t="s">
        <v>162</v>
      </c>
      <c r="K299">
        <v>0</v>
      </c>
      <c r="L299" t="s">
        <v>153</v>
      </c>
      <c r="N299" t="s">
        <v>179</v>
      </c>
      <c r="O299" t="s">
        <v>162</v>
      </c>
      <c r="P299">
        <v>0.0024600021154490381</v>
      </c>
      <c r="Q299" t="s">
        <v>153</v>
      </c>
    </row>
    <row r="300" spans="9:17" ht="14.25">
      <c r="I300" t="s">
        <v>169</v>
      </c>
      <c r="J300" t="s">
        <v>163</v>
      </c>
      <c r="K300">
        <v>0.00082219624866894023</v>
      </c>
      <c r="L300" t="s">
        <v>153</v>
      </c>
      <c r="N300" t="s">
        <v>179</v>
      </c>
      <c r="O300" t="s">
        <v>163</v>
      </c>
      <c r="P300">
        <v>0.00037424589946795676</v>
      </c>
      <c r="Q300" t="s">
        <v>153</v>
      </c>
    </row>
    <row r="301" spans="9:17" ht="14.25">
      <c r="I301" t="s">
        <v>169</v>
      </c>
      <c r="J301" t="s">
        <v>164</v>
      </c>
      <c r="K301">
        <v>0.012163286805036025</v>
      </c>
      <c r="L301" t="s">
        <v>153</v>
      </c>
      <c r="N301" t="s">
        <v>179</v>
      </c>
      <c r="O301" t="s">
        <v>164</v>
      </c>
      <c r="P301">
        <v>0.0063176205568789712</v>
      </c>
      <c r="Q301" t="s">
        <v>153</v>
      </c>
    </row>
    <row r="302" spans="9:17" ht="14.25">
      <c r="I302" t="s">
        <v>169</v>
      </c>
      <c r="J302" t="s">
        <v>206</v>
      </c>
      <c r="K302">
        <v>0.001124920618744119</v>
      </c>
      <c r="L302" t="s">
        <v>153</v>
      </c>
      <c r="N302" t="s">
        <v>179</v>
      </c>
      <c r="O302" t="s">
        <v>206</v>
      </c>
      <c r="P302">
        <v>0.00090175105246724399</v>
      </c>
      <c r="Q302" t="s">
        <v>153</v>
      </c>
    </row>
    <row r="303" spans="9:17" ht="14.25">
      <c r="I303" t="s">
        <v>169</v>
      </c>
      <c r="J303" t="s">
        <v>207</v>
      </c>
      <c r="K303">
        <v>0.00070777828348003616</v>
      </c>
      <c r="L303" t="s">
        <v>153</v>
      </c>
      <c r="N303" t="s">
        <v>179</v>
      </c>
      <c r="O303" t="s">
        <v>207</v>
      </c>
      <c r="P303">
        <v>0.00076201340682296808</v>
      </c>
      <c r="Q303" t="s">
        <v>153</v>
      </c>
    </row>
    <row r="304" spans="9:17" ht="14.25">
      <c r="I304" t="s">
        <v>169</v>
      </c>
      <c r="J304" t="s">
        <v>221</v>
      </c>
      <c r="K304">
        <v>0</v>
      </c>
      <c r="L304" t="s">
        <v>153</v>
      </c>
      <c r="N304" t="s">
        <v>179</v>
      </c>
      <c r="O304" t="s">
        <v>221</v>
      </c>
      <c r="P304">
        <v>0.0024493233174246666</v>
      </c>
      <c r="Q304" t="s">
        <v>153</v>
      </c>
    </row>
    <row r="305" spans="9:17" ht="14.25">
      <c r="I305" t="s">
        <v>169</v>
      </c>
      <c r="J305" t="s">
        <v>208</v>
      </c>
      <c r="K305">
        <v>0</v>
      </c>
      <c r="L305" t="s">
        <v>153</v>
      </c>
      <c r="N305" t="s">
        <v>179</v>
      </c>
      <c r="O305" t="s">
        <v>208</v>
      </c>
      <c r="P305">
        <v>0.003323209731216312</v>
      </c>
      <c r="Q305" t="s">
        <v>153</v>
      </c>
    </row>
    <row r="306" spans="9:17" ht="14.25">
      <c r="I306" t="s">
        <v>169</v>
      </c>
      <c r="J306" t="s">
        <v>209</v>
      </c>
      <c r="K306">
        <v>0.0015856514174990202</v>
      </c>
      <c r="L306" t="s">
        <v>153</v>
      </c>
      <c r="N306" t="s">
        <v>179</v>
      </c>
      <c r="O306" t="s">
        <v>209</v>
      </c>
      <c r="P306">
        <v>0.00063795099451240274</v>
      </c>
      <c r="Q306" t="s">
        <v>153</v>
      </c>
    </row>
    <row r="307" spans="9:17" ht="14.25">
      <c r="I307" t="s">
        <v>169</v>
      </c>
      <c r="J307" t="s">
        <v>210</v>
      </c>
      <c r="K307">
        <v>0.024328216194323609</v>
      </c>
      <c r="L307" t="s">
        <v>153</v>
      </c>
      <c r="N307" t="s">
        <v>179</v>
      </c>
      <c r="O307" t="s">
        <v>210</v>
      </c>
      <c r="P307">
        <v>0.0086277592877810807</v>
      </c>
      <c r="Q307" t="s">
        <v>153</v>
      </c>
    </row>
    <row r="308" spans="9:17" ht="14.25">
      <c r="I308" t="s">
        <v>169</v>
      </c>
      <c r="J308" t="s">
        <v>211</v>
      </c>
      <c r="K308">
        <v>0.0025545806803113449</v>
      </c>
      <c r="L308" t="s">
        <v>153</v>
      </c>
      <c r="N308" t="s">
        <v>179</v>
      </c>
      <c r="O308" t="s">
        <v>211</v>
      </c>
      <c r="P308">
        <v>0.0013399953532946861</v>
      </c>
      <c r="Q308" t="s">
        <v>153</v>
      </c>
    </row>
    <row r="309" spans="9:17" ht="14.25">
      <c r="I309" t="s">
        <v>169</v>
      </c>
      <c r="J309" t="s">
        <v>212</v>
      </c>
      <c r="K309">
        <v>0.0016531953861507376</v>
      </c>
      <c r="L309" t="s">
        <v>153</v>
      </c>
      <c r="N309" t="s">
        <v>179</v>
      </c>
      <c r="O309" t="s">
        <v>212</v>
      </c>
      <c r="P309">
        <v>0.0012502598446209204</v>
      </c>
      <c r="Q309" t="s">
        <v>153</v>
      </c>
    </row>
    <row r="310" spans="9:17" ht="14.25">
      <c r="I310" t="s">
        <v>169</v>
      </c>
      <c r="J310" t="s">
        <v>222</v>
      </c>
      <c r="K310">
        <v>0</v>
      </c>
      <c r="L310" t="s">
        <v>153</v>
      </c>
      <c r="N310" t="s">
        <v>179</v>
      </c>
      <c r="O310" t="s">
        <v>222</v>
      </c>
      <c r="P310">
        <v>0.0050213395427133765</v>
      </c>
      <c r="Q310" t="s">
        <v>153</v>
      </c>
    </row>
    <row r="311" spans="9:17" ht="14.25">
      <c r="I311" t="s">
        <v>169</v>
      </c>
      <c r="J311" t="s">
        <v>223</v>
      </c>
      <c r="K311">
        <v>0.00013867052753331643</v>
      </c>
      <c r="L311" t="s">
        <v>153</v>
      </c>
      <c r="N311" t="s">
        <v>179</v>
      </c>
      <c r="O311" t="s">
        <v>223</v>
      </c>
      <c r="P311">
        <v>0.001354899036788942</v>
      </c>
      <c r="Q311" t="s">
        <v>153</v>
      </c>
    </row>
    <row r="312" spans="9:17" ht="14.25">
      <c r="I312" t="s">
        <v>169</v>
      </c>
      <c r="J312" t="s">
        <v>224</v>
      </c>
      <c r="K312">
        <v>0.00048495447098507511</v>
      </c>
      <c r="L312" t="s">
        <v>153</v>
      </c>
      <c r="N312" t="s">
        <v>179</v>
      </c>
      <c r="O312" t="s">
        <v>224</v>
      </c>
      <c r="P312">
        <v>0.00015410053897467298</v>
      </c>
      <c r="Q312" t="s">
        <v>153</v>
      </c>
    </row>
    <row r="313" spans="9:17" ht="14.25">
      <c r="I313" t="s">
        <v>169</v>
      </c>
      <c r="J313" t="s">
        <v>225</v>
      </c>
      <c r="K313">
        <v>0.009008289110625305</v>
      </c>
      <c r="L313" t="s">
        <v>153</v>
      </c>
      <c r="N313" t="s">
        <v>179</v>
      </c>
      <c r="O313" t="s">
        <v>225</v>
      </c>
      <c r="P313">
        <v>0.012998528785239327</v>
      </c>
      <c r="Q313" t="s">
        <v>153</v>
      </c>
    </row>
    <row r="314" spans="9:17" ht="14.25">
      <c r="I314" t="s">
        <v>169</v>
      </c>
      <c r="J314" t="s">
        <v>226</v>
      </c>
      <c r="K314">
        <v>0.00077756599104055097</v>
      </c>
      <c r="L314" t="s">
        <v>153</v>
      </c>
      <c r="N314" t="s">
        <v>179</v>
      </c>
      <c r="O314" t="s">
        <v>226</v>
      </c>
      <c r="P314">
        <v>0.00177727921196804</v>
      </c>
      <c r="Q314" t="s">
        <v>153</v>
      </c>
    </row>
    <row r="315" spans="9:17" ht="14.25">
      <c r="I315" t="s">
        <v>169</v>
      </c>
      <c r="J315" t="s">
        <v>227</v>
      </c>
      <c r="K315">
        <v>0.00043972648205644721</v>
      </c>
      <c r="L315" t="s">
        <v>153</v>
      </c>
      <c r="N315" t="s">
        <v>179</v>
      </c>
      <c r="O315" t="s">
        <v>227</v>
      </c>
      <c r="P315">
        <v>0.0016716061011627348</v>
      </c>
      <c r="Q315" t="s">
        <v>153</v>
      </c>
    </row>
    <row r="316" spans="9:17" ht="14.25">
      <c r="I316" t="s">
        <v>169</v>
      </c>
      <c r="J316" t="s">
        <v>228</v>
      </c>
      <c r="K316">
        <v>0</v>
      </c>
      <c r="L316" t="s">
        <v>153</v>
      </c>
      <c r="N316" t="s">
        <v>179</v>
      </c>
      <c r="O316" t="s">
        <v>228</v>
      </c>
      <c r="P316">
        <v>0.0035697821653888485</v>
      </c>
      <c r="Q316" t="s">
        <v>153</v>
      </c>
    </row>
    <row r="317" spans="9:17" ht="14.25">
      <c r="I317" t="s">
        <v>169</v>
      </c>
      <c r="J317" t="s">
        <v>235</v>
      </c>
      <c r="K317">
        <v>0.007591224268503719</v>
      </c>
      <c r="L317" t="s">
        <v>153</v>
      </c>
      <c r="N317" t="s">
        <v>179</v>
      </c>
      <c r="O317" t="s">
        <v>235</v>
      </c>
      <c r="P317">
        <v>0.042821158007466831</v>
      </c>
      <c r="Q317" t="s">
        <v>153</v>
      </c>
    </row>
    <row r="318" spans="9:17" ht="14.25">
      <c r="I318" t="s">
        <v>169</v>
      </c>
      <c r="J318" t="s">
        <v>236</v>
      </c>
      <c r="K318">
        <v>0.014217932820845316</v>
      </c>
      <c r="L318" t="s">
        <v>153</v>
      </c>
      <c r="N318" t="s">
        <v>179</v>
      </c>
      <c r="O318" t="s">
        <v>236</v>
      </c>
      <c r="P318">
        <v>0.0053408275640909591</v>
      </c>
      <c r="Q318" t="s">
        <v>153</v>
      </c>
    </row>
    <row r="319" spans="9:17" ht="14.25">
      <c r="I319" t="s">
        <v>169</v>
      </c>
      <c r="J319" t="s">
        <v>237</v>
      </c>
      <c r="K319">
        <v>0.17014182746420717</v>
      </c>
      <c r="L319" t="s">
        <v>153</v>
      </c>
      <c r="N319" t="s">
        <v>179</v>
      </c>
      <c r="O319" t="s">
        <v>237</v>
      </c>
      <c r="P319">
        <v>0.14091147765268006</v>
      </c>
      <c r="Q319" t="s">
        <v>153</v>
      </c>
    </row>
    <row r="320" spans="9:17" ht="14.25">
      <c r="I320" t="s">
        <v>169</v>
      </c>
      <c r="J320" t="s">
        <v>238</v>
      </c>
      <c r="K320">
        <v>0.016251972128917658</v>
      </c>
      <c r="L320" t="s">
        <v>153</v>
      </c>
      <c r="N320" t="s">
        <v>179</v>
      </c>
      <c r="O320" t="s">
        <v>238</v>
      </c>
      <c r="P320">
        <v>0.02267182560657624</v>
      </c>
      <c r="Q320" t="s">
        <v>153</v>
      </c>
    </row>
    <row r="321" spans="9:17" ht="14.25">
      <c r="I321" t="s">
        <v>169</v>
      </c>
      <c r="J321" t="s">
        <v>239</v>
      </c>
      <c r="K321">
        <v>0.011351615473919418</v>
      </c>
      <c r="L321" t="s">
        <v>153</v>
      </c>
      <c r="N321" t="s">
        <v>179</v>
      </c>
      <c r="O321" t="s">
        <v>239</v>
      </c>
      <c r="P321">
        <v>0.021046245298084007</v>
      </c>
      <c r="Q321" t="s">
        <v>153</v>
      </c>
    </row>
    <row r="322" spans="9:17" ht="14.25">
      <c r="I322" t="s">
        <v>169</v>
      </c>
      <c r="J322" t="s">
        <v>240</v>
      </c>
      <c r="K322">
        <v>0.0042959982995218818</v>
      </c>
      <c r="L322" t="s">
        <v>153</v>
      </c>
      <c r="N322" t="s">
        <v>179</v>
      </c>
      <c r="O322" t="s">
        <v>240</v>
      </c>
      <c r="P322">
        <v>0.052665930198227726</v>
      </c>
      <c r="Q322" t="s">
        <v>153</v>
      </c>
    </row>
    <row r="323" spans="9:17" ht="14.25">
      <c r="I323" t="s">
        <v>169</v>
      </c>
      <c r="J323" t="s">
        <v>241</v>
      </c>
      <c r="K323">
        <v>0.0095196001068042508</v>
      </c>
      <c r="L323" t="s">
        <v>153</v>
      </c>
      <c r="N323" t="s">
        <v>179</v>
      </c>
      <c r="O323" t="s">
        <v>241</v>
      </c>
      <c r="P323">
        <v>0.090950505598642511</v>
      </c>
      <c r="Q323" t="s">
        <v>153</v>
      </c>
    </row>
    <row r="324" spans="9:17" ht="14.25">
      <c r="I324" t="s">
        <v>169</v>
      </c>
      <c r="J324" t="s">
        <v>242</v>
      </c>
      <c r="K324">
        <v>0.029799989839104809</v>
      </c>
      <c r="L324" t="s">
        <v>153</v>
      </c>
      <c r="N324" t="s">
        <v>179</v>
      </c>
      <c r="O324" t="s">
        <v>242</v>
      </c>
      <c r="P324">
        <v>0.012895837266771921</v>
      </c>
      <c r="Q324" t="s">
        <v>153</v>
      </c>
    </row>
    <row r="325" spans="9:17" ht="14.25">
      <c r="I325" t="s">
        <v>169</v>
      </c>
      <c r="J325" t="s">
        <v>243</v>
      </c>
      <c r="K325">
        <v>0.41101687809052201</v>
      </c>
      <c r="L325" t="s">
        <v>153</v>
      </c>
      <c r="N325" t="s">
        <v>179</v>
      </c>
      <c r="O325" t="s">
        <v>243</v>
      </c>
      <c r="P325">
        <v>0.12661124422429634</v>
      </c>
      <c r="Q325" t="s">
        <v>153</v>
      </c>
    </row>
    <row r="326" spans="9:17" ht="14.25">
      <c r="I326" t="s">
        <v>169</v>
      </c>
      <c r="J326" t="s">
        <v>244</v>
      </c>
      <c r="K326">
        <v>0.035972422563101639</v>
      </c>
      <c r="L326" t="s">
        <v>153</v>
      </c>
      <c r="N326" t="s">
        <v>179</v>
      </c>
      <c r="O326" t="s">
        <v>244</v>
      </c>
      <c r="P326">
        <v>0.022744208767386413</v>
      </c>
      <c r="Q326" t="s">
        <v>153</v>
      </c>
    </row>
    <row r="327" spans="9:17" ht="14.25">
      <c r="I327" t="s">
        <v>169</v>
      </c>
      <c r="J327" t="s">
        <v>245</v>
      </c>
      <c r="K327">
        <v>0.017947056849353715</v>
      </c>
      <c r="L327" t="s">
        <v>153</v>
      </c>
      <c r="N327" t="s">
        <v>179</v>
      </c>
      <c r="O327" t="s">
        <v>245</v>
      </c>
      <c r="P327">
        <v>0.024239339819861712</v>
      </c>
      <c r="Q327" t="s">
        <v>153</v>
      </c>
    </row>
    <row r="328" spans="9:17" ht="14.25">
      <c r="I328" t="s">
        <v>169</v>
      </c>
      <c r="J328" t="s">
        <v>246</v>
      </c>
      <c r="K328">
        <v>0.004323666560360667</v>
      </c>
      <c r="L328" t="s">
        <v>153</v>
      </c>
      <c r="N328" t="s">
        <v>179</v>
      </c>
      <c r="O328" t="s">
        <v>246</v>
      </c>
      <c r="P328">
        <v>0.09100485912404041</v>
      </c>
      <c r="Q328" t="s">
        <v>153</v>
      </c>
    </row>
    <row r="329" spans="9:17" ht="14.25">
      <c r="I329" t="s">
        <v>169</v>
      </c>
      <c r="J329" t="s">
        <v>247</v>
      </c>
      <c r="K329">
        <v>0</v>
      </c>
      <c r="L329" t="s">
        <v>153</v>
      </c>
      <c r="N329" t="s">
        <v>179</v>
      </c>
      <c r="O329" t="s">
        <v>247</v>
      </c>
      <c r="P329">
        <v>0.019209822711270346</v>
      </c>
      <c r="Q329" t="s">
        <v>153</v>
      </c>
    </row>
    <row r="330" spans="9:17" ht="14.25">
      <c r="I330" t="s">
        <v>169</v>
      </c>
      <c r="J330" t="s">
        <v>248</v>
      </c>
      <c r="K330">
        <v>0.0021680255629464634</v>
      </c>
      <c r="L330" t="s">
        <v>153</v>
      </c>
      <c r="N330" t="s">
        <v>179</v>
      </c>
      <c r="O330" t="s">
        <v>248</v>
      </c>
      <c r="P330">
        <v>0.0025585274453864678</v>
      </c>
      <c r="Q330" t="s">
        <v>153</v>
      </c>
    </row>
    <row r="331" spans="9:17" ht="14.25">
      <c r="I331" t="s">
        <v>169</v>
      </c>
      <c r="J331" t="s">
        <v>249</v>
      </c>
      <c r="K331">
        <v>0.035996218821417784</v>
      </c>
      <c r="L331" t="s">
        <v>153</v>
      </c>
      <c r="N331" t="s">
        <v>179</v>
      </c>
      <c r="O331" t="s">
        <v>249</v>
      </c>
      <c r="P331">
        <v>0.029003068148051574</v>
      </c>
      <c r="Q331" t="s">
        <v>153</v>
      </c>
    </row>
    <row r="332" spans="9:17" ht="14.25">
      <c r="I332" t="s">
        <v>169</v>
      </c>
      <c r="J332" t="s">
        <v>250</v>
      </c>
      <c r="K332">
        <v>0.0031774705891593701</v>
      </c>
      <c r="L332" t="s">
        <v>153</v>
      </c>
      <c r="N332" t="s">
        <v>179</v>
      </c>
      <c r="O332" t="s">
        <v>250</v>
      </c>
      <c r="P332">
        <v>0.0041176096005537607</v>
      </c>
      <c r="Q332" t="s">
        <v>153</v>
      </c>
    </row>
    <row r="333" spans="9:17" ht="14.25">
      <c r="I333" t="s">
        <v>169</v>
      </c>
      <c r="J333" t="s">
        <v>251</v>
      </c>
      <c r="K333">
        <v>0.00069739412202814328</v>
      </c>
      <c r="L333" t="s">
        <v>153</v>
      </c>
      <c r="N333" t="s">
        <v>179</v>
      </c>
      <c r="O333" t="s">
        <v>251</v>
      </c>
      <c r="P333">
        <v>0.0042750216831058396</v>
      </c>
      <c r="Q333" t="s">
        <v>153</v>
      </c>
    </row>
    <row r="334" spans="9:17" ht="14.25">
      <c r="I334" t="s">
        <v>169</v>
      </c>
      <c r="J334" t="s">
        <v>252</v>
      </c>
      <c r="K334">
        <v>0</v>
      </c>
      <c r="L334" t="s">
        <v>153</v>
      </c>
      <c r="N334" t="s">
        <v>179</v>
      </c>
      <c r="O334" t="s">
        <v>252</v>
      </c>
      <c r="P334">
        <v>0.020329900575355761</v>
      </c>
      <c r="Q334" t="s">
        <v>153</v>
      </c>
    </row>
    <row r="335" spans="9:17" ht="14.25">
      <c r="I335" t="s">
        <v>170</v>
      </c>
      <c r="J335" t="s">
        <v>152</v>
      </c>
      <c r="K335">
        <v>0</v>
      </c>
      <c r="L335" t="s">
        <v>153</v>
      </c>
      <c r="N335" t="s">
        <v>180</v>
      </c>
      <c r="O335" t="s">
        <v>152</v>
      </c>
      <c r="P335">
        <v>0.0024341889572584655</v>
      </c>
      <c r="Q335" t="s">
        <v>153</v>
      </c>
    </row>
    <row r="336" spans="9:17" ht="14.25">
      <c r="I336" t="s">
        <v>170</v>
      </c>
      <c r="J336" t="s">
        <v>154</v>
      </c>
      <c r="K336">
        <v>0.00069953577886947102</v>
      </c>
      <c r="L336" t="s">
        <v>153</v>
      </c>
      <c r="N336" t="s">
        <v>180</v>
      </c>
      <c r="O336" t="s">
        <v>154</v>
      </c>
      <c r="P336">
        <v>0.00013479464698621597</v>
      </c>
      <c r="Q336" t="s">
        <v>153</v>
      </c>
    </row>
    <row r="337" spans="9:17" ht="14.25">
      <c r="I337" t="s">
        <v>170</v>
      </c>
      <c r="J337" t="s">
        <v>155</v>
      </c>
      <c r="K337">
        <v>0.012701940688237446</v>
      </c>
      <c r="L337" t="s">
        <v>153</v>
      </c>
      <c r="N337" t="s">
        <v>180</v>
      </c>
      <c r="O337" t="s">
        <v>155</v>
      </c>
      <c r="P337">
        <v>0.0018637299017243199</v>
      </c>
      <c r="Q337" t="s">
        <v>153</v>
      </c>
    </row>
    <row r="338" spans="9:17" ht="14.25">
      <c r="I338" t="s">
        <v>170</v>
      </c>
      <c r="J338" t="s">
        <v>200</v>
      </c>
      <c r="K338">
        <v>0.001174170200688882</v>
      </c>
      <c r="L338" t="s">
        <v>153</v>
      </c>
      <c r="N338" t="s">
        <v>180</v>
      </c>
      <c r="O338" t="s">
        <v>200</v>
      </c>
      <c r="P338">
        <v>0.00054534697769360472</v>
      </c>
      <c r="Q338" t="s">
        <v>153</v>
      </c>
    </row>
    <row r="339" spans="9:17" ht="14.25">
      <c r="I339" t="s">
        <v>170</v>
      </c>
      <c r="J339" t="s">
        <v>201</v>
      </c>
      <c r="K339">
        <v>0.00067289375207510416</v>
      </c>
      <c r="L339" t="s">
        <v>153</v>
      </c>
      <c r="N339" t="s">
        <v>180</v>
      </c>
      <c r="O339" t="s">
        <v>201</v>
      </c>
      <c r="P339">
        <v>0.00064931512044118862</v>
      </c>
      <c r="Q339" t="s">
        <v>153</v>
      </c>
    </row>
    <row r="340" spans="9:17" ht="14.25">
      <c r="I340" t="s">
        <v>170</v>
      </c>
      <c r="J340" t="s">
        <v>218</v>
      </c>
      <c r="K340">
        <v>0</v>
      </c>
      <c r="L340" t="s">
        <v>153</v>
      </c>
      <c r="N340" t="s">
        <v>180</v>
      </c>
      <c r="O340" t="s">
        <v>218</v>
      </c>
      <c r="P340">
        <v>0.0029906320587480494</v>
      </c>
      <c r="Q340" t="s">
        <v>153</v>
      </c>
    </row>
    <row r="341" spans="9:17" ht="14.25">
      <c r="I341" t="s">
        <v>170</v>
      </c>
      <c r="J341" t="s">
        <v>156</v>
      </c>
      <c r="K341">
        <v>0</v>
      </c>
      <c r="L341" t="s">
        <v>153</v>
      </c>
      <c r="N341" t="s">
        <v>180</v>
      </c>
      <c r="O341" t="s">
        <v>156</v>
      </c>
      <c r="P341">
        <v>0.037348791313097991</v>
      </c>
      <c r="Q341" t="s">
        <v>153</v>
      </c>
    </row>
    <row r="342" spans="9:17" ht="14.25">
      <c r="I342" t="s">
        <v>170</v>
      </c>
      <c r="J342" t="s">
        <v>157</v>
      </c>
      <c r="K342">
        <v>0.0031593937683792226</v>
      </c>
      <c r="L342" t="s">
        <v>153</v>
      </c>
      <c r="N342" t="s">
        <v>180</v>
      </c>
      <c r="O342" t="s">
        <v>157</v>
      </c>
      <c r="P342">
        <v>0.006158618667623213</v>
      </c>
      <c r="Q342" t="s">
        <v>153</v>
      </c>
    </row>
    <row r="343" spans="9:17" ht="14.25">
      <c r="I343" t="s">
        <v>170</v>
      </c>
      <c r="J343" t="s">
        <v>158</v>
      </c>
      <c r="K343">
        <v>0.059903329416107369</v>
      </c>
      <c r="L343" t="s">
        <v>153</v>
      </c>
      <c r="N343" t="s">
        <v>180</v>
      </c>
      <c r="O343" t="s">
        <v>158</v>
      </c>
      <c r="P343">
        <v>0.049371454967233143</v>
      </c>
      <c r="Q343" t="s">
        <v>153</v>
      </c>
    </row>
    <row r="344" spans="9:17" ht="14.25">
      <c r="I344" t="s">
        <v>170</v>
      </c>
      <c r="J344" t="s">
        <v>202</v>
      </c>
      <c r="K344">
        <v>0.0057074274092402781</v>
      </c>
      <c r="L344" t="s">
        <v>153</v>
      </c>
      <c r="N344" t="s">
        <v>180</v>
      </c>
      <c r="O344" t="s">
        <v>202</v>
      </c>
      <c r="P344">
        <v>0.0047789199462005853</v>
      </c>
      <c r="Q344" t="s">
        <v>153</v>
      </c>
    </row>
    <row r="345" spans="9:17" ht="14.25">
      <c r="I345" t="s">
        <v>170</v>
      </c>
      <c r="J345" t="s">
        <v>203</v>
      </c>
      <c r="K345">
        <v>0.0032380724011287698</v>
      </c>
      <c r="L345" t="s">
        <v>153</v>
      </c>
      <c r="N345" t="s">
        <v>180</v>
      </c>
      <c r="O345" t="s">
        <v>203</v>
      </c>
      <c r="P345">
        <v>0.0049395770373173919</v>
      </c>
      <c r="Q345" t="s">
        <v>153</v>
      </c>
    </row>
    <row r="346" spans="9:17" ht="14.25">
      <c r="I346" t="s">
        <v>170</v>
      </c>
      <c r="J346" t="s">
        <v>219</v>
      </c>
      <c r="K346">
        <v>0</v>
      </c>
      <c r="L346" t="s">
        <v>153</v>
      </c>
      <c r="N346" t="s">
        <v>180</v>
      </c>
      <c r="O346" t="s">
        <v>219</v>
      </c>
      <c r="P346">
        <v>0.028751947616215846</v>
      </c>
      <c r="Q346" t="s">
        <v>153</v>
      </c>
    </row>
    <row r="347" spans="9:17" ht="14.25">
      <c r="I347" t="s">
        <v>170</v>
      </c>
      <c r="J347" t="s">
        <v>159</v>
      </c>
      <c r="K347">
        <v>0</v>
      </c>
      <c r="L347" t="s">
        <v>153</v>
      </c>
      <c r="N347" t="s">
        <v>180</v>
      </c>
      <c r="O347" t="s">
        <v>159</v>
      </c>
      <c r="P347">
        <v>0.015261503072151792</v>
      </c>
      <c r="Q347" t="s">
        <v>153</v>
      </c>
    </row>
    <row r="348" spans="9:17" ht="14.25">
      <c r="I348" t="s">
        <v>170</v>
      </c>
      <c r="J348" t="s">
        <v>160</v>
      </c>
      <c r="K348">
        <v>0.0041145346260197634</v>
      </c>
      <c r="L348" t="s">
        <v>153</v>
      </c>
      <c r="N348" t="s">
        <v>180</v>
      </c>
      <c r="O348" t="s">
        <v>160</v>
      </c>
      <c r="P348">
        <v>0.0025452924754279433</v>
      </c>
      <c r="Q348" t="s">
        <v>153</v>
      </c>
    </row>
    <row r="349" spans="9:17" ht="14.25">
      <c r="I349" t="s">
        <v>170</v>
      </c>
      <c r="J349" t="s">
        <v>161</v>
      </c>
      <c r="K349">
        <v>0.068815498878079959</v>
      </c>
      <c r="L349" t="s">
        <v>153</v>
      </c>
      <c r="N349" t="s">
        <v>180</v>
      </c>
      <c r="O349" t="s">
        <v>161</v>
      </c>
      <c r="P349">
        <v>0.018545523580064331</v>
      </c>
      <c r="Q349" t="s">
        <v>153</v>
      </c>
    </row>
    <row r="350" spans="9:17" ht="14.25">
      <c r="I350" t="s">
        <v>170</v>
      </c>
      <c r="J350" t="s">
        <v>204</v>
      </c>
      <c r="K350">
        <v>0.007167169265426699</v>
      </c>
      <c r="L350" t="s">
        <v>153</v>
      </c>
      <c r="N350" t="s">
        <v>180</v>
      </c>
      <c r="O350" t="s">
        <v>204</v>
      </c>
      <c r="P350">
        <v>0.0031048153582053355</v>
      </c>
      <c r="Q350" t="s">
        <v>153</v>
      </c>
    </row>
    <row r="351" spans="9:17" ht="14.25">
      <c r="I351" t="s">
        <v>170</v>
      </c>
      <c r="J351" t="s">
        <v>205</v>
      </c>
      <c r="K351">
        <v>0.0044831881153549235</v>
      </c>
      <c r="L351" t="s">
        <v>153</v>
      </c>
      <c r="N351" t="s">
        <v>180</v>
      </c>
      <c r="O351" t="s">
        <v>205</v>
      </c>
      <c r="P351">
        <v>0.0040716038687267555</v>
      </c>
      <c r="Q351" t="s">
        <v>153</v>
      </c>
    </row>
    <row r="352" spans="9:17" ht="14.25">
      <c r="I352" t="s">
        <v>170</v>
      </c>
      <c r="J352" t="s">
        <v>220</v>
      </c>
      <c r="K352">
        <v>0</v>
      </c>
      <c r="L352" t="s">
        <v>153</v>
      </c>
      <c r="N352" t="s">
        <v>180</v>
      </c>
      <c r="O352" t="s">
        <v>220</v>
      </c>
      <c r="P352">
        <v>0.020497550573709698</v>
      </c>
      <c r="Q352" t="s">
        <v>153</v>
      </c>
    </row>
    <row r="353" spans="9:17" ht="14.25">
      <c r="I353" t="s">
        <v>170</v>
      </c>
      <c r="J353" t="s">
        <v>162</v>
      </c>
      <c r="K353">
        <v>0</v>
      </c>
      <c r="L353" t="s">
        <v>153</v>
      </c>
      <c r="N353" t="s">
        <v>180</v>
      </c>
      <c r="O353" t="s">
        <v>162</v>
      </c>
      <c r="P353">
        <v>0.0052836771907221348</v>
      </c>
      <c r="Q353" t="s">
        <v>153</v>
      </c>
    </row>
    <row r="354" spans="9:17" ht="14.25">
      <c r="I354" t="s">
        <v>170</v>
      </c>
      <c r="J354" t="s">
        <v>163</v>
      </c>
      <c r="K354">
        <v>0.00085155361123565693</v>
      </c>
      <c r="L354" t="s">
        <v>153</v>
      </c>
      <c r="N354" t="s">
        <v>180</v>
      </c>
      <c r="O354" t="s">
        <v>163</v>
      </c>
      <c r="P354">
        <v>0.00091222888056200695</v>
      </c>
      <c r="Q354" t="s">
        <v>153</v>
      </c>
    </row>
    <row r="355" spans="9:17" ht="14.25">
      <c r="I355" t="s">
        <v>170</v>
      </c>
      <c r="J355" t="s">
        <v>164</v>
      </c>
      <c r="K355">
        <v>0.012109612570819649</v>
      </c>
      <c r="L355" t="s">
        <v>153</v>
      </c>
      <c r="N355" t="s">
        <v>180</v>
      </c>
      <c r="O355" t="s">
        <v>164</v>
      </c>
      <c r="P355">
        <v>0.0060050096875611152</v>
      </c>
      <c r="Q355" t="s">
        <v>153</v>
      </c>
    </row>
    <row r="356" spans="9:17" ht="14.25">
      <c r="I356" t="s">
        <v>170</v>
      </c>
      <c r="J356" t="s">
        <v>206</v>
      </c>
      <c r="K356">
        <v>0.0010952706931463018</v>
      </c>
      <c r="L356" t="s">
        <v>153</v>
      </c>
      <c r="N356" t="s">
        <v>180</v>
      </c>
      <c r="O356" t="s">
        <v>206</v>
      </c>
      <c r="P356">
        <v>0.00060632608534459318</v>
      </c>
      <c r="Q356" t="s">
        <v>153</v>
      </c>
    </row>
    <row r="357" spans="9:17" ht="14.25">
      <c r="I357" t="s">
        <v>170</v>
      </c>
      <c r="J357" t="s">
        <v>207</v>
      </c>
      <c r="K357">
        <v>0.00067315053340817773</v>
      </c>
      <c r="L357" t="s">
        <v>153</v>
      </c>
      <c r="N357" t="s">
        <v>180</v>
      </c>
      <c r="O357" t="s">
        <v>207</v>
      </c>
      <c r="P357">
        <v>0.00064039177715749941</v>
      </c>
      <c r="Q357" t="s">
        <v>153</v>
      </c>
    </row>
    <row r="358" spans="9:17" ht="14.25">
      <c r="I358" t="s">
        <v>170</v>
      </c>
      <c r="J358" t="s">
        <v>221</v>
      </c>
      <c r="K358">
        <v>0</v>
      </c>
      <c r="L358" t="s">
        <v>153</v>
      </c>
      <c r="N358" t="s">
        <v>180</v>
      </c>
      <c r="O358" t="s">
        <v>221</v>
      </c>
      <c r="P358">
        <v>0.0036094240471212049</v>
      </c>
      <c r="Q358" t="s">
        <v>153</v>
      </c>
    </row>
    <row r="359" spans="9:17" ht="14.25">
      <c r="I359" t="s">
        <v>170</v>
      </c>
      <c r="J359" t="s">
        <v>208</v>
      </c>
      <c r="K359">
        <v>0.00012099843009390007</v>
      </c>
      <c r="L359" t="s">
        <v>153</v>
      </c>
      <c r="N359" t="s">
        <v>180</v>
      </c>
      <c r="O359" t="s">
        <v>208</v>
      </c>
      <c r="P359">
        <v>0.006167919117327573</v>
      </c>
      <c r="Q359" t="s">
        <v>153</v>
      </c>
    </row>
    <row r="360" spans="9:17" ht="14.25">
      <c r="I360" t="s">
        <v>170</v>
      </c>
      <c r="J360" t="s">
        <v>209</v>
      </c>
      <c r="K360">
        <v>0.0018190385769122856</v>
      </c>
      <c r="L360" t="s">
        <v>153</v>
      </c>
      <c r="N360" t="s">
        <v>180</v>
      </c>
      <c r="O360" t="s">
        <v>209</v>
      </c>
      <c r="P360">
        <v>0.0018850922598054303</v>
      </c>
      <c r="Q360" t="s">
        <v>153</v>
      </c>
    </row>
    <row r="361" spans="9:17" ht="14.25">
      <c r="I361" t="s">
        <v>170</v>
      </c>
      <c r="J361" t="s">
        <v>210</v>
      </c>
      <c r="K361">
        <v>0.024620913323066377</v>
      </c>
      <c r="L361" t="s">
        <v>153</v>
      </c>
      <c r="N361" t="s">
        <v>180</v>
      </c>
      <c r="O361" t="s">
        <v>210</v>
      </c>
      <c r="P361">
        <v>0.011106531284704934</v>
      </c>
      <c r="Q361" t="s">
        <v>153</v>
      </c>
    </row>
    <row r="362" spans="9:17" ht="14.25">
      <c r="I362" t="s">
        <v>170</v>
      </c>
      <c r="J362" t="s">
        <v>211</v>
      </c>
      <c r="K362">
        <v>0.0024902962220867009</v>
      </c>
      <c r="L362" t="s">
        <v>153</v>
      </c>
      <c r="N362" t="s">
        <v>180</v>
      </c>
      <c r="O362" t="s">
        <v>211</v>
      </c>
      <c r="P362">
        <v>0.0013674314073279605</v>
      </c>
      <c r="Q362" t="s">
        <v>153</v>
      </c>
    </row>
    <row r="363" spans="9:17" ht="14.25">
      <c r="I363" t="s">
        <v>170</v>
      </c>
      <c r="J363" t="s">
        <v>212</v>
      </c>
      <c r="K363">
        <v>0.0015891285031956835</v>
      </c>
      <c r="L363" t="s">
        <v>153</v>
      </c>
      <c r="N363" t="s">
        <v>180</v>
      </c>
      <c r="O363" t="s">
        <v>212</v>
      </c>
      <c r="P363">
        <v>0.0017536154229256199</v>
      </c>
      <c r="Q363" t="s">
        <v>153</v>
      </c>
    </row>
    <row r="364" spans="9:17" ht="14.25">
      <c r="I364" t="s">
        <v>170</v>
      </c>
      <c r="J364" t="s">
        <v>222</v>
      </c>
      <c r="K364">
        <v>0</v>
      </c>
      <c r="L364" t="s">
        <v>153</v>
      </c>
      <c r="N364" t="s">
        <v>180</v>
      </c>
      <c r="O364" t="s">
        <v>222</v>
      </c>
      <c r="P364">
        <v>0.0094881219385079766</v>
      </c>
      <c r="Q364" t="s">
        <v>153</v>
      </c>
    </row>
    <row r="365" spans="9:17" ht="14.25">
      <c r="I365" t="s">
        <v>170</v>
      </c>
      <c r="J365" t="s">
        <v>223</v>
      </c>
      <c r="K365">
        <v>0.00026552913982969456</v>
      </c>
      <c r="L365" t="s">
        <v>153</v>
      </c>
      <c r="N365" t="s">
        <v>180</v>
      </c>
      <c r="O365" t="s">
        <v>223</v>
      </c>
      <c r="P365">
        <v>0.0027970916467950362</v>
      </c>
      <c r="Q365" t="s">
        <v>153</v>
      </c>
    </row>
    <row r="366" spans="9:17" ht="14.25">
      <c r="I366" t="s">
        <v>170</v>
      </c>
      <c r="J366" t="s">
        <v>224</v>
      </c>
      <c r="K366">
        <v>0.00054429185035477653</v>
      </c>
      <c r="L366" t="s">
        <v>153</v>
      </c>
      <c r="N366" t="s">
        <v>180</v>
      </c>
      <c r="O366" t="s">
        <v>224</v>
      </c>
      <c r="P366">
        <v>0.0006503749991947674</v>
      </c>
      <c r="Q366" t="s">
        <v>153</v>
      </c>
    </row>
    <row r="367" spans="9:17" ht="14.25">
      <c r="I367" t="s">
        <v>170</v>
      </c>
      <c r="J367" t="s">
        <v>225</v>
      </c>
      <c r="K367">
        <v>0.0093801671776526617</v>
      </c>
      <c r="L367" t="s">
        <v>153</v>
      </c>
      <c r="N367" t="s">
        <v>180</v>
      </c>
      <c r="O367" t="s">
        <v>225</v>
      </c>
      <c r="P367">
        <v>0.0076889876602803204</v>
      </c>
      <c r="Q367" t="s">
        <v>153</v>
      </c>
    </row>
    <row r="368" spans="9:17" ht="14.25">
      <c r="I368" t="s">
        <v>170</v>
      </c>
      <c r="J368" t="s">
        <v>226</v>
      </c>
      <c r="K368">
        <v>0.00075649284177857273</v>
      </c>
      <c r="L368" t="s">
        <v>153</v>
      </c>
      <c r="N368" t="s">
        <v>180</v>
      </c>
      <c r="O368" t="s">
        <v>226</v>
      </c>
      <c r="P368">
        <v>0.0011924066798385919</v>
      </c>
      <c r="Q368" t="s">
        <v>153</v>
      </c>
    </row>
    <row r="369" spans="9:17" ht="14.25">
      <c r="I369" t="s">
        <v>170</v>
      </c>
      <c r="J369" t="s">
        <v>227</v>
      </c>
      <c r="K369">
        <v>0.00044359452716889768</v>
      </c>
      <c r="L369" t="s">
        <v>153</v>
      </c>
      <c r="N369" t="s">
        <v>180</v>
      </c>
      <c r="O369" t="s">
        <v>227</v>
      </c>
      <c r="P369">
        <v>0.0011940196042577655</v>
      </c>
      <c r="Q369" t="s">
        <v>153</v>
      </c>
    </row>
    <row r="370" spans="9:17" ht="14.25">
      <c r="I370" t="s">
        <v>170</v>
      </c>
      <c r="J370" t="s">
        <v>228</v>
      </c>
      <c r="K370">
        <v>0</v>
      </c>
      <c r="L370" t="s">
        <v>153</v>
      </c>
      <c r="N370" t="s">
        <v>180</v>
      </c>
      <c r="O370" t="s">
        <v>228</v>
      </c>
      <c r="P370">
        <v>0.0028353380905989331</v>
      </c>
      <c r="Q370" t="s">
        <v>153</v>
      </c>
    </row>
    <row r="371" spans="9:17" ht="14.25">
      <c r="I371" t="s">
        <v>170</v>
      </c>
      <c r="J371" t="s">
        <v>235</v>
      </c>
      <c r="K371">
        <v>0.0081949989081747977</v>
      </c>
      <c r="L371" t="s">
        <v>153</v>
      </c>
      <c r="N371" t="s">
        <v>180</v>
      </c>
      <c r="O371" t="s">
        <v>235</v>
      </c>
      <c r="P371">
        <v>0.043492588198547059</v>
      </c>
      <c r="Q371" t="s">
        <v>153</v>
      </c>
    </row>
    <row r="372" spans="9:17" ht="14.25">
      <c r="I372" t="s">
        <v>170</v>
      </c>
      <c r="J372" t="s">
        <v>236</v>
      </c>
      <c r="K372">
        <v>0.015036610543107058</v>
      </c>
      <c r="L372" t="s">
        <v>153</v>
      </c>
      <c r="N372" t="s">
        <v>180</v>
      </c>
      <c r="O372" t="s">
        <v>236</v>
      </c>
      <c r="P372">
        <v>0.006472857705427314</v>
      </c>
      <c r="Q372" t="s">
        <v>153</v>
      </c>
    </row>
    <row r="373" spans="9:17" ht="14.25">
      <c r="I373" t="s">
        <v>170</v>
      </c>
      <c r="J373" t="s">
        <v>237</v>
      </c>
      <c r="K373">
        <v>0.17060982427753366</v>
      </c>
      <c r="L373" t="s">
        <v>153</v>
      </c>
      <c r="N373" t="s">
        <v>180</v>
      </c>
      <c r="O373" t="s">
        <v>237</v>
      </c>
      <c r="P373">
        <v>0.081736844522288896</v>
      </c>
      <c r="Q373" t="s">
        <v>153</v>
      </c>
    </row>
    <row r="374" spans="9:17" ht="14.25">
      <c r="I374" t="s">
        <v>170</v>
      </c>
      <c r="J374" t="s">
        <v>238</v>
      </c>
      <c r="K374">
        <v>0.015763353187046615</v>
      </c>
      <c r="L374" t="s">
        <v>153</v>
      </c>
      <c r="N374" t="s">
        <v>180</v>
      </c>
      <c r="O374" t="s">
        <v>238</v>
      </c>
      <c r="P374">
        <v>0.014802308080702133</v>
      </c>
      <c r="Q374" t="s">
        <v>153</v>
      </c>
    </row>
    <row r="375" spans="9:17" ht="14.25">
      <c r="I375" t="s">
        <v>170</v>
      </c>
      <c r="J375" t="s">
        <v>239</v>
      </c>
      <c r="K375">
        <v>0.010833320628418642</v>
      </c>
      <c r="L375" t="s">
        <v>153</v>
      </c>
      <c r="N375" t="s">
        <v>180</v>
      </c>
      <c r="O375" t="s">
        <v>239</v>
      </c>
      <c r="P375">
        <v>0.014508615086387419</v>
      </c>
      <c r="Q375" t="s">
        <v>153</v>
      </c>
    </row>
    <row r="376" spans="9:17" ht="14.25">
      <c r="I376" t="s">
        <v>170</v>
      </c>
      <c r="J376" t="s">
        <v>240</v>
      </c>
      <c r="K376">
        <v>0.0036623765160789853</v>
      </c>
      <c r="L376" t="s">
        <v>153</v>
      </c>
      <c r="N376" t="s">
        <v>180</v>
      </c>
      <c r="O376" t="s">
        <v>240</v>
      </c>
      <c r="P376">
        <v>0.05069021313361724</v>
      </c>
      <c r="Q376" t="s">
        <v>153</v>
      </c>
    </row>
    <row r="377" spans="9:17" ht="14.25">
      <c r="I377" t="s">
        <v>170</v>
      </c>
      <c r="J377" t="s">
        <v>241</v>
      </c>
      <c r="K377">
        <v>0.010753700788341336</v>
      </c>
      <c r="L377" t="s">
        <v>153</v>
      </c>
      <c r="N377" t="s">
        <v>180</v>
      </c>
      <c r="O377" t="s">
        <v>241</v>
      </c>
      <c r="P377">
        <v>0.12582473540118613</v>
      </c>
      <c r="Q377" t="s">
        <v>153</v>
      </c>
    </row>
    <row r="378" spans="9:17" ht="14.25">
      <c r="I378" t="s">
        <v>170</v>
      </c>
      <c r="J378" t="s">
        <v>242</v>
      </c>
      <c r="K378">
        <v>0.031139856183340912</v>
      </c>
      <c r="L378" t="s">
        <v>153</v>
      </c>
      <c r="N378" t="s">
        <v>180</v>
      </c>
      <c r="O378" t="s">
        <v>242</v>
      </c>
      <c r="P378">
        <v>0.019949987911190417</v>
      </c>
      <c r="Q378" t="s">
        <v>153</v>
      </c>
    </row>
    <row r="379" spans="9:17" ht="14.25">
      <c r="I379" t="s">
        <v>170</v>
      </c>
      <c r="J379" t="s">
        <v>243</v>
      </c>
      <c r="K379">
        <v>0.40886473169428517</v>
      </c>
      <c r="L379" t="s">
        <v>153</v>
      </c>
      <c r="N379" t="s">
        <v>180</v>
      </c>
      <c r="O379" t="s">
        <v>243</v>
      </c>
      <c r="P379">
        <v>0.11692172013679353</v>
      </c>
      <c r="Q379" t="s">
        <v>153</v>
      </c>
    </row>
    <row r="380" spans="9:17" ht="14.25">
      <c r="I380" t="s">
        <v>170</v>
      </c>
      <c r="J380" t="s">
        <v>244</v>
      </c>
      <c r="K380">
        <v>0.034666113214050318</v>
      </c>
      <c r="L380" t="s">
        <v>153</v>
      </c>
      <c r="N380" t="s">
        <v>180</v>
      </c>
      <c r="O380" t="s">
        <v>244</v>
      </c>
      <c r="P380">
        <v>0.023763429863176401</v>
      </c>
      <c r="Q380" t="s">
        <v>153</v>
      </c>
    </row>
    <row r="381" spans="9:17" ht="14.25">
      <c r="I381" t="s">
        <v>170</v>
      </c>
      <c r="J381" t="s">
        <v>245</v>
      </c>
      <c r="K381">
        <v>0.016753511990643434</v>
      </c>
      <c r="L381" t="s">
        <v>153</v>
      </c>
      <c r="N381" t="s">
        <v>180</v>
      </c>
      <c r="O381" t="s">
        <v>245</v>
      </c>
      <c r="P381">
        <v>0.029967918338493015</v>
      </c>
      <c r="Q381" t="s">
        <v>153</v>
      </c>
    </row>
    <row r="382" spans="9:17" ht="14.25">
      <c r="I382" t="s">
        <v>170</v>
      </c>
      <c r="J382" t="s">
        <v>246</v>
      </c>
      <c r="K382">
        <v>0.0040010067256321122</v>
      </c>
      <c r="L382" t="s">
        <v>153</v>
      </c>
      <c r="N382" t="s">
        <v>180</v>
      </c>
      <c r="O382" t="s">
        <v>246</v>
      </c>
      <c r="P382">
        <v>0.13479622459078766</v>
      </c>
      <c r="Q382" t="s">
        <v>153</v>
      </c>
    </row>
    <row r="383" spans="9:17" ht="14.25">
      <c r="I383" t="s">
        <v>170</v>
      </c>
      <c r="J383" t="s">
        <v>247</v>
      </c>
      <c r="K383">
        <v>0</v>
      </c>
      <c r="L383" t="s">
        <v>153</v>
      </c>
      <c r="N383" t="s">
        <v>180</v>
      </c>
      <c r="O383" t="s">
        <v>247</v>
      </c>
      <c r="P383">
        <v>0.017333851836353345</v>
      </c>
      <c r="Q383" t="s">
        <v>153</v>
      </c>
    </row>
    <row r="384" spans="9:17" ht="14.25">
      <c r="I384" t="s">
        <v>170</v>
      </c>
      <c r="J384" t="s">
        <v>248</v>
      </c>
      <c r="K384">
        <v>0.0022875927930365112</v>
      </c>
      <c r="L384" t="s">
        <v>153</v>
      </c>
      <c r="N384" t="s">
        <v>180</v>
      </c>
      <c r="O384" t="s">
        <v>248</v>
      </c>
      <c r="P384">
        <v>0.002353219081257428</v>
      </c>
      <c r="Q384" t="s">
        <v>153</v>
      </c>
    </row>
    <row r="385" spans="9:17" ht="14.25">
      <c r="I385" t="s">
        <v>170</v>
      </c>
      <c r="J385" t="s">
        <v>249</v>
      </c>
      <c r="K385">
        <v>0.035692126919685541</v>
      </c>
      <c r="L385" t="s">
        <v>153</v>
      </c>
      <c r="N385" t="s">
        <v>180</v>
      </c>
      <c r="O385" t="s">
        <v>249</v>
      </c>
      <c r="P385">
        <v>0.019509849911637515</v>
      </c>
      <c r="Q385" t="s">
        <v>153</v>
      </c>
    </row>
    <row r="386" spans="9:17" ht="14.25">
      <c r="I386" t="s">
        <v>170</v>
      </c>
      <c r="J386" t="s">
        <v>250</v>
      </c>
      <c r="K386">
        <v>0.0030703492736956564</v>
      </c>
      <c r="L386" t="s">
        <v>153</v>
      </c>
      <c r="N386" t="s">
        <v>180</v>
      </c>
      <c r="O386" t="s">
        <v>250</v>
      </c>
      <c r="P386">
        <v>0.0033127268534421848</v>
      </c>
      <c r="Q386" t="s">
        <v>153</v>
      </c>
    </row>
    <row r="387" spans="9:17" ht="14.25">
      <c r="I387" t="s">
        <v>170</v>
      </c>
      <c r="J387" t="s">
        <v>251</v>
      </c>
      <c r="K387">
        <v>7.3334056571409706E-05</v>
      </c>
      <c r="L387" t="s">
        <v>153</v>
      </c>
      <c r="N387" t="s">
        <v>180</v>
      </c>
      <c r="O387" t="s">
        <v>251</v>
      </c>
      <c r="P387">
        <v>0.0039691490963612288</v>
      </c>
      <c r="Q387" t="s">
        <v>153</v>
      </c>
    </row>
    <row r="388" spans="9:17" ht="14.25">
      <c r="I388" t="s">
        <v>170</v>
      </c>
      <c r="J388" t="s">
        <v>252</v>
      </c>
      <c r="K388">
        <v>0</v>
      </c>
      <c r="L388" t="s">
        <v>153</v>
      </c>
      <c r="N388" t="s">
        <v>180</v>
      </c>
      <c r="O388" t="s">
        <v>252</v>
      </c>
      <c r="P388">
        <v>0.021416166333493449</v>
      </c>
      <c r="Q388" t="s">
        <v>153</v>
      </c>
    </row>
    <row r="389" spans="9:17" ht="14.25">
      <c r="I389" t="s">
        <v>171</v>
      </c>
      <c r="J389" t="s">
        <v>152</v>
      </c>
      <c r="K389">
        <v>0</v>
      </c>
      <c r="L389" t="s">
        <v>153</v>
      </c>
      <c r="N389" t="s">
        <v>181</v>
      </c>
      <c r="O389" t="s">
        <v>152</v>
      </c>
      <c r="P389">
        <v>0.0020426107432063067</v>
      </c>
      <c r="Q389" t="s">
        <v>153</v>
      </c>
    </row>
    <row r="390" spans="9:17" ht="14.25">
      <c r="I390" t="s">
        <v>171</v>
      </c>
      <c r="J390" t="s">
        <v>154</v>
      </c>
      <c r="K390">
        <v>0.00077458233025520557</v>
      </c>
      <c r="L390" t="s">
        <v>153</v>
      </c>
      <c r="N390" t="s">
        <v>181</v>
      </c>
      <c r="O390" t="s">
        <v>154</v>
      </c>
      <c r="P390">
        <v>0.00012514722715499223</v>
      </c>
      <c r="Q390" t="s">
        <v>153</v>
      </c>
    </row>
    <row r="391" spans="9:17" ht="14.25">
      <c r="I391" t="s">
        <v>171</v>
      </c>
      <c r="J391" t="s">
        <v>155</v>
      </c>
      <c r="K391">
        <v>0.013220261689327256</v>
      </c>
      <c r="L391" t="s">
        <v>153</v>
      </c>
      <c r="N391" t="s">
        <v>181</v>
      </c>
      <c r="O391" t="s">
        <v>155</v>
      </c>
      <c r="P391">
        <v>0.0032689456370908741</v>
      </c>
      <c r="Q391" t="s">
        <v>153</v>
      </c>
    </row>
    <row r="392" spans="9:17" ht="14.25">
      <c r="I392" t="s">
        <v>171</v>
      </c>
      <c r="J392" t="s">
        <v>200</v>
      </c>
      <c r="K392">
        <v>0.0012360067675097218</v>
      </c>
      <c r="L392" t="s">
        <v>153</v>
      </c>
      <c r="N392" t="s">
        <v>181</v>
      </c>
      <c r="O392" t="s">
        <v>200</v>
      </c>
      <c r="P392">
        <v>0.00095388068196308111</v>
      </c>
      <c r="Q392" t="s">
        <v>153</v>
      </c>
    </row>
    <row r="393" spans="9:17" ht="14.25">
      <c r="I393" t="s">
        <v>171</v>
      </c>
      <c r="J393" t="s">
        <v>201</v>
      </c>
      <c r="K393">
        <v>0.00080995094833558338</v>
      </c>
      <c r="L393" t="s">
        <v>153</v>
      </c>
      <c r="N393" t="s">
        <v>181</v>
      </c>
      <c r="O393" t="s">
        <v>201</v>
      </c>
      <c r="P393">
        <v>0.0011854130292643726</v>
      </c>
      <c r="Q393" t="s">
        <v>153</v>
      </c>
    </row>
    <row r="394" spans="9:17" ht="14.25">
      <c r="I394" t="s">
        <v>171</v>
      </c>
      <c r="J394" t="s">
        <v>218</v>
      </c>
      <c r="K394">
        <v>0</v>
      </c>
      <c r="L394" t="s">
        <v>153</v>
      </c>
      <c r="N394" t="s">
        <v>181</v>
      </c>
      <c r="O394" t="s">
        <v>218</v>
      </c>
      <c r="P394">
        <v>0.0048826724293326114</v>
      </c>
      <c r="Q394" t="s">
        <v>153</v>
      </c>
    </row>
    <row r="395" spans="9:17" ht="14.25">
      <c r="I395" t="s">
        <v>171</v>
      </c>
      <c r="J395" t="s">
        <v>156</v>
      </c>
      <c r="K395">
        <v>0</v>
      </c>
      <c r="L395" t="s">
        <v>153</v>
      </c>
      <c r="N395" t="s">
        <v>181</v>
      </c>
      <c r="O395" t="s">
        <v>156</v>
      </c>
      <c r="P395">
        <v>0.038937633437681751</v>
      </c>
      <c r="Q395" t="s">
        <v>153</v>
      </c>
    </row>
    <row r="396" spans="9:17" ht="14.25">
      <c r="I396" t="s">
        <v>171</v>
      </c>
      <c r="J396" t="s">
        <v>157</v>
      </c>
      <c r="K396">
        <v>0.00360234567344831</v>
      </c>
      <c r="L396" t="s">
        <v>153</v>
      </c>
      <c r="N396" t="s">
        <v>181</v>
      </c>
      <c r="O396" t="s">
        <v>157</v>
      </c>
      <c r="P396">
        <v>0.0050279832842722964</v>
      </c>
      <c r="Q396" t="s">
        <v>153</v>
      </c>
    </row>
    <row r="397" spans="9:17" ht="14.25">
      <c r="I397" t="s">
        <v>171</v>
      </c>
      <c r="J397" t="s">
        <v>158</v>
      </c>
      <c r="K397">
        <v>0.062162023227905497</v>
      </c>
      <c r="L397" t="s">
        <v>153</v>
      </c>
      <c r="N397" t="s">
        <v>181</v>
      </c>
      <c r="O397" t="s">
        <v>158</v>
      </c>
      <c r="P397">
        <v>0.056088185943035919</v>
      </c>
      <c r="Q397" t="s">
        <v>153</v>
      </c>
    </row>
    <row r="398" spans="9:17" ht="14.25">
      <c r="I398" t="s">
        <v>171</v>
      </c>
      <c r="J398" t="s">
        <v>202</v>
      </c>
      <c r="K398">
        <v>0.0061513225432074806</v>
      </c>
      <c r="L398" t="s">
        <v>153</v>
      </c>
      <c r="N398" t="s">
        <v>181</v>
      </c>
      <c r="O398" t="s">
        <v>202</v>
      </c>
      <c r="P398">
        <v>0.0061953978427934965</v>
      </c>
      <c r="Q398" t="s">
        <v>153</v>
      </c>
    </row>
    <row r="399" spans="9:17" ht="14.25">
      <c r="I399" t="s">
        <v>171</v>
      </c>
      <c r="J399" t="s">
        <v>203</v>
      </c>
      <c r="K399">
        <v>0.0036049838047762595</v>
      </c>
      <c r="L399" t="s">
        <v>153</v>
      </c>
      <c r="N399" t="s">
        <v>181</v>
      </c>
      <c r="O399" t="s">
        <v>203</v>
      </c>
      <c r="P399">
        <v>0.0055088955621244683</v>
      </c>
      <c r="Q399" t="s">
        <v>153</v>
      </c>
    </row>
    <row r="400" spans="9:17" ht="14.25">
      <c r="I400" t="s">
        <v>171</v>
      </c>
      <c r="J400" t="s">
        <v>219</v>
      </c>
      <c r="K400">
        <v>0</v>
      </c>
      <c r="L400" t="s">
        <v>153</v>
      </c>
      <c r="N400" t="s">
        <v>181</v>
      </c>
      <c r="O400" t="s">
        <v>219</v>
      </c>
      <c r="P400">
        <v>0.027966457260309253</v>
      </c>
      <c r="Q400" t="s">
        <v>153</v>
      </c>
    </row>
    <row r="401" spans="9:17" ht="14.25">
      <c r="I401" t="s">
        <v>171</v>
      </c>
      <c r="J401" t="s">
        <v>159</v>
      </c>
      <c r="K401">
        <v>0</v>
      </c>
      <c r="L401" t="s">
        <v>153</v>
      </c>
      <c r="N401" t="s">
        <v>181</v>
      </c>
      <c r="O401" t="s">
        <v>159</v>
      </c>
      <c r="P401">
        <v>0.01205786095436975</v>
      </c>
      <c r="Q401" t="s">
        <v>153</v>
      </c>
    </row>
    <row r="402" spans="9:17" ht="14.25">
      <c r="I402" t="s">
        <v>171</v>
      </c>
      <c r="J402" t="s">
        <v>160</v>
      </c>
      <c r="K402">
        <v>0.0043076354504401337</v>
      </c>
      <c r="L402" t="s">
        <v>153</v>
      </c>
      <c r="N402" t="s">
        <v>181</v>
      </c>
      <c r="O402" t="s">
        <v>160</v>
      </c>
      <c r="P402">
        <v>0.0021588825774336343</v>
      </c>
      <c r="Q402" t="s">
        <v>153</v>
      </c>
    </row>
    <row r="403" spans="9:17" ht="14.25">
      <c r="I403" t="s">
        <v>171</v>
      </c>
      <c r="J403" t="s">
        <v>161</v>
      </c>
      <c r="K403">
        <v>0.070115393980621638</v>
      </c>
      <c r="L403" t="s">
        <v>153</v>
      </c>
      <c r="N403" t="s">
        <v>181</v>
      </c>
      <c r="O403" t="s">
        <v>161</v>
      </c>
      <c r="P403">
        <v>0.019420075099493166</v>
      </c>
      <c r="Q403" t="s">
        <v>153</v>
      </c>
    </row>
    <row r="404" spans="9:17" ht="14.25">
      <c r="I404" t="s">
        <v>171</v>
      </c>
      <c r="J404" t="s">
        <v>204</v>
      </c>
      <c r="K404">
        <v>0.0073389076806763681</v>
      </c>
      <c r="L404" t="s">
        <v>153</v>
      </c>
      <c r="N404" t="s">
        <v>181</v>
      </c>
      <c r="O404" t="s">
        <v>204</v>
      </c>
      <c r="P404">
        <v>0.0033432315903455041</v>
      </c>
      <c r="Q404" t="s">
        <v>153</v>
      </c>
    </row>
    <row r="405" spans="9:17" ht="14.25">
      <c r="I405" t="s">
        <v>171</v>
      </c>
      <c r="J405" t="s">
        <v>205</v>
      </c>
      <c r="K405">
        <v>0.0045646686056724671</v>
      </c>
      <c r="L405" t="s">
        <v>153</v>
      </c>
      <c r="N405" t="s">
        <v>181</v>
      </c>
      <c r="O405" t="s">
        <v>205</v>
      </c>
      <c r="P405">
        <v>0.0036995328516875206</v>
      </c>
      <c r="Q405" t="s">
        <v>153</v>
      </c>
    </row>
    <row r="406" spans="9:17" ht="14.25">
      <c r="I406" t="s">
        <v>171</v>
      </c>
      <c r="J406" t="s">
        <v>220</v>
      </c>
      <c r="K406">
        <v>0</v>
      </c>
      <c r="L406" t="s">
        <v>153</v>
      </c>
      <c r="N406" t="s">
        <v>181</v>
      </c>
      <c r="O406" t="s">
        <v>220</v>
      </c>
      <c r="P406">
        <v>0.016083459663300527</v>
      </c>
      <c r="Q406" t="s">
        <v>153</v>
      </c>
    </row>
    <row r="407" spans="9:17" ht="14.25">
      <c r="I407" t="s">
        <v>171</v>
      </c>
      <c r="J407" t="s">
        <v>162</v>
      </c>
      <c r="K407">
        <v>0</v>
      </c>
      <c r="L407" t="s">
        <v>153</v>
      </c>
      <c r="N407" t="s">
        <v>181</v>
      </c>
      <c r="O407" t="s">
        <v>162</v>
      </c>
      <c r="P407">
        <v>0.0033533615897107598</v>
      </c>
      <c r="Q407" t="s">
        <v>153</v>
      </c>
    </row>
    <row r="408" spans="9:17" ht="14.25">
      <c r="I408" t="s">
        <v>171</v>
      </c>
      <c r="J408" t="s">
        <v>163</v>
      </c>
      <c r="K408">
        <v>0.00087375540491726219</v>
      </c>
      <c r="L408" t="s">
        <v>153</v>
      </c>
      <c r="N408" t="s">
        <v>181</v>
      </c>
      <c r="O408" t="s">
        <v>163</v>
      </c>
      <c r="P408">
        <v>0.00045701274010879513</v>
      </c>
      <c r="Q408" t="s">
        <v>153</v>
      </c>
    </row>
    <row r="409" spans="9:17" ht="14.25">
      <c r="I409" t="s">
        <v>171</v>
      </c>
      <c r="J409" t="s">
        <v>164</v>
      </c>
      <c r="K409">
        <v>0.012140033224677665</v>
      </c>
      <c r="L409" t="s">
        <v>153</v>
      </c>
      <c r="N409" t="s">
        <v>181</v>
      </c>
      <c r="O409" t="s">
        <v>164</v>
      </c>
      <c r="P409">
        <v>0.0079706938045877168</v>
      </c>
      <c r="Q409" t="s">
        <v>153</v>
      </c>
    </row>
    <row r="410" spans="9:17" ht="14.25">
      <c r="I410" t="s">
        <v>171</v>
      </c>
      <c r="J410" t="s">
        <v>206</v>
      </c>
      <c r="K410">
        <v>0.0011744338225047044</v>
      </c>
      <c r="L410" t="s">
        <v>153</v>
      </c>
      <c r="N410" t="s">
        <v>181</v>
      </c>
      <c r="O410" t="s">
        <v>206</v>
      </c>
      <c r="P410">
        <v>0.0012622988436963515</v>
      </c>
      <c r="Q410" t="s">
        <v>153</v>
      </c>
    </row>
    <row r="411" spans="9:17" ht="14.25">
      <c r="I411" t="s">
        <v>171</v>
      </c>
      <c r="J411" t="s">
        <v>207</v>
      </c>
      <c r="K411">
        <v>0.00073560151878616193</v>
      </c>
      <c r="L411" t="s">
        <v>153</v>
      </c>
      <c r="N411" t="s">
        <v>181</v>
      </c>
      <c r="O411" t="s">
        <v>207</v>
      </c>
      <c r="P411">
        <v>0.001014340547244325</v>
      </c>
      <c r="Q411" t="s">
        <v>153</v>
      </c>
    </row>
    <row r="412" spans="9:17" ht="14.25">
      <c r="I412" t="s">
        <v>171</v>
      </c>
      <c r="J412" t="s">
        <v>221</v>
      </c>
      <c r="K412">
        <v>0</v>
      </c>
      <c r="L412" t="s">
        <v>153</v>
      </c>
      <c r="N412" t="s">
        <v>181</v>
      </c>
      <c r="O412" t="s">
        <v>221</v>
      </c>
      <c r="P412">
        <v>0.0032646922512234787</v>
      </c>
      <c r="Q412" t="s">
        <v>153</v>
      </c>
    </row>
    <row r="413" spans="9:17" ht="14.25">
      <c r="I413" t="s">
        <v>171</v>
      </c>
      <c r="J413" t="s">
        <v>208</v>
      </c>
      <c r="K413">
        <v>0.00011263612236980594</v>
      </c>
      <c r="L413" t="s">
        <v>153</v>
      </c>
      <c r="N413" t="s">
        <v>181</v>
      </c>
      <c r="O413" t="s">
        <v>208</v>
      </c>
      <c r="P413">
        <v>0.0062352903199463733</v>
      </c>
      <c r="Q413" t="s">
        <v>153</v>
      </c>
    </row>
    <row r="414" spans="9:17" ht="14.25">
      <c r="I414" t="s">
        <v>171</v>
      </c>
      <c r="J414" t="s">
        <v>209</v>
      </c>
      <c r="K414">
        <v>0.0018790670514046517</v>
      </c>
      <c r="L414" t="s">
        <v>153</v>
      </c>
      <c r="N414" t="s">
        <v>181</v>
      </c>
      <c r="O414" t="s">
        <v>209</v>
      </c>
      <c r="P414">
        <v>0.0013388656063169026</v>
      </c>
      <c r="Q414" t="s">
        <v>153</v>
      </c>
    </row>
    <row r="415" spans="9:17" ht="14.25">
      <c r="I415" t="s">
        <v>171</v>
      </c>
      <c r="J415" t="s">
        <v>210</v>
      </c>
      <c r="K415">
        <v>0.024536251765711024</v>
      </c>
      <c r="L415" t="s">
        <v>153</v>
      </c>
      <c r="N415" t="s">
        <v>181</v>
      </c>
      <c r="O415" t="s">
        <v>210</v>
      </c>
      <c r="P415">
        <v>0.01286581506824982</v>
      </c>
      <c r="Q415" t="s">
        <v>153</v>
      </c>
    </row>
    <row r="416" spans="9:17" ht="14.25">
      <c r="I416" t="s">
        <v>171</v>
      </c>
      <c r="J416" t="s">
        <v>211</v>
      </c>
      <c r="K416">
        <v>0.0024142533887705183</v>
      </c>
      <c r="L416" t="s">
        <v>153</v>
      </c>
      <c r="N416" t="s">
        <v>181</v>
      </c>
      <c r="O416" t="s">
        <v>211</v>
      </c>
      <c r="P416">
        <v>0.0014875733356997151</v>
      </c>
      <c r="Q416" t="s">
        <v>153</v>
      </c>
    </row>
    <row r="417" spans="9:17" ht="14.25">
      <c r="I417" t="s">
        <v>171</v>
      </c>
      <c r="J417" t="s">
        <v>212</v>
      </c>
      <c r="K417">
        <v>0.0015774136494638681</v>
      </c>
      <c r="L417" t="s">
        <v>153</v>
      </c>
      <c r="N417" t="s">
        <v>181</v>
      </c>
      <c r="O417" t="s">
        <v>212</v>
      </c>
      <c r="P417">
        <v>0.0012688658355074186</v>
      </c>
      <c r="Q417" t="s">
        <v>153</v>
      </c>
    </row>
    <row r="418" spans="9:17" ht="14.25">
      <c r="I418" t="s">
        <v>171</v>
      </c>
      <c r="J418" t="s">
        <v>222</v>
      </c>
      <c r="K418">
        <v>0</v>
      </c>
      <c r="L418" t="s">
        <v>153</v>
      </c>
      <c r="N418" t="s">
        <v>181</v>
      </c>
      <c r="O418" t="s">
        <v>222</v>
      </c>
      <c r="P418">
        <v>0.0050644292998079654</v>
      </c>
      <c r="Q418" t="s">
        <v>153</v>
      </c>
    </row>
    <row r="419" spans="9:17" ht="14.25">
      <c r="I419" t="s">
        <v>171</v>
      </c>
      <c r="J419" t="s">
        <v>223</v>
      </c>
      <c r="K419">
        <v>0.0002696748486867787</v>
      </c>
      <c r="L419" t="s">
        <v>153</v>
      </c>
      <c r="N419" t="s">
        <v>181</v>
      </c>
      <c r="O419" t="s">
        <v>223</v>
      </c>
      <c r="P419">
        <v>0.0038482006710615904</v>
      </c>
      <c r="Q419" t="s">
        <v>153</v>
      </c>
    </row>
    <row r="420" spans="9:17" ht="14.25">
      <c r="I420" t="s">
        <v>171</v>
      </c>
      <c r="J420" t="s">
        <v>224</v>
      </c>
      <c r="K420">
        <v>0.0006361864654919273</v>
      </c>
      <c r="L420" t="s">
        <v>153</v>
      </c>
      <c r="N420" t="s">
        <v>181</v>
      </c>
      <c r="O420" t="s">
        <v>224</v>
      </c>
      <c r="P420">
        <v>0.00034171240531631142</v>
      </c>
      <c r="Q420" t="s">
        <v>153</v>
      </c>
    </row>
    <row r="421" spans="9:17" ht="14.25">
      <c r="I421" t="s">
        <v>171</v>
      </c>
      <c r="J421" t="s">
        <v>225</v>
      </c>
      <c r="K421">
        <v>0.0095322624148526467</v>
      </c>
      <c r="L421" t="s">
        <v>153</v>
      </c>
      <c r="N421" t="s">
        <v>181</v>
      </c>
      <c r="O421" t="s">
        <v>225</v>
      </c>
      <c r="P421">
        <v>0.0092389844749202719</v>
      </c>
      <c r="Q421" t="s">
        <v>153</v>
      </c>
    </row>
    <row r="422" spans="9:17" ht="14.25">
      <c r="I422" t="s">
        <v>171</v>
      </c>
      <c r="J422" t="s">
        <v>226</v>
      </c>
      <c r="K422">
        <v>0.00072733616484280887</v>
      </c>
      <c r="L422" t="s">
        <v>153</v>
      </c>
      <c r="N422" t="s">
        <v>181</v>
      </c>
      <c r="O422" t="s">
        <v>226</v>
      </c>
      <c r="P422">
        <v>0.0013838789842699746</v>
      </c>
      <c r="Q422" t="s">
        <v>153</v>
      </c>
    </row>
    <row r="423" spans="9:17" ht="14.25">
      <c r="I423" t="s">
        <v>171</v>
      </c>
      <c r="J423" t="s">
        <v>227</v>
      </c>
      <c r="K423">
        <v>0.00044185007540333574</v>
      </c>
      <c r="L423" t="s">
        <v>153</v>
      </c>
      <c r="N423" t="s">
        <v>181</v>
      </c>
      <c r="O423" t="s">
        <v>227</v>
      </c>
      <c r="P423">
        <v>0.0011675511638556042</v>
      </c>
      <c r="Q423" t="s">
        <v>153</v>
      </c>
    </row>
    <row r="424" spans="9:17" ht="14.25">
      <c r="I424" t="s">
        <v>171</v>
      </c>
      <c r="J424" t="s">
        <v>228</v>
      </c>
      <c r="K424">
        <v>0</v>
      </c>
      <c r="L424" t="s">
        <v>153</v>
      </c>
      <c r="N424" t="s">
        <v>181</v>
      </c>
      <c r="O424" t="s">
        <v>228</v>
      </c>
      <c r="P424">
        <v>0.0027524954870229339</v>
      </c>
      <c r="Q424" t="s">
        <v>153</v>
      </c>
    </row>
    <row r="425" spans="9:17" ht="14.25">
      <c r="I425" t="s">
        <v>171</v>
      </c>
      <c r="J425" t="s">
        <v>235</v>
      </c>
      <c r="K425">
        <v>0.0079720617438928543</v>
      </c>
      <c r="L425" t="s">
        <v>153</v>
      </c>
      <c r="N425" t="s">
        <v>181</v>
      </c>
      <c r="O425" t="s">
        <v>235</v>
      </c>
      <c r="P425">
        <v>0.034577837313004907</v>
      </c>
      <c r="Q425" t="s">
        <v>153</v>
      </c>
    </row>
    <row r="426" spans="9:17" ht="14.25">
      <c r="I426" t="s">
        <v>171</v>
      </c>
      <c r="J426" t="s">
        <v>236</v>
      </c>
      <c r="K426">
        <v>0.014667990304936214</v>
      </c>
      <c r="L426" t="s">
        <v>153</v>
      </c>
      <c r="N426" t="s">
        <v>181</v>
      </c>
      <c r="O426" t="s">
        <v>236</v>
      </c>
      <c r="P426">
        <v>0.0044915103619274236</v>
      </c>
      <c r="Q426" t="s">
        <v>153</v>
      </c>
    </row>
    <row r="427" spans="9:17" ht="14.25">
      <c r="I427" t="s">
        <v>171</v>
      </c>
      <c r="J427" t="s">
        <v>237</v>
      </c>
      <c r="K427">
        <v>0.16771614706178747</v>
      </c>
      <c r="L427" t="s">
        <v>153</v>
      </c>
      <c r="N427" t="s">
        <v>181</v>
      </c>
      <c r="O427" t="s">
        <v>237</v>
      </c>
      <c r="P427">
        <v>0.11209853740026098</v>
      </c>
      <c r="Q427" t="s">
        <v>153</v>
      </c>
    </row>
    <row r="428" spans="9:17" ht="14.25">
      <c r="I428" t="s">
        <v>171</v>
      </c>
      <c r="J428" t="s">
        <v>238</v>
      </c>
      <c r="K428">
        <v>0.014977111248040636</v>
      </c>
      <c r="L428" t="s">
        <v>153</v>
      </c>
      <c r="N428" t="s">
        <v>181</v>
      </c>
      <c r="O428" t="s">
        <v>238</v>
      </c>
      <c r="P428">
        <v>0.020757968919345827</v>
      </c>
      <c r="Q428" t="s">
        <v>153</v>
      </c>
    </row>
    <row r="429" spans="9:17" ht="14.25">
      <c r="I429" t="s">
        <v>171</v>
      </c>
      <c r="J429" t="s">
        <v>239</v>
      </c>
      <c r="K429">
        <v>0.010266978824253394</v>
      </c>
      <c r="L429" t="s">
        <v>153</v>
      </c>
      <c r="N429" t="s">
        <v>181</v>
      </c>
      <c r="O429" t="s">
        <v>239</v>
      </c>
      <c r="P429">
        <v>0.020199450325219286</v>
      </c>
      <c r="Q429" t="s">
        <v>153</v>
      </c>
    </row>
    <row r="430" spans="9:17" ht="14.25">
      <c r="I430" t="s">
        <v>171</v>
      </c>
      <c r="J430" t="s">
        <v>240</v>
      </c>
      <c r="K430">
        <v>0.0032187328641745754</v>
      </c>
      <c r="L430" t="s">
        <v>153</v>
      </c>
      <c r="N430" t="s">
        <v>181</v>
      </c>
      <c r="O430" t="s">
        <v>240</v>
      </c>
      <c r="P430">
        <v>0.064476863107053001</v>
      </c>
      <c r="Q430" t="s">
        <v>153</v>
      </c>
    </row>
    <row r="431" spans="9:17" ht="14.25">
      <c r="I431" t="s">
        <v>171</v>
      </c>
      <c r="J431" t="s">
        <v>241</v>
      </c>
      <c r="K431">
        <v>0.010595596615684658</v>
      </c>
      <c r="L431" t="s">
        <v>153</v>
      </c>
      <c r="N431" t="s">
        <v>181</v>
      </c>
      <c r="O431" t="s">
        <v>241</v>
      </c>
      <c r="P431">
        <v>0.093503209628764059</v>
      </c>
      <c r="Q431" t="s">
        <v>153</v>
      </c>
    </row>
    <row r="432" spans="9:17" ht="14.25">
      <c r="I432" t="s">
        <v>171</v>
      </c>
      <c r="J432" t="s">
        <v>242</v>
      </c>
      <c r="K432">
        <v>0.031444231650843021</v>
      </c>
      <c r="L432" t="s">
        <v>153</v>
      </c>
      <c r="N432" t="s">
        <v>181</v>
      </c>
      <c r="O432" t="s">
        <v>242</v>
      </c>
      <c r="P432">
        <v>0.012910340373698089</v>
      </c>
      <c r="Q432" t="s">
        <v>153</v>
      </c>
    </row>
    <row r="433" spans="9:17" ht="14.25">
      <c r="I433" t="s">
        <v>171</v>
      </c>
      <c r="J433" t="s">
        <v>243</v>
      </c>
      <c r="K433">
        <v>0.40780331601061137</v>
      </c>
      <c r="L433" t="s">
        <v>153</v>
      </c>
      <c r="N433" t="s">
        <v>181</v>
      </c>
      <c r="O433" t="s">
        <v>243</v>
      </c>
      <c r="P433">
        <v>0.12714104069015733</v>
      </c>
      <c r="Q433" t="s">
        <v>153</v>
      </c>
    </row>
    <row r="434" spans="9:17" ht="14.25">
      <c r="I434" t="s">
        <v>171</v>
      </c>
      <c r="J434" t="s">
        <v>244</v>
      </c>
      <c r="K434">
        <v>0.033643158315551244</v>
      </c>
      <c r="L434" t="s">
        <v>153</v>
      </c>
      <c r="N434" t="s">
        <v>181</v>
      </c>
      <c r="O434" t="s">
        <v>244</v>
      </c>
      <c r="P434">
        <v>0.021584995656292277</v>
      </c>
      <c r="Q434" t="s">
        <v>153</v>
      </c>
    </row>
    <row r="435" spans="9:17" ht="14.25">
      <c r="I435" t="s">
        <v>171</v>
      </c>
      <c r="J435" t="s">
        <v>245</v>
      </c>
      <c r="K435">
        <v>0.015431637578644198</v>
      </c>
      <c r="L435" t="s">
        <v>153</v>
      </c>
      <c r="N435" t="s">
        <v>181</v>
      </c>
      <c r="O435" t="s">
        <v>245</v>
      </c>
      <c r="P435">
        <v>0.023881589532940395</v>
      </c>
      <c r="Q435" t="s">
        <v>153</v>
      </c>
    </row>
    <row r="436" spans="9:17" ht="14.25">
      <c r="I436" t="s">
        <v>171</v>
      </c>
      <c r="J436" t="s">
        <v>246</v>
      </c>
      <c r="K436">
        <v>0.0032848459028492452</v>
      </c>
      <c r="L436" t="s">
        <v>153</v>
      </c>
      <c r="N436" t="s">
        <v>181</v>
      </c>
      <c r="O436" t="s">
        <v>246</v>
      </c>
      <c r="P436">
        <v>0.11575352046597796</v>
      </c>
      <c r="Q436" t="s">
        <v>153</v>
      </c>
    </row>
    <row r="437" spans="9:17" ht="14.25">
      <c r="I437" t="s">
        <v>171</v>
      </c>
      <c r="J437" t="s">
        <v>247</v>
      </c>
      <c r="K437">
        <v>0</v>
      </c>
      <c r="L437" t="s">
        <v>153</v>
      </c>
      <c r="N437" t="s">
        <v>181</v>
      </c>
      <c r="O437" t="s">
        <v>247</v>
      </c>
      <c r="P437">
        <v>0.021955545950245885</v>
      </c>
      <c r="Q437" t="s">
        <v>153</v>
      </c>
    </row>
    <row r="438" spans="9:17" ht="14.25">
      <c r="I438" t="s">
        <v>171</v>
      </c>
      <c r="J438" t="s">
        <v>248</v>
      </c>
      <c r="K438">
        <v>0.0025161809158256278</v>
      </c>
      <c r="L438" t="s">
        <v>153</v>
      </c>
      <c r="N438" t="s">
        <v>181</v>
      </c>
      <c r="O438" t="s">
        <v>248</v>
      </c>
      <c r="P438">
        <v>0.0030630611273530549</v>
      </c>
      <c r="Q438" t="s">
        <v>153</v>
      </c>
    </row>
    <row r="439" spans="9:17" ht="14.25">
      <c r="I439" t="s">
        <v>171</v>
      </c>
      <c r="J439" t="s">
        <v>249</v>
      </c>
      <c r="K439">
        <v>0.037673777133374935</v>
      </c>
      <c r="L439" t="s">
        <v>153</v>
      </c>
      <c r="N439" t="s">
        <v>181</v>
      </c>
      <c r="O439" t="s">
        <v>249</v>
      </c>
      <c r="P439">
        <v>0.021090223045118432</v>
      </c>
      <c r="Q439" t="s">
        <v>153</v>
      </c>
    </row>
    <row r="440" spans="9:17" ht="14.25">
      <c r="I440" t="s">
        <v>171</v>
      </c>
      <c r="J440" t="s">
        <v>250</v>
      </c>
      <c r="K440">
        <v>0.0032915301315061133</v>
      </c>
      <c r="L440" t="s">
        <v>153</v>
      </c>
      <c r="N440" t="s">
        <v>181</v>
      </c>
      <c r="O440" t="s">
        <v>250</v>
      </c>
      <c r="P440">
        <v>0.0034351581486744909</v>
      </c>
      <c r="Q440" t="s">
        <v>153</v>
      </c>
    </row>
    <row r="441" spans="9:17" ht="14.25">
      <c r="I441" t="s">
        <v>171</v>
      </c>
      <c r="J441" t="s">
        <v>251</v>
      </c>
      <c r="K441">
        <v>0.00055786507796553404</v>
      </c>
      <c r="L441" t="s">
        <v>153</v>
      </c>
      <c r="N441" t="s">
        <v>181</v>
      </c>
      <c r="O441" t="s">
        <v>251</v>
      </c>
      <c r="P441">
        <v>0.0039202962096071018</v>
      </c>
      <c r="Q441" t="s">
        <v>153</v>
      </c>
    </row>
    <row r="442" spans="9:17" ht="14.25">
      <c r="I442" t="s">
        <v>171</v>
      </c>
      <c r="J442" t="s">
        <v>252</v>
      </c>
      <c r="K442">
        <v>0</v>
      </c>
      <c r="L442" t="s">
        <v>153</v>
      </c>
      <c r="N442" t="s">
        <v>181</v>
      </c>
      <c r="O442" t="s">
        <v>252</v>
      </c>
      <c r="P442">
        <v>0.021896523500954349</v>
      </c>
      <c r="Q442" t="s">
        <v>153</v>
      </c>
    </row>
    <row r="443" spans="9:17" ht="14.25">
      <c r="I443" t="s">
        <v>172</v>
      </c>
      <c r="J443" t="s">
        <v>152</v>
      </c>
      <c r="K443">
        <v>0</v>
      </c>
      <c r="L443" t="s">
        <v>153</v>
      </c>
      <c r="N443" t="s">
        <v>182</v>
      </c>
      <c r="O443" t="s">
        <v>152</v>
      </c>
      <c r="P443">
        <v>0.002947832662585614</v>
      </c>
      <c r="Q443" t="s">
        <v>153</v>
      </c>
    </row>
    <row r="444" spans="9:17" ht="14.25">
      <c r="I444" t="s">
        <v>172</v>
      </c>
      <c r="J444" t="s">
        <v>154</v>
      </c>
      <c r="K444">
        <v>0.00059831871429741183</v>
      </c>
      <c r="L444" t="s">
        <v>153</v>
      </c>
      <c r="N444" t="s">
        <v>182</v>
      </c>
      <c r="O444" t="s">
        <v>154</v>
      </c>
      <c r="P444">
        <v>0.00024923074309064389</v>
      </c>
      <c r="Q444" t="s">
        <v>153</v>
      </c>
    </row>
    <row r="445" spans="9:17" ht="14.25">
      <c r="I445" t="s">
        <v>172</v>
      </c>
      <c r="J445" t="s">
        <v>155</v>
      </c>
      <c r="K445">
        <v>0.012449753240855456</v>
      </c>
      <c r="L445" t="s">
        <v>153</v>
      </c>
      <c r="N445" t="s">
        <v>182</v>
      </c>
      <c r="O445" t="s">
        <v>155</v>
      </c>
      <c r="P445">
        <v>0.0012604713632935758</v>
      </c>
      <c r="Q445" t="s">
        <v>153</v>
      </c>
    </row>
    <row r="446" spans="9:17" ht="14.25">
      <c r="I446" t="s">
        <v>172</v>
      </c>
      <c r="J446" t="s">
        <v>200</v>
      </c>
      <c r="K446">
        <v>0.0012433674586067491</v>
      </c>
      <c r="L446" t="s">
        <v>153</v>
      </c>
      <c r="N446" t="s">
        <v>182</v>
      </c>
      <c r="O446" t="s">
        <v>200</v>
      </c>
      <c r="P446">
        <v>0.00032840096180888716</v>
      </c>
      <c r="Q446" t="s">
        <v>153</v>
      </c>
    </row>
    <row r="447" spans="9:17" ht="14.25">
      <c r="I447" t="s">
        <v>172</v>
      </c>
      <c r="J447" t="s">
        <v>201</v>
      </c>
      <c r="K447">
        <v>0.00071048276880384808</v>
      </c>
      <c r="L447" t="s">
        <v>153</v>
      </c>
      <c r="N447" t="s">
        <v>182</v>
      </c>
      <c r="O447" t="s">
        <v>201</v>
      </c>
      <c r="P447">
        <v>0.00044823104368651263</v>
      </c>
      <c r="Q447" t="s">
        <v>153</v>
      </c>
    </row>
    <row r="448" spans="9:17" ht="14.25">
      <c r="I448" t="s">
        <v>172</v>
      </c>
      <c r="J448" t="s">
        <v>218</v>
      </c>
      <c r="K448">
        <v>0</v>
      </c>
      <c r="L448" t="s">
        <v>153</v>
      </c>
      <c r="N448" t="s">
        <v>182</v>
      </c>
      <c r="O448" t="s">
        <v>218</v>
      </c>
      <c r="P448">
        <v>0.0042313216218757234</v>
      </c>
      <c r="Q448" t="s">
        <v>153</v>
      </c>
    </row>
    <row r="449" spans="9:17" ht="14.25">
      <c r="I449" t="s">
        <v>172</v>
      </c>
      <c r="J449" t="s">
        <v>156</v>
      </c>
      <c r="K449">
        <v>0</v>
      </c>
      <c r="L449" t="s">
        <v>153</v>
      </c>
      <c r="N449" t="s">
        <v>182</v>
      </c>
      <c r="O449" t="s">
        <v>156</v>
      </c>
      <c r="P449">
        <v>0.033292359337980151</v>
      </c>
      <c r="Q449" t="s">
        <v>153</v>
      </c>
    </row>
    <row r="450" spans="9:17" ht="14.25">
      <c r="I450" t="s">
        <v>172</v>
      </c>
      <c r="J450" t="s">
        <v>157</v>
      </c>
      <c r="K450">
        <v>0.0030088850164237311</v>
      </c>
      <c r="L450" t="s">
        <v>153</v>
      </c>
      <c r="N450" t="s">
        <v>182</v>
      </c>
      <c r="O450" t="s">
        <v>157</v>
      </c>
      <c r="P450">
        <v>0.0044502902653758645</v>
      </c>
      <c r="Q450" t="s">
        <v>153</v>
      </c>
    </row>
    <row r="451" spans="9:17" ht="14.25">
      <c r="I451" t="s">
        <v>172</v>
      </c>
      <c r="J451" t="s">
        <v>158</v>
      </c>
      <c r="K451">
        <v>0.060372772547935431</v>
      </c>
      <c r="L451" t="s">
        <v>153</v>
      </c>
      <c r="N451" t="s">
        <v>182</v>
      </c>
      <c r="O451" t="s">
        <v>158</v>
      </c>
      <c r="P451">
        <v>0.035772694561147581</v>
      </c>
      <c r="Q451" t="s">
        <v>153</v>
      </c>
    </row>
    <row r="452" spans="9:17" ht="14.25">
      <c r="I452" t="s">
        <v>172</v>
      </c>
      <c r="J452" t="s">
        <v>202</v>
      </c>
      <c r="K452">
        <v>0.0062719274995032435</v>
      </c>
      <c r="L452" t="s">
        <v>153</v>
      </c>
      <c r="N452" t="s">
        <v>182</v>
      </c>
      <c r="O452" t="s">
        <v>202</v>
      </c>
      <c r="P452">
        <v>0.0044353035361227302</v>
      </c>
      <c r="Q452" t="s">
        <v>153</v>
      </c>
    </row>
    <row r="453" spans="9:17" ht="14.25">
      <c r="I453" t="s">
        <v>172</v>
      </c>
      <c r="J453" t="s">
        <v>203</v>
      </c>
      <c r="K453">
        <v>0.0035114499670739294</v>
      </c>
      <c r="L453" t="s">
        <v>153</v>
      </c>
      <c r="N453" t="s">
        <v>182</v>
      </c>
      <c r="O453" t="s">
        <v>203</v>
      </c>
      <c r="P453">
        <v>0.0044167136701404952</v>
      </c>
      <c r="Q453" t="s">
        <v>153</v>
      </c>
    </row>
    <row r="454" spans="9:17" ht="14.25">
      <c r="I454" t="s">
        <v>172</v>
      </c>
      <c r="J454" t="s">
        <v>219</v>
      </c>
      <c r="K454">
        <v>0</v>
      </c>
      <c r="L454" t="s">
        <v>153</v>
      </c>
      <c r="N454" t="s">
        <v>182</v>
      </c>
      <c r="O454" t="s">
        <v>219</v>
      </c>
      <c r="P454">
        <v>0.031673353951863201</v>
      </c>
      <c r="Q454" t="s">
        <v>153</v>
      </c>
    </row>
    <row r="455" spans="9:17" ht="14.25">
      <c r="I455" t="s">
        <v>172</v>
      </c>
      <c r="J455" t="s">
        <v>159</v>
      </c>
      <c r="K455">
        <v>0</v>
      </c>
      <c r="L455" t="s">
        <v>153</v>
      </c>
      <c r="N455" t="s">
        <v>182</v>
      </c>
      <c r="O455" t="s">
        <v>159</v>
      </c>
      <c r="P455">
        <v>0.024768754343967418</v>
      </c>
      <c r="Q455" t="s">
        <v>153</v>
      </c>
    </row>
    <row r="456" spans="9:17" ht="14.25">
      <c r="I456" t="s">
        <v>172</v>
      </c>
      <c r="J456" t="s">
        <v>160</v>
      </c>
      <c r="K456">
        <v>0.0035499250505578854</v>
      </c>
      <c r="L456" t="s">
        <v>153</v>
      </c>
      <c r="N456" t="s">
        <v>182</v>
      </c>
      <c r="O456" t="s">
        <v>160</v>
      </c>
      <c r="P456">
        <v>0.003414982739604255</v>
      </c>
      <c r="Q456" t="s">
        <v>153</v>
      </c>
    </row>
    <row r="457" spans="9:17" ht="14.25">
      <c r="I457" t="s">
        <v>172</v>
      </c>
      <c r="J457" t="s">
        <v>161</v>
      </c>
      <c r="K457">
        <v>0.06804954238854799</v>
      </c>
      <c r="L457" t="s">
        <v>153</v>
      </c>
      <c r="N457" t="s">
        <v>182</v>
      </c>
      <c r="O457" t="s">
        <v>161</v>
      </c>
      <c r="P457">
        <v>0.013416731285507513</v>
      </c>
      <c r="Q457" t="s">
        <v>153</v>
      </c>
    </row>
    <row r="458" spans="9:17" ht="14.25">
      <c r="I458" t="s">
        <v>172</v>
      </c>
      <c r="J458" t="s">
        <v>204</v>
      </c>
      <c r="K458">
        <v>0.0074725915786645458</v>
      </c>
      <c r="L458" t="s">
        <v>153</v>
      </c>
      <c r="N458" t="s">
        <v>182</v>
      </c>
      <c r="O458" t="s">
        <v>204</v>
      </c>
      <c r="P458">
        <v>0.0018737428599789642</v>
      </c>
      <c r="Q458" t="s">
        <v>153</v>
      </c>
    </row>
    <row r="459" spans="9:17" ht="14.25">
      <c r="I459" t="s">
        <v>172</v>
      </c>
      <c r="J459" t="s">
        <v>205</v>
      </c>
      <c r="K459">
        <v>0.0047274612595354032</v>
      </c>
      <c r="L459" t="s">
        <v>153</v>
      </c>
      <c r="N459" t="s">
        <v>182</v>
      </c>
      <c r="O459" t="s">
        <v>205</v>
      </c>
      <c r="P459">
        <v>0.0023050764504141128</v>
      </c>
      <c r="Q459" t="s">
        <v>153</v>
      </c>
    </row>
    <row r="460" spans="9:17" ht="14.25">
      <c r="I460" t="s">
        <v>172</v>
      </c>
      <c r="J460" t="s">
        <v>220</v>
      </c>
      <c r="K460">
        <v>0</v>
      </c>
      <c r="L460" t="s">
        <v>153</v>
      </c>
      <c r="N460" t="s">
        <v>182</v>
      </c>
      <c r="O460" t="s">
        <v>220</v>
      </c>
      <c r="P460">
        <v>0.023113329052932577</v>
      </c>
      <c r="Q460" t="s">
        <v>153</v>
      </c>
    </row>
    <row r="461" spans="9:17" ht="14.25">
      <c r="I461" t="s">
        <v>172</v>
      </c>
      <c r="J461" t="s">
        <v>162</v>
      </c>
      <c r="K461">
        <v>0</v>
      </c>
      <c r="L461" t="s">
        <v>153</v>
      </c>
      <c r="N461" t="s">
        <v>182</v>
      </c>
      <c r="O461" t="s">
        <v>162</v>
      </c>
      <c r="P461">
        <v>0.0073077662190577904</v>
      </c>
      <c r="Q461" t="s">
        <v>153</v>
      </c>
    </row>
    <row r="462" spans="9:17" ht="14.25">
      <c r="I462" t="s">
        <v>172</v>
      </c>
      <c r="J462" t="s">
        <v>163</v>
      </c>
      <c r="K462">
        <v>0.00082834867690886004</v>
      </c>
      <c r="L462" t="s">
        <v>153</v>
      </c>
      <c r="N462" t="s">
        <v>182</v>
      </c>
      <c r="O462" t="s">
        <v>163</v>
      </c>
      <c r="P462">
        <v>0.00099086414739468277</v>
      </c>
      <c r="Q462" t="s">
        <v>153</v>
      </c>
    </row>
    <row r="463" spans="9:17" ht="14.25">
      <c r="I463" t="s">
        <v>172</v>
      </c>
      <c r="J463" t="s">
        <v>164</v>
      </c>
      <c r="K463">
        <v>0.012176677125737433</v>
      </c>
      <c r="L463" t="s">
        <v>153</v>
      </c>
      <c r="N463" t="s">
        <v>182</v>
      </c>
      <c r="O463" t="s">
        <v>164</v>
      </c>
      <c r="P463">
        <v>0.005711264635399978</v>
      </c>
      <c r="Q463" t="s">
        <v>153</v>
      </c>
    </row>
    <row r="464" spans="9:17" ht="14.25">
      <c r="I464" t="s">
        <v>172</v>
      </c>
      <c r="J464" t="s">
        <v>206</v>
      </c>
      <c r="K464">
        <v>0.0011745713912854555</v>
      </c>
      <c r="L464" t="s">
        <v>153</v>
      </c>
      <c r="N464" t="s">
        <v>182</v>
      </c>
      <c r="O464" t="s">
        <v>206</v>
      </c>
      <c r="P464">
        <v>0.00069815969749147523</v>
      </c>
      <c r="Q464" t="s">
        <v>153</v>
      </c>
    </row>
    <row r="465" spans="9:17" ht="14.25">
      <c r="I465" t="s">
        <v>172</v>
      </c>
      <c r="J465" t="s">
        <v>207</v>
      </c>
      <c r="K465">
        <v>0.0007411308948208666</v>
      </c>
      <c r="L465" t="s">
        <v>153</v>
      </c>
      <c r="N465" t="s">
        <v>182</v>
      </c>
      <c r="O465" t="s">
        <v>207</v>
      </c>
      <c r="P465">
        <v>0.00066234007300087962</v>
      </c>
      <c r="Q465" t="s">
        <v>153</v>
      </c>
    </row>
    <row r="466" spans="9:17" ht="14.25">
      <c r="I466" t="s">
        <v>172</v>
      </c>
      <c r="J466" t="s">
        <v>221</v>
      </c>
      <c r="K466">
        <v>0</v>
      </c>
      <c r="L466" t="s">
        <v>153</v>
      </c>
      <c r="N466" t="s">
        <v>182</v>
      </c>
      <c r="O466" t="s">
        <v>221</v>
      </c>
      <c r="P466">
        <v>0.006163144193045038</v>
      </c>
      <c r="Q466" t="s">
        <v>153</v>
      </c>
    </row>
    <row r="467" spans="9:17" ht="14.25">
      <c r="I467" t="s">
        <v>172</v>
      </c>
      <c r="J467" t="s">
        <v>208</v>
      </c>
      <c r="K467">
        <v>0</v>
      </c>
      <c r="L467" t="s">
        <v>153</v>
      </c>
      <c r="N467" t="s">
        <v>182</v>
      </c>
      <c r="O467" t="s">
        <v>208</v>
      </c>
      <c r="P467">
        <v>0.010387444191457484</v>
      </c>
      <c r="Q467" t="s">
        <v>153</v>
      </c>
    </row>
    <row r="468" spans="9:17" ht="14.25">
      <c r="I468" t="s">
        <v>172</v>
      </c>
      <c r="J468" t="s">
        <v>209</v>
      </c>
      <c r="K468">
        <v>0.0015871486374144257</v>
      </c>
      <c r="L468" t="s">
        <v>153</v>
      </c>
      <c r="N468" t="s">
        <v>182</v>
      </c>
      <c r="O468" t="s">
        <v>209</v>
      </c>
      <c r="P468">
        <v>0.0017897418753975484</v>
      </c>
      <c r="Q468" t="s">
        <v>153</v>
      </c>
    </row>
    <row r="469" spans="9:17" ht="14.25">
      <c r="I469" t="s">
        <v>172</v>
      </c>
      <c r="J469" t="s">
        <v>210</v>
      </c>
      <c r="K469">
        <v>0.024169191073297701</v>
      </c>
      <c r="L469" t="s">
        <v>153</v>
      </c>
      <c r="N469" t="s">
        <v>182</v>
      </c>
      <c r="O469" t="s">
        <v>210</v>
      </c>
      <c r="P469">
        <v>0.010258529507860843</v>
      </c>
      <c r="Q469" t="s">
        <v>153</v>
      </c>
    </row>
    <row r="470" spans="9:17" ht="14.25">
      <c r="I470" t="s">
        <v>172</v>
      </c>
      <c r="J470" t="s">
        <v>211</v>
      </c>
      <c r="K470">
        <v>0.002547498419761068</v>
      </c>
      <c r="L470" t="s">
        <v>153</v>
      </c>
      <c r="N470" t="s">
        <v>182</v>
      </c>
      <c r="O470" t="s">
        <v>211</v>
      </c>
      <c r="P470">
        <v>0.0011458424301276321</v>
      </c>
      <c r="Q470" t="s">
        <v>153</v>
      </c>
    </row>
    <row r="471" spans="9:17" ht="14.25">
      <c r="I471" t="s">
        <v>172</v>
      </c>
      <c r="J471" t="s">
        <v>212</v>
      </c>
      <c r="K471">
        <v>0.0016684563170708965</v>
      </c>
      <c r="L471" t="s">
        <v>153</v>
      </c>
      <c r="N471" t="s">
        <v>182</v>
      </c>
      <c r="O471" t="s">
        <v>212</v>
      </c>
      <c r="P471">
        <v>0.0011118003430507348</v>
      </c>
      <c r="Q471" t="s">
        <v>153</v>
      </c>
    </row>
    <row r="472" spans="9:17" ht="14.25">
      <c r="I472" t="s">
        <v>172</v>
      </c>
      <c r="J472" t="s">
        <v>222</v>
      </c>
      <c r="K472">
        <v>0</v>
      </c>
      <c r="L472" t="s">
        <v>153</v>
      </c>
      <c r="N472" t="s">
        <v>182</v>
      </c>
      <c r="O472" t="s">
        <v>222</v>
      </c>
      <c r="P472">
        <v>0.0086980263033144094</v>
      </c>
      <c r="Q472" t="s">
        <v>153</v>
      </c>
    </row>
    <row r="473" spans="9:17" ht="14.25">
      <c r="I473" t="s">
        <v>172</v>
      </c>
      <c r="J473" t="s">
        <v>223</v>
      </c>
      <c r="K473">
        <v>0.00010680746829390533</v>
      </c>
      <c r="L473" t="s">
        <v>153</v>
      </c>
      <c r="N473" t="s">
        <v>182</v>
      </c>
      <c r="O473" t="s">
        <v>223</v>
      </c>
      <c r="P473">
        <v>0.0044497291068316906</v>
      </c>
      <c r="Q473" t="s">
        <v>153</v>
      </c>
    </row>
    <row r="474" spans="9:17" ht="14.25">
      <c r="I474" t="s">
        <v>172</v>
      </c>
      <c r="J474" t="s">
        <v>224</v>
      </c>
      <c r="K474">
        <v>0.00056119417393966139</v>
      </c>
      <c r="L474" t="s">
        <v>153</v>
      </c>
      <c r="N474" t="s">
        <v>182</v>
      </c>
      <c r="O474" t="s">
        <v>224</v>
      </c>
      <c r="P474">
        <v>0.00036645892936220683</v>
      </c>
      <c r="Q474" t="s">
        <v>153</v>
      </c>
    </row>
    <row r="475" spans="9:17" ht="14.25">
      <c r="I475" t="s">
        <v>172</v>
      </c>
      <c r="J475" t="s">
        <v>225</v>
      </c>
      <c r="K475">
        <v>0.0089734418206282428</v>
      </c>
      <c r="L475" t="s">
        <v>153</v>
      </c>
      <c r="N475" t="s">
        <v>182</v>
      </c>
      <c r="O475" t="s">
        <v>225</v>
      </c>
      <c r="P475">
        <v>0.0040389888012903824</v>
      </c>
      <c r="Q475" t="s">
        <v>153</v>
      </c>
    </row>
    <row r="476" spans="9:17" ht="14.25">
      <c r="I476" t="s">
        <v>172</v>
      </c>
      <c r="J476" t="s">
        <v>226</v>
      </c>
      <c r="K476">
        <v>0.00078698610487131686</v>
      </c>
      <c r="L476" t="s">
        <v>153</v>
      </c>
      <c r="N476" t="s">
        <v>182</v>
      </c>
      <c r="O476" t="s">
        <v>226</v>
      </c>
      <c r="P476">
        <v>0.00088978810015478645</v>
      </c>
      <c r="Q476" t="s">
        <v>153</v>
      </c>
    </row>
    <row r="477" spans="9:17" ht="14.25">
      <c r="I477" t="s">
        <v>172</v>
      </c>
      <c r="J477" t="s">
        <v>227</v>
      </c>
      <c r="K477">
        <v>0.00050893866381087542</v>
      </c>
      <c r="L477" t="s">
        <v>153</v>
      </c>
      <c r="N477" t="s">
        <v>182</v>
      </c>
      <c r="O477" t="s">
        <v>227</v>
      </c>
      <c r="P477">
        <v>0.00081183957129773911</v>
      </c>
      <c r="Q477" t="s">
        <v>153</v>
      </c>
    </row>
    <row r="478" spans="9:17" ht="14.25">
      <c r="I478" t="s">
        <v>172</v>
      </c>
      <c r="J478" t="s">
        <v>228</v>
      </c>
      <c r="K478">
        <v>0</v>
      </c>
      <c r="L478" t="s">
        <v>153</v>
      </c>
      <c r="N478" t="s">
        <v>182</v>
      </c>
      <c r="O478" t="s">
        <v>228</v>
      </c>
      <c r="P478">
        <v>0.0034939440614465038</v>
      </c>
      <c r="Q478" t="s">
        <v>153</v>
      </c>
    </row>
    <row r="479" spans="9:17" ht="14.25">
      <c r="I479" t="s">
        <v>172</v>
      </c>
      <c r="J479" t="s">
        <v>235</v>
      </c>
      <c r="K479">
        <v>0.0074346248556700183</v>
      </c>
      <c r="L479" t="s">
        <v>153</v>
      </c>
      <c r="N479" t="s">
        <v>182</v>
      </c>
      <c r="O479" t="s">
        <v>235</v>
      </c>
      <c r="P479">
        <v>0.051441602151939707</v>
      </c>
      <c r="Q479" t="s">
        <v>153</v>
      </c>
    </row>
    <row r="480" spans="9:17" ht="14.25">
      <c r="I480" t="s">
        <v>172</v>
      </c>
      <c r="J480" t="s">
        <v>236</v>
      </c>
      <c r="K480">
        <v>0.014122672314484845</v>
      </c>
      <c r="L480" t="s">
        <v>153</v>
      </c>
      <c r="N480" t="s">
        <v>182</v>
      </c>
      <c r="O480" t="s">
        <v>236</v>
      </c>
      <c r="P480">
        <v>0.0052491604761083716</v>
      </c>
      <c r="Q480" t="s">
        <v>153</v>
      </c>
    </row>
    <row r="481" spans="9:17" ht="14.25">
      <c r="I481" t="s">
        <v>172</v>
      </c>
      <c r="J481" t="s">
        <v>237</v>
      </c>
      <c r="K481">
        <v>0.16807514862727205</v>
      </c>
      <c r="L481" t="s">
        <v>153</v>
      </c>
      <c r="N481" t="s">
        <v>182</v>
      </c>
      <c r="O481" t="s">
        <v>237</v>
      </c>
      <c r="P481">
        <v>0.046254369344825352</v>
      </c>
      <c r="Q481" t="s">
        <v>153</v>
      </c>
    </row>
    <row r="482" spans="9:17" ht="14.25">
      <c r="I482" t="s">
        <v>172</v>
      </c>
      <c r="J482" t="s">
        <v>238</v>
      </c>
      <c r="K482">
        <v>0.015879251176273316</v>
      </c>
      <c r="L482" t="s">
        <v>153</v>
      </c>
      <c r="N482" t="s">
        <v>182</v>
      </c>
      <c r="O482" t="s">
        <v>238</v>
      </c>
      <c r="P482">
        <v>0.009462051656495581</v>
      </c>
      <c r="Q482" t="s">
        <v>153</v>
      </c>
    </row>
    <row r="483" spans="9:17" ht="14.25">
      <c r="I483" t="s">
        <v>172</v>
      </c>
      <c r="J483" t="s">
        <v>239</v>
      </c>
      <c r="K483">
        <v>0.011157140210104633</v>
      </c>
      <c r="L483" t="s">
        <v>153</v>
      </c>
      <c r="N483" t="s">
        <v>182</v>
      </c>
      <c r="O483" t="s">
        <v>239</v>
      </c>
      <c r="P483">
        <v>0.010292114039757758</v>
      </c>
      <c r="Q483" t="s">
        <v>153</v>
      </c>
    </row>
    <row r="484" spans="9:17" ht="14.25">
      <c r="I484" t="s">
        <v>172</v>
      </c>
      <c r="J484" t="s">
        <v>240</v>
      </c>
      <c r="K484">
        <v>0.0042730790468184163</v>
      </c>
      <c r="L484" t="s">
        <v>153</v>
      </c>
      <c r="N484" t="s">
        <v>182</v>
      </c>
      <c r="O484" t="s">
        <v>240</v>
      </c>
      <c r="P484">
        <v>0.075990012000545074</v>
      </c>
      <c r="Q484" t="s">
        <v>153</v>
      </c>
    </row>
    <row r="485" spans="9:17" ht="14.25">
      <c r="I485" t="s">
        <v>172</v>
      </c>
      <c r="J485" t="s">
        <v>241</v>
      </c>
      <c r="K485">
        <v>0.0092150148058124555</v>
      </c>
      <c r="L485" t="s">
        <v>153</v>
      </c>
      <c r="N485" t="s">
        <v>182</v>
      </c>
      <c r="O485" t="s">
        <v>241</v>
      </c>
      <c r="P485">
        <v>0.14263210410043434</v>
      </c>
      <c r="Q485" t="s">
        <v>153</v>
      </c>
    </row>
    <row r="486" spans="9:17" ht="14.25">
      <c r="I486" t="s">
        <v>172</v>
      </c>
      <c r="J486" t="s">
        <v>242</v>
      </c>
      <c r="K486">
        <v>0.029621792837699668</v>
      </c>
      <c r="L486" t="s">
        <v>153</v>
      </c>
      <c r="N486" t="s">
        <v>182</v>
      </c>
      <c r="O486" t="s">
        <v>242</v>
      </c>
      <c r="P486">
        <v>0.017492695013460263</v>
      </c>
      <c r="Q486" t="s">
        <v>153</v>
      </c>
    </row>
    <row r="487" spans="9:17" ht="14.25">
      <c r="I487" t="s">
        <v>172</v>
      </c>
      <c r="J487" t="s">
        <v>243</v>
      </c>
      <c r="K487">
        <v>0.41066078288725472</v>
      </c>
      <c r="L487" t="s">
        <v>153</v>
      </c>
      <c r="N487" t="s">
        <v>182</v>
      </c>
      <c r="O487" t="s">
        <v>243</v>
      </c>
      <c r="P487">
        <v>0.10389922384561144</v>
      </c>
      <c r="Q487" t="s">
        <v>153</v>
      </c>
    </row>
    <row r="488" spans="9:17" ht="14.25">
      <c r="I488" t="s">
        <v>172</v>
      </c>
      <c r="J488" t="s">
        <v>244</v>
      </c>
      <c r="K488">
        <v>0.036148917192090603</v>
      </c>
      <c r="L488" t="s">
        <v>153</v>
      </c>
      <c r="N488" t="s">
        <v>182</v>
      </c>
      <c r="O488" t="s">
        <v>244</v>
      </c>
      <c r="P488">
        <v>0.014827543570011937</v>
      </c>
      <c r="Q488" t="s">
        <v>153</v>
      </c>
    </row>
    <row r="489" spans="9:17" ht="14.25">
      <c r="I489" t="s">
        <v>172</v>
      </c>
      <c r="J489" t="s">
        <v>245</v>
      </c>
      <c r="K489">
        <v>0.017842884955210782</v>
      </c>
      <c r="L489" t="s">
        <v>153</v>
      </c>
      <c r="N489" t="s">
        <v>182</v>
      </c>
      <c r="O489" t="s">
        <v>245</v>
      </c>
      <c r="P489">
        <v>0.017568259876480488</v>
      </c>
      <c r="Q489" t="s">
        <v>153</v>
      </c>
    </row>
    <row r="490" spans="9:17" ht="14.25">
      <c r="I490" t="s">
        <v>172</v>
      </c>
      <c r="J490" t="s">
        <v>246</v>
      </c>
      <c r="K490">
        <v>0.0039579306267934506</v>
      </c>
      <c r="L490" t="s">
        <v>153</v>
      </c>
      <c r="N490" t="s">
        <v>182</v>
      </c>
      <c r="O490" t="s">
        <v>246</v>
      </c>
      <c r="P490">
        <v>0.1666828796328676</v>
      </c>
      <c r="Q490" t="s">
        <v>153</v>
      </c>
    </row>
    <row r="491" spans="9:17" ht="14.25">
      <c r="I491" t="s">
        <v>172</v>
      </c>
      <c r="J491" t="s">
        <v>247</v>
      </c>
      <c r="K491">
        <v>0</v>
      </c>
      <c r="L491" t="s">
        <v>153</v>
      </c>
      <c r="N491" t="s">
        <v>182</v>
      </c>
      <c r="O491" t="s">
        <v>247</v>
      </c>
      <c r="P491">
        <v>0.023295521384966402</v>
      </c>
      <c r="Q491" t="s">
        <v>153</v>
      </c>
    </row>
    <row r="492" spans="9:17" ht="14.25">
      <c r="I492" t="s">
        <v>172</v>
      </c>
      <c r="J492" t="s">
        <v>248</v>
      </c>
      <c r="K492">
        <v>0.0022836032663289584</v>
      </c>
      <c r="L492" t="s">
        <v>153</v>
      </c>
      <c r="N492" t="s">
        <v>182</v>
      </c>
      <c r="O492" t="s">
        <v>248</v>
      </c>
      <c r="P492">
        <v>0.0028545683863662771</v>
      </c>
      <c r="Q492" t="s">
        <v>153</v>
      </c>
    </row>
    <row r="493" spans="9:17" ht="14.25">
      <c r="I493" t="s">
        <v>172</v>
      </c>
      <c r="J493" t="s">
        <v>249</v>
      </c>
      <c r="K493">
        <v>0.036951884151956049</v>
      </c>
      <c r="L493" t="s">
        <v>153</v>
      </c>
      <c r="N493" t="s">
        <v>182</v>
      </c>
      <c r="O493" t="s">
        <v>249</v>
      </c>
      <c r="P493">
        <v>0.017561913282594436</v>
      </c>
      <c r="Q493" t="s">
        <v>153</v>
      </c>
    </row>
    <row r="494" spans="9:17" ht="14.25">
      <c r="I494" t="s">
        <v>172</v>
      </c>
      <c r="J494" t="s">
        <v>250</v>
      </c>
      <c r="K494">
        <v>0.0033618491374884439</v>
      </c>
      <c r="L494" t="s">
        <v>153</v>
      </c>
      <c r="N494" t="s">
        <v>182</v>
      </c>
      <c r="O494" t="s">
        <v>250</v>
      </c>
      <c r="P494">
        <v>0.0029520808573270082</v>
      </c>
      <c r="Q494" t="s">
        <v>153</v>
      </c>
    </row>
    <row r="495" spans="9:17" ht="14.25">
      <c r="I495" t="s">
        <v>172</v>
      </c>
      <c r="J495" t="s">
        <v>251</v>
      </c>
      <c r="K495">
        <v>0.0012165556500950132</v>
      </c>
      <c r="L495" t="s">
        <v>153</v>
      </c>
      <c r="N495" t="s">
        <v>182</v>
      </c>
      <c r="O495" t="s">
        <v>251</v>
      </c>
      <c r="P495">
        <v>0.0036057706589691127</v>
      </c>
      <c r="Q495" t="s">
        <v>153</v>
      </c>
    </row>
    <row r="496" spans="9:17" ht="14.25">
      <c r="I496" t="s">
        <v>172</v>
      </c>
      <c r="J496" t="s">
        <v>252</v>
      </c>
      <c r="K496">
        <v>0</v>
      </c>
      <c r="L496" t="s">
        <v>153</v>
      </c>
      <c r="N496" t="s">
        <v>182</v>
      </c>
      <c r="O496" t="s">
        <v>252</v>
      </c>
      <c r="P496">
        <v>0.026563637082881723</v>
      </c>
      <c r="Q496" t="s">
        <v>153</v>
      </c>
    </row>
    <row r="497" spans="9:17" ht="14.25">
      <c r="I497" t="s">
        <v>173</v>
      </c>
      <c r="J497" t="s">
        <v>152</v>
      </c>
      <c r="K497">
        <v>0</v>
      </c>
      <c r="L497" t="s">
        <v>153</v>
      </c>
      <c r="N497" t="s">
        <v>183</v>
      </c>
      <c r="O497" t="s">
        <v>152</v>
      </c>
      <c r="P497">
        <v>0.0019836254093080208</v>
      </c>
      <c r="Q497" t="s">
        <v>153</v>
      </c>
    </row>
    <row r="498" spans="9:17" ht="14.25">
      <c r="I498" t="s">
        <v>173</v>
      </c>
      <c r="J498" t="s">
        <v>154</v>
      </c>
      <c r="K498">
        <v>0.00076166079687715101</v>
      </c>
      <c r="L498" t="s">
        <v>153</v>
      </c>
      <c r="N498" t="s">
        <v>183</v>
      </c>
      <c r="O498" t="s">
        <v>154</v>
      </c>
      <c r="P498">
        <v>7.5196875974232268E-05</v>
      </c>
      <c r="Q498" t="s">
        <v>153</v>
      </c>
    </row>
    <row r="499" spans="9:17" ht="14.25">
      <c r="I499" t="s">
        <v>173</v>
      </c>
      <c r="J499" t="s">
        <v>155</v>
      </c>
      <c r="K499">
        <v>0.012988583695746982</v>
      </c>
      <c r="L499" t="s">
        <v>153</v>
      </c>
      <c r="N499" t="s">
        <v>183</v>
      </c>
      <c r="O499" t="s">
        <v>155</v>
      </c>
      <c r="P499">
        <v>0.0011663800506238932</v>
      </c>
      <c r="Q499" t="s">
        <v>153</v>
      </c>
    </row>
    <row r="500" spans="9:17" ht="14.25">
      <c r="I500" t="s">
        <v>173</v>
      </c>
      <c r="J500" t="s">
        <v>200</v>
      </c>
      <c r="K500">
        <v>0.0013072272535466424</v>
      </c>
      <c r="L500" t="s">
        <v>153</v>
      </c>
      <c r="N500" t="s">
        <v>183</v>
      </c>
      <c r="O500" t="s">
        <v>200</v>
      </c>
      <c r="P500">
        <v>0.00047905381133473828</v>
      </c>
      <c r="Q500" t="s">
        <v>153</v>
      </c>
    </row>
    <row r="501" spans="9:17" ht="14.25">
      <c r="I501" t="s">
        <v>173</v>
      </c>
      <c r="J501" t="s">
        <v>201</v>
      </c>
      <c r="K501">
        <v>0.00074667407794944563</v>
      </c>
      <c r="L501" t="s">
        <v>153</v>
      </c>
      <c r="N501" t="s">
        <v>183</v>
      </c>
      <c r="O501" t="s">
        <v>201</v>
      </c>
      <c r="P501">
        <v>0.00061531772403169321</v>
      </c>
      <c r="Q501" t="s">
        <v>153</v>
      </c>
    </row>
    <row r="502" spans="9:17" ht="14.25">
      <c r="I502" t="s">
        <v>173</v>
      </c>
      <c r="J502" t="s">
        <v>218</v>
      </c>
      <c r="K502">
        <v>0</v>
      </c>
      <c r="L502" t="s">
        <v>153</v>
      </c>
      <c r="N502" t="s">
        <v>183</v>
      </c>
      <c r="O502" t="s">
        <v>218</v>
      </c>
      <c r="P502">
        <v>0.0042467224982594412</v>
      </c>
      <c r="Q502" t="s">
        <v>153</v>
      </c>
    </row>
    <row r="503" spans="9:17" ht="14.25">
      <c r="I503" t="s">
        <v>173</v>
      </c>
      <c r="J503" t="s">
        <v>156</v>
      </c>
      <c r="K503">
        <v>0</v>
      </c>
      <c r="L503" t="s">
        <v>153</v>
      </c>
      <c r="N503" t="s">
        <v>183</v>
      </c>
      <c r="O503" t="s">
        <v>156</v>
      </c>
      <c r="P503">
        <v>0.035404958793734183</v>
      </c>
      <c r="Q503" t="s">
        <v>153</v>
      </c>
    </row>
    <row r="504" spans="9:17" ht="14.25">
      <c r="I504" t="s">
        <v>173</v>
      </c>
      <c r="J504" t="s">
        <v>157</v>
      </c>
      <c r="K504">
        <v>0.0033455274932593132</v>
      </c>
      <c r="L504" t="s">
        <v>153</v>
      </c>
      <c r="N504" t="s">
        <v>183</v>
      </c>
      <c r="O504" t="s">
        <v>157</v>
      </c>
      <c r="P504">
        <v>0.0054916019906803932</v>
      </c>
      <c r="Q504" t="s">
        <v>153</v>
      </c>
    </row>
    <row r="505" spans="9:17" ht="14.25">
      <c r="I505" t="s">
        <v>173</v>
      </c>
      <c r="J505" t="s">
        <v>158</v>
      </c>
      <c r="K505">
        <v>0.062582804246961929</v>
      </c>
      <c r="L505" t="s">
        <v>153</v>
      </c>
      <c r="N505" t="s">
        <v>183</v>
      </c>
      <c r="O505" t="s">
        <v>158</v>
      </c>
      <c r="P505">
        <v>0.04533598730350219</v>
      </c>
      <c r="Q505" t="s">
        <v>153</v>
      </c>
    </row>
    <row r="506" spans="9:17" ht="14.25">
      <c r="I506" t="s">
        <v>173</v>
      </c>
      <c r="J506" t="s">
        <v>202</v>
      </c>
      <c r="K506">
        <v>0.0064602540321784911</v>
      </c>
      <c r="L506" t="s">
        <v>153</v>
      </c>
      <c r="N506" t="s">
        <v>183</v>
      </c>
      <c r="O506" t="s">
        <v>202</v>
      </c>
      <c r="P506">
        <v>0.0047820469254199289</v>
      </c>
      <c r="Q506" t="s">
        <v>153</v>
      </c>
    </row>
    <row r="507" spans="9:17" ht="14.25">
      <c r="I507" t="s">
        <v>173</v>
      </c>
      <c r="J507" t="s">
        <v>203</v>
      </c>
      <c r="K507">
        <v>0.0037015382031841365</v>
      </c>
      <c r="L507" t="s">
        <v>153</v>
      </c>
      <c r="N507" t="s">
        <v>183</v>
      </c>
      <c r="O507" t="s">
        <v>203</v>
      </c>
      <c r="P507">
        <v>0.0046411850597186813</v>
      </c>
      <c r="Q507" t="s">
        <v>153</v>
      </c>
    </row>
    <row r="508" spans="9:17" ht="14.25">
      <c r="I508" t="s">
        <v>173</v>
      </c>
      <c r="J508" t="s">
        <v>219</v>
      </c>
      <c r="K508">
        <v>0</v>
      </c>
      <c r="L508" t="s">
        <v>153</v>
      </c>
      <c r="N508" t="s">
        <v>183</v>
      </c>
      <c r="O508" t="s">
        <v>219</v>
      </c>
      <c r="P508">
        <v>0.030573348168154296</v>
      </c>
      <c r="Q508" t="s">
        <v>153</v>
      </c>
    </row>
    <row r="509" spans="9:17" ht="14.25">
      <c r="I509" t="s">
        <v>173</v>
      </c>
      <c r="J509" t="s">
        <v>159</v>
      </c>
      <c r="K509">
        <v>0</v>
      </c>
      <c r="L509" t="s">
        <v>153</v>
      </c>
      <c r="N509" t="s">
        <v>183</v>
      </c>
      <c r="O509" t="s">
        <v>159</v>
      </c>
      <c r="P509">
        <v>0.017271269445835839</v>
      </c>
      <c r="Q509" t="s">
        <v>153</v>
      </c>
    </row>
    <row r="510" spans="9:17" ht="14.25">
      <c r="I510" t="s">
        <v>173</v>
      </c>
      <c r="J510" t="s">
        <v>160</v>
      </c>
      <c r="K510">
        <v>0.0037522712287023177</v>
      </c>
      <c r="L510" t="s">
        <v>153</v>
      </c>
      <c r="N510" t="s">
        <v>183</v>
      </c>
      <c r="O510" t="s">
        <v>160</v>
      </c>
      <c r="P510">
        <v>0.0028726309443207324</v>
      </c>
      <c r="Q510" t="s">
        <v>153</v>
      </c>
    </row>
    <row r="511" spans="9:17" ht="14.25">
      <c r="I511" t="s">
        <v>173</v>
      </c>
      <c r="J511" t="s">
        <v>161</v>
      </c>
      <c r="K511">
        <v>0.068475819686919515</v>
      </c>
      <c r="L511" t="s">
        <v>153</v>
      </c>
      <c r="N511" t="s">
        <v>183</v>
      </c>
      <c r="O511" t="s">
        <v>161</v>
      </c>
      <c r="P511">
        <v>0.017412686855591792</v>
      </c>
      <c r="Q511" t="s">
        <v>153</v>
      </c>
    </row>
    <row r="512" spans="9:17" ht="14.25">
      <c r="I512" t="s">
        <v>173</v>
      </c>
      <c r="J512" t="s">
        <v>204</v>
      </c>
      <c r="K512">
        <v>0.0074853948312476135</v>
      </c>
      <c r="L512" t="s">
        <v>153</v>
      </c>
      <c r="N512" t="s">
        <v>183</v>
      </c>
      <c r="O512" t="s">
        <v>204</v>
      </c>
      <c r="P512">
        <v>0.0023768788986395428</v>
      </c>
      <c r="Q512" t="s">
        <v>153</v>
      </c>
    </row>
    <row r="513" spans="9:17" ht="14.25">
      <c r="I513" t="s">
        <v>173</v>
      </c>
      <c r="J513" t="s">
        <v>205</v>
      </c>
      <c r="K513">
        <v>0.0047305348070761002</v>
      </c>
      <c r="L513" t="s">
        <v>153</v>
      </c>
      <c r="N513" t="s">
        <v>183</v>
      </c>
      <c r="O513" t="s">
        <v>205</v>
      </c>
      <c r="P513">
        <v>0.0028996428499959309</v>
      </c>
      <c r="Q513" t="s">
        <v>153</v>
      </c>
    </row>
    <row r="514" spans="9:17" ht="14.25">
      <c r="I514" t="s">
        <v>173</v>
      </c>
      <c r="J514" t="s">
        <v>220</v>
      </c>
      <c r="K514">
        <v>0</v>
      </c>
      <c r="L514" t="s">
        <v>153</v>
      </c>
      <c r="N514" t="s">
        <v>183</v>
      </c>
      <c r="O514" t="s">
        <v>220</v>
      </c>
      <c r="P514">
        <v>0.023790870466699931</v>
      </c>
      <c r="Q514" t="s">
        <v>153</v>
      </c>
    </row>
    <row r="515" spans="9:17" ht="14.25">
      <c r="I515" t="s">
        <v>173</v>
      </c>
      <c r="J515" t="s">
        <v>162</v>
      </c>
      <c r="K515">
        <v>0</v>
      </c>
      <c r="L515" t="s">
        <v>153</v>
      </c>
      <c r="N515" t="s">
        <v>183</v>
      </c>
      <c r="O515" t="s">
        <v>162</v>
      </c>
      <c r="P515">
        <v>0.0060922568691290429</v>
      </c>
      <c r="Q515" t="s">
        <v>153</v>
      </c>
    </row>
    <row r="516" spans="9:17" ht="14.25">
      <c r="I516" t="s">
        <v>173</v>
      </c>
      <c r="J516" t="s">
        <v>163</v>
      </c>
      <c r="K516">
        <v>0.00078203775679432748</v>
      </c>
      <c r="L516" t="s">
        <v>153</v>
      </c>
      <c r="N516" t="s">
        <v>183</v>
      </c>
      <c r="O516" t="s">
        <v>163</v>
      </c>
      <c r="P516">
        <v>0.0010853001764966777</v>
      </c>
      <c r="Q516" t="s">
        <v>153</v>
      </c>
    </row>
    <row r="517" spans="9:17" ht="14.25">
      <c r="I517" t="s">
        <v>173</v>
      </c>
      <c r="J517" t="s">
        <v>164</v>
      </c>
      <c r="K517">
        <v>0.011948561603353785</v>
      </c>
      <c r="L517" t="s">
        <v>153</v>
      </c>
      <c r="N517" t="s">
        <v>183</v>
      </c>
      <c r="O517" t="s">
        <v>164</v>
      </c>
      <c r="P517">
        <v>0.0067883705201844634</v>
      </c>
      <c r="Q517" t="s">
        <v>153</v>
      </c>
    </row>
    <row r="518" spans="9:17" ht="14.25">
      <c r="I518" t="s">
        <v>173</v>
      </c>
      <c r="J518" t="s">
        <v>206</v>
      </c>
      <c r="K518">
        <v>0.0012261368044536448</v>
      </c>
      <c r="L518" t="s">
        <v>153</v>
      </c>
      <c r="N518" t="s">
        <v>183</v>
      </c>
      <c r="O518" t="s">
        <v>206</v>
      </c>
      <c r="P518">
        <v>0.00084881141707301901</v>
      </c>
      <c r="Q518" t="s">
        <v>153</v>
      </c>
    </row>
    <row r="519" spans="9:17" ht="14.25">
      <c r="I519" t="s">
        <v>173</v>
      </c>
      <c r="J519" t="s">
        <v>207</v>
      </c>
      <c r="K519">
        <v>0.00080499342904319143</v>
      </c>
      <c r="L519" t="s">
        <v>153</v>
      </c>
      <c r="N519" t="s">
        <v>183</v>
      </c>
      <c r="O519" t="s">
        <v>207</v>
      </c>
      <c r="P519">
        <v>0.00081769505767041175</v>
      </c>
      <c r="Q519" t="s">
        <v>153</v>
      </c>
    </row>
    <row r="520" spans="9:17" ht="14.25">
      <c r="I520" t="s">
        <v>173</v>
      </c>
      <c r="J520" t="s">
        <v>221</v>
      </c>
      <c r="K520">
        <v>0</v>
      </c>
      <c r="L520" t="s">
        <v>153</v>
      </c>
      <c r="N520" t="s">
        <v>183</v>
      </c>
      <c r="O520" t="s">
        <v>221</v>
      </c>
      <c r="P520">
        <v>0.0049837066939078644</v>
      </c>
      <c r="Q520" t="s">
        <v>153</v>
      </c>
    </row>
    <row r="521" spans="9:17" ht="14.25">
      <c r="I521" t="s">
        <v>173</v>
      </c>
      <c r="J521" t="s">
        <v>208</v>
      </c>
      <c r="K521">
        <v>0</v>
      </c>
      <c r="L521" t="s">
        <v>153</v>
      </c>
      <c r="N521" t="s">
        <v>183</v>
      </c>
      <c r="O521" t="s">
        <v>208</v>
      </c>
      <c r="P521">
        <v>0.0092624553089085248</v>
      </c>
      <c r="Q521" t="s">
        <v>153</v>
      </c>
    </row>
    <row r="522" spans="9:17" ht="14.25">
      <c r="I522" t="s">
        <v>173</v>
      </c>
      <c r="J522" t="s">
        <v>209</v>
      </c>
      <c r="K522">
        <v>0.0017547930226864011</v>
      </c>
      <c r="L522" t="s">
        <v>153</v>
      </c>
      <c r="N522" t="s">
        <v>183</v>
      </c>
      <c r="O522" t="s">
        <v>209</v>
      </c>
      <c r="P522">
        <v>0.0025152558865712497</v>
      </c>
      <c r="Q522" t="s">
        <v>153</v>
      </c>
    </row>
    <row r="523" spans="9:17" ht="14.25">
      <c r="I523" t="s">
        <v>173</v>
      </c>
      <c r="J523" t="s">
        <v>210</v>
      </c>
      <c r="K523">
        <v>0.024581709798146691</v>
      </c>
      <c r="L523" t="s">
        <v>153</v>
      </c>
      <c r="N523" t="s">
        <v>183</v>
      </c>
      <c r="O523" t="s">
        <v>210</v>
      </c>
      <c r="P523">
        <v>0.012518742528454103</v>
      </c>
      <c r="Q523" t="s">
        <v>153</v>
      </c>
    </row>
    <row r="524" spans="9:17" ht="14.25">
      <c r="I524" t="s">
        <v>173</v>
      </c>
      <c r="J524" t="s">
        <v>211</v>
      </c>
      <c r="K524">
        <v>0.0025347327282255021</v>
      </c>
      <c r="L524" t="s">
        <v>153</v>
      </c>
      <c r="N524" t="s">
        <v>183</v>
      </c>
      <c r="O524" t="s">
        <v>211</v>
      </c>
      <c r="P524">
        <v>0.0011177565219613681</v>
      </c>
      <c r="Q524" t="s">
        <v>153</v>
      </c>
    </row>
    <row r="525" spans="9:17" ht="14.25">
      <c r="I525" t="s">
        <v>173</v>
      </c>
      <c r="J525" t="s">
        <v>212</v>
      </c>
      <c r="K525">
        <v>0.0016745693297999886</v>
      </c>
      <c r="L525" t="s">
        <v>153</v>
      </c>
      <c r="N525" t="s">
        <v>183</v>
      </c>
      <c r="O525" t="s">
        <v>212</v>
      </c>
      <c r="P525">
        <v>0.0011500474429138919</v>
      </c>
      <c r="Q525" t="s">
        <v>153</v>
      </c>
    </row>
    <row r="526" spans="9:17" ht="14.25">
      <c r="I526" t="s">
        <v>173</v>
      </c>
      <c r="J526" t="s">
        <v>222</v>
      </c>
      <c r="K526">
        <v>0</v>
      </c>
      <c r="L526" t="s">
        <v>153</v>
      </c>
      <c r="N526" t="s">
        <v>183</v>
      </c>
      <c r="O526" t="s">
        <v>222</v>
      </c>
      <c r="P526">
        <v>0.009267250981043397</v>
      </c>
      <c r="Q526" t="s">
        <v>153</v>
      </c>
    </row>
    <row r="527" spans="9:17" ht="14.25">
      <c r="I527" t="s">
        <v>173</v>
      </c>
      <c r="J527" t="s">
        <v>223</v>
      </c>
      <c r="K527">
        <v>0.00014127909523310148</v>
      </c>
      <c r="L527" t="s">
        <v>153</v>
      </c>
      <c r="N527" t="s">
        <v>183</v>
      </c>
      <c r="O527" t="s">
        <v>223</v>
      </c>
      <c r="P527">
        <v>0.0042357794316220448</v>
      </c>
      <c r="Q527" t="s">
        <v>153</v>
      </c>
    </row>
    <row r="528" spans="9:17" ht="14.25">
      <c r="I528" t="s">
        <v>173</v>
      </c>
      <c r="J528" t="s">
        <v>224</v>
      </c>
      <c r="K528">
        <v>0.00063391755050245873</v>
      </c>
      <c r="L528" t="s">
        <v>153</v>
      </c>
      <c r="N528" t="s">
        <v>183</v>
      </c>
      <c r="O528" t="s">
        <v>224</v>
      </c>
      <c r="P528">
        <v>0.00040580354702017492</v>
      </c>
      <c r="Q528" t="s">
        <v>153</v>
      </c>
    </row>
    <row r="529" spans="9:17" ht="14.25">
      <c r="I529" t="s">
        <v>173</v>
      </c>
      <c r="J529" t="s">
        <v>225</v>
      </c>
      <c r="K529">
        <v>0.0094776589836207178</v>
      </c>
      <c r="L529" t="s">
        <v>153</v>
      </c>
      <c r="N529" t="s">
        <v>183</v>
      </c>
      <c r="O529" t="s">
        <v>225</v>
      </c>
      <c r="P529">
        <v>0.0054250711517820323</v>
      </c>
      <c r="Q529" t="s">
        <v>153</v>
      </c>
    </row>
    <row r="530" spans="9:17" ht="14.25">
      <c r="I530" t="s">
        <v>173</v>
      </c>
      <c r="J530" t="s">
        <v>226</v>
      </c>
      <c r="K530">
        <v>0.00082567219303447768</v>
      </c>
      <c r="L530" t="s">
        <v>153</v>
      </c>
      <c r="N530" t="s">
        <v>183</v>
      </c>
      <c r="O530" t="s">
        <v>226</v>
      </c>
      <c r="P530">
        <v>0.00081626735533526324</v>
      </c>
      <c r="Q530" t="s">
        <v>153</v>
      </c>
    </row>
    <row r="531" spans="9:17" ht="14.25">
      <c r="I531" t="s">
        <v>173</v>
      </c>
      <c r="J531" t="s">
        <v>227</v>
      </c>
      <c r="K531">
        <v>0.00053660836125694715</v>
      </c>
      <c r="L531" t="s">
        <v>153</v>
      </c>
      <c r="N531" t="s">
        <v>183</v>
      </c>
      <c r="O531" t="s">
        <v>227</v>
      </c>
      <c r="P531">
        <v>0.00072132122537884127</v>
      </c>
      <c r="Q531" t="s">
        <v>153</v>
      </c>
    </row>
    <row r="532" spans="9:17" ht="14.25">
      <c r="I532" t="s">
        <v>173</v>
      </c>
      <c r="J532" t="s">
        <v>228</v>
      </c>
      <c r="K532">
        <v>0</v>
      </c>
      <c r="L532" t="s">
        <v>153</v>
      </c>
      <c r="N532" t="s">
        <v>183</v>
      </c>
      <c r="O532" t="s">
        <v>228</v>
      </c>
      <c r="P532">
        <v>0.003297541257909908</v>
      </c>
      <c r="Q532" t="s">
        <v>153</v>
      </c>
    </row>
    <row r="533" spans="9:17" ht="14.25">
      <c r="I533" t="s">
        <v>173</v>
      </c>
      <c r="J533" t="s">
        <v>235</v>
      </c>
      <c r="K533">
        <v>0.0074361415760795706</v>
      </c>
      <c r="L533" t="s">
        <v>153</v>
      </c>
      <c r="N533" t="s">
        <v>183</v>
      </c>
      <c r="O533" t="s">
        <v>235</v>
      </c>
      <c r="P533">
        <v>0.038231062370622029</v>
      </c>
      <c r="Q533" t="s">
        <v>153</v>
      </c>
    </row>
    <row r="534" spans="9:17" ht="14.25">
      <c r="I534" t="s">
        <v>173</v>
      </c>
      <c r="J534" t="s">
        <v>236</v>
      </c>
      <c r="K534">
        <v>0.014260538704656099</v>
      </c>
      <c r="L534" t="s">
        <v>153</v>
      </c>
      <c r="N534" t="s">
        <v>183</v>
      </c>
      <c r="O534" t="s">
        <v>236</v>
      </c>
      <c r="P534">
        <v>0.0058615918577876597</v>
      </c>
      <c r="Q534" t="s">
        <v>153</v>
      </c>
    </row>
    <row r="535" spans="9:17" ht="14.25">
      <c r="I535" t="s">
        <v>173</v>
      </c>
      <c r="J535" t="s">
        <v>237</v>
      </c>
      <c r="K535">
        <v>0.16549319664285894</v>
      </c>
      <c r="L535" t="s">
        <v>153</v>
      </c>
      <c r="N535" t="s">
        <v>183</v>
      </c>
      <c r="O535" t="s">
        <v>237</v>
      </c>
      <c r="P535">
        <v>0.062646725243871132</v>
      </c>
      <c r="Q535" t="s">
        <v>153</v>
      </c>
    </row>
    <row r="536" spans="9:17" ht="14.25">
      <c r="I536" t="s">
        <v>173</v>
      </c>
      <c r="J536" t="s">
        <v>238</v>
      </c>
      <c r="K536">
        <v>0.015287255729760018</v>
      </c>
      <c r="L536" t="s">
        <v>153</v>
      </c>
      <c r="N536" t="s">
        <v>183</v>
      </c>
      <c r="O536" t="s">
        <v>238</v>
      </c>
      <c r="P536">
        <v>0.012395589428491425</v>
      </c>
      <c r="Q536" t="s">
        <v>153</v>
      </c>
    </row>
    <row r="537" spans="9:17" ht="14.25">
      <c r="I537" t="s">
        <v>173</v>
      </c>
      <c r="J537" t="s">
        <v>239</v>
      </c>
      <c r="K537">
        <v>0.010635511959729265</v>
      </c>
      <c r="L537" t="s">
        <v>153</v>
      </c>
      <c r="N537" t="s">
        <v>183</v>
      </c>
      <c r="O537" t="s">
        <v>239</v>
      </c>
      <c r="P537">
        <v>0.013637167201606164</v>
      </c>
      <c r="Q537" t="s">
        <v>153</v>
      </c>
    </row>
    <row r="538" spans="9:17" ht="14.25">
      <c r="I538" t="s">
        <v>173</v>
      </c>
      <c r="J538" t="s">
        <v>240</v>
      </c>
      <c r="K538">
        <v>0.0039087709144501534</v>
      </c>
      <c r="L538" t="s">
        <v>153</v>
      </c>
      <c r="N538" t="s">
        <v>183</v>
      </c>
      <c r="O538" t="s">
        <v>240</v>
      </c>
      <c r="P538">
        <v>0.06724570533130203</v>
      </c>
      <c r="Q538" t="s">
        <v>153</v>
      </c>
    </row>
    <row r="539" spans="9:17" ht="14.25">
      <c r="I539" t="s">
        <v>173</v>
      </c>
      <c r="J539" t="s">
        <v>241</v>
      </c>
      <c r="K539">
        <v>0.0092089691742625931</v>
      </c>
      <c r="L539" t="s">
        <v>153</v>
      </c>
      <c r="N539" t="s">
        <v>183</v>
      </c>
      <c r="O539" t="s">
        <v>241</v>
      </c>
      <c r="P539">
        <v>0.12285794189955634</v>
      </c>
      <c r="Q539" t="s">
        <v>153</v>
      </c>
    </row>
    <row r="540" spans="9:17" ht="14.25">
      <c r="I540" t="s">
        <v>173</v>
      </c>
      <c r="J540" t="s">
        <v>242</v>
      </c>
      <c r="K540">
        <v>0.030050125449271728</v>
      </c>
      <c r="L540" t="s">
        <v>153</v>
      </c>
      <c r="N540" t="s">
        <v>183</v>
      </c>
      <c r="O540" t="s">
        <v>242</v>
      </c>
      <c r="P540">
        <v>0.02041284992586569</v>
      </c>
      <c r="Q540" t="s">
        <v>153</v>
      </c>
    </row>
    <row r="541" spans="9:17" ht="14.25">
      <c r="I541" t="s">
        <v>173</v>
      </c>
      <c r="J541" t="s">
        <v>243</v>
      </c>
      <c r="K541">
        <v>0.40829025552059606</v>
      </c>
      <c r="L541" t="s">
        <v>153</v>
      </c>
      <c r="N541" t="s">
        <v>183</v>
      </c>
      <c r="O541" t="s">
        <v>243</v>
      </c>
      <c r="P541">
        <v>0.11889579004252879</v>
      </c>
      <c r="Q541" t="s">
        <v>153</v>
      </c>
    </row>
    <row r="542" spans="9:17" ht="14.25">
      <c r="I542" t="s">
        <v>173</v>
      </c>
      <c r="J542" t="s">
        <v>244</v>
      </c>
      <c r="K542">
        <v>0.035698226720072522</v>
      </c>
      <c r="L542" t="s">
        <v>153</v>
      </c>
      <c r="N542" t="s">
        <v>183</v>
      </c>
      <c r="O542" t="s">
        <v>244</v>
      </c>
      <c r="P542">
        <v>0.017441611966399359</v>
      </c>
      <c r="Q542" t="s">
        <v>153</v>
      </c>
    </row>
    <row r="543" spans="9:17" ht="14.25">
      <c r="I543" t="s">
        <v>173</v>
      </c>
      <c r="J543" t="s">
        <v>245</v>
      </c>
      <c r="K543">
        <v>0.017341865008405465</v>
      </c>
      <c r="L543" t="s">
        <v>153</v>
      </c>
      <c r="N543" t="s">
        <v>183</v>
      </c>
      <c r="O543" t="s">
        <v>245</v>
      </c>
      <c r="P543">
        <v>0.023132333279200203</v>
      </c>
      <c r="Q543" t="s">
        <v>153</v>
      </c>
    </row>
    <row r="544" spans="9:17" ht="14.25">
      <c r="I544" t="s">
        <v>173</v>
      </c>
      <c r="J544" t="s">
        <v>246</v>
      </c>
      <c r="K544">
        <v>0.0034235859078028826</v>
      </c>
      <c r="L544" t="s">
        <v>153</v>
      </c>
      <c r="N544" t="s">
        <v>183</v>
      </c>
      <c r="O544" t="s">
        <v>246</v>
      </c>
      <c r="P544">
        <v>0.15448384515598965</v>
      </c>
      <c r="Q544" t="s">
        <v>153</v>
      </c>
    </row>
    <row r="545" spans="9:17" ht="14.25">
      <c r="I545" t="s">
        <v>173</v>
      </c>
      <c r="J545" t="s">
        <v>247</v>
      </c>
      <c r="K545">
        <v>0</v>
      </c>
      <c r="L545" t="s">
        <v>153</v>
      </c>
      <c r="N545" t="s">
        <v>183</v>
      </c>
      <c r="O545" t="s">
        <v>247</v>
      </c>
      <c r="P545">
        <v>0.019269810615662773</v>
      </c>
      <c r="Q545" t="s">
        <v>153</v>
      </c>
    </row>
    <row r="546" spans="9:17" ht="14.25">
      <c r="I546" t="s">
        <v>173</v>
      </c>
      <c r="J546" t="s">
        <v>248</v>
      </c>
      <c r="K546">
        <v>0.0024500068593796432</v>
      </c>
      <c r="L546" t="s">
        <v>153</v>
      </c>
      <c r="N546" t="s">
        <v>183</v>
      </c>
      <c r="O546" t="s">
        <v>248</v>
      </c>
      <c r="P546">
        <v>0.0025705883680363938</v>
      </c>
      <c r="Q546" t="s">
        <v>153</v>
      </c>
    </row>
    <row r="547" spans="9:17" ht="14.25">
      <c r="I547" t="s">
        <v>173</v>
      </c>
      <c r="J547" t="s">
        <v>249</v>
      </c>
      <c r="K547">
        <v>0.037894751045647622</v>
      </c>
      <c r="L547" t="s">
        <v>153</v>
      </c>
      <c r="N547" t="s">
        <v>183</v>
      </c>
      <c r="O547" t="s">
        <v>249</v>
      </c>
      <c r="P547">
        <v>0.018405962608258584</v>
      </c>
      <c r="Q547" t="s">
        <v>153</v>
      </c>
    </row>
    <row r="548" spans="9:17" ht="14.25">
      <c r="I548" t="s">
        <v>173</v>
      </c>
      <c r="J548" t="s">
        <v>250</v>
      </c>
      <c r="K548">
        <v>0.0035526748680395287</v>
      </c>
      <c r="L548" t="s">
        <v>153</v>
      </c>
      <c r="N548" t="s">
        <v>183</v>
      </c>
      <c r="O548" t="s">
        <v>250</v>
      </c>
      <c r="P548">
        <v>0.0031394176266305034</v>
      </c>
      <c r="Q548" t="s">
        <v>153</v>
      </c>
    </row>
    <row r="549" spans="9:17" ht="14.25">
      <c r="I549" t="s">
        <v>173</v>
      </c>
      <c r="J549" t="s">
        <v>251</v>
      </c>
      <c r="K549">
        <v>0.00180716290918655</v>
      </c>
      <c r="L549" t="s">
        <v>153</v>
      </c>
      <c r="N549" t="s">
        <v>183</v>
      </c>
      <c r="O549" t="s">
        <v>251</v>
      </c>
      <c r="P549">
        <v>0.0038374558803548021</v>
      </c>
      <c r="Q549" t="s">
        <v>153</v>
      </c>
    </row>
    <row r="550" spans="9:17" ht="14.25">
      <c r="I550" t="s">
        <v>173</v>
      </c>
      <c r="J550" t="s">
        <v>252</v>
      </c>
      <c r="K550">
        <v>0</v>
      </c>
      <c r="L550" t="s">
        <v>153</v>
      </c>
      <c r="N550" t="s">
        <v>183</v>
      </c>
      <c r="O550" t="s">
        <v>252</v>
      </c>
      <c r="P550">
        <v>0.022765713752646889</v>
      </c>
      <c r="Q55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949022-9B25-44F9-8AE8-281FFEAD5FE9}">
  <dimension ref="A9:AN91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255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0.002738424402166002</v>
      </c>
      <c r="Q11" t="s">
        <v>153</v>
      </c>
      <c r="S11" t="s">
        <v>184</v>
      </c>
      <c r="T11" t="s">
        <v>152</v>
      </c>
      <c r="U11">
        <v>0.0053165053864501063</v>
      </c>
      <c r="V11" t="s">
        <v>153</v>
      </c>
      <c r="X11">
        <v>0.0047945205479452057</v>
      </c>
      <c r="Y11">
        <v>0.0018934440494244587</v>
      </c>
      <c r="Z11" t="s">
        <v>152</v>
      </c>
      <c r="AA11" t="s">
        <v>25</v>
      </c>
      <c r="AC11" t="s">
        <v>22</v>
      </c>
      <c r="AD11" t="s">
        <v>152</v>
      </c>
      <c r="AE11">
        <v>0.0029106276042144166</v>
      </c>
      <c r="AG11" t="s">
        <v>96</v>
      </c>
      <c r="AH11" t="s">
        <v>152</v>
      </c>
      <c r="AI11">
        <v>0.12664138644269651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0.00065569813305264824</v>
      </c>
      <c r="L12" t="s">
        <v>153</v>
      </c>
      <c r="N12" t="s">
        <v>174</v>
      </c>
      <c r="O12" t="s">
        <v>154</v>
      </c>
      <c r="P12">
        <v>0.000332494768839469</v>
      </c>
      <c r="Q12" t="s">
        <v>153</v>
      </c>
      <c r="S12" t="s">
        <v>184</v>
      </c>
      <c r="T12" t="s">
        <v>154</v>
      </c>
      <c r="U12">
        <v>0.00072902807234570175</v>
      </c>
      <c r="V12" t="s">
        <v>153</v>
      </c>
      <c r="X12">
        <v>0.00068493150684931507</v>
      </c>
      <c r="Y12">
        <v>0.0011436242945578401</v>
      </c>
      <c r="Z12" t="s">
        <v>154</v>
      </c>
      <c r="AA12" t="s">
        <v>25</v>
      </c>
      <c r="AC12" t="s">
        <v>22</v>
      </c>
      <c r="AD12" t="s">
        <v>154</v>
      </c>
      <c r="AE12">
        <v>0.00051368182481725247</v>
      </c>
      <c r="AG12" t="s">
        <v>96</v>
      </c>
      <c r="AH12" t="s">
        <v>154</v>
      </c>
      <c r="AI12">
        <v>0.08524141363862614</v>
      </c>
      <c r="AK12">
        <v>2025</v>
      </c>
      <c r="AL12" t="s">
        <v>145</v>
      </c>
      <c r="AM12">
        <v>0.35325000000000001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0.012636374445417674</v>
      </c>
      <c r="L13" t="s">
        <v>153</v>
      </c>
      <c r="N13" t="s">
        <v>174</v>
      </c>
      <c r="O13" t="s">
        <v>155</v>
      </c>
      <c r="P13">
        <v>0.0025970081072266577</v>
      </c>
      <c r="Q13" t="s">
        <v>153</v>
      </c>
      <c r="S13" t="s">
        <v>184</v>
      </c>
      <c r="T13" t="s">
        <v>155</v>
      </c>
      <c r="U13">
        <v>0.004674009953031898</v>
      </c>
      <c r="V13" t="s">
        <v>153</v>
      </c>
      <c r="X13">
        <v>0.0054794520547945206</v>
      </c>
      <c r="Y13">
        <v>0.0071163264798746991</v>
      </c>
      <c r="Z13" t="s">
        <v>155</v>
      </c>
      <c r="AA13" t="s">
        <v>25</v>
      </c>
      <c r="AC13" t="s">
        <v>22</v>
      </c>
      <c r="AD13" t="s">
        <v>155</v>
      </c>
      <c r="AE13">
        <v>0.0046616650714582982</v>
      </c>
      <c r="AG13" t="s">
        <v>96</v>
      </c>
      <c r="AH13" t="s">
        <v>155</v>
      </c>
      <c r="AI13">
        <v>0.091754676103489974</v>
      </c>
      <c r="AK13">
        <v>2025</v>
      </c>
      <c r="AL13" t="s">
        <v>147</v>
      </c>
      <c r="AM13">
        <v>0.36220000000000002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0.001356554194277969</v>
      </c>
      <c r="L14" t="s">
        <v>153</v>
      </c>
      <c r="N14" t="s">
        <v>174</v>
      </c>
      <c r="O14" t="s">
        <v>200</v>
      </c>
      <c r="P14">
        <v>0.00058816483306261852</v>
      </c>
      <c r="Q14" t="s">
        <v>153</v>
      </c>
      <c r="S14" t="s">
        <v>184</v>
      </c>
      <c r="T14" t="s">
        <v>200</v>
      </c>
      <c r="U14">
        <v>0.00049865654696243031</v>
      </c>
      <c r="V14" t="s">
        <v>153</v>
      </c>
      <c r="X14">
        <v>0.00068493150684931507</v>
      </c>
      <c r="Y14">
        <v>0.0013325709171369616</v>
      </c>
      <c r="Z14" t="s">
        <v>200</v>
      </c>
      <c r="AA14" t="s">
        <v>25</v>
      </c>
      <c r="AC14" t="s">
        <v>22</v>
      </c>
      <c r="AD14" t="s">
        <v>200</v>
      </c>
      <c r="AE14">
        <v>0.00060542228403852782</v>
      </c>
      <c r="AG14" t="s">
        <v>96</v>
      </c>
      <c r="AH14" t="s">
        <v>200</v>
      </c>
      <c r="AI14">
        <v>0.069835996537444656</v>
      </c>
      <c r="AK14">
        <v>2025</v>
      </c>
      <c r="AL14" t="s">
        <v>149</v>
      </c>
      <c r="AM14">
        <v>0.37814999999999999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0.00074615577431435935</v>
      </c>
      <c r="L15" t="s">
        <v>153</v>
      </c>
      <c r="N15" t="s">
        <v>174</v>
      </c>
      <c r="O15" t="s">
        <v>201</v>
      </c>
      <c r="P15">
        <v>0.00054885164392049</v>
      </c>
      <c r="Q15" t="s">
        <v>153</v>
      </c>
      <c r="S15" t="s">
        <v>184</v>
      </c>
      <c r="T15" t="s">
        <v>201</v>
      </c>
      <c r="U15">
        <v>0.00047538249933475323</v>
      </c>
      <c r="V15" t="s">
        <v>153</v>
      </c>
      <c r="X15">
        <v>0.00068493150684931507</v>
      </c>
      <c r="Y15">
        <v>0.0013325709171369616</v>
      </c>
      <c r="Z15" t="s">
        <v>201</v>
      </c>
      <c r="AA15" t="s">
        <v>25</v>
      </c>
      <c r="AC15" t="s">
        <v>22</v>
      </c>
      <c r="AD15" t="s">
        <v>201</v>
      </c>
      <c r="AE15">
        <v>0.00061976238252920476</v>
      </c>
      <c r="AG15" t="s">
        <v>96</v>
      </c>
      <c r="AH15" t="s">
        <v>201</v>
      </c>
      <c r="AI15">
        <v>0.063992592989356112</v>
      </c>
      <c r="AK15">
        <v>2025</v>
      </c>
      <c r="AL15" t="s">
        <v>198</v>
      </c>
      <c r="AM15">
        <v>0.39410000000000001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</v>
      </c>
      <c r="L16" t="s">
        <v>153</v>
      </c>
      <c r="N16" t="s">
        <v>174</v>
      </c>
      <c r="O16" t="s">
        <v>218</v>
      </c>
      <c r="P16">
        <v>0.0029791595779982715</v>
      </c>
      <c r="Q16" t="s">
        <v>153</v>
      </c>
      <c r="S16" t="s">
        <v>184</v>
      </c>
      <c r="T16" t="s">
        <v>218</v>
      </c>
      <c r="U16">
        <v>0.0029126727649329397</v>
      </c>
      <c r="V16" t="s">
        <v>153</v>
      </c>
      <c r="X16">
        <v>0.00410958904109589</v>
      </c>
      <c r="Y16">
        <v>0.0036198195062526421</v>
      </c>
      <c r="Z16" t="s">
        <v>218</v>
      </c>
      <c r="AA16" t="s">
        <v>25</v>
      </c>
      <c r="AC16" t="s">
        <v>22</v>
      </c>
      <c r="AD16" t="s">
        <v>218</v>
      </c>
      <c r="AE16">
        <v>0.0035132740242692397</v>
      </c>
      <c r="AG16" t="s">
        <v>96</v>
      </c>
      <c r="AH16" t="s">
        <v>218</v>
      </c>
      <c r="AI16">
        <v>0.11071766195061761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I17" t="s">
        <v>151</v>
      </c>
      <c r="J17" t="s">
        <v>156</v>
      </c>
      <c r="K17">
        <v>0</v>
      </c>
      <c r="L17" t="s">
        <v>153</v>
      </c>
      <c r="N17" t="s">
        <v>174</v>
      </c>
      <c r="O17" t="s">
        <v>156</v>
      </c>
      <c r="P17">
        <v>0.035376987834604662</v>
      </c>
      <c r="Q17" t="s">
        <v>153</v>
      </c>
      <c r="S17" t="s">
        <v>184</v>
      </c>
      <c r="T17" t="s">
        <v>156</v>
      </c>
      <c r="U17">
        <v>0.032220448131196365</v>
      </c>
      <c r="V17" t="s">
        <v>153</v>
      </c>
      <c r="X17">
        <v>0.023173515981735161</v>
      </c>
      <c r="Y17">
        <v>0.009151646238884887</v>
      </c>
      <c r="Z17" t="s">
        <v>156</v>
      </c>
      <c r="AA17" t="s">
        <v>25</v>
      </c>
      <c r="AC17" t="s">
        <v>22</v>
      </c>
      <c r="AD17" t="s">
        <v>156</v>
      </c>
      <c r="AE17">
        <v>0.014127010263801226</v>
      </c>
      <c r="AG17" t="s">
        <v>96</v>
      </c>
      <c r="AH17" t="s">
        <v>156</v>
      </c>
      <c r="AI17">
        <v>0.23099338164182814</v>
      </c>
      <c r="AK17">
        <v>2025</v>
      </c>
      <c r="AL17" t="s">
        <v>232</v>
      </c>
      <c r="AM17">
        <v>0.40339999999999998</v>
      </c>
      <c r="AN17" t="s">
        <v>195</v>
      </c>
    </row>
    <row r="18" spans="3:40" ht="14.25">
      <c r="C18" t="s">
        <v>233</v>
      </c>
      <c r="I18" t="s">
        <v>151</v>
      </c>
      <c r="J18" t="s">
        <v>157</v>
      </c>
      <c r="K18">
        <v>0.002985831439496009</v>
      </c>
      <c r="L18" t="s">
        <v>153</v>
      </c>
      <c r="N18" t="s">
        <v>174</v>
      </c>
      <c r="O18" t="s">
        <v>157</v>
      </c>
      <c r="P18">
        <v>0.0052847292988858954</v>
      </c>
      <c r="Q18" t="s">
        <v>153</v>
      </c>
      <c r="S18" t="s">
        <v>184</v>
      </c>
      <c r="T18" t="s">
        <v>157</v>
      </c>
      <c r="U18">
        <v>0.0051152597530011957</v>
      </c>
      <c r="V18" t="s">
        <v>153</v>
      </c>
      <c r="X18">
        <v>0.0033105022831050228</v>
      </c>
      <c r="Y18">
        <v>0.0055275174236962274</v>
      </c>
      <c r="Z18" t="s">
        <v>157</v>
      </c>
      <c r="AA18" t="s">
        <v>25</v>
      </c>
      <c r="AC18" t="s">
        <v>22</v>
      </c>
      <c r="AD18" t="s">
        <v>157</v>
      </c>
      <c r="AE18">
        <v>0.0024856893746492974</v>
      </c>
      <c r="AG18" t="s">
        <v>96</v>
      </c>
      <c r="AH18" t="s">
        <v>157</v>
      </c>
      <c r="AI18">
        <v>0.20260316282077895</v>
      </c>
      <c r="AK18">
        <v>2025</v>
      </c>
      <c r="AL18" t="s">
        <v>233</v>
      </c>
      <c r="AM18">
        <v>0.45894999999999997</v>
      </c>
      <c r="AN18" t="s">
        <v>195</v>
      </c>
    </row>
    <row r="19" spans="3:40" ht="14.25">
      <c r="C19" t="s">
        <v>234</v>
      </c>
      <c r="I19" t="s">
        <v>151</v>
      </c>
      <c r="J19" t="s">
        <v>158</v>
      </c>
      <c r="K19">
        <v>0.060269107391279692</v>
      </c>
      <c r="L19" t="s">
        <v>153</v>
      </c>
      <c r="N19" t="s">
        <v>174</v>
      </c>
      <c r="O19" t="s">
        <v>158</v>
      </c>
      <c r="P19">
        <v>0.033051535984587398</v>
      </c>
      <c r="Q19" t="s">
        <v>153</v>
      </c>
      <c r="S19" t="s">
        <v>184</v>
      </c>
      <c r="T19" t="s">
        <v>158</v>
      </c>
      <c r="U19">
        <v>0.036108851609835096</v>
      </c>
      <c r="V19" t="s">
        <v>153</v>
      </c>
      <c r="X19">
        <v>0.026484018264840183</v>
      </c>
      <c r="Y19">
        <v>0.034395577986061042</v>
      </c>
      <c r="Z19" t="s">
        <v>158</v>
      </c>
      <c r="AA19" t="s">
        <v>25</v>
      </c>
      <c r="AC19" t="s">
        <v>22</v>
      </c>
      <c r="AD19" t="s">
        <v>158</v>
      </c>
      <c r="AE19">
        <v>0.022734288159560551</v>
      </c>
      <c r="AG19" t="s">
        <v>96</v>
      </c>
      <c r="AH19" t="s">
        <v>158</v>
      </c>
      <c r="AI19">
        <v>0.14951029336965704</v>
      </c>
      <c r="AK19">
        <v>2025</v>
      </c>
      <c r="AL19" t="s">
        <v>234</v>
      </c>
      <c r="AM19">
        <v>0.50614999999999999</v>
      </c>
      <c r="AN19" t="s">
        <v>195</v>
      </c>
    </row>
    <row r="20" spans="3:40" ht="14.25">
      <c r="C20" t="s">
        <v>256</v>
      </c>
      <c r="I20" t="s">
        <v>151</v>
      </c>
      <c r="J20" t="s">
        <v>202</v>
      </c>
      <c r="K20">
        <v>0.0064866671944253393</v>
      </c>
      <c r="L20" t="s">
        <v>153</v>
      </c>
      <c r="N20" t="s">
        <v>174</v>
      </c>
      <c r="O20" t="s">
        <v>202</v>
      </c>
      <c r="P20">
        <v>0.0037795258477088477</v>
      </c>
      <c r="Q20" t="s">
        <v>153</v>
      </c>
      <c r="S20" t="s">
        <v>184</v>
      </c>
      <c r="T20" t="s">
        <v>202</v>
      </c>
      <c r="U20">
        <v>0.0037214299301228785</v>
      </c>
      <c r="V20" t="s">
        <v>153</v>
      </c>
      <c r="X20">
        <v>0.0033105022831050228</v>
      </c>
      <c r="Y20">
        <v>0.0064407594328286487</v>
      </c>
      <c r="Z20" t="s">
        <v>202</v>
      </c>
      <c r="AA20" t="s">
        <v>25</v>
      </c>
      <c r="AC20" t="s">
        <v>22</v>
      </c>
      <c r="AD20" t="s">
        <v>202</v>
      </c>
      <c r="AE20">
        <v>0.0029229807018944934</v>
      </c>
      <c r="AG20" t="s">
        <v>96</v>
      </c>
      <c r="AH20" t="s">
        <v>202</v>
      </c>
      <c r="AI20">
        <v>0.066303196299837275</v>
      </c>
      <c r="AK20">
        <v>2025</v>
      </c>
      <c r="AL20" t="s">
        <v>256</v>
      </c>
      <c r="AM20">
        <v>0.5071</v>
      </c>
      <c r="AN20" t="s">
        <v>195</v>
      </c>
    </row>
    <row r="21" spans="3:40" ht="14.25">
      <c r="C21" t="s">
        <v>257</v>
      </c>
      <c r="I21" t="s">
        <v>151</v>
      </c>
      <c r="J21" t="s">
        <v>203</v>
      </c>
      <c r="K21">
        <v>0.0037620467299681742</v>
      </c>
      <c r="L21" t="s">
        <v>153</v>
      </c>
      <c r="N21" t="s">
        <v>174</v>
      </c>
      <c r="O21" t="s">
        <v>203</v>
      </c>
      <c r="P21">
        <v>0.0037090138220132072</v>
      </c>
      <c r="Q21" t="s">
        <v>153</v>
      </c>
      <c r="S21" t="s">
        <v>184</v>
      </c>
      <c r="T21" t="s">
        <v>203</v>
      </c>
      <c r="U21">
        <v>0.003596841476237012</v>
      </c>
      <c r="V21" t="s">
        <v>153</v>
      </c>
      <c r="X21">
        <v>0.0033105022831050228</v>
      </c>
      <c r="Y21">
        <v>0.0064407594328286487</v>
      </c>
      <c r="Z21" t="s">
        <v>203</v>
      </c>
      <c r="AA21" t="s">
        <v>25</v>
      </c>
      <c r="AC21" t="s">
        <v>22</v>
      </c>
      <c r="AD21" t="s">
        <v>203</v>
      </c>
      <c r="AE21">
        <v>0.0030108881893060151</v>
      </c>
      <c r="AG21" t="s">
        <v>96</v>
      </c>
      <c r="AH21" t="s">
        <v>203</v>
      </c>
      <c r="AI21">
        <v>0.055602852980683792</v>
      </c>
      <c r="AK21">
        <v>2025</v>
      </c>
      <c r="AL21" t="s">
        <v>257</v>
      </c>
      <c r="AM21">
        <v>0.5071</v>
      </c>
      <c r="AN21" t="s">
        <v>195</v>
      </c>
    </row>
    <row r="22" spans="3:40" ht="14.25">
      <c r="C22" t="s">
        <v>258</v>
      </c>
      <c r="I22" t="s">
        <v>151</v>
      </c>
      <c r="J22" t="s">
        <v>219</v>
      </c>
      <c r="K22">
        <v>0</v>
      </c>
      <c r="L22" t="s">
        <v>153</v>
      </c>
      <c r="N22" t="s">
        <v>174</v>
      </c>
      <c r="O22" t="s">
        <v>219</v>
      </c>
      <c r="P22">
        <v>0.025698908715348742</v>
      </c>
      <c r="Q22" t="s">
        <v>153</v>
      </c>
      <c r="S22" t="s">
        <v>184</v>
      </c>
      <c r="T22" t="s">
        <v>219</v>
      </c>
      <c r="U22">
        <v>0.02252279577525873</v>
      </c>
      <c r="V22" t="s">
        <v>153</v>
      </c>
      <c r="X22">
        <v>0.019863013698630139</v>
      </c>
      <c r="Y22">
        <v>0.017495794280221105</v>
      </c>
      <c r="Z22" t="s">
        <v>219</v>
      </c>
      <c r="AA22" t="s">
        <v>25</v>
      </c>
      <c r="AC22" t="s">
        <v>22</v>
      </c>
      <c r="AD22" t="s">
        <v>219</v>
      </c>
      <c r="AE22">
        <v>0.017149943125428776</v>
      </c>
      <c r="AG22" t="s">
        <v>96</v>
      </c>
      <c r="AH22" t="s">
        <v>219</v>
      </c>
      <c r="AI22">
        <v>0.11320324490243361</v>
      </c>
      <c r="AK22">
        <v>2025</v>
      </c>
      <c r="AL22" t="s">
        <v>258</v>
      </c>
      <c r="AM22">
        <v>0.44463333333333327</v>
      </c>
      <c r="AN22" t="s">
        <v>195</v>
      </c>
    </row>
    <row r="23" spans="3:40" ht="14.25">
      <c r="C23" t="s">
        <v>259</v>
      </c>
      <c r="I23" t="s">
        <v>151</v>
      </c>
      <c r="J23" t="s">
        <v>159</v>
      </c>
      <c r="K23">
        <v>0</v>
      </c>
      <c r="L23" t="s">
        <v>153</v>
      </c>
      <c r="N23" t="s">
        <v>174</v>
      </c>
      <c r="O23" t="s">
        <v>159</v>
      </c>
      <c r="P23">
        <v>0.011188019761322759</v>
      </c>
      <c r="Q23" t="s">
        <v>153</v>
      </c>
      <c r="S23" t="s">
        <v>184</v>
      </c>
      <c r="T23" t="s">
        <v>159</v>
      </c>
      <c r="U23">
        <v>0.01403855969129604</v>
      </c>
      <c r="V23" t="s">
        <v>153</v>
      </c>
      <c r="X23">
        <v>0.014383561643835616</v>
      </c>
      <c r="Y23">
        <v>0.0056803321482733768</v>
      </c>
      <c r="Z23" t="s">
        <v>159</v>
      </c>
      <c r="AA23" t="s">
        <v>25</v>
      </c>
      <c r="AC23" t="s">
        <v>22</v>
      </c>
      <c r="AD23" t="s">
        <v>159</v>
      </c>
      <c r="AE23">
        <v>0.0088619913302475564</v>
      </c>
      <c r="AG23" t="s">
        <v>96</v>
      </c>
      <c r="AH23" t="s">
        <v>159</v>
      </c>
      <c r="AI23">
        <v>0.16246307992743669</v>
      </c>
      <c r="AK23">
        <v>2025</v>
      </c>
      <c r="AL23" t="s">
        <v>259</v>
      </c>
      <c r="AM23">
        <v>0.37385000000000002</v>
      </c>
      <c r="AN23" t="s">
        <v>195</v>
      </c>
    </row>
    <row r="24" spans="3:40" ht="14.25">
      <c r="C24" t="s">
        <v>260</v>
      </c>
      <c r="I24" t="s">
        <v>151</v>
      </c>
      <c r="J24" t="s">
        <v>160</v>
      </c>
      <c r="K24">
        <v>0.0019806036346287073</v>
      </c>
      <c r="L24" t="s">
        <v>153</v>
      </c>
      <c r="N24" t="s">
        <v>174</v>
      </c>
      <c r="O24" t="s">
        <v>160</v>
      </c>
      <c r="P24">
        <v>0.001620777938201877</v>
      </c>
      <c r="Q24" t="s">
        <v>153</v>
      </c>
      <c r="S24" t="s">
        <v>184</v>
      </c>
      <c r="T24" t="s">
        <v>160</v>
      </c>
      <c r="U24">
        <v>0.0021302419394576859</v>
      </c>
      <c r="V24" t="s">
        <v>153</v>
      </c>
      <c r="X24">
        <v>0.002054794520547945</v>
      </c>
      <c r="Y24">
        <v>0.0034308728836735204</v>
      </c>
      <c r="Z24" t="s">
        <v>160</v>
      </c>
      <c r="AA24" t="s">
        <v>25</v>
      </c>
      <c r="AC24" t="s">
        <v>22</v>
      </c>
      <c r="AD24" t="s">
        <v>160</v>
      </c>
      <c r="AE24">
        <v>0.0015853005650938159</v>
      </c>
      <c r="AG24" t="s">
        <v>96</v>
      </c>
      <c r="AH24" t="s">
        <v>160</v>
      </c>
      <c r="AI24">
        <v>0.085858849303635632</v>
      </c>
      <c r="AK24">
        <v>2025</v>
      </c>
      <c r="AL24" t="s">
        <v>260</v>
      </c>
      <c r="AM24">
        <v>0.35817500000000002</v>
      </c>
      <c r="AN24" t="s">
        <v>195</v>
      </c>
    </row>
    <row r="25" spans="3:40" ht="14.25">
      <c r="C25" t="s">
        <v>261</v>
      </c>
      <c r="I25" t="s">
        <v>151</v>
      </c>
      <c r="J25" t="s">
        <v>161</v>
      </c>
      <c r="K25">
        <v>0.04187733612500974</v>
      </c>
      <c r="L25" t="s">
        <v>153</v>
      </c>
      <c r="N25" t="s">
        <v>174</v>
      </c>
      <c r="O25" t="s">
        <v>161</v>
      </c>
      <c r="P25">
        <v>0.0091104568878391037</v>
      </c>
      <c r="Q25" t="s">
        <v>153</v>
      </c>
      <c r="S25" t="s">
        <v>184</v>
      </c>
      <c r="T25" t="s">
        <v>161</v>
      </c>
      <c r="U25">
        <v>0.013262703615431944</v>
      </c>
      <c r="V25" t="s">
        <v>153</v>
      </c>
      <c r="X25">
        <v>0.01643835616438356</v>
      </c>
      <c r="Y25">
        <v>0.021348979439624098</v>
      </c>
      <c r="Z25" t="s">
        <v>161</v>
      </c>
      <c r="AA25" t="s">
        <v>25</v>
      </c>
      <c r="AC25" t="s">
        <v>22</v>
      </c>
      <c r="AD25" t="s">
        <v>161</v>
      </c>
      <c r="AE25">
        <v>0.014409750477267868</v>
      </c>
      <c r="AG25" t="s">
        <v>96</v>
      </c>
      <c r="AH25" t="s">
        <v>161</v>
      </c>
      <c r="AI25">
        <v>0.070941772575951134</v>
      </c>
      <c r="AK25">
        <v>2025</v>
      </c>
      <c r="AL25" t="s">
        <v>261</v>
      </c>
      <c r="AM25">
        <v>0.37730000000000002</v>
      </c>
      <c r="AN25" t="s">
        <v>195</v>
      </c>
    </row>
    <row r="26" spans="9:40" ht="14.25">
      <c r="I26" t="s">
        <v>151</v>
      </c>
      <c r="J26" t="s">
        <v>204</v>
      </c>
      <c r="K26">
        <v>0.0048603737899144267</v>
      </c>
      <c r="L26" t="s">
        <v>153</v>
      </c>
      <c r="N26" t="s">
        <v>174</v>
      </c>
      <c r="O26" t="s">
        <v>204</v>
      </c>
      <c r="P26">
        <v>0.0010243836346032363</v>
      </c>
      <c r="Q26" t="s">
        <v>153</v>
      </c>
      <c r="S26" t="s">
        <v>184</v>
      </c>
      <c r="T26" t="s">
        <v>204</v>
      </c>
      <c r="U26">
        <v>0.0015813186068233352</v>
      </c>
      <c r="V26" t="s">
        <v>153</v>
      </c>
      <c r="X26">
        <v>0.002054794520547945</v>
      </c>
      <c r="Y26">
        <v>0.0039977127514108854</v>
      </c>
      <c r="Z26" t="s">
        <v>204</v>
      </c>
      <c r="AA26" t="s">
        <v>25</v>
      </c>
      <c r="AC26" t="s">
        <v>22</v>
      </c>
      <c r="AD26" t="s">
        <v>204</v>
      </c>
      <c r="AE26">
        <v>0.0018576807596962263</v>
      </c>
      <c r="AG26" t="s">
        <v>96</v>
      </c>
      <c r="AH26" t="s">
        <v>204</v>
      </c>
      <c r="AI26">
        <v>0.05137760806195546</v>
      </c>
      <c r="AK26">
        <v>2026</v>
      </c>
      <c r="AL26" t="s">
        <v>141</v>
      </c>
      <c r="AM26">
        <v>0.38350000000000001</v>
      </c>
      <c r="AN26" t="s">
        <v>195</v>
      </c>
    </row>
    <row r="27" spans="9:40" ht="14.25">
      <c r="I27" t="s">
        <v>151</v>
      </c>
      <c r="J27" t="s">
        <v>205</v>
      </c>
      <c r="K27">
        <v>0.0032762438284642346</v>
      </c>
      <c r="L27" t="s">
        <v>153</v>
      </c>
      <c r="N27" t="s">
        <v>174</v>
      </c>
      <c r="O27" t="s">
        <v>205</v>
      </c>
      <c r="P27">
        <v>0.0010357995127448388</v>
      </c>
      <c r="Q27" t="s">
        <v>153</v>
      </c>
      <c r="S27" t="s">
        <v>184</v>
      </c>
      <c r="T27" t="s">
        <v>205</v>
      </c>
      <c r="U27">
        <v>0.0016322232816868912</v>
      </c>
      <c r="V27" t="s">
        <v>153</v>
      </c>
      <c r="X27">
        <v>0.002054794520547945</v>
      </c>
      <c r="Y27">
        <v>0.0039977127514108854</v>
      </c>
      <c r="Z27" t="s">
        <v>205</v>
      </c>
      <c r="AA27" t="s">
        <v>25</v>
      </c>
      <c r="AC27" t="s">
        <v>22</v>
      </c>
      <c r="AD27" t="s">
        <v>205</v>
      </c>
      <c r="AE27">
        <v>0.0019116048973485157</v>
      </c>
      <c r="AG27" t="s">
        <v>96</v>
      </c>
      <c r="AH27" t="s">
        <v>205</v>
      </c>
      <c r="AI27">
        <v>0.048869227373949276</v>
      </c>
      <c r="AK27">
        <v>2026</v>
      </c>
      <c r="AL27" t="s">
        <v>145</v>
      </c>
      <c r="AM27">
        <v>0.38345000000000001</v>
      </c>
      <c r="AN27" t="s">
        <v>195</v>
      </c>
    </row>
    <row r="28" spans="9:40" ht="14.25">
      <c r="I28" t="s">
        <v>151</v>
      </c>
      <c r="J28" t="s">
        <v>220</v>
      </c>
      <c r="K28">
        <v>0</v>
      </c>
      <c r="L28" t="s">
        <v>153</v>
      </c>
      <c r="N28" t="s">
        <v>174</v>
      </c>
      <c r="O28" t="s">
        <v>220</v>
      </c>
      <c r="P28">
        <v>0.0098752212937557975</v>
      </c>
      <c r="Q28" t="s">
        <v>153</v>
      </c>
      <c r="S28" t="s">
        <v>184</v>
      </c>
      <c r="T28" t="s">
        <v>220</v>
      </c>
      <c r="U28">
        <v>0.010078450629297421</v>
      </c>
      <c r="V28" t="s">
        <v>153</v>
      </c>
      <c r="X28">
        <v>0.012328767123287671</v>
      </c>
      <c r="Y28">
        <v>0.010859458518757924</v>
      </c>
      <c r="Z28" t="s">
        <v>220</v>
      </c>
      <c r="AA28" t="s">
        <v>25</v>
      </c>
      <c r="AC28" t="s">
        <v>22</v>
      </c>
      <c r="AD28" t="s">
        <v>220</v>
      </c>
      <c r="AE28">
        <v>0.010827802046681276</v>
      </c>
      <c r="AG28" t="s">
        <v>96</v>
      </c>
      <c r="AH28" t="s">
        <v>220</v>
      </c>
      <c r="AI28">
        <v>0.10613403947666411</v>
      </c>
      <c r="AK28">
        <v>2026</v>
      </c>
      <c r="AL28" t="s">
        <v>147</v>
      </c>
      <c r="AM28">
        <v>0.38340000000000002</v>
      </c>
      <c r="AN28" t="s">
        <v>195</v>
      </c>
    </row>
    <row r="29" spans="9:40" ht="14.25">
      <c r="I29" t="s">
        <v>151</v>
      </c>
      <c r="J29" t="s">
        <v>162</v>
      </c>
      <c r="K29">
        <v>0</v>
      </c>
      <c r="L29" t="s">
        <v>153</v>
      </c>
      <c r="N29" t="s">
        <v>174</v>
      </c>
      <c r="O29" t="s">
        <v>162</v>
      </c>
      <c r="P29">
        <v>0.0094384351615712098</v>
      </c>
      <c r="Q29" t="s">
        <v>153</v>
      </c>
      <c r="S29" t="s">
        <v>184</v>
      </c>
      <c r="T29" t="s">
        <v>162</v>
      </c>
      <c r="U29">
        <v>0.0094416746409338864</v>
      </c>
      <c r="V29" t="s">
        <v>153</v>
      </c>
      <c r="X29">
        <v>0.0087899543378995425</v>
      </c>
      <c r="Y29">
        <v>0.003471314090611508</v>
      </c>
      <c r="Z29" t="s">
        <v>162</v>
      </c>
      <c r="AA29" t="s">
        <v>25</v>
      </c>
      <c r="AC29" t="s">
        <v>22</v>
      </c>
      <c r="AD29" t="s">
        <v>162</v>
      </c>
      <c r="AE29">
        <v>0.0053209308806390415</v>
      </c>
      <c r="AG29" t="s">
        <v>96</v>
      </c>
      <c r="AH29" t="s">
        <v>162</v>
      </c>
      <c r="AI29">
        <v>0.12926323723384203</v>
      </c>
      <c r="AK29">
        <v>2026</v>
      </c>
      <c r="AL29" t="s">
        <v>149</v>
      </c>
      <c r="AM29">
        <v>0.40485000000000004</v>
      </c>
      <c r="AN29" t="s">
        <v>195</v>
      </c>
    </row>
    <row r="30" spans="9:40" ht="14.25">
      <c r="I30" t="s">
        <v>151</v>
      </c>
      <c r="J30" t="s">
        <v>163</v>
      </c>
      <c r="K30">
        <v>0.0013535010629871609</v>
      </c>
      <c r="L30" t="s">
        <v>153</v>
      </c>
      <c r="N30" t="s">
        <v>174</v>
      </c>
      <c r="O30" t="s">
        <v>163</v>
      </c>
      <c r="P30">
        <v>0.0014861694996578425</v>
      </c>
      <c r="Q30" t="s">
        <v>153</v>
      </c>
      <c r="S30" t="s">
        <v>184</v>
      </c>
      <c r="T30" t="s">
        <v>163</v>
      </c>
      <c r="U30">
        <v>0.0013823798915394111</v>
      </c>
      <c r="V30" t="s">
        <v>153</v>
      </c>
      <c r="X30">
        <v>0.0012557077625570776</v>
      </c>
      <c r="Y30">
        <v>0.0020966445400227066</v>
      </c>
      <c r="Z30" t="s">
        <v>163</v>
      </c>
      <c r="AA30" t="s">
        <v>25</v>
      </c>
      <c r="AC30" t="s">
        <v>22</v>
      </c>
      <c r="AD30" t="s">
        <v>163</v>
      </c>
      <c r="AE30">
        <v>0.00090603677593189245</v>
      </c>
      <c r="AG30" t="s">
        <v>96</v>
      </c>
      <c r="AH30" t="s">
        <v>163</v>
      </c>
      <c r="AI30">
        <v>0.076476466473468507</v>
      </c>
      <c r="AK30">
        <v>2026</v>
      </c>
      <c r="AL30" t="s">
        <v>198</v>
      </c>
      <c r="AM30">
        <v>0.42630000000000001</v>
      </c>
      <c r="AN30" t="s">
        <v>195</v>
      </c>
    </row>
    <row r="31" spans="9:40" ht="14.25">
      <c r="I31" t="s">
        <v>151</v>
      </c>
      <c r="J31" t="s">
        <v>164</v>
      </c>
      <c r="K31">
        <v>0.026153817842938441</v>
      </c>
      <c r="L31" t="s">
        <v>153</v>
      </c>
      <c r="N31" t="s">
        <v>174</v>
      </c>
      <c r="O31" t="s">
        <v>164</v>
      </c>
      <c r="P31">
        <v>0.0079119726940781489</v>
      </c>
      <c r="Q31" t="s">
        <v>153</v>
      </c>
      <c r="S31" t="s">
        <v>184</v>
      </c>
      <c r="T31" t="s">
        <v>164</v>
      </c>
      <c r="U31">
        <v>0.0080495516977457278</v>
      </c>
      <c r="V31" t="s">
        <v>153</v>
      </c>
      <c r="X31">
        <v>0.010045662100456621</v>
      </c>
      <c r="Y31">
        <v>0.013046598546436951</v>
      </c>
      <c r="Z31" t="s">
        <v>164</v>
      </c>
      <c r="AA31" t="s">
        <v>25</v>
      </c>
      <c r="AC31" t="s">
        <v>22</v>
      </c>
      <c r="AD31" t="s">
        <v>164</v>
      </c>
      <c r="AE31">
        <v>0.0084904862785427828</v>
      </c>
      <c r="AG31" t="s">
        <v>96</v>
      </c>
      <c r="AH31" t="s">
        <v>164</v>
      </c>
      <c r="AI31">
        <v>0.10278874623010181</v>
      </c>
      <c r="AK31">
        <v>2026</v>
      </c>
      <c r="AL31" t="s">
        <v>216</v>
      </c>
      <c r="AM31">
        <v>0.42630000000000001</v>
      </c>
      <c r="AN31" t="s">
        <v>195</v>
      </c>
    </row>
    <row r="32" spans="9:40" ht="14.25">
      <c r="I32" t="s">
        <v>151</v>
      </c>
      <c r="J32" t="s">
        <v>206</v>
      </c>
      <c r="K32">
        <v>0.0027989532562473544</v>
      </c>
      <c r="L32" t="s">
        <v>153</v>
      </c>
      <c r="N32" t="s">
        <v>174</v>
      </c>
      <c r="O32" t="s">
        <v>206</v>
      </c>
      <c r="P32">
        <v>0.00073921105524338022</v>
      </c>
      <c r="Q32" t="s">
        <v>153</v>
      </c>
      <c r="S32" t="s">
        <v>184</v>
      </c>
      <c r="T32" t="s">
        <v>206</v>
      </c>
      <c r="U32">
        <v>0.00077220357994919528</v>
      </c>
      <c r="V32" t="s">
        <v>153</v>
      </c>
      <c r="X32">
        <v>0.0012557077625570776</v>
      </c>
      <c r="Y32">
        <v>0.0024430466814177633</v>
      </c>
      <c r="Z32" t="s">
        <v>206</v>
      </c>
      <c r="AA32" t="s">
        <v>25</v>
      </c>
      <c r="AC32" t="s">
        <v>22</v>
      </c>
      <c r="AD32" t="s">
        <v>206</v>
      </c>
      <c r="AE32">
        <v>0.0010994880883209717</v>
      </c>
      <c r="AG32" t="s">
        <v>96</v>
      </c>
      <c r="AH32" t="s">
        <v>206</v>
      </c>
      <c r="AI32">
        <v>0.081569145174218427</v>
      </c>
      <c r="AK32">
        <v>2026</v>
      </c>
      <c r="AL32" t="s">
        <v>232</v>
      </c>
      <c r="AM32">
        <v>0.43569999999999998</v>
      </c>
      <c r="AN32" t="s">
        <v>195</v>
      </c>
    </row>
    <row r="33" spans="9:40" ht="14.25">
      <c r="I33" t="s">
        <v>151</v>
      </c>
      <c r="J33" t="s">
        <v>207</v>
      </c>
      <c r="K33">
        <v>0.0018220339955773187</v>
      </c>
      <c r="L33" t="s">
        <v>153</v>
      </c>
      <c r="N33" t="s">
        <v>174</v>
      </c>
      <c r="O33" t="s">
        <v>207</v>
      </c>
      <c r="P33">
        <v>0.00068188274124105863</v>
      </c>
      <c r="Q33" t="s">
        <v>153</v>
      </c>
      <c r="S33" t="s">
        <v>184</v>
      </c>
      <c r="T33" t="s">
        <v>207</v>
      </c>
      <c r="U33">
        <v>0.00077598898932228092</v>
      </c>
      <c r="V33" t="s">
        <v>153</v>
      </c>
      <c r="X33">
        <v>0.0012557077625570776</v>
      </c>
      <c r="Y33">
        <v>0.0024430466814177633</v>
      </c>
      <c r="Z33" t="s">
        <v>207</v>
      </c>
      <c r="AA33" t="s">
        <v>25</v>
      </c>
      <c r="AC33" t="s">
        <v>22</v>
      </c>
      <c r="AD33" t="s">
        <v>207</v>
      </c>
      <c r="AE33">
        <v>0.0011237344061921081</v>
      </c>
      <c r="AG33" t="s">
        <v>96</v>
      </c>
      <c r="AH33" t="s">
        <v>207</v>
      </c>
      <c r="AI33">
        <v>0.082466151481333405</v>
      </c>
      <c r="AK33">
        <v>2026</v>
      </c>
      <c r="AL33" t="s">
        <v>233</v>
      </c>
      <c r="AM33">
        <v>0.47504999999999997</v>
      </c>
      <c r="AN33" t="s">
        <v>195</v>
      </c>
    </row>
    <row r="34" spans="9:40" ht="14.25">
      <c r="I34" t="s">
        <v>151</v>
      </c>
      <c r="J34" t="s">
        <v>221</v>
      </c>
      <c r="K34">
        <v>6.6718376137141555E-05</v>
      </c>
      <c r="L34" t="s">
        <v>153</v>
      </c>
      <c r="N34" t="s">
        <v>174</v>
      </c>
      <c r="O34" t="s">
        <v>221</v>
      </c>
      <c r="P34">
        <v>0.0053353392296244398</v>
      </c>
      <c r="Q34" t="s">
        <v>153</v>
      </c>
      <c r="S34" t="s">
        <v>184</v>
      </c>
      <c r="T34" t="s">
        <v>221</v>
      </c>
      <c r="U34">
        <v>0.0050820523972855743</v>
      </c>
      <c r="V34" t="s">
        <v>153</v>
      </c>
      <c r="X34">
        <v>0.007534246575342466</v>
      </c>
      <c r="Y34">
        <v>0.0066363357614631765</v>
      </c>
      <c r="Z34" t="s">
        <v>221</v>
      </c>
      <c r="AA34" t="s">
        <v>25</v>
      </c>
      <c r="AC34" t="s">
        <v>22</v>
      </c>
      <c r="AD34" t="s">
        <v>221</v>
      </c>
      <c r="AE34">
        <v>0.0064946226035090234</v>
      </c>
      <c r="AG34" t="s">
        <v>96</v>
      </c>
      <c r="AH34" t="s">
        <v>221</v>
      </c>
      <c r="AI34">
        <v>0.15535739348225874</v>
      </c>
      <c r="AK34">
        <v>2026</v>
      </c>
      <c r="AL34" t="s">
        <v>234</v>
      </c>
      <c r="AM34">
        <v>0.47299999999999998</v>
      </c>
      <c r="AN34" t="s">
        <v>195</v>
      </c>
    </row>
    <row r="35" spans="9:40" ht="14.25">
      <c r="I35" t="s">
        <v>151</v>
      </c>
      <c r="J35" t="s">
        <v>208</v>
      </c>
      <c r="K35">
        <v>0</v>
      </c>
      <c r="L35" t="s">
        <v>153</v>
      </c>
      <c r="N35" t="s">
        <v>174</v>
      </c>
      <c r="O35" t="s">
        <v>208</v>
      </c>
      <c r="P35">
        <v>0.020463055127068849</v>
      </c>
      <c r="Q35" t="s">
        <v>153</v>
      </c>
      <c r="S35" t="s">
        <v>184</v>
      </c>
      <c r="T35" t="s">
        <v>208</v>
      </c>
      <c r="U35">
        <v>0.016471451964960544</v>
      </c>
      <c r="V35" t="s">
        <v>153</v>
      </c>
      <c r="X35">
        <v>0.011986301369863013</v>
      </c>
      <c r="Y35">
        <v>0.0047336101235611484</v>
      </c>
      <c r="Z35" t="s">
        <v>208</v>
      </c>
      <c r="AA35" t="s">
        <v>25</v>
      </c>
      <c r="AC35" t="s">
        <v>22</v>
      </c>
      <c r="AD35" t="s">
        <v>208</v>
      </c>
      <c r="AE35">
        <v>0.0072740376357469305</v>
      </c>
      <c r="AG35" t="s">
        <v>96</v>
      </c>
      <c r="AH35" t="s">
        <v>208</v>
      </c>
      <c r="AI35">
        <v>0.10803849997671655</v>
      </c>
      <c r="AK35">
        <v>2026</v>
      </c>
      <c r="AL35" t="s">
        <v>256</v>
      </c>
      <c r="AM35">
        <v>0.441</v>
      </c>
      <c r="AN35" t="s">
        <v>195</v>
      </c>
    </row>
    <row r="36" spans="9:40" ht="14.25">
      <c r="I36" t="s">
        <v>151</v>
      </c>
      <c r="J36" t="s">
        <v>209</v>
      </c>
      <c r="K36">
        <v>0.0019121524052626581</v>
      </c>
      <c r="L36" t="s">
        <v>153</v>
      </c>
      <c r="N36" t="s">
        <v>174</v>
      </c>
      <c r="O36" t="s">
        <v>209</v>
      </c>
      <c r="P36">
        <v>0.0030958853291277308</v>
      </c>
      <c r="Q36" t="s">
        <v>153</v>
      </c>
      <c r="S36" t="s">
        <v>184</v>
      </c>
      <c r="T36" t="s">
        <v>209</v>
      </c>
      <c r="U36">
        <v>0.0024018680186402648</v>
      </c>
      <c r="V36" t="s">
        <v>153</v>
      </c>
      <c r="X36">
        <v>0.0017123287671232876</v>
      </c>
      <c r="Y36">
        <v>0.0028590607363945995</v>
      </c>
      <c r="Z36" t="s">
        <v>209</v>
      </c>
      <c r="AA36" t="s">
        <v>25</v>
      </c>
      <c r="AC36" t="s">
        <v>22</v>
      </c>
      <c r="AD36" t="s">
        <v>209</v>
      </c>
      <c r="AE36">
        <v>0.0012393920488394437</v>
      </c>
      <c r="AG36" t="s">
        <v>96</v>
      </c>
      <c r="AH36" t="s">
        <v>209</v>
      </c>
      <c r="AI36">
        <v>0.054946621298120224</v>
      </c>
      <c r="AK36">
        <v>2026</v>
      </c>
      <c r="AL36" t="s">
        <v>257</v>
      </c>
      <c r="AM36">
        <v>0.441</v>
      </c>
      <c r="AN36" t="s">
        <v>195</v>
      </c>
    </row>
    <row r="37" spans="9:40" ht="14.25">
      <c r="I37" t="s">
        <v>151</v>
      </c>
      <c r="J37" t="s">
        <v>210</v>
      </c>
      <c r="K37">
        <v>0.035381881183699546</v>
      </c>
      <c r="L37" t="s">
        <v>153</v>
      </c>
      <c r="N37" t="s">
        <v>174</v>
      </c>
      <c r="O37" t="s">
        <v>210</v>
      </c>
      <c r="P37">
        <v>0.020010121802278954</v>
      </c>
      <c r="Q37" t="s">
        <v>153</v>
      </c>
      <c r="S37" t="s">
        <v>184</v>
      </c>
      <c r="T37" t="s">
        <v>210</v>
      </c>
      <c r="U37">
        <v>0.018567881954089187</v>
      </c>
      <c r="V37" t="s">
        <v>153</v>
      </c>
      <c r="X37">
        <v>0.013698630136986301</v>
      </c>
      <c r="Y37">
        <v>0.017790816199686747</v>
      </c>
      <c r="Z37" t="s">
        <v>210</v>
      </c>
      <c r="AA37" t="s">
        <v>25</v>
      </c>
      <c r="AC37" t="s">
        <v>22</v>
      </c>
      <c r="AD37" t="s">
        <v>210</v>
      </c>
      <c r="AE37">
        <v>0.011884560478547844</v>
      </c>
      <c r="AG37" t="s">
        <v>96</v>
      </c>
      <c r="AH37" t="s">
        <v>210</v>
      </c>
      <c r="AI37">
        <v>0.080657456949679185</v>
      </c>
      <c r="AK37">
        <v>2026</v>
      </c>
      <c r="AL37" t="s">
        <v>258</v>
      </c>
      <c r="AM37">
        <v>0.42040000000000005</v>
      </c>
      <c r="AN37" t="s">
        <v>195</v>
      </c>
    </row>
    <row r="38" spans="9:40" ht="14.25">
      <c r="I38" t="s">
        <v>151</v>
      </c>
      <c r="J38" t="s">
        <v>211</v>
      </c>
      <c r="K38">
        <v>0.0039073522473670507</v>
      </c>
      <c r="L38" t="s">
        <v>153</v>
      </c>
      <c r="N38" t="s">
        <v>174</v>
      </c>
      <c r="O38" t="s">
        <v>211</v>
      </c>
      <c r="P38">
        <v>0.0024929707245466988</v>
      </c>
      <c r="Q38" t="s">
        <v>153</v>
      </c>
      <c r="S38" t="s">
        <v>184</v>
      </c>
      <c r="T38" t="s">
        <v>211</v>
      </c>
      <c r="U38">
        <v>0.0022538285828030647</v>
      </c>
      <c r="V38" t="s">
        <v>153</v>
      </c>
      <c r="X38">
        <v>0.0017123287671232876</v>
      </c>
      <c r="Y38">
        <v>0.0033314272928424045</v>
      </c>
      <c r="Z38" t="s">
        <v>211</v>
      </c>
      <c r="AA38" t="s">
        <v>25</v>
      </c>
      <c r="AC38" t="s">
        <v>22</v>
      </c>
      <c r="AD38" t="s">
        <v>211</v>
      </c>
      <c r="AE38">
        <v>0.0015296244409119405</v>
      </c>
      <c r="AG38" t="s">
        <v>96</v>
      </c>
      <c r="AH38" t="s">
        <v>211</v>
      </c>
      <c r="AI38">
        <v>0.05356585095822286</v>
      </c>
      <c r="AK38">
        <v>2026</v>
      </c>
      <c r="AL38" t="s">
        <v>259</v>
      </c>
      <c r="AM38">
        <v>0.36375</v>
      </c>
      <c r="AN38" t="s">
        <v>195</v>
      </c>
    </row>
    <row r="39" spans="9:40" ht="14.25">
      <c r="I39" t="s">
        <v>151</v>
      </c>
      <c r="J39" t="s">
        <v>212</v>
      </c>
      <c r="K39">
        <v>0.0027276793175185546</v>
      </c>
      <c r="L39" t="s">
        <v>153</v>
      </c>
      <c r="N39" t="s">
        <v>174</v>
      </c>
      <c r="O39" t="s">
        <v>212</v>
      </c>
      <c r="P39">
        <v>0.0023953190157039979</v>
      </c>
      <c r="Q39" t="s">
        <v>153</v>
      </c>
      <c r="S39" t="s">
        <v>184</v>
      </c>
      <c r="T39" t="s">
        <v>212</v>
      </c>
      <c r="U39">
        <v>0.0022919786285531085</v>
      </c>
      <c r="V39" t="s">
        <v>153</v>
      </c>
      <c r="X39">
        <v>0.0017123287671232876</v>
      </c>
      <c r="Y39">
        <v>0.0033314272928424045</v>
      </c>
      <c r="Z39" t="s">
        <v>212</v>
      </c>
      <c r="AA39" t="s">
        <v>25</v>
      </c>
      <c r="AC39" t="s">
        <v>22</v>
      </c>
      <c r="AD39" t="s">
        <v>212</v>
      </c>
      <c r="AE39">
        <v>0.0015679716611638605</v>
      </c>
      <c r="AG39" t="s">
        <v>96</v>
      </c>
      <c r="AH39" t="s">
        <v>212</v>
      </c>
      <c r="AI39">
        <v>0.049898160833141247</v>
      </c>
      <c r="AK39">
        <v>2026</v>
      </c>
      <c r="AL39" t="s">
        <v>260</v>
      </c>
      <c r="AM39">
        <v>0.383575</v>
      </c>
      <c r="AN39" t="s">
        <v>195</v>
      </c>
    </row>
    <row r="40" spans="9:40" ht="14.25">
      <c r="I40" t="s">
        <v>151</v>
      </c>
      <c r="J40" t="s">
        <v>222</v>
      </c>
      <c r="K40">
        <v>0.0011694356578995234</v>
      </c>
      <c r="L40" t="s">
        <v>153</v>
      </c>
      <c r="N40" t="s">
        <v>174</v>
      </c>
      <c r="O40" t="s">
        <v>222</v>
      </c>
      <c r="P40">
        <v>0.016079038002720005</v>
      </c>
      <c r="Q40" t="s">
        <v>153</v>
      </c>
      <c r="S40" t="s">
        <v>184</v>
      </c>
      <c r="T40" t="s">
        <v>222</v>
      </c>
      <c r="U40">
        <v>0.015867214972054133</v>
      </c>
      <c r="V40" t="s">
        <v>153</v>
      </c>
      <c r="X40">
        <v>0.010273972602739725</v>
      </c>
      <c r="Y40">
        <v>0.0090495487656316043</v>
      </c>
      <c r="Z40" t="s">
        <v>222</v>
      </c>
      <c r="AA40" t="s">
        <v>25</v>
      </c>
      <c r="AC40" t="s">
        <v>22</v>
      </c>
      <c r="AD40" t="s">
        <v>222</v>
      </c>
      <c r="AE40">
        <v>0.0089492326838030798</v>
      </c>
      <c r="AG40" t="s">
        <v>96</v>
      </c>
      <c r="AH40" t="s">
        <v>222</v>
      </c>
      <c r="AI40">
        <v>0.14510635275922756</v>
      </c>
      <c r="AK40">
        <v>2026</v>
      </c>
      <c r="AL40" t="s">
        <v>261</v>
      </c>
      <c r="AM40">
        <v>0.38779999999999998</v>
      </c>
      <c r="AN40" t="s">
        <v>195</v>
      </c>
    </row>
    <row r="41" spans="9:40" ht="14.25">
      <c r="I41" t="s">
        <v>151</v>
      </c>
      <c r="J41" t="s">
        <v>223</v>
      </c>
      <c r="K41">
        <v>0</v>
      </c>
      <c r="L41" t="s">
        <v>153</v>
      </c>
      <c r="N41" t="s">
        <v>174</v>
      </c>
      <c r="O41" t="s">
        <v>223</v>
      </c>
      <c r="P41">
        <v>0.0038368384833743891</v>
      </c>
      <c r="Q41" t="s">
        <v>153</v>
      </c>
      <c r="S41" t="s">
        <v>184</v>
      </c>
      <c r="T41" t="s">
        <v>223</v>
      </c>
      <c r="U41">
        <v>0.0047029221888680089</v>
      </c>
      <c r="V41" t="s">
        <v>153</v>
      </c>
      <c r="X41">
        <v>0.0039954337899543377</v>
      </c>
      <c r="Y41">
        <v>0.0015778700411870491</v>
      </c>
      <c r="Z41" t="s">
        <v>223</v>
      </c>
      <c r="AA41" t="s">
        <v>25</v>
      </c>
      <c r="AC41" t="s">
        <v>22</v>
      </c>
      <c r="AD41" t="s">
        <v>223</v>
      </c>
      <c r="AE41">
        <v>0.0024135711779342565</v>
      </c>
      <c r="AG41" t="s">
        <v>96</v>
      </c>
      <c r="AH41" t="s">
        <v>223</v>
      </c>
      <c r="AI41">
        <v>0.11138967065276373</v>
      </c>
      <c r="AK41">
        <v>2027</v>
      </c>
      <c r="AL41" t="s">
        <v>141</v>
      </c>
      <c r="AM41">
        <v>0.3599</v>
      </c>
      <c r="AN41" t="s">
        <v>195</v>
      </c>
    </row>
    <row r="42" spans="9:40" ht="14.25">
      <c r="I42" t="s">
        <v>151</v>
      </c>
      <c r="J42" t="s">
        <v>224</v>
      </c>
      <c r="K42">
        <v>0.00047003828137229215</v>
      </c>
      <c r="L42" t="s">
        <v>153</v>
      </c>
      <c r="N42" t="s">
        <v>174</v>
      </c>
      <c r="O42" t="s">
        <v>224</v>
      </c>
      <c r="P42">
        <v>0.00040174525491091612</v>
      </c>
      <c r="Q42" t="s">
        <v>153</v>
      </c>
      <c r="S42" t="s">
        <v>184</v>
      </c>
      <c r="T42" t="s">
        <v>224</v>
      </c>
      <c r="U42">
        <v>0.00088835351201007608</v>
      </c>
      <c r="V42" t="s">
        <v>153</v>
      </c>
      <c r="X42">
        <v>0.00057077625570776253</v>
      </c>
      <c r="Y42">
        <v>0.00095302024546486681</v>
      </c>
      <c r="Z42" t="s">
        <v>224</v>
      </c>
      <c r="AA42" t="s">
        <v>25</v>
      </c>
      <c r="AC42" t="s">
        <v>22</v>
      </c>
      <c r="AD42" t="s">
        <v>224</v>
      </c>
      <c r="AE42">
        <v>0.00040123699670170497</v>
      </c>
      <c r="AG42" t="s">
        <v>96</v>
      </c>
      <c r="AH42" t="s">
        <v>224</v>
      </c>
      <c r="AI42">
        <v>0.076936017495654152</v>
      </c>
      <c r="AK42">
        <v>2027</v>
      </c>
      <c r="AL42" t="s">
        <v>145</v>
      </c>
      <c r="AM42">
        <v>0.37134999999999996</v>
      </c>
      <c r="AN42" t="s">
        <v>195</v>
      </c>
    </row>
    <row r="43" spans="9:40" ht="14.25">
      <c r="I43" t="s">
        <v>151</v>
      </c>
      <c r="J43" t="s">
        <v>225</v>
      </c>
      <c r="K43">
        <v>0.010024424900218317</v>
      </c>
      <c r="L43" t="s">
        <v>153</v>
      </c>
      <c r="N43" t="s">
        <v>174</v>
      </c>
      <c r="O43" t="s">
        <v>225</v>
      </c>
      <c r="P43">
        <v>0.0026971538235206699</v>
      </c>
      <c r="Q43" t="s">
        <v>153</v>
      </c>
      <c r="S43" t="s">
        <v>184</v>
      </c>
      <c r="T43" t="s">
        <v>225</v>
      </c>
      <c r="U43">
        <v>0.0056521424021208086</v>
      </c>
      <c r="V43" t="s">
        <v>153</v>
      </c>
      <c r="X43">
        <v>0.0045662100456621002</v>
      </c>
      <c r="Y43">
        <v>0.00593027206656225</v>
      </c>
      <c r="Z43" t="s">
        <v>225</v>
      </c>
      <c r="AA43" t="s">
        <v>25</v>
      </c>
      <c r="AC43" t="s">
        <v>22</v>
      </c>
      <c r="AD43" t="s">
        <v>225</v>
      </c>
      <c r="AE43">
        <v>0.0038269344263664662</v>
      </c>
      <c r="AG43" t="s">
        <v>96</v>
      </c>
      <c r="AH43" t="s">
        <v>225</v>
      </c>
      <c r="AI43">
        <v>0.11109347625704302</v>
      </c>
      <c r="AK43">
        <v>2027</v>
      </c>
      <c r="AL43" t="s">
        <v>147</v>
      </c>
      <c r="AM43">
        <v>0.38279999999999997</v>
      </c>
      <c r="AN43" t="s">
        <v>195</v>
      </c>
    </row>
    <row r="44" spans="9:40" ht="14.25">
      <c r="I44" t="s">
        <v>151</v>
      </c>
      <c r="J44" t="s">
        <v>226</v>
      </c>
      <c r="K44">
        <v>0.0011343972323095189</v>
      </c>
      <c r="L44" t="s">
        <v>153</v>
      </c>
      <c r="N44" t="s">
        <v>174</v>
      </c>
      <c r="O44" t="s">
        <v>226</v>
      </c>
      <c r="P44">
        <v>0.00053026658080717519</v>
      </c>
      <c r="Q44" t="s">
        <v>153</v>
      </c>
      <c r="S44" t="s">
        <v>184</v>
      </c>
      <c r="T44" t="s">
        <v>226</v>
      </c>
      <c r="U44">
        <v>0.00058496006643132467</v>
      </c>
      <c r="V44" t="s">
        <v>153</v>
      </c>
      <c r="X44">
        <v>0.00057077625570776253</v>
      </c>
      <c r="Y44">
        <v>0.0011104757642808013</v>
      </c>
      <c r="Z44" t="s">
        <v>226</v>
      </c>
      <c r="AA44" t="s">
        <v>25</v>
      </c>
      <c r="AC44" t="s">
        <v>22</v>
      </c>
      <c r="AD44" t="s">
        <v>226</v>
      </c>
      <c r="AE44">
        <v>0.00049204400768925035</v>
      </c>
      <c r="AG44" t="s">
        <v>96</v>
      </c>
      <c r="AH44" t="s">
        <v>226</v>
      </c>
      <c r="AI44">
        <v>0.08182946624653864</v>
      </c>
      <c r="AK44">
        <v>2027</v>
      </c>
      <c r="AL44" t="s">
        <v>149</v>
      </c>
      <c r="AM44">
        <v>0.41015000000000001</v>
      </c>
      <c r="AN44" t="s">
        <v>195</v>
      </c>
    </row>
    <row r="45" spans="9:40" ht="14.25">
      <c r="I45" t="s">
        <v>151</v>
      </c>
      <c r="J45" t="s">
        <v>227</v>
      </c>
      <c r="K45">
        <v>0.0008415605585917823</v>
      </c>
      <c r="L45" t="s">
        <v>153</v>
      </c>
      <c r="N45" t="s">
        <v>174</v>
      </c>
      <c r="O45" t="s">
        <v>227</v>
      </c>
      <c r="P45">
        <v>0.00061662904755197272</v>
      </c>
      <c r="Q45" t="s">
        <v>153</v>
      </c>
      <c r="S45" t="s">
        <v>184</v>
      </c>
      <c r="T45" t="s">
        <v>227</v>
      </c>
      <c r="U45">
        <v>0.00061340110749854117</v>
      </c>
      <c r="V45" t="s">
        <v>153</v>
      </c>
      <c r="X45">
        <v>0.00057077625570776253</v>
      </c>
      <c r="Y45">
        <v>0.0011104757642808013</v>
      </c>
      <c r="Z45" t="s">
        <v>227</v>
      </c>
      <c r="AA45" t="s">
        <v>25</v>
      </c>
      <c r="AC45" t="s">
        <v>22</v>
      </c>
      <c r="AD45" t="s">
        <v>227</v>
      </c>
      <c r="AE45">
        <v>0.00049795390181905344</v>
      </c>
      <c r="AG45" t="s">
        <v>96</v>
      </c>
      <c r="AH45" t="s">
        <v>227</v>
      </c>
      <c r="AI45">
        <v>0.0801187785479891</v>
      </c>
      <c r="AK45">
        <v>2027</v>
      </c>
      <c r="AL45" t="s">
        <v>198</v>
      </c>
      <c r="AM45">
        <v>0.4375</v>
      </c>
      <c r="AN45" t="s">
        <v>195</v>
      </c>
    </row>
    <row r="46" spans="9:40" ht="14.25">
      <c r="I46" t="s">
        <v>151</v>
      </c>
      <c r="J46" t="s">
        <v>228</v>
      </c>
      <c r="K46">
        <v>0.0003920167186954337</v>
      </c>
      <c r="L46" t="s">
        <v>153</v>
      </c>
      <c r="N46" t="s">
        <v>174</v>
      </c>
      <c r="O46" t="s">
        <v>228</v>
      </c>
      <c r="P46">
        <v>0.0046325476012558878</v>
      </c>
      <c r="Q46" t="s">
        <v>153</v>
      </c>
      <c r="S46" t="s">
        <v>184</v>
      </c>
      <c r="T46" t="s">
        <v>228</v>
      </c>
      <c r="U46">
        <v>0.0045277210110695621</v>
      </c>
      <c r="V46" t="s">
        <v>153</v>
      </c>
      <c r="X46">
        <v>0.0034246575342465752</v>
      </c>
      <c r="Y46">
        <v>0.0030165162552105349</v>
      </c>
      <c r="Z46" t="s">
        <v>228</v>
      </c>
      <c r="AA46" t="s">
        <v>25</v>
      </c>
      <c r="AC46" t="s">
        <v>22</v>
      </c>
      <c r="AD46" t="s">
        <v>228</v>
      </c>
      <c r="AE46">
        <v>0.0029058074943530531</v>
      </c>
      <c r="AG46" t="s">
        <v>96</v>
      </c>
      <c r="AH46" t="s">
        <v>228</v>
      </c>
      <c r="AI46">
        <v>0.12385701874706845</v>
      </c>
      <c r="AK46">
        <v>2027</v>
      </c>
      <c r="AL46" t="s">
        <v>216</v>
      </c>
      <c r="AM46">
        <v>0.4375</v>
      </c>
      <c r="AN46" t="s">
        <v>195</v>
      </c>
    </row>
    <row r="47" spans="9:40" ht="14.25">
      <c r="I47" t="s">
        <v>151</v>
      </c>
      <c r="J47" t="s">
        <v>235</v>
      </c>
      <c r="K47">
        <v>0.0015735040284980426</v>
      </c>
      <c r="L47" t="s">
        <v>153</v>
      </c>
      <c r="N47" t="s">
        <v>174</v>
      </c>
      <c r="O47" t="s">
        <v>235</v>
      </c>
      <c r="P47">
        <v>0.032627770531619665</v>
      </c>
      <c r="Q47" t="s">
        <v>153</v>
      </c>
      <c r="S47" t="s">
        <v>184</v>
      </c>
      <c r="T47" t="s">
        <v>235</v>
      </c>
      <c r="U47">
        <v>0.026004742195699666</v>
      </c>
      <c r="V47" t="s">
        <v>153</v>
      </c>
      <c r="X47">
        <v>0.023173515981735161</v>
      </c>
      <c r="Y47">
        <v>0.009151646238884887</v>
      </c>
      <c r="Z47" t="s">
        <v>235</v>
      </c>
      <c r="AA47" t="s">
        <v>25</v>
      </c>
      <c r="AC47" t="s">
        <v>22</v>
      </c>
      <c r="AD47" t="s">
        <v>235</v>
      </c>
      <c r="AE47">
        <v>0.015657364642708869</v>
      </c>
      <c r="AG47" t="s">
        <v>96</v>
      </c>
      <c r="AH47" t="s">
        <v>235</v>
      </c>
      <c r="AI47">
        <v>0.13772009296658427</v>
      </c>
      <c r="AK47">
        <v>2027</v>
      </c>
      <c r="AL47" t="s">
        <v>232</v>
      </c>
      <c r="AM47">
        <v>0.432</v>
      </c>
      <c r="AN47" t="s">
        <v>195</v>
      </c>
    </row>
    <row r="48" spans="9:40" ht="14.25">
      <c r="I48" t="s">
        <v>151</v>
      </c>
      <c r="J48" t="s">
        <v>236</v>
      </c>
      <c r="K48">
        <v>0.0050097503155806904</v>
      </c>
      <c r="L48" t="s">
        <v>153</v>
      </c>
      <c r="N48" t="s">
        <v>174</v>
      </c>
      <c r="O48" t="s">
        <v>236</v>
      </c>
      <c r="P48">
        <v>0.0040937032711270823</v>
      </c>
      <c r="Q48" t="s">
        <v>153</v>
      </c>
      <c r="S48" t="s">
        <v>184</v>
      </c>
      <c r="T48" t="s">
        <v>236</v>
      </c>
      <c r="U48">
        <v>0.0031373292475149598</v>
      </c>
      <c r="V48" t="s">
        <v>153</v>
      </c>
      <c r="X48">
        <v>0.0033105022831050228</v>
      </c>
      <c r="Y48">
        <v>0.0055275174236962274</v>
      </c>
      <c r="Z48" t="s">
        <v>236</v>
      </c>
      <c r="AA48" t="s">
        <v>25</v>
      </c>
      <c r="AC48" t="s">
        <v>22</v>
      </c>
      <c r="AD48" t="s">
        <v>236</v>
      </c>
      <c r="AE48">
        <v>0.002595369685543442</v>
      </c>
      <c r="AG48" t="s">
        <v>96</v>
      </c>
      <c r="AH48" t="s">
        <v>236</v>
      </c>
      <c r="AI48">
        <v>0.088064927024700035</v>
      </c>
      <c r="AK48">
        <v>2027</v>
      </c>
      <c r="AL48" t="s">
        <v>233</v>
      </c>
      <c r="AM48">
        <v>0.45655000000000001</v>
      </c>
      <c r="AN48" t="s">
        <v>195</v>
      </c>
    </row>
    <row r="49" spans="9:40" ht="14.25">
      <c r="I49" t="s">
        <v>151</v>
      </c>
      <c r="J49" t="s">
        <v>237</v>
      </c>
      <c r="K49">
        <v>0.067677183121727338</v>
      </c>
      <c r="L49" t="s">
        <v>153</v>
      </c>
      <c r="N49" t="s">
        <v>174</v>
      </c>
      <c r="O49" t="s">
        <v>237</v>
      </c>
      <c r="P49">
        <v>0.023462103734797683</v>
      </c>
      <c r="Q49" t="s">
        <v>153</v>
      </c>
      <c r="S49" t="s">
        <v>184</v>
      </c>
      <c r="T49" t="s">
        <v>237</v>
      </c>
      <c r="U49">
        <v>0.023192443030912349</v>
      </c>
      <c r="V49" t="s">
        <v>153</v>
      </c>
      <c r="X49">
        <v>0.026484018264840183</v>
      </c>
      <c r="Y49">
        <v>0.034395577986061042</v>
      </c>
      <c r="Z49" t="s">
        <v>237</v>
      </c>
      <c r="AA49" t="s">
        <v>25</v>
      </c>
      <c r="AC49" t="s">
        <v>22</v>
      </c>
      <c r="AD49" t="s">
        <v>237</v>
      </c>
      <c r="AE49">
        <v>0.026179658405807826</v>
      </c>
      <c r="AG49" t="s">
        <v>96</v>
      </c>
      <c r="AH49" t="s">
        <v>237</v>
      </c>
      <c r="AI49">
        <v>0.099891674732232705</v>
      </c>
      <c r="AK49">
        <v>2027</v>
      </c>
      <c r="AL49" t="s">
        <v>234</v>
      </c>
      <c r="AM49">
        <v>0.50419999999999998</v>
      </c>
      <c r="AN49" t="s">
        <v>195</v>
      </c>
    </row>
    <row r="50" spans="9:40" ht="14.25">
      <c r="I50" t="s">
        <v>151</v>
      </c>
      <c r="J50" t="s">
        <v>238</v>
      </c>
      <c r="K50">
        <v>0.0070859605259325524</v>
      </c>
      <c r="L50" t="s">
        <v>153</v>
      </c>
      <c r="N50" t="s">
        <v>174</v>
      </c>
      <c r="O50" t="s">
        <v>238</v>
      </c>
      <c r="P50">
        <v>0.0034886777934649326</v>
      </c>
      <c r="Q50" t="s">
        <v>153</v>
      </c>
      <c r="S50" t="s">
        <v>184</v>
      </c>
      <c r="T50" t="s">
        <v>238</v>
      </c>
      <c r="U50">
        <v>0.0027514433641584631</v>
      </c>
      <c r="V50" t="s">
        <v>153</v>
      </c>
      <c r="X50">
        <v>0.0033105022831050228</v>
      </c>
      <c r="Y50">
        <v>0.0064407594328286487</v>
      </c>
      <c r="Z50" t="s">
        <v>238</v>
      </c>
      <c r="AA50" t="s">
        <v>25</v>
      </c>
      <c r="AC50" t="s">
        <v>22</v>
      </c>
      <c r="AD50" t="s">
        <v>238</v>
      </c>
      <c r="AE50">
        <v>0.0033479973282970099</v>
      </c>
      <c r="AG50" t="s">
        <v>96</v>
      </c>
      <c r="AH50" t="s">
        <v>238</v>
      </c>
      <c r="AI50">
        <v>0.054527907118073093</v>
      </c>
      <c r="AK50">
        <v>2027</v>
      </c>
      <c r="AL50" t="s">
        <v>256</v>
      </c>
      <c r="AM50">
        <v>0.52180000000000004</v>
      </c>
      <c r="AN50" t="s">
        <v>195</v>
      </c>
    </row>
    <row r="51" spans="9:40" ht="14.25">
      <c r="I51" t="s">
        <v>151</v>
      </c>
      <c r="J51" t="s">
        <v>239</v>
      </c>
      <c r="K51">
        <v>0.0050362991695073215</v>
      </c>
      <c r="L51" t="s">
        <v>153</v>
      </c>
      <c r="N51" t="s">
        <v>174</v>
      </c>
      <c r="O51" t="s">
        <v>239</v>
      </c>
      <c r="P51">
        <v>0.0039399036554755781</v>
      </c>
      <c r="Q51" t="s">
        <v>153</v>
      </c>
      <c r="S51" t="s">
        <v>184</v>
      </c>
      <c r="T51" t="s">
        <v>239</v>
      </c>
      <c r="U51">
        <v>0.0030247269302070591</v>
      </c>
      <c r="V51" t="s">
        <v>153</v>
      </c>
      <c r="X51">
        <v>0.0033105022831050228</v>
      </c>
      <c r="Y51">
        <v>0.0064407594328286487</v>
      </c>
      <c r="Z51" t="s">
        <v>239</v>
      </c>
      <c r="AA51" t="s">
        <v>25</v>
      </c>
      <c r="AC51" t="s">
        <v>22</v>
      </c>
      <c r="AD51" t="s">
        <v>239</v>
      </c>
      <c r="AE51">
        <v>0.003384355137000793</v>
      </c>
      <c r="AG51" t="s">
        <v>96</v>
      </c>
      <c r="AH51" t="s">
        <v>239</v>
      </c>
      <c r="AI51">
        <v>0.033875579697883129</v>
      </c>
      <c r="AK51">
        <v>2027</v>
      </c>
      <c r="AL51" t="s">
        <v>257</v>
      </c>
      <c r="AM51">
        <v>0.52180000000000004</v>
      </c>
      <c r="AN51" t="s">
        <v>195</v>
      </c>
    </row>
    <row r="52" spans="9:40" ht="14.25">
      <c r="I52" t="s">
        <v>151</v>
      </c>
      <c r="J52" t="s">
        <v>240</v>
      </c>
      <c r="K52">
        <v>0.0022174643531061473</v>
      </c>
      <c r="L52" t="s">
        <v>153</v>
      </c>
      <c r="N52" t="s">
        <v>174</v>
      </c>
      <c r="O52" t="s">
        <v>240</v>
      </c>
      <c r="P52">
        <v>0.030492836247329132</v>
      </c>
      <c r="Q52" t="s">
        <v>153</v>
      </c>
      <c r="S52" t="s">
        <v>184</v>
      </c>
      <c r="T52" t="s">
        <v>240</v>
      </c>
      <c r="U52">
        <v>0.022654355968457267</v>
      </c>
      <c r="V52" t="s">
        <v>153</v>
      </c>
      <c r="X52">
        <v>0.019863013698630139</v>
      </c>
      <c r="Y52">
        <v>0.017495794280221105</v>
      </c>
      <c r="Z52" t="s">
        <v>240</v>
      </c>
      <c r="AA52" t="s">
        <v>25</v>
      </c>
      <c r="AC52" t="s">
        <v>22</v>
      </c>
      <c r="AD52" t="s">
        <v>240</v>
      </c>
      <c r="AE52">
        <v>0.019917909701596456</v>
      </c>
      <c r="AG52" t="s">
        <v>96</v>
      </c>
      <c r="AH52" t="s">
        <v>240</v>
      </c>
      <c r="AI52">
        <v>0.11971880242825073</v>
      </c>
      <c r="AK52">
        <v>2027</v>
      </c>
      <c r="AL52" t="s">
        <v>258</v>
      </c>
      <c r="AM52">
        <v>0.44350000000000001</v>
      </c>
      <c r="AN52" t="s">
        <v>195</v>
      </c>
    </row>
    <row r="53" spans="9:40" ht="14.25">
      <c r="I53" t="s">
        <v>151</v>
      </c>
      <c r="J53" t="s">
        <v>241</v>
      </c>
      <c r="K53">
        <v>0.0015825023622950041</v>
      </c>
      <c r="L53" t="s">
        <v>153</v>
      </c>
      <c r="N53" t="s">
        <v>174</v>
      </c>
      <c r="O53" t="s">
        <v>241</v>
      </c>
      <c r="P53">
        <v>0.014631165001783747</v>
      </c>
      <c r="Q53" t="s">
        <v>153</v>
      </c>
      <c r="S53" t="s">
        <v>184</v>
      </c>
      <c r="T53" t="s">
        <v>241</v>
      </c>
      <c r="U53">
        <v>0.017345524121775955</v>
      </c>
      <c r="V53" t="s">
        <v>153</v>
      </c>
      <c r="X53">
        <v>0.019178082191780823</v>
      </c>
      <c r="Y53">
        <v>0.0075737761976978363</v>
      </c>
      <c r="Z53" t="s">
        <v>241</v>
      </c>
      <c r="AA53" t="s">
        <v>25</v>
      </c>
      <c r="AC53" t="s">
        <v>22</v>
      </c>
      <c r="AD53" t="s">
        <v>241</v>
      </c>
      <c r="AE53">
        <v>0.014806425070550765</v>
      </c>
      <c r="AG53" t="s">
        <v>96</v>
      </c>
      <c r="AH53" t="s">
        <v>241</v>
      </c>
      <c r="AI53">
        <v>0.28513480199905872</v>
      </c>
      <c r="AK53">
        <v>2027</v>
      </c>
      <c r="AL53" t="s">
        <v>259</v>
      </c>
      <c r="AM53">
        <v>0.37875</v>
      </c>
      <c r="AN53" t="s">
        <v>195</v>
      </c>
    </row>
    <row r="54" spans="9:40" ht="14.25">
      <c r="I54" t="s">
        <v>151</v>
      </c>
      <c r="J54" t="s">
        <v>242</v>
      </c>
      <c r="K54">
        <v>0.0034133638792191176</v>
      </c>
      <c r="L54" t="s">
        <v>153</v>
      </c>
      <c r="N54" t="s">
        <v>174</v>
      </c>
      <c r="O54" t="s">
        <v>242</v>
      </c>
      <c r="P54">
        <v>0.0016033666735361946</v>
      </c>
      <c r="Q54" t="s">
        <v>153</v>
      </c>
      <c r="S54" t="s">
        <v>184</v>
      </c>
      <c r="T54" t="s">
        <v>242</v>
      </c>
      <c r="U54">
        <v>0.0025779194147639724</v>
      </c>
      <c r="V54" t="s">
        <v>153</v>
      </c>
      <c r="X54">
        <v>0.0027397260273972603</v>
      </c>
      <c r="Y54">
        <v>0.0045744971782313605</v>
      </c>
      <c r="Z54" t="s">
        <v>242</v>
      </c>
      <c r="AA54" t="s">
        <v>25</v>
      </c>
      <c r="AC54" t="s">
        <v>22</v>
      </c>
      <c r="AD54" t="s">
        <v>242</v>
      </c>
      <c r="AE54">
        <v>0.0022411499178791937</v>
      </c>
      <c r="AG54" t="s">
        <v>96</v>
      </c>
      <c r="AH54" t="s">
        <v>242</v>
      </c>
      <c r="AI54">
        <v>0.092255284082514155</v>
      </c>
      <c r="AK54">
        <v>2027</v>
      </c>
      <c r="AL54" t="s">
        <v>260</v>
      </c>
      <c r="AM54">
        <v>0.37157499999999999</v>
      </c>
      <c r="AN54" t="s">
        <v>195</v>
      </c>
    </row>
    <row r="55" spans="9:40" ht="14.25">
      <c r="I55" t="s">
        <v>151</v>
      </c>
      <c r="J55" t="s">
        <v>243</v>
      </c>
      <c r="K55">
        <v>0.050266801521475966</v>
      </c>
      <c r="L55" t="s">
        <v>153</v>
      </c>
      <c r="N55" t="s">
        <v>174</v>
      </c>
      <c r="O55" t="s">
        <v>243</v>
      </c>
      <c r="P55">
        <v>0.011941741998486239</v>
      </c>
      <c r="Q55" t="s">
        <v>153</v>
      </c>
      <c r="S55" t="s">
        <v>184</v>
      </c>
      <c r="T55" t="s">
        <v>243</v>
      </c>
      <c r="U55">
        <v>0.021483992044599304</v>
      </c>
      <c r="V55" t="s">
        <v>153</v>
      </c>
      <c r="X55">
        <v>0.021917808219178082</v>
      </c>
      <c r="Y55">
        <v>0.028465305919498796</v>
      </c>
      <c r="Z55" t="s">
        <v>243</v>
      </c>
      <c r="AA55" t="s">
        <v>25</v>
      </c>
      <c r="AC55" t="s">
        <v>22</v>
      </c>
      <c r="AD55" t="s">
        <v>243</v>
      </c>
      <c r="AE55">
        <v>0.022982742229161187</v>
      </c>
      <c r="AG55" t="s">
        <v>96</v>
      </c>
      <c r="AH55" t="s">
        <v>243</v>
      </c>
      <c r="AI55">
        <v>0.089901458224668662</v>
      </c>
      <c r="AK55">
        <v>2027</v>
      </c>
      <c r="AL55" t="s">
        <v>261</v>
      </c>
      <c r="AM55">
        <v>0.3735</v>
      </c>
      <c r="AN55" t="s">
        <v>195</v>
      </c>
    </row>
    <row r="56" spans="9:40" ht="14.25">
      <c r="I56" t="s">
        <v>151</v>
      </c>
      <c r="J56" t="s">
        <v>244</v>
      </c>
      <c r="K56">
        <v>0.0051265961803434726</v>
      </c>
      <c r="L56" t="s">
        <v>153</v>
      </c>
      <c r="N56" t="s">
        <v>174</v>
      </c>
      <c r="O56" t="s">
        <v>244</v>
      </c>
      <c r="P56">
        <v>0.0025345732187715647</v>
      </c>
      <c r="Q56" t="s">
        <v>153</v>
      </c>
      <c r="S56" t="s">
        <v>184</v>
      </c>
      <c r="T56" t="s">
        <v>244</v>
      </c>
      <c r="U56">
        <v>0.0022803996968884621</v>
      </c>
      <c r="V56" t="s">
        <v>153</v>
      </c>
      <c r="X56">
        <v>0.0027397260273972603</v>
      </c>
      <c r="Y56">
        <v>0.0053302836685478472</v>
      </c>
      <c r="Z56" t="s">
        <v>244</v>
      </c>
      <c r="AA56" t="s">
        <v>25</v>
      </c>
      <c r="AC56" t="s">
        <v>22</v>
      </c>
      <c r="AD56" t="s">
        <v>244</v>
      </c>
      <c r="AE56">
        <v>0.0029289554148516752</v>
      </c>
      <c r="AG56" t="s">
        <v>96</v>
      </c>
      <c r="AH56" t="s">
        <v>244</v>
      </c>
      <c r="AI56">
        <v>0.06187734149675328</v>
      </c>
      <c r="AK56">
        <v>2028</v>
      </c>
      <c r="AL56" t="s">
        <v>141</v>
      </c>
      <c r="AM56">
        <v>0.34389999999999998</v>
      </c>
      <c r="AN56" t="s">
        <v>195</v>
      </c>
    </row>
    <row r="57" spans="9:40" ht="14.25">
      <c r="I57" t="s">
        <v>151</v>
      </c>
      <c r="J57" t="s">
        <v>245</v>
      </c>
      <c r="K57">
        <v>0.0037658796150586951</v>
      </c>
      <c r="L57" t="s">
        <v>153</v>
      </c>
      <c r="N57" t="s">
        <v>174</v>
      </c>
      <c r="O57" t="s">
        <v>245</v>
      </c>
      <c r="P57">
        <v>0.0028046681056963347</v>
      </c>
      <c r="Q57" t="s">
        <v>153</v>
      </c>
      <c r="S57" t="s">
        <v>184</v>
      </c>
      <c r="T57" t="s">
        <v>245</v>
      </c>
      <c r="U57">
        <v>0.0022640019299269335</v>
      </c>
      <c r="V57" t="s">
        <v>153</v>
      </c>
      <c r="X57">
        <v>0.0027397260273972603</v>
      </c>
      <c r="Y57">
        <v>0.0053302836685478472</v>
      </c>
      <c r="Z57" t="s">
        <v>245</v>
      </c>
      <c r="AA57" t="s">
        <v>25</v>
      </c>
      <c r="AC57" t="s">
        <v>22</v>
      </c>
      <c r="AD57" t="s">
        <v>245</v>
      </c>
      <c r="AE57">
        <v>0.0029435347094522455</v>
      </c>
      <c r="AG57" t="s">
        <v>96</v>
      </c>
      <c r="AH57" t="s">
        <v>245</v>
      </c>
      <c r="AI57">
        <v>0.057940796184650534</v>
      </c>
      <c r="AK57">
        <v>2028</v>
      </c>
      <c r="AL57" t="s">
        <v>145</v>
      </c>
      <c r="AM57">
        <v>0.36244999999999999</v>
      </c>
      <c r="AN57" t="s">
        <v>195</v>
      </c>
    </row>
    <row r="58" spans="9:40" ht="14.25">
      <c r="I58" t="s">
        <v>151</v>
      </c>
      <c r="J58" t="s">
        <v>246</v>
      </c>
      <c r="K58">
        <v>0.0017313731607090199</v>
      </c>
      <c r="L58" t="s">
        <v>153</v>
      </c>
      <c r="N58" t="s">
        <v>174</v>
      </c>
      <c r="O58" t="s">
        <v>246</v>
      </c>
      <c r="P58">
        <v>0.018552308401946074</v>
      </c>
      <c r="Q58" t="s">
        <v>153</v>
      </c>
      <c r="S58" t="s">
        <v>184</v>
      </c>
      <c r="T58" t="s">
        <v>246</v>
      </c>
      <c r="U58">
        <v>0.013960446506491846</v>
      </c>
      <c r="V58" t="s">
        <v>153</v>
      </c>
      <c r="X58">
        <v>0.01643835616438356</v>
      </c>
      <c r="Y58">
        <v>0.014479278025010568</v>
      </c>
      <c r="Z58" t="s">
        <v>246</v>
      </c>
      <c r="AA58" t="s">
        <v>25</v>
      </c>
      <c r="AC58" t="s">
        <v>22</v>
      </c>
      <c r="AD58" t="s">
        <v>246</v>
      </c>
      <c r="AE58">
        <v>0.017094249301700257</v>
      </c>
      <c r="AG58" t="s">
        <v>96</v>
      </c>
      <c r="AH58" t="s">
        <v>246</v>
      </c>
      <c r="AI58">
        <v>0.1083821557290725</v>
      </c>
      <c r="AK58">
        <v>2028</v>
      </c>
      <c r="AL58" t="s">
        <v>147</v>
      </c>
      <c r="AM58">
        <v>0.38100000000000001</v>
      </c>
      <c r="AN58" t="s">
        <v>195</v>
      </c>
    </row>
    <row r="59" spans="9:40" ht="14.25">
      <c r="I59" t="s">
        <v>151</v>
      </c>
      <c r="J59" t="s">
        <v>247</v>
      </c>
      <c r="K59">
        <v>0.0017001320842746923</v>
      </c>
      <c r="L59" t="s">
        <v>153</v>
      </c>
      <c r="N59" t="s">
        <v>174</v>
      </c>
      <c r="O59" t="s">
        <v>247</v>
      </c>
      <c r="P59">
        <v>0.019437451686376141</v>
      </c>
      <c r="Q59" t="s">
        <v>153</v>
      </c>
      <c r="S59" t="s">
        <v>184</v>
      </c>
      <c r="T59" t="s">
        <v>247</v>
      </c>
      <c r="U59">
        <v>0.027817136413583826</v>
      </c>
      <c r="V59" t="s">
        <v>153</v>
      </c>
      <c r="X59">
        <v>0.01678082191780822</v>
      </c>
      <c r="Y59">
        <v>0.006627054172985607</v>
      </c>
      <c r="Z59" t="s">
        <v>247</v>
      </c>
      <c r="AA59" t="s">
        <v>25</v>
      </c>
      <c r="AC59" t="s">
        <v>22</v>
      </c>
      <c r="AD59" t="s">
        <v>247</v>
      </c>
      <c r="AE59">
        <v>0.015217247130350968</v>
      </c>
      <c r="AG59" t="s">
        <v>96</v>
      </c>
      <c r="AH59" t="s">
        <v>247</v>
      </c>
      <c r="AI59">
        <v>0.27363753679350356</v>
      </c>
      <c r="AK59">
        <v>2028</v>
      </c>
      <c r="AL59" t="s">
        <v>149</v>
      </c>
      <c r="AM59">
        <v>0.37054999999999999</v>
      </c>
      <c r="AN59" t="s">
        <v>195</v>
      </c>
    </row>
    <row r="60" spans="9:40" ht="14.25">
      <c r="I60" t="s">
        <v>151</v>
      </c>
      <c r="J60" t="s">
        <v>248</v>
      </c>
      <c r="K60">
        <v>0.0035607188271552502</v>
      </c>
      <c r="L60" t="s">
        <v>153</v>
      </c>
      <c r="N60" t="s">
        <v>174</v>
      </c>
      <c r="O60" t="s">
        <v>248</v>
      </c>
      <c r="P60">
        <v>0.0025327205839201176</v>
      </c>
      <c r="Q60" t="s">
        <v>153</v>
      </c>
      <c r="S60" t="s">
        <v>184</v>
      </c>
      <c r="T60" t="s">
        <v>248</v>
      </c>
      <c r="U60">
        <v>0.0039499791508572314</v>
      </c>
      <c r="V60" t="s">
        <v>153</v>
      </c>
      <c r="X60">
        <v>0.0023972602739726029</v>
      </c>
      <c r="Y60">
        <v>0.00400268503095244</v>
      </c>
      <c r="Z60" t="s">
        <v>248</v>
      </c>
      <c r="AA60" t="s">
        <v>25</v>
      </c>
      <c r="AC60" t="s">
        <v>22</v>
      </c>
      <c r="AD60" t="s">
        <v>248</v>
      </c>
      <c r="AE60">
        <v>0.0021605024656545075</v>
      </c>
      <c r="AG60" t="s">
        <v>96</v>
      </c>
      <c r="AH60" t="s">
        <v>248</v>
      </c>
      <c r="AI60">
        <v>0.19788289399492531</v>
      </c>
      <c r="AK60">
        <v>2028</v>
      </c>
      <c r="AL60" t="s">
        <v>198</v>
      </c>
      <c r="AM60">
        <v>0.36009999999999998</v>
      </c>
      <c r="AN60" t="s">
        <v>195</v>
      </c>
    </row>
    <row r="61" spans="9:40" ht="14.25">
      <c r="I61" t="s">
        <v>151</v>
      </c>
      <c r="J61" t="s">
        <v>249</v>
      </c>
      <c r="K61">
        <v>0.046790568692025809</v>
      </c>
      <c r="L61" t="s">
        <v>153</v>
      </c>
      <c r="N61" t="s">
        <v>174</v>
      </c>
      <c r="O61" t="s">
        <v>249</v>
      </c>
      <c r="P61">
        <v>0.028172762079588999</v>
      </c>
      <c r="Q61" t="s">
        <v>153</v>
      </c>
      <c r="S61" t="s">
        <v>184</v>
      </c>
      <c r="T61" t="s">
        <v>249</v>
      </c>
      <c r="U61">
        <v>0.028747458672446637</v>
      </c>
      <c r="V61" t="s">
        <v>153</v>
      </c>
      <c r="X61">
        <v>0.019178082191780823</v>
      </c>
      <c r="Y61">
        <v>0.024907142679561449</v>
      </c>
      <c r="Z61" t="s">
        <v>249</v>
      </c>
      <c r="AA61" t="s">
        <v>25</v>
      </c>
      <c r="AC61" t="s">
        <v>22</v>
      </c>
      <c r="AD61" t="s">
        <v>249</v>
      </c>
      <c r="AE61">
        <v>0.022029641375262018</v>
      </c>
      <c r="AG61" t="s">
        <v>96</v>
      </c>
      <c r="AH61" t="s">
        <v>249</v>
      </c>
      <c r="AI61">
        <v>0.16069708156199791</v>
      </c>
      <c r="AK61">
        <v>2028</v>
      </c>
      <c r="AL61" t="s">
        <v>216</v>
      </c>
      <c r="AM61">
        <v>0.36009999999999998</v>
      </c>
      <c r="AN61" t="s">
        <v>195</v>
      </c>
    </row>
    <row r="62" spans="9:40" ht="14.25">
      <c r="I62" t="s">
        <v>151</v>
      </c>
      <c r="J62" t="s">
        <v>250</v>
      </c>
      <c r="K62">
        <v>0.0047582478355002412</v>
      </c>
      <c r="L62" t="s">
        <v>153</v>
      </c>
      <c r="N62" t="s">
        <v>174</v>
      </c>
      <c r="O62" t="s">
        <v>250</v>
      </c>
      <c r="P62">
        <v>0.0047854682208661537</v>
      </c>
      <c r="Q62" t="s">
        <v>153</v>
      </c>
      <c r="S62" t="s">
        <v>184</v>
      </c>
      <c r="T62" t="s">
        <v>250</v>
      </c>
      <c r="U62">
        <v>0.0035812184171527817</v>
      </c>
      <c r="V62" t="s">
        <v>153</v>
      </c>
      <c r="X62">
        <v>0.0023972602739726029</v>
      </c>
      <c r="Y62">
        <v>0.0046639982099793663</v>
      </c>
      <c r="Z62" t="s">
        <v>250</v>
      </c>
      <c r="AA62" t="s">
        <v>25</v>
      </c>
      <c r="AC62" t="s">
        <v>22</v>
      </c>
      <c r="AD62" t="s">
        <v>250</v>
      </c>
      <c r="AE62">
        <v>0.0028051534839713594</v>
      </c>
      <c r="AG62" t="s">
        <v>96</v>
      </c>
      <c r="AH62" t="s">
        <v>250</v>
      </c>
      <c r="AI62">
        <v>0.13475307964018612</v>
      </c>
      <c r="AK62">
        <v>2028</v>
      </c>
      <c r="AL62" t="s">
        <v>232</v>
      </c>
      <c r="AM62">
        <v>0.40610000000000002</v>
      </c>
      <c r="AN62" t="s">
        <v>195</v>
      </c>
    </row>
    <row r="63" spans="9:40" ht="14.25">
      <c r="I63" t="s">
        <v>151</v>
      </c>
      <c r="J63" t="s">
        <v>251</v>
      </c>
      <c r="K63">
        <v>0.0035435013876956951</v>
      </c>
      <c r="L63" t="s">
        <v>153</v>
      </c>
      <c r="N63" t="s">
        <v>174</v>
      </c>
      <c r="O63" t="s">
        <v>251</v>
      </c>
      <c r="P63">
        <v>0.0044801598262124752</v>
      </c>
      <c r="Q63" t="s">
        <v>153</v>
      </c>
      <c r="S63" t="s">
        <v>184</v>
      </c>
      <c r="T63" t="s">
        <v>251</v>
      </c>
      <c r="U63">
        <v>0.003658585064527826</v>
      </c>
      <c r="V63" t="s">
        <v>153</v>
      </c>
      <c r="X63">
        <v>0.0023972602739726029</v>
      </c>
      <c r="Y63">
        <v>0.0046639982099793663</v>
      </c>
      <c r="Z63" t="s">
        <v>251</v>
      </c>
      <c r="AA63" t="s">
        <v>25</v>
      </c>
      <c r="AC63" t="s">
        <v>22</v>
      </c>
      <c r="AD63" t="s">
        <v>251</v>
      </c>
      <c r="AE63">
        <v>0.0028102816152054135</v>
      </c>
      <c r="AG63" t="s">
        <v>96</v>
      </c>
      <c r="AH63" t="s">
        <v>251</v>
      </c>
      <c r="AI63">
        <v>0.13506888129142025</v>
      </c>
      <c r="AK63">
        <v>2028</v>
      </c>
      <c r="AL63" t="s">
        <v>233</v>
      </c>
      <c r="AM63">
        <v>0.45269999999999999</v>
      </c>
      <c r="AN63" t="s">
        <v>195</v>
      </c>
    </row>
    <row r="64" spans="9:40" ht="14.25">
      <c r="I64" t="s">
        <v>151</v>
      </c>
      <c r="J64" t="s">
        <v>252</v>
      </c>
      <c r="K64">
        <v>0.0016576534012010327</v>
      </c>
      <c r="L64" t="s">
        <v>153</v>
      </c>
      <c r="N64" t="s">
        <v>174</v>
      </c>
      <c r="O64" t="s">
        <v>252</v>
      </c>
      <c r="P64">
        <v>0.021408482211204758</v>
      </c>
      <c r="Q64" t="s">
        <v>153</v>
      </c>
      <c r="S64" t="s">
        <v>184</v>
      </c>
      <c r="T64" t="s">
        <v>252</v>
      </c>
      <c r="U64">
        <v>0.023826310354624663</v>
      </c>
      <c r="V64" t="s">
        <v>153</v>
      </c>
      <c r="X64">
        <v>0.014383561643835616</v>
      </c>
      <c r="Y64">
        <v>0.01266936827188425</v>
      </c>
      <c r="Z64" t="s">
        <v>252</v>
      </c>
      <c r="AA64" t="s">
        <v>25</v>
      </c>
      <c r="AC64" t="s">
        <v>22</v>
      </c>
      <c r="AD64" t="s">
        <v>252</v>
      </c>
      <c r="AE64">
        <v>0.016403127412361163</v>
      </c>
      <c r="AG64" t="s">
        <v>96</v>
      </c>
      <c r="AH64" t="s">
        <v>252</v>
      </c>
      <c r="AI64">
        <v>0.15834202688972066</v>
      </c>
      <c r="AK64">
        <v>2028</v>
      </c>
      <c r="AL64" t="s">
        <v>234</v>
      </c>
      <c r="AM64">
        <v>0.48419999999999996</v>
      </c>
      <c r="AN64" t="s">
        <v>195</v>
      </c>
    </row>
    <row r="65" spans="9:40" ht="14.25">
      <c r="I65" t="s">
        <v>151</v>
      </c>
      <c r="J65" t="s">
        <v>262</v>
      </c>
      <c r="K65">
        <v>0.00043060880303891604</v>
      </c>
      <c r="L65" t="s">
        <v>153</v>
      </c>
      <c r="N65" t="s">
        <v>174</v>
      </c>
      <c r="O65" t="s">
        <v>262</v>
      </c>
      <c r="P65">
        <v>0.012914121859261976</v>
      </c>
      <c r="Q65" t="s">
        <v>153</v>
      </c>
      <c r="S65" t="s">
        <v>184</v>
      </c>
      <c r="T65" t="s">
        <v>262</v>
      </c>
      <c r="U65">
        <v>0.018018249453128053</v>
      </c>
      <c r="V65" t="s">
        <v>153</v>
      </c>
      <c r="X65">
        <v>0.0047945205479452057</v>
      </c>
      <c r="Y65">
        <v>0.0018934440494244587</v>
      </c>
      <c r="Z65" t="s">
        <v>262</v>
      </c>
      <c r="AA65" t="s">
        <v>25</v>
      </c>
      <c r="AC65" t="s">
        <v>22</v>
      </c>
      <c r="AD65" t="s">
        <v>262</v>
      </c>
      <c r="AE65">
        <v>0.0052376576353773546</v>
      </c>
      <c r="AG65" t="s">
        <v>96</v>
      </c>
      <c r="AH65" t="s">
        <v>262</v>
      </c>
      <c r="AI65">
        <v>0.043566353185076956</v>
      </c>
      <c r="AK65">
        <v>2028</v>
      </c>
      <c r="AL65" t="s">
        <v>256</v>
      </c>
      <c r="AM65">
        <v>0.5151</v>
      </c>
      <c r="AN65" t="s">
        <v>195</v>
      </c>
    </row>
    <row r="66" spans="9:40" ht="14.25">
      <c r="I66" t="s">
        <v>151</v>
      </c>
      <c r="J66" t="s">
        <v>263</v>
      </c>
      <c r="K66">
        <v>0.00099738545301397306</v>
      </c>
      <c r="L66" t="s">
        <v>153</v>
      </c>
      <c r="N66" t="s">
        <v>174</v>
      </c>
      <c r="O66" t="s">
        <v>263</v>
      </c>
      <c r="P66">
        <v>0.0021686005995659426</v>
      </c>
      <c r="Q66" t="s">
        <v>153</v>
      </c>
      <c r="S66" t="s">
        <v>184</v>
      </c>
      <c r="T66" t="s">
        <v>263</v>
      </c>
      <c r="U66">
        <v>0.0027391019538726248</v>
      </c>
      <c r="V66" t="s">
        <v>153</v>
      </c>
      <c r="X66">
        <v>0.00068493150684931507</v>
      </c>
      <c r="Y66">
        <v>0.0011436242945578401</v>
      </c>
      <c r="Z66" t="s">
        <v>263</v>
      </c>
      <c r="AA66" t="s">
        <v>25</v>
      </c>
      <c r="AC66" t="s">
        <v>22</v>
      </c>
      <c r="AD66" t="s">
        <v>263</v>
      </c>
      <c r="AE66">
        <v>0.00072752342206025479</v>
      </c>
      <c r="AG66" t="s">
        <v>96</v>
      </c>
      <c r="AH66" t="s">
        <v>263</v>
      </c>
      <c r="AI66">
        <v>0.017293339536012642</v>
      </c>
      <c r="AK66">
        <v>2028</v>
      </c>
      <c r="AL66" t="s">
        <v>257</v>
      </c>
      <c r="AM66">
        <v>0.5151</v>
      </c>
      <c r="AN66" t="s">
        <v>195</v>
      </c>
    </row>
    <row r="67" spans="9:40" ht="14.25">
      <c r="I67" t="s">
        <v>151</v>
      </c>
      <c r="J67" t="s">
        <v>264</v>
      </c>
      <c r="K67">
        <v>0.013477218116801174</v>
      </c>
      <c r="L67" t="s">
        <v>153</v>
      </c>
      <c r="N67" t="s">
        <v>174</v>
      </c>
      <c r="O67" t="s">
        <v>264</v>
      </c>
      <c r="P67">
        <v>0.017804344661708653</v>
      </c>
      <c r="Q67" t="s">
        <v>153</v>
      </c>
      <c r="S67" t="s">
        <v>184</v>
      </c>
      <c r="T67" t="s">
        <v>264</v>
      </c>
      <c r="U67">
        <v>0.020080695229478487</v>
      </c>
      <c r="V67" t="s">
        <v>153</v>
      </c>
      <c r="X67">
        <v>0.0054794520547945206</v>
      </c>
      <c r="Y67">
        <v>0.0071163264798746991</v>
      </c>
      <c r="Z67" t="s">
        <v>264</v>
      </c>
      <c r="AA67" t="s">
        <v>25</v>
      </c>
      <c r="AC67" t="s">
        <v>22</v>
      </c>
      <c r="AD67" t="s">
        <v>264</v>
      </c>
      <c r="AE67">
        <v>0.0069293630742631581</v>
      </c>
      <c r="AG67" t="s">
        <v>96</v>
      </c>
      <c r="AH67" t="s">
        <v>264</v>
      </c>
      <c r="AI67">
        <v>0.068638524593140904</v>
      </c>
      <c r="AK67">
        <v>2028</v>
      </c>
      <c r="AL67" t="s">
        <v>258</v>
      </c>
      <c r="AM67">
        <v>0.4632</v>
      </c>
      <c r="AN67" t="s">
        <v>195</v>
      </c>
    </row>
    <row r="68" spans="9:40" ht="14.25">
      <c r="I68" t="s">
        <v>151</v>
      </c>
      <c r="J68" t="s">
        <v>265</v>
      </c>
      <c r="K68">
        <v>0.0013386799359184852</v>
      </c>
      <c r="L68" t="s">
        <v>153</v>
      </c>
      <c r="N68" t="s">
        <v>174</v>
      </c>
      <c r="O68" t="s">
        <v>265</v>
      </c>
      <c r="P68">
        <v>0.0022847411837343063</v>
      </c>
      <c r="Q68" t="s">
        <v>153</v>
      </c>
      <c r="S68" t="s">
        <v>184</v>
      </c>
      <c r="T68" t="s">
        <v>265</v>
      </c>
      <c r="U68">
        <v>0.0023506178649470178</v>
      </c>
      <c r="V68" t="s">
        <v>153</v>
      </c>
      <c r="X68">
        <v>0.00068493150684931507</v>
      </c>
      <c r="Y68">
        <v>0.0013325709171369616</v>
      </c>
      <c r="Z68" t="s">
        <v>265</v>
      </c>
      <c r="AA68" t="s">
        <v>25</v>
      </c>
      <c r="AC68" t="s">
        <v>22</v>
      </c>
      <c r="AD68" t="s">
        <v>265</v>
      </c>
      <c r="AE68">
        <v>0.00088469860246600238</v>
      </c>
      <c r="AG68" t="s">
        <v>96</v>
      </c>
      <c r="AH68" t="s">
        <v>265</v>
      </c>
      <c r="AI68">
        <v>0.033731970056600336</v>
      </c>
      <c r="AK68">
        <v>2028</v>
      </c>
      <c r="AL68" t="s">
        <v>259</v>
      </c>
      <c r="AM68">
        <v>0.3735</v>
      </c>
      <c r="AN68" t="s">
        <v>195</v>
      </c>
    </row>
    <row r="69" spans="9:40" ht="14.25">
      <c r="I69" t="s">
        <v>151</v>
      </c>
      <c r="J69" t="s">
        <v>266</v>
      </c>
      <c r="K69">
        <v>0.00098144426931139409</v>
      </c>
      <c r="L69" t="s">
        <v>153</v>
      </c>
      <c r="N69" t="s">
        <v>174</v>
      </c>
      <c r="O69" t="s">
        <v>266</v>
      </c>
      <c r="P69">
        <v>0.0021389946983218877</v>
      </c>
      <c r="Q69" t="s">
        <v>153</v>
      </c>
      <c r="S69" t="s">
        <v>184</v>
      </c>
      <c r="T69" t="s">
        <v>266</v>
      </c>
      <c r="U69">
        <v>0.0023402295454474659</v>
      </c>
      <c r="V69" t="s">
        <v>153</v>
      </c>
      <c r="X69">
        <v>0.00068493150684931507</v>
      </c>
      <c r="Y69">
        <v>0.0013325709171369616</v>
      </c>
      <c r="Z69" t="s">
        <v>266</v>
      </c>
      <c r="AA69" t="s">
        <v>25</v>
      </c>
      <c r="AC69" t="s">
        <v>22</v>
      </c>
      <c r="AD69" t="s">
        <v>266</v>
      </c>
      <c r="AE69">
        <v>0.00088670551616852177</v>
      </c>
      <c r="AG69" t="s">
        <v>96</v>
      </c>
      <c r="AH69" t="s">
        <v>266</v>
      </c>
      <c r="AI69">
        <v>0.033073664069974029</v>
      </c>
      <c r="AK69">
        <v>2028</v>
      </c>
      <c r="AL69" t="s">
        <v>260</v>
      </c>
      <c r="AM69">
        <v>0.3528</v>
      </c>
      <c r="AN69" t="s">
        <v>195</v>
      </c>
    </row>
    <row r="70" spans="9:40" ht="14.25">
      <c r="I70" t="s">
        <v>151</v>
      </c>
      <c r="J70" t="s">
        <v>267</v>
      </c>
      <c r="K70">
        <v>0.00044063479376129483</v>
      </c>
      <c r="L70" t="s">
        <v>153</v>
      </c>
      <c r="N70" t="s">
        <v>174</v>
      </c>
      <c r="O70" t="s">
        <v>267</v>
      </c>
      <c r="P70">
        <v>0.0086864683739147543</v>
      </c>
      <c r="Q70" t="s">
        <v>153</v>
      </c>
      <c r="S70" t="s">
        <v>184</v>
      </c>
      <c r="T70" t="s">
        <v>267</v>
      </c>
      <c r="U70">
        <v>0.012789114987225588</v>
      </c>
      <c r="V70" t="s">
        <v>153</v>
      </c>
      <c r="X70">
        <v>0.00410958904109589</v>
      </c>
      <c r="Y70">
        <v>0.0036198195062526421</v>
      </c>
      <c r="Z70" t="s">
        <v>267</v>
      </c>
      <c r="AA70" t="s">
        <v>25</v>
      </c>
      <c r="AC70" t="s">
        <v>22</v>
      </c>
      <c r="AD70" t="s">
        <v>267</v>
      </c>
      <c r="AE70">
        <v>0.0050879445040474232</v>
      </c>
      <c r="AG70" t="s">
        <v>96</v>
      </c>
      <c r="AH70" t="s">
        <v>267</v>
      </c>
      <c r="AI70">
        <v>0.08024998224557911</v>
      </c>
      <c r="AK70">
        <v>2028</v>
      </c>
      <c r="AL70" t="s">
        <v>261</v>
      </c>
      <c r="AM70">
        <v>0.36930000000000002</v>
      </c>
      <c r="AN70" t="s">
        <v>195</v>
      </c>
    </row>
    <row r="71" spans="9:40" ht="14.25">
      <c r="I71" t="s">
        <v>151</v>
      </c>
      <c r="J71" t="s">
        <v>268</v>
      </c>
      <c r="K71">
        <v>0.00053008379650729273</v>
      </c>
      <c r="L71" t="s">
        <v>153</v>
      </c>
      <c r="N71" t="s">
        <v>174</v>
      </c>
      <c r="O71" t="s">
        <v>268</v>
      </c>
      <c r="P71">
        <v>0.010044561598311451</v>
      </c>
      <c r="Q71" t="s">
        <v>153</v>
      </c>
      <c r="S71" t="s">
        <v>184</v>
      </c>
      <c r="T71" t="s">
        <v>268</v>
      </c>
      <c r="U71">
        <v>0.01508716290990445</v>
      </c>
      <c r="V71" t="s">
        <v>153</v>
      </c>
      <c r="X71">
        <v>0.0071917808219178082</v>
      </c>
      <c r="Y71">
        <v>0.002840166074136688</v>
      </c>
      <c r="Z71" t="s">
        <v>268</v>
      </c>
      <c r="AA71" t="s">
        <v>25</v>
      </c>
      <c r="AC71" t="s">
        <v>22</v>
      </c>
      <c r="AD71" t="s">
        <v>268</v>
      </c>
      <c r="AE71">
        <v>0.0079412318845857918</v>
      </c>
      <c r="AG71" t="s">
        <v>96</v>
      </c>
      <c r="AH71" t="s">
        <v>268</v>
      </c>
      <c r="AI71">
        <v>0.080029977684522136</v>
      </c>
      <c r="AK71">
        <v>2029</v>
      </c>
      <c r="AL71" t="s">
        <v>141</v>
      </c>
      <c r="AM71">
        <v>0.4204</v>
      </c>
      <c r="AN71" t="s">
        <v>195</v>
      </c>
    </row>
    <row r="72" spans="9:40" ht="14.25">
      <c r="I72" t="s">
        <v>151</v>
      </c>
      <c r="J72" t="s">
        <v>269</v>
      </c>
      <c r="K72">
        <v>0.001354825069188925</v>
      </c>
      <c r="L72" t="s">
        <v>153</v>
      </c>
      <c r="N72" t="s">
        <v>174</v>
      </c>
      <c r="O72" t="s">
        <v>269</v>
      </c>
      <c r="P72">
        <v>0.0014719141585128022</v>
      </c>
      <c r="Q72" t="s">
        <v>153</v>
      </c>
      <c r="S72" t="s">
        <v>184</v>
      </c>
      <c r="T72" t="s">
        <v>269</v>
      </c>
      <c r="U72">
        <v>0.0018827446219754664</v>
      </c>
      <c r="V72" t="s">
        <v>153</v>
      </c>
      <c r="X72">
        <v>0.0010273972602739725</v>
      </c>
      <c r="Y72">
        <v>0.0017154364418367602</v>
      </c>
      <c r="Z72" t="s">
        <v>269</v>
      </c>
      <c r="AA72" t="s">
        <v>25</v>
      </c>
      <c r="AC72" t="s">
        <v>22</v>
      </c>
      <c r="AD72" t="s">
        <v>269</v>
      </c>
      <c r="AE72">
        <v>0.0010977871834434577</v>
      </c>
      <c r="AG72" t="s">
        <v>96</v>
      </c>
      <c r="AH72" t="s">
        <v>269</v>
      </c>
      <c r="AI72">
        <v>0.015764829001918557</v>
      </c>
      <c r="AK72">
        <v>2029</v>
      </c>
      <c r="AL72" t="s">
        <v>145</v>
      </c>
      <c r="AM72">
        <v>0.39860000000000001</v>
      </c>
      <c r="AN72" t="s">
        <v>195</v>
      </c>
    </row>
    <row r="73" spans="9:40" ht="14.25">
      <c r="I73" t="s">
        <v>151</v>
      </c>
      <c r="J73" t="s">
        <v>270</v>
      </c>
      <c r="K73">
        <v>0.019290078265655628</v>
      </c>
      <c r="L73" t="s">
        <v>153</v>
      </c>
      <c r="N73" t="s">
        <v>174</v>
      </c>
      <c r="O73" t="s">
        <v>270</v>
      </c>
      <c r="P73">
        <v>0.016986260049251554</v>
      </c>
      <c r="Q73" t="s">
        <v>153</v>
      </c>
      <c r="S73" t="s">
        <v>184</v>
      </c>
      <c r="T73" t="s">
        <v>270</v>
      </c>
      <c r="U73">
        <v>0.012007874847944897</v>
      </c>
      <c r="V73" t="s">
        <v>153</v>
      </c>
      <c r="X73">
        <v>0.00821917808219178</v>
      </c>
      <c r="Y73">
        <v>0.010674489719812049</v>
      </c>
      <c r="Z73" t="s">
        <v>270</v>
      </c>
      <c r="AA73" t="s">
        <v>25</v>
      </c>
      <c r="AC73" t="s">
        <v>22</v>
      </c>
      <c r="AD73" t="s">
        <v>270</v>
      </c>
      <c r="AE73">
        <v>0.010476103462216793</v>
      </c>
      <c r="AG73" t="s">
        <v>96</v>
      </c>
      <c r="AH73" t="s">
        <v>270</v>
      </c>
      <c r="AI73">
        <v>0.063625384356769787</v>
      </c>
      <c r="AK73">
        <v>2029</v>
      </c>
      <c r="AL73" t="s">
        <v>147</v>
      </c>
      <c r="AM73">
        <v>0.37680000000000002</v>
      </c>
      <c r="AN73" t="s">
        <v>195</v>
      </c>
    </row>
    <row r="74" spans="9:40" ht="14.25">
      <c r="I74" t="s">
        <v>151</v>
      </c>
      <c r="J74" t="s">
        <v>271</v>
      </c>
      <c r="K74">
        <v>0.0019028321612631967</v>
      </c>
      <c r="L74" t="s">
        <v>153</v>
      </c>
      <c r="N74" t="s">
        <v>174</v>
      </c>
      <c r="O74" t="s">
        <v>271</v>
      </c>
      <c r="P74">
        <v>0.0027996403329442299</v>
      </c>
      <c r="Q74" t="s">
        <v>153</v>
      </c>
      <c r="S74" t="s">
        <v>184</v>
      </c>
      <c r="T74" t="s">
        <v>271</v>
      </c>
      <c r="U74">
        <v>0.0019082973674346203</v>
      </c>
      <c r="V74" t="s">
        <v>153</v>
      </c>
      <c r="X74">
        <v>0.0010273972602739725</v>
      </c>
      <c r="Y74">
        <v>0.0019988563757054427</v>
      </c>
      <c r="Z74" t="s">
        <v>271</v>
      </c>
      <c r="AA74" t="s">
        <v>25</v>
      </c>
      <c r="AC74" t="s">
        <v>22</v>
      </c>
      <c r="AD74" t="s">
        <v>271</v>
      </c>
      <c r="AE74">
        <v>0.0013391593945316501</v>
      </c>
      <c r="AG74" t="s">
        <v>96</v>
      </c>
      <c r="AH74" t="s">
        <v>271</v>
      </c>
      <c r="AI74">
        <v>0.038811648023187484</v>
      </c>
      <c r="AK74">
        <v>2029</v>
      </c>
      <c r="AL74" t="s">
        <v>149</v>
      </c>
      <c r="AM74">
        <v>0.43955</v>
      </c>
      <c r="AN74" t="s">
        <v>195</v>
      </c>
    </row>
    <row r="75" spans="9:40" ht="14.25">
      <c r="I75" t="s">
        <v>151</v>
      </c>
      <c r="J75" t="s">
        <v>272</v>
      </c>
      <c r="K75">
        <v>0.0013738635836691706</v>
      </c>
      <c r="L75" t="s">
        <v>153</v>
      </c>
      <c r="N75" t="s">
        <v>174</v>
      </c>
      <c r="O75" t="s">
        <v>272</v>
      </c>
      <c r="P75">
        <v>0.0025774303946037636</v>
      </c>
      <c r="Q75" t="s">
        <v>153</v>
      </c>
      <c r="S75" t="s">
        <v>184</v>
      </c>
      <c r="T75" t="s">
        <v>272</v>
      </c>
      <c r="U75">
        <v>0.0020672804822226367</v>
      </c>
      <c r="V75" t="s">
        <v>153</v>
      </c>
      <c r="X75">
        <v>0.0010273972602739725</v>
      </c>
      <c r="Y75">
        <v>0.0019988563757054427</v>
      </c>
      <c r="Z75" t="s">
        <v>272</v>
      </c>
      <c r="AA75" t="s">
        <v>25</v>
      </c>
      <c r="AC75" t="s">
        <v>22</v>
      </c>
      <c r="AD75" t="s">
        <v>272</v>
      </c>
      <c r="AE75">
        <v>0.0013342879615618718</v>
      </c>
      <c r="AG75" t="s">
        <v>96</v>
      </c>
      <c r="AH75" t="s">
        <v>272</v>
      </c>
      <c r="AI75">
        <v>0.04127782173644734</v>
      </c>
      <c r="AK75">
        <v>2029</v>
      </c>
      <c r="AL75" t="s">
        <v>198</v>
      </c>
      <c r="AM75">
        <v>0.50229999999999997</v>
      </c>
      <c r="AN75" t="s">
        <v>195</v>
      </c>
    </row>
    <row r="76" spans="9:40" ht="14.25">
      <c r="I76" t="s">
        <v>151</v>
      </c>
      <c r="J76" t="s">
        <v>273</v>
      </c>
      <c r="K76">
        <v>0.000602386631864467</v>
      </c>
      <c r="L76" t="s">
        <v>153</v>
      </c>
      <c r="N76" t="s">
        <v>174</v>
      </c>
      <c r="O76" t="s">
        <v>273</v>
      </c>
      <c r="P76">
        <v>0.010947539764081211</v>
      </c>
      <c r="Q76" t="s">
        <v>153</v>
      </c>
      <c r="S76" t="s">
        <v>184</v>
      </c>
      <c r="T76" t="s">
        <v>273</v>
      </c>
      <c r="U76">
        <v>0.01375952444623056</v>
      </c>
      <c r="V76" t="s">
        <v>153</v>
      </c>
      <c r="X76">
        <v>0.0061643835616438354</v>
      </c>
      <c r="Y76">
        <v>0.0054297292593789622</v>
      </c>
      <c r="Z76" t="s">
        <v>273</v>
      </c>
      <c r="AA76" t="s">
        <v>25</v>
      </c>
      <c r="AC76" t="s">
        <v>22</v>
      </c>
      <c r="AD76" t="s">
        <v>273</v>
      </c>
      <c r="AE76">
        <v>0.0077952351926651184</v>
      </c>
      <c r="AG76" t="s">
        <v>96</v>
      </c>
      <c r="AH76" t="s">
        <v>273</v>
      </c>
      <c r="AI76">
        <v>0.060724123191596702</v>
      </c>
      <c r="AK76">
        <v>2029</v>
      </c>
      <c r="AL76" t="s">
        <v>216</v>
      </c>
      <c r="AM76">
        <v>0.50229999999999997</v>
      </c>
      <c r="AN76" t="s">
        <v>195</v>
      </c>
    </row>
    <row r="77" spans="9:40" ht="14.25">
      <c r="I77" t="s">
        <v>151</v>
      </c>
      <c r="J77" t="s">
        <v>274</v>
      </c>
      <c r="K77">
        <v>0.0019156121376303248</v>
      </c>
      <c r="L77" t="s">
        <v>153</v>
      </c>
      <c r="N77" t="s">
        <v>174</v>
      </c>
      <c r="O77" t="s">
        <v>274</v>
      </c>
      <c r="P77">
        <v>0.017754929061582464</v>
      </c>
      <c r="Q77" t="s">
        <v>153</v>
      </c>
      <c r="S77" t="s">
        <v>184</v>
      </c>
      <c r="T77" t="s">
        <v>274</v>
      </c>
      <c r="U77">
        <v>0.027923788074359322</v>
      </c>
      <c r="V77" t="s">
        <v>153</v>
      </c>
      <c r="X77">
        <v>0.03276255707762557</v>
      </c>
      <c r="Y77">
        <v>0.012938534337733803</v>
      </c>
      <c r="Z77" t="s">
        <v>274</v>
      </c>
      <c r="AA77" t="s">
        <v>25</v>
      </c>
      <c r="AC77" t="s">
        <v>22</v>
      </c>
      <c r="AD77" t="s">
        <v>274</v>
      </c>
      <c r="AE77">
        <v>0.038858984197801767</v>
      </c>
      <c r="AG77" t="s">
        <v>96</v>
      </c>
      <c r="AH77" t="s">
        <v>274</v>
      </c>
      <c r="AI77">
        <v>0.046187728687582918</v>
      </c>
      <c r="AK77">
        <v>2029</v>
      </c>
      <c r="AL77" t="s">
        <v>232</v>
      </c>
      <c r="AM77">
        <v>0.52594999999999992</v>
      </c>
      <c r="AN77" t="s">
        <v>195</v>
      </c>
    </row>
    <row r="78" spans="9:40" ht="14.25">
      <c r="I78" t="s">
        <v>151</v>
      </c>
      <c r="J78" t="s">
        <v>275</v>
      </c>
      <c r="K78">
        <v>0.0054212039608875556</v>
      </c>
      <c r="L78" t="s">
        <v>153</v>
      </c>
      <c r="N78" t="s">
        <v>174</v>
      </c>
      <c r="O78" t="s">
        <v>275</v>
      </c>
      <c r="P78">
        <v>0.0026203877391177384</v>
      </c>
      <c r="Q78" t="s">
        <v>153</v>
      </c>
      <c r="S78" t="s">
        <v>184</v>
      </c>
      <c r="T78" t="s">
        <v>275</v>
      </c>
      <c r="U78">
        <v>0.0043324826064352626</v>
      </c>
      <c r="V78" t="s">
        <v>153</v>
      </c>
      <c r="X78">
        <v>0.0046803652968036525</v>
      </c>
      <c r="Y78">
        <v>0.0078147660128119086</v>
      </c>
      <c r="Z78" t="s">
        <v>275</v>
      </c>
      <c r="AA78" t="s">
        <v>25</v>
      </c>
      <c r="AC78" t="s">
        <v>22</v>
      </c>
      <c r="AD78" t="s">
        <v>275</v>
      </c>
      <c r="AE78">
        <v>0.0055110585054424449</v>
      </c>
      <c r="AG78" t="s">
        <v>96</v>
      </c>
      <c r="AH78" t="s">
        <v>275</v>
      </c>
      <c r="AI78">
        <v>0.042177921050678746</v>
      </c>
      <c r="AK78">
        <v>2029</v>
      </c>
      <c r="AL78" t="s">
        <v>233</v>
      </c>
      <c r="AM78">
        <v>0.5242</v>
      </c>
      <c r="AN78" t="s">
        <v>195</v>
      </c>
    </row>
    <row r="79" spans="9:40" ht="14.25">
      <c r="I79" t="s">
        <v>151</v>
      </c>
      <c r="J79" t="s">
        <v>276</v>
      </c>
      <c r="K79">
        <v>0.08539116772966758</v>
      </c>
      <c r="L79" t="s">
        <v>153</v>
      </c>
      <c r="N79" t="s">
        <v>174</v>
      </c>
      <c r="O79" t="s">
        <v>276</v>
      </c>
      <c r="P79">
        <v>0.035693398357567123</v>
      </c>
      <c r="Q79" t="s">
        <v>153</v>
      </c>
      <c r="S79" t="s">
        <v>184</v>
      </c>
      <c r="T79" t="s">
        <v>276</v>
      </c>
      <c r="U79">
        <v>0.029205867701450828</v>
      </c>
      <c r="V79" t="s">
        <v>153</v>
      </c>
      <c r="X79">
        <v>0.03744292237442922</v>
      </c>
      <c r="Y79">
        <v>0.048628230945810445</v>
      </c>
      <c r="Z79" t="s">
        <v>276</v>
      </c>
      <c r="AA79" t="s">
        <v>25</v>
      </c>
      <c r="AC79" t="s">
        <v>22</v>
      </c>
      <c r="AD79" t="s">
        <v>276</v>
      </c>
      <c r="AE79">
        <v>0.050648841409068758</v>
      </c>
      <c r="AG79" t="s">
        <v>96</v>
      </c>
      <c r="AH79" t="s">
        <v>276</v>
      </c>
      <c r="AI79">
        <v>0.038723356723419533</v>
      </c>
      <c r="AK79">
        <v>2029</v>
      </c>
      <c r="AL79" t="s">
        <v>234</v>
      </c>
      <c r="AM79">
        <v>0.51585000000000003</v>
      </c>
      <c r="AN79" t="s">
        <v>195</v>
      </c>
    </row>
    <row r="80" spans="9:40" ht="14.25">
      <c r="I80" t="s">
        <v>151</v>
      </c>
      <c r="J80" t="s">
        <v>277</v>
      </c>
      <c r="K80">
        <v>0.0084184149843343006</v>
      </c>
      <c r="L80" t="s">
        <v>153</v>
      </c>
      <c r="N80" t="s">
        <v>174</v>
      </c>
      <c r="O80" t="s">
        <v>277</v>
      </c>
      <c r="P80">
        <v>0.0076267391578296118</v>
      </c>
      <c r="Q80" t="s">
        <v>153</v>
      </c>
      <c r="S80" t="s">
        <v>184</v>
      </c>
      <c r="T80" t="s">
        <v>277</v>
      </c>
      <c r="U80">
        <v>0.0039746261833757505</v>
      </c>
      <c r="V80" t="s">
        <v>153</v>
      </c>
      <c r="X80">
        <v>0.0046803652968036525</v>
      </c>
      <c r="Y80">
        <v>0.0091059012671025705</v>
      </c>
      <c r="Z80" t="s">
        <v>277</v>
      </c>
      <c r="AA80" t="s">
        <v>25</v>
      </c>
      <c r="AC80" t="s">
        <v>22</v>
      </c>
      <c r="AD80" t="s">
        <v>277</v>
      </c>
      <c r="AE80">
        <v>0.0064266895460111124</v>
      </c>
      <c r="AG80" t="s">
        <v>96</v>
      </c>
      <c r="AH80" t="s">
        <v>277</v>
      </c>
      <c r="AI80">
        <v>0.02036360812357163</v>
      </c>
      <c r="AK80">
        <v>2029</v>
      </c>
      <c r="AL80" t="s">
        <v>256</v>
      </c>
      <c r="AM80">
        <v>0.53290000000000004</v>
      </c>
      <c r="AN80" t="s">
        <v>195</v>
      </c>
    </row>
    <row r="81" spans="9:40" ht="14.25">
      <c r="I81" t="s">
        <v>151</v>
      </c>
      <c r="J81" t="s">
        <v>278</v>
      </c>
      <c r="K81">
        <v>0.0060318217975523312</v>
      </c>
      <c r="L81" t="s">
        <v>153</v>
      </c>
      <c r="N81" t="s">
        <v>174</v>
      </c>
      <c r="O81" t="s">
        <v>278</v>
      </c>
      <c r="P81">
        <v>0.007343482719004403</v>
      </c>
      <c r="Q81" t="s">
        <v>153</v>
      </c>
      <c r="S81" t="s">
        <v>184</v>
      </c>
      <c r="T81" t="s">
        <v>278</v>
      </c>
      <c r="U81">
        <v>0.0043430341720958323</v>
      </c>
      <c r="V81" t="s">
        <v>153</v>
      </c>
      <c r="X81">
        <v>0.0046803652968036525</v>
      </c>
      <c r="Y81">
        <v>0.0091059012671025705</v>
      </c>
      <c r="Z81" t="s">
        <v>278</v>
      </c>
      <c r="AA81" t="s">
        <v>25</v>
      </c>
      <c r="AC81" t="s">
        <v>22</v>
      </c>
      <c r="AD81" t="s">
        <v>278</v>
      </c>
      <c r="AE81">
        <v>0.0064113226544633322</v>
      </c>
      <c r="AG81" t="s">
        <v>96</v>
      </c>
      <c r="AH81" t="s">
        <v>278</v>
      </c>
      <c r="AI81">
        <v>0.019404831672852785</v>
      </c>
      <c r="AK81">
        <v>2029</v>
      </c>
      <c r="AL81" t="s">
        <v>257</v>
      </c>
      <c r="AM81">
        <v>0.53290000000000004</v>
      </c>
      <c r="AN81" t="s">
        <v>195</v>
      </c>
    </row>
    <row r="82" spans="9:40" ht="14.25">
      <c r="I82" t="s">
        <v>151</v>
      </c>
      <c r="J82" t="s">
        <v>279</v>
      </c>
      <c r="K82">
        <v>0.0026702835995956096</v>
      </c>
      <c r="L82" t="s">
        <v>153</v>
      </c>
      <c r="N82" t="s">
        <v>174</v>
      </c>
      <c r="O82" t="s">
        <v>279</v>
      </c>
      <c r="P82">
        <v>0.030854884204031364</v>
      </c>
      <c r="Q82" t="s">
        <v>153</v>
      </c>
      <c r="S82" t="s">
        <v>184</v>
      </c>
      <c r="T82" t="s">
        <v>279</v>
      </c>
      <c r="U82">
        <v>0.025749849200257299</v>
      </c>
      <c r="V82" t="s">
        <v>153</v>
      </c>
      <c r="X82">
        <v>0.028082191780821917</v>
      </c>
      <c r="Y82">
        <v>0.024735433292726389</v>
      </c>
      <c r="Z82" t="s">
        <v>279</v>
      </c>
      <c r="AA82" t="s">
        <v>25</v>
      </c>
      <c r="AC82" t="s">
        <v>22</v>
      </c>
      <c r="AD82" t="s">
        <v>279</v>
      </c>
      <c r="AE82">
        <v>0.037731194406154217</v>
      </c>
      <c r="AG82" t="s">
        <v>96</v>
      </c>
      <c r="AH82" t="s">
        <v>279</v>
      </c>
      <c r="AI82">
        <v>0.0392821132261576</v>
      </c>
      <c r="AK82">
        <v>2029</v>
      </c>
      <c r="AL82" t="s">
        <v>258</v>
      </c>
      <c r="AM82">
        <v>0.50939999999999996</v>
      </c>
      <c r="AN82" t="s">
        <v>195</v>
      </c>
    </row>
    <row r="83" spans="9:40" ht="14.25">
      <c r="I83" t="s">
        <v>151</v>
      </c>
      <c r="J83" t="s">
        <v>280</v>
      </c>
      <c r="K83">
        <v>0.0025396556230150862</v>
      </c>
      <c r="L83" t="s">
        <v>153</v>
      </c>
      <c r="N83" t="s">
        <v>174</v>
      </c>
      <c r="O83" t="s">
        <v>280</v>
      </c>
      <c r="P83">
        <v>0.030534284241382843</v>
      </c>
      <c r="Q83" t="s">
        <v>153</v>
      </c>
      <c r="S83" t="s">
        <v>184</v>
      </c>
      <c r="T83" t="s">
        <v>280</v>
      </c>
      <c r="U83">
        <v>0.019427622196234898</v>
      </c>
      <c r="V83" t="s">
        <v>153</v>
      </c>
      <c r="X83">
        <v>0.043949771689497714</v>
      </c>
      <c r="Y83">
        <v>0.017356570453057541</v>
      </c>
      <c r="Z83" t="s">
        <v>280</v>
      </c>
      <c r="AA83" t="s">
        <v>25</v>
      </c>
      <c r="AC83" t="s">
        <v>22</v>
      </c>
      <c r="AD83" t="s">
        <v>280</v>
      </c>
      <c r="AE83">
        <v>0.05173895514637137</v>
      </c>
      <c r="AG83" t="s">
        <v>96</v>
      </c>
      <c r="AH83" t="s">
        <v>280</v>
      </c>
      <c r="AI83">
        <v>0.059737778098621908</v>
      </c>
      <c r="AK83">
        <v>2029</v>
      </c>
      <c r="AL83" t="s">
        <v>259</v>
      </c>
      <c r="AM83">
        <v>0.45014999999999999</v>
      </c>
      <c r="AN83" t="s">
        <v>195</v>
      </c>
    </row>
    <row r="84" spans="9:40" ht="14.25">
      <c r="I84" t="s">
        <v>151</v>
      </c>
      <c r="J84" t="s">
        <v>281</v>
      </c>
      <c r="K84">
        <v>0.0074385297393466769</v>
      </c>
      <c r="L84" t="s">
        <v>153</v>
      </c>
      <c r="N84" t="s">
        <v>174</v>
      </c>
      <c r="O84" t="s">
        <v>281</v>
      </c>
      <c r="P84">
        <v>0.0035848573396666458</v>
      </c>
      <c r="Q84" t="s">
        <v>153</v>
      </c>
      <c r="S84" t="s">
        <v>184</v>
      </c>
      <c r="T84" t="s">
        <v>281</v>
      </c>
      <c r="U84">
        <v>0.0031011930910437692</v>
      </c>
      <c r="V84" t="s">
        <v>153</v>
      </c>
      <c r="X84">
        <v>0.0062785388127853878</v>
      </c>
      <c r="Y84">
        <v>0.010483222700113535</v>
      </c>
      <c r="Z84" t="s">
        <v>281</v>
      </c>
      <c r="AA84" t="s">
        <v>25</v>
      </c>
      <c r="AC84" t="s">
        <v>22</v>
      </c>
      <c r="AD84" t="s">
        <v>281</v>
      </c>
      <c r="AE84">
        <v>0.0072589013452349551</v>
      </c>
      <c r="AG84" t="s">
        <v>96</v>
      </c>
      <c r="AH84" t="s">
        <v>281</v>
      </c>
      <c r="AI84">
        <v>0.059443882231788647</v>
      </c>
      <c r="AK84">
        <v>2029</v>
      </c>
      <c r="AL84" t="s">
        <v>260</v>
      </c>
      <c r="AM84">
        <v>0.39380000000000004</v>
      </c>
      <c r="AN84" t="s">
        <v>195</v>
      </c>
    </row>
    <row r="85" spans="9:40" ht="14.25">
      <c r="I85" t="s">
        <v>151</v>
      </c>
      <c r="J85" t="s">
        <v>282</v>
      </c>
      <c r="K85">
        <v>0.11767987515358858</v>
      </c>
      <c r="L85" t="s">
        <v>153</v>
      </c>
      <c r="N85" t="s">
        <v>174</v>
      </c>
      <c r="O85" t="s">
        <v>282</v>
      </c>
      <c r="P85">
        <v>0.030426794122671588</v>
      </c>
      <c r="Q85" t="s">
        <v>153</v>
      </c>
      <c r="S85" t="s">
        <v>184</v>
      </c>
      <c r="T85" t="s">
        <v>282</v>
      </c>
      <c r="U85">
        <v>0.021995356982122946</v>
      </c>
      <c r="V85" t="s">
        <v>153</v>
      </c>
      <c r="X85">
        <v>0.050228310502283102</v>
      </c>
      <c r="Y85">
        <v>0.065232992732184747</v>
      </c>
      <c r="Z85" t="s">
        <v>282</v>
      </c>
      <c r="AA85" t="s">
        <v>25</v>
      </c>
      <c r="AC85" t="s">
        <v>22</v>
      </c>
      <c r="AD85" t="s">
        <v>282</v>
      </c>
      <c r="AE85">
        <v>0.067328689453948265</v>
      </c>
      <c r="AG85" t="s">
        <v>96</v>
      </c>
      <c r="AH85" t="s">
        <v>282</v>
      </c>
      <c r="AI85">
        <v>0.046845826727494932</v>
      </c>
      <c r="AK85">
        <v>2029</v>
      </c>
      <c r="AL85" t="s">
        <v>261</v>
      </c>
      <c r="AM85">
        <v>0.39279999999999998</v>
      </c>
      <c r="AN85" t="s">
        <v>195</v>
      </c>
    </row>
    <row r="86" spans="9:40" ht="14.25">
      <c r="I86" t="s">
        <v>151</v>
      </c>
      <c r="J86" t="s">
        <v>283</v>
      </c>
      <c r="K86">
        <v>0.011457160230036045</v>
      </c>
      <c r="L86" t="s">
        <v>153</v>
      </c>
      <c r="N86" t="s">
        <v>174</v>
      </c>
      <c r="O86" t="s">
        <v>283</v>
      </c>
      <c r="P86">
        <v>0.0062477998542690982</v>
      </c>
      <c r="Q86" t="s">
        <v>153</v>
      </c>
      <c r="S86" t="s">
        <v>184</v>
      </c>
      <c r="T86" t="s">
        <v>283</v>
      </c>
      <c r="U86">
        <v>0.0026858267920643756</v>
      </c>
      <c r="V86" t="s">
        <v>153</v>
      </c>
      <c r="X86">
        <v>0.0062785388127853878</v>
      </c>
      <c r="Y86">
        <v>0.012215233407088808</v>
      </c>
      <c r="Z86" t="s">
        <v>283</v>
      </c>
      <c r="AA86" t="s">
        <v>25</v>
      </c>
      <c r="AC86" t="s">
        <v>22</v>
      </c>
      <c r="AD86" t="s">
        <v>283</v>
      </c>
      <c r="AE86">
        <v>0.0085534598622348506</v>
      </c>
      <c r="AG86" t="s">
        <v>96</v>
      </c>
      <c r="AH86" t="s">
        <v>283</v>
      </c>
      <c r="AI86">
        <v>0.027278923378501796</v>
      </c>
      <c r="AK86">
        <v>2030</v>
      </c>
      <c r="AL86" t="s">
        <v>141</v>
      </c>
      <c r="AM86">
        <v>0.42020000000000002</v>
      </c>
      <c r="AN86" t="s">
        <v>195</v>
      </c>
    </row>
    <row r="87" spans="9:40" ht="14.25">
      <c r="I87" t="s">
        <v>151</v>
      </c>
      <c r="J87" t="s">
        <v>284</v>
      </c>
      <c r="K87">
        <v>0.0075600760391639757</v>
      </c>
      <c r="L87" t="s">
        <v>153</v>
      </c>
      <c r="N87" t="s">
        <v>174</v>
      </c>
      <c r="O87" t="s">
        <v>284</v>
      </c>
      <c r="P87">
        <v>0.006733036718485557</v>
      </c>
      <c r="Q87" t="s">
        <v>153</v>
      </c>
      <c r="S87" t="s">
        <v>184</v>
      </c>
      <c r="T87" t="s">
        <v>284</v>
      </c>
      <c r="U87">
        <v>0.0028329307592923729</v>
      </c>
      <c r="V87" t="s">
        <v>153</v>
      </c>
      <c r="X87">
        <v>0.0062785388127853878</v>
      </c>
      <c r="Y87">
        <v>0.012215233407088808</v>
      </c>
      <c r="Z87" t="s">
        <v>284</v>
      </c>
      <c r="AA87" t="s">
        <v>25</v>
      </c>
      <c r="AC87" t="s">
        <v>22</v>
      </c>
      <c r="AD87" t="s">
        <v>284</v>
      </c>
      <c r="AE87">
        <v>0.0085274516608225479</v>
      </c>
      <c r="AG87" t="s">
        <v>96</v>
      </c>
      <c r="AH87" t="s">
        <v>284</v>
      </c>
      <c r="AI87">
        <v>0.026894063627418863</v>
      </c>
      <c r="AK87">
        <v>2030</v>
      </c>
      <c r="AL87" t="s">
        <v>145</v>
      </c>
      <c r="AM87">
        <v>0.42715000000000003</v>
      </c>
      <c r="AN87" t="s">
        <v>195</v>
      </c>
    </row>
    <row r="88" spans="9:40" ht="14.25">
      <c r="I88" t="s">
        <v>151</v>
      </c>
      <c r="J88" t="s">
        <v>285</v>
      </c>
      <c r="K88">
        <v>0.0022636580418587981</v>
      </c>
      <c r="L88" t="s">
        <v>153</v>
      </c>
      <c r="N88" t="s">
        <v>174</v>
      </c>
      <c r="O88" t="s">
        <v>285</v>
      </c>
      <c r="P88">
        <v>0.040068557267599003</v>
      </c>
      <c r="Q88" t="s">
        <v>153</v>
      </c>
      <c r="S88" t="s">
        <v>184</v>
      </c>
      <c r="T88" t="s">
        <v>285</v>
      </c>
      <c r="U88">
        <v>0.017647353306311633</v>
      </c>
      <c r="V88" t="s">
        <v>153</v>
      </c>
      <c r="X88">
        <v>0.037671232876712327</v>
      </c>
      <c r="Y88">
        <v>0.03318167880731588</v>
      </c>
      <c r="Z88" t="s">
        <v>285</v>
      </c>
      <c r="AA88" t="s">
        <v>25</v>
      </c>
      <c r="AC88" t="s">
        <v>22</v>
      </c>
      <c r="AD88" t="s">
        <v>285</v>
      </c>
      <c r="AE88">
        <v>0.050195884043146941</v>
      </c>
      <c r="AG88" t="s">
        <v>96</v>
      </c>
      <c r="AH88" t="s">
        <v>285</v>
      </c>
      <c r="AI88">
        <v>0.046094460224688882</v>
      </c>
      <c r="AK88">
        <v>2030</v>
      </c>
      <c r="AL88" t="s">
        <v>147</v>
      </c>
      <c r="AM88">
        <v>0.43409999999999999</v>
      </c>
      <c r="AN88" t="s">
        <v>195</v>
      </c>
    </row>
    <row r="89" spans="9:40" ht="14.25">
      <c r="I89" t="s">
        <v>151</v>
      </c>
      <c r="J89" t="s">
        <v>286</v>
      </c>
      <c r="K89">
        <v>8.578344160228408E-05</v>
      </c>
      <c r="L89" t="s">
        <v>153</v>
      </c>
      <c r="N89" t="s">
        <v>174</v>
      </c>
      <c r="O89" t="s">
        <v>286</v>
      </c>
      <c r="P89">
        <v>0.04755058003495026</v>
      </c>
      <c r="Q89" t="s">
        <v>153</v>
      </c>
      <c r="S89" t="s">
        <v>184</v>
      </c>
      <c r="T89" t="s">
        <v>286</v>
      </c>
      <c r="U89">
        <v>0.051351648759226633</v>
      </c>
      <c r="V89" t="s">
        <v>153</v>
      </c>
      <c r="X89">
        <v>0.063127853881278534</v>
      </c>
      <c r="Y89">
        <v>0.024930346650755379</v>
      </c>
      <c r="Z89" t="s">
        <v>286</v>
      </c>
      <c r="AA89" t="s">
        <v>25</v>
      </c>
      <c r="AC89" t="s">
        <v>22</v>
      </c>
      <c r="AD89" t="s">
        <v>286</v>
      </c>
      <c r="AE89">
        <v>0.046263011665320083</v>
      </c>
      <c r="AG89" t="s">
        <v>96</v>
      </c>
      <c r="AH89" t="s">
        <v>286</v>
      </c>
      <c r="AI89">
        <v>0.46617734904496233</v>
      </c>
      <c r="AK89">
        <v>2030</v>
      </c>
      <c r="AL89" t="s">
        <v>149</v>
      </c>
      <c r="AM89">
        <v>0.46509999999999996</v>
      </c>
      <c r="AN89" t="s">
        <v>195</v>
      </c>
    </row>
    <row r="90" spans="9:40" ht="14.25">
      <c r="I90" t="s">
        <v>151</v>
      </c>
      <c r="J90" t="s">
        <v>287</v>
      </c>
      <c r="K90">
        <v>0.011309396895204667</v>
      </c>
      <c r="L90" t="s">
        <v>153</v>
      </c>
      <c r="N90" t="s">
        <v>174</v>
      </c>
      <c r="O90" t="s">
        <v>287</v>
      </c>
      <c r="P90">
        <v>0.0059657937211601286</v>
      </c>
      <c r="Q90" t="s">
        <v>153</v>
      </c>
      <c r="S90" t="s">
        <v>184</v>
      </c>
      <c r="T90" t="s">
        <v>287</v>
      </c>
      <c r="U90">
        <v>0.0067676954689323676</v>
      </c>
      <c r="V90" t="s">
        <v>153</v>
      </c>
      <c r="X90">
        <v>0.0090182648401826489</v>
      </c>
      <c r="Y90">
        <v>0.015057719878344894</v>
      </c>
      <c r="Z90" t="s">
        <v>287</v>
      </c>
      <c r="AA90" t="s">
        <v>25</v>
      </c>
      <c r="AC90" t="s">
        <v>22</v>
      </c>
      <c r="AD90" t="s">
        <v>287</v>
      </c>
      <c r="AE90">
        <v>0.0070248936929612343</v>
      </c>
      <c r="AG90" t="s">
        <v>96</v>
      </c>
      <c r="AH90" t="s">
        <v>287</v>
      </c>
      <c r="AI90">
        <v>0.28526442572910171</v>
      </c>
      <c r="AK90">
        <v>2030</v>
      </c>
      <c r="AL90" t="s">
        <v>198</v>
      </c>
      <c r="AM90">
        <v>0.49609999999999999</v>
      </c>
      <c r="AN90" t="s">
        <v>195</v>
      </c>
    </row>
    <row r="91" spans="9:40" ht="14.25">
      <c r="I91" t="s">
        <v>151</v>
      </c>
      <c r="J91" t="s">
        <v>288</v>
      </c>
      <c r="K91">
        <v>0.17144460709454495</v>
      </c>
      <c r="L91" t="s">
        <v>153</v>
      </c>
      <c r="N91" t="s">
        <v>174</v>
      </c>
      <c r="O91" t="s">
        <v>288</v>
      </c>
      <c r="P91">
        <v>0.03502875850323172</v>
      </c>
      <c r="Q91" t="s">
        <v>153</v>
      </c>
      <c r="S91" t="s">
        <v>184</v>
      </c>
      <c r="T91" t="s">
        <v>288</v>
      </c>
      <c r="U91">
        <v>0.051290605515116126</v>
      </c>
      <c r="V91" t="s">
        <v>153</v>
      </c>
      <c r="X91">
        <v>0.072146118721461192</v>
      </c>
      <c r="Y91">
        <v>0.093698298651683554</v>
      </c>
      <c r="Z91" t="s">
        <v>288</v>
      </c>
      <c r="AA91" t="s">
        <v>25</v>
      </c>
      <c r="AC91" t="s">
        <v>22</v>
      </c>
      <c r="AD91" t="s">
        <v>288</v>
      </c>
      <c r="AE91">
        <v>0.072263706135411054</v>
      </c>
      <c r="AG91" t="s">
        <v>96</v>
      </c>
      <c r="AH91" t="s">
        <v>288</v>
      </c>
      <c r="AI91">
        <v>0.29191579088610609</v>
      </c>
      <c r="AK91">
        <v>2030</v>
      </c>
      <c r="AL91" t="s">
        <v>216</v>
      </c>
      <c r="AM91">
        <v>0.49609999999999999</v>
      </c>
      <c r="AN91" t="s">
        <v>195</v>
      </c>
    </row>
    <row r="92" spans="9:40" ht="14.25">
      <c r="I92" t="s">
        <v>151</v>
      </c>
      <c r="J92" t="s">
        <v>289</v>
      </c>
      <c r="K92">
        <v>0.01637935809574706</v>
      </c>
      <c r="L92" t="s">
        <v>153</v>
      </c>
      <c r="N92" t="s">
        <v>174</v>
      </c>
      <c r="O92" t="s">
        <v>289</v>
      </c>
      <c r="P92">
        <v>0.0055832828605576279</v>
      </c>
      <c r="Q92" t="s">
        <v>153</v>
      </c>
      <c r="S92" t="s">
        <v>184</v>
      </c>
      <c r="T92" t="s">
        <v>289</v>
      </c>
      <c r="U92">
        <v>0.0069355962874820881</v>
      </c>
      <c r="V92" t="s">
        <v>153</v>
      </c>
      <c r="X92">
        <v>0.0090182648401826489</v>
      </c>
      <c r="Y92">
        <v>0.017545517075636653</v>
      </c>
      <c r="Z92" t="s">
        <v>289</v>
      </c>
      <c r="AA92" t="s">
        <v>25</v>
      </c>
      <c r="AC92" t="s">
        <v>22</v>
      </c>
      <c r="AD92" t="s">
        <v>289</v>
      </c>
      <c r="AE92">
        <v>0.0093206687854599148</v>
      </c>
      <c r="AG92" t="s">
        <v>96</v>
      </c>
      <c r="AH92" t="s">
        <v>289</v>
      </c>
      <c r="AI92">
        <v>0.2567298243563203</v>
      </c>
      <c r="AK92">
        <v>2030</v>
      </c>
      <c r="AL92" t="s">
        <v>232</v>
      </c>
      <c r="AM92">
        <v>0.47894999999999999</v>
      </c>
      <c r="AN92" t="s">
        <v>195</v>
      </c>
    </row>
    <row r="93" spans="9:40" ht="14.25">
      <c r="I93" t="s">
        <v>151</v>
      </c>
      <c r="J93" t="s">
        <v>290</v>
      </c>
      <c r="K93">
        <v>0.0091808669818365402</v>
      </c>
      <c r="L93" t="s">
        <v>153</v>
      </c>
      <c r="N93" t="s">
        <v>174</v>
      </c>
      <c r="O93" t="s">
        <v>290</v>
      </c>
      <c r="P93">
        <v>0.0066367852261988193</v>
      </c>
      <c r="Q93" t="s">
        <v>153</v>
      </c>
      <c r="S93" t="s">
        <v>184</v>
      </c>
      <c r="T93" t="s">
        <v>290</v>
      </c>
      <c r="U93">
        <v>0.0070639517169010461</v>
      </c>
      <c r="V93" t="s">
        <v>153</v>
      </c>
      <c r="X93">
        <v>0.0090182648401826489</v>
      </c>
      <c r="Y93">
        <v>0.017545517075636653</v>
      </c>
      <c r="Z93" t="s">
        <v>290</v>
      </c>
      <c r="AA93" t="s">
        <v>25</v>
      </c>
      <c r="AC93" t="s">
        <v>22</v>
      </c>
      <c r="AD93" t="s">
        <v>290</v>
      </c>
      <c r="AE93">
        <v>0.0094071352621606166</v>
      </c>
      <c r="AG93" t="s">
        <v>96</v>
      </c>
      <c r="AH93" t="s">
        <v>290</v>
      </c>
      <c r="AI93">
        <v>0.24872063095860764</v>
      </c>
      <c r="AK93">
        <v>2030</v>
      </c>
      <c r="AL93" t="s">
        <v>233</v>
      </c>
      <c r="AM93">
        <v>0.53339999999999999</v>
      </c>
      <c r="AN93" t="s">
        <v>195</v>
      </c>
    </row>
    <row r="94" spans="9:40" ht="14.25">
      <c r="I94" t="s">
        <v>151</v>
      </c>
      <c r="J94" t="s">
        <v>291</v>
      </c>
      <c r="K94">
        <v>0</v>
      </c>
      <c r="L94" t="s">
        <v>153</v>
      </c>
      <c r="N94" t="s">
        <v>174</v>
      </c>
      <c r="O94" t="s">
        <v>291</v>
      </c>
      <c r="P94">
        <v>0.0450574730197996</v>
      </c>
      <c r="Q94" t="s">
        <v>153</v>
      </c>
      <c r="S94" t="s">
        <v>184</v>
      </c>
      <c r="T94" t="s">
        <v>291</v>
      </c>
      <c r="U94">
        <v>0.042403011225012464</v>
      </c>
      <c r="V94" t="s">
        <v>153</v>
      </c>
      <c r="X94">
        <v>0.05410958904109589</v>
      </c>
      <c r="Y94">
        <v>0.047660956832326448</v>
      </c>
      <c r="Z94" t="s">
        <v>291</v>
      </c>
      <c r="AA94" t="s">
        <v>25</v>
      </c>
      <c r="AC94" t="s">
        <v>22</v>
      </c>
      <c r="AD94" t="s">
        <v>291</v>
      </c>
      <c r="AE94">
        <v>0.054341281223852761</v>
      </c>
      <c r="AG94" t="s">
        <v>96</v>
      </c>
      <c r="AH94" t="s">
        <v>291</v>
      </c>
      <c r="AI94">
        <v>0.30002096924967314</v>
      </c>
      <c r="AK94">
        <v>2030</v>
      </c>
      <c r="AL94" t="s">
        <v>234</v>
      </c>
      <c r="AM94">
        <v>0.58810000000000007</v>
      </c>
      <c r="AN94" t="s">
        <v>195</v>
      </c>
    </row>
    <row r="95" spans="9:40" ht="14.25">
      <c r="I95" t="s">
        <v>151</v>
      </c>
      <c r="J95" t="s">
        <v>292</v>
      </c>
      <c r="K95">
        <v>0</v>
      </c>
      <c r="L95" t="s">
        <v>153</v>
      </c>
      <c r="N95" t="s">
        <v>174</v>
      </c>
      <c r="O95" t="s">
        <v>292</v>
      </c>
      <c r="P95">
        <v>0.017420111407944704</v>
      </c>
      <c r="Q95" t="s">
        <v>153</v>
      </c>
      <c r="S95" t="s">
        <v>184</v>
      </c>
      <c r="T95" t="s">
        <v>292</v>
      </c>
      <c r="U95">
        <v>0.02157582521478861</v>
      </c>
      <c r="V95" t="s">
        <v>153</v>
      </c>
      <c r="X95">
        <v>0.013584474885844749</v>
      </c>
      <c r="Y95">
        <v>0.0053647581400359679</v>
      </c>
      <c r="Z95" t="s">
        <v>292</v>
      </c>
      <c r="AA95" t="s">
        <v>25</v>
      </c>
      <c r="AC95" t="s">
        <v>22</v>
      </c>
      <c r="AD95" t="s">
        <v>292</v>
      </c>
      <c r="AE95">
        <v>0.0082907939296213411</v>
      </c>
      <c r="AG95" t="s">
        <v>96</v>
      </c>
      <c r="AH95" t="s">
        <v>292</v>
      </c>
      <c r="AI95">
        <v>0.15946513009647445</v>
      </c>
      <c r="AK95">
        <v>2030</v>
      </c>
      <c r="AL95" t="s">
        <v>256</v>
      </c>
      <c r="AM95">
        <v>0.57120000000000004</v>
      </c>
      <c r="AN95" t="s">
        <v>195</v>
      </c>
    </row>
    <row r="96" spans="9:40" ht="14.25">
      <c r="I96" t="s">
        <v>151</v>
      </c>
      <c r="J96" t="s">
        <v>293</v>
      </c>
      <c r="K96">
        <v>0.0017780730400826904</v>
      </c>
      <c r="L96" t="s">
        <v>153</v>
      </c>
      <c r="N96" t="s">
        <v>174</v>
      </c>
      <c r="O96" t="s">
        <v>293</v>
      </c>
      <c r="P96">
        <v>0.0027143617289733021</v>
      </c>
      <c r="Q96" t="s">
        <v>153</v>
      </c>
      <c r="S96" t="s">
        <v>184</v>
      </c>
      <c r="T96" t="s">
        <v>293</v>
      </c>
      <c r="U96">
        <v>0.0033067020884608553</v>
      </c>
      <c r="V96" t="s">
        <v>153</v>
      </c>
      <c r="X96">
        <v>0.0019406392694063927</v>
      </c>
      <c r="Y96">
        <v>0.0032402688345805472</v>
      </c>
      <c r="Z96" t="s">
        <v>293</v>
      </c>
      <c r="AA96" t="s">
        <v>25</v>
      </c>
      <c r="AC96" t="s">
        <v>22</v>
      </c>
      <c r="AD96" t="s">
        <v>293</v>
      </c>
      <c r="AE96">
        <v>0.0014651003516604239</v>
      </c>
      <c r="AG96" t="s">
        <v>96</v>
      </c>
      <c r="AH96" t="s">
        <v>293</v>
      </c>
      <c r="AI96">
        <v>0.094146312548162081</v>
      </c>
      <c r="AK96">
        <v>2030</v>
      </c>
      <c r="AL96" t="s">
        <v>257</v>
      </c>
      <c r="AM96">
        <v>0.57120000000000004</v>
      </c>
      <c r="AN96" t="s">
        <v>195</v>
      </c>
    </row>
    <row r="97" spans="9:40" ht="14.25">
      <c r="I97" t="s">
        <v>151</v>
      </c>
      <c r="J97" t="s">
        <v>294</v>
      </c>
      <c r="K97">
        <v>0.035072542206881649</v>
      </c>
      <c r="L97" t="s">
        <v>153</v>
      </c>
      <c r="N97" t="s">
        <v>174</v>
      </c>
      <c r="O97" t="s">
        <v>294</v>
      </c>
      <c r="P97">
        <v>0.018824961916173905</v>
      </c>
      <c r="Q97" t="s">
        <v>153</v>
      </c>
      <c r="S97" t="s">
        <v>184</v>
      </c>
      <c r="T97" t="s">
        <v>294</v>
      </c>
      <c r="U97">
        <v>0.025901069659635061</v>
      </c>
      <c r="V97" t="s">
        <v>153</v>
      </c>
      <c r="X97">
        <v>0.015525114155251141</v>
      </c>
      <c r="Y97">
        <v>0.020162925026311649</v>
      </c>
      <c r="Z97" t="s">
        <v>294</v>
      </c>
      <c r="AA97" t="s">
        <v>25</v>
      </c>
      <c r="AC97" t="s">
        <v>22</v>
      </c>
      <c r="AD97" t="s">
        <v>294</v>
      </c>
      <c r="AE97">
        <v>0.013047804490456864</v>
      </c>
      <c r="AG97" t="s">
        <v>96</v>
      </c>
      <c r="AH97" t="s">
        <v>294</v>
      </c>
      <c r="AI97">
        <v>0.080849740769317169</v>
      </c>
      <c r="AK97">
        <v>2030</v>
      </c>
      <c r="AL97" t="s">
        <v>258</v>
      </c>
      <c r="AM97">
        <v>0.51719999999999999</v>
      </c>
      <c r="AN97" t="s">
        <v>195</v>
      </c>
    </row>
    <row r="98" spans="9:40" ht="14.25">
      <c r="I98" t="s">
        <v>151</v>
      </c>
      <c r="J98" t="s">
        <v>295</v>
      </c>
      <c r="K98">
        <v>0.0036425578464106788</v>
      </c>
      <c r="L98" t="s">
        <v>153</v>
      </c>
      <c r="N98" t="s">
        <v>174</v>
      </c>
      <c r="O98" t="s">
        <v>295</v>
      </c>
      <c r="P98">
        <v>0.0026349826509500379</v>
      </c>
      <c r="Q98" t="s">
        <v>153</v>
      </c>
      <c r="S98" t="s">
        <v>184</v>
      </c>
      <c r="T98" t="s">
        <v>295</v>
      </c>
      <c r="U98">
        <v>0.0029955218570010011</v>
      </c>
      <c r="V98" t="s">
        <v>153</v>
      </c>
      <c r="X98">
        <v>0.0019406392694063927</v>
      </c>
      <c r="Y98">
        <v>0.0037756175985547247</v>
      </c>
      <c r="Z98" t="s">
        <v>295</v>
      </c>
      <c r="AA98" t="s">
        <v>25</v>
      </c>
      <c r="AC98" t="s">
        <v>22</v>
      </c>
      <c r="AD98" t="s">
        <v>295</v>
      </c>
      <c r="AE98">
        <v>0.0016578515778742056</v>
      </c>
      <c r="AG98" t="s">
        <v>96</v>
      </c>
      <c r="AH98" t="s">
        <v>295</v>
      </c>
      <c r="AI98">
        <v>0.057920310431821553</v>
      </c>
      <c r="AK98">
        <v>2030</v>
      </c>
      <c r="AL98" t="s">
        <v>259</v>
      </c>
      <c r="AM98">
        <v>0.47094999999999998</v>
      </c>
      <c r="AN98" t="s">
        <v>195</v>
      </c>
    </row>
    <row r="99" spans="9:40" ht="14.25">
      <c r="I99" t="s">
        <v>151</v>
      </c>
      <c r="J99" t="s">
        <v>296</v>
      </c>
      <c r="K99">
        <v>0.0020528583026460396</v>
      </c>
      <c r="L99" t="s">
        <v>153</v>
      </c>
      <c r="N99" t="s">
        <v>174</v>
      </c>
      <c r="O99" t="s">
        <v>296</v>
      </c>
      <c r="P99">
        <v>0.0026312578111569269</v>
      </c>
      <c r="Q99" t="s">
        <v>153</v>
      </c>
      <c r="S99" t="s">
        <v>184</v>
      </c>
      <c r="T99" t="s">
        <v>296</v>
      </c>
      <c r="U99">
        <v>0.0028671674200768387</v>
      </c>
      <c r="V99" t="s">
        <v>153</v>
      </c>
      <c r="X99">
        <v>0.0019406392694063927</v>
      </c>
      <c r="Y99">
        <v>0.0037756175985547247</v>
      </c>
      <c r="Z99" t="s">
        <v>296</v>
      </c>
      <c r="AA99" t="s">
        <v>25</v>
      </c>
      <c r="AC99" t="s">
        <v>22</v>
      </c>
      <c r="AD99" t="s">
        <v>296</v>
      </c>
      <c r="AE99">
        <v>0.0017072309894385219</v>
      </c>
      <c r="AG99" t="s">
        <v>96</v>
      </c>
      <c r="AH99" t="s">
        <v>296</v>
      </c>
      <c r="AI99">
        <v>0.04980996365002377</v>
      </c>
      <c r="AK99">
        <v>2030</v>
      </c>
      <c r="AL99" t="s">
        <v>260</v>
      </c>
      <c r="AM99">
        <v>0.41180000000000005</v>
      </c>
      <c r="AN99" t="s">
        <v>195</v>
      </c>
    </row>
    <row r="100" spans="9:40" ht="14.25">
      <c r="I100" t="s">
        <v>151</v>
      </c>
      <c r="J100" t="s">
        <v>297</v>
      </c>
      <c r="K100">
        <v>0</v>
      </c>
      <c r="L100" t="s">
        <v>153</v>
      </c>
      <c r="N100" t="s">
        <v>174</v>
      </c>
      <c r="O100" t="s">
        <v>297</v>
      </c>
      <c r="P100">
        <v>0.015263974380171075</v>
      </c>
      <c r="Q100" t="s">
        <v>153</v>
      </c>
      <c r="S100" t="s">
        <v>184</v>
      </c>
      <c r="T100" t="s">
        <v>297</v>
      </c>
      <c r="U100">
        <v>0.016089412219345622</v>
      </c>
      <c r="V100" t="s">
        <v>153</v>
      </c>
      <c r="X100">
        <v>0.011643835616438357</v>
      </c>
      <c r="Y100">
        <v>0.010256155267715819</v>
      </c>
      <c r="Z100" t="s">
        <v>297</v>
      </c>
      <c r="AA100" t="s">
        <v>25</v>
      </c>
      <c r="AC100" t="s">
        <v>22</v>
      </c>
      <c r="AD100" t="s">
        <v>297</v>
      </c>
      <c r="AE100">
        <v>0.0096486977350246778</v>
      </c>
      <c r="AG100" t="s">
        <v>96</v>
      </c>
      <c r="AH100" t="s">
        <v>297</v>
      </c>
      <c r="AI100">
        <v>0.11563931870151034</v>
      </c>
      <c r="AK100">
        <v>2030</v>
      </c>
      <c r="AL100" t="s">
        <v>261</v>
      </c>
      <c r="AM100">
        <v>0.41639999999999999</v>
      </c>
      <c r="AN100" t="s">
        <v>195</v>
      </c>
    </row>
    <row r="101" spans="9:40" ht="14.25">
      <c r="I101" t="s">
        <v>165</v>
      </c>
      <c r="J101" t="s">
        <v>152</v>
      </c>
      <c r="K101">
        <v>0</v>
      </c>
      <c r="L101" t="s">
        <v>153</v>
      </c>
      <c r="N101" t="s">
        <v>175</v>
      </c>
      <c r="O101" t="s">
        <v>152</v>
      </c>
      <c r="P101">
        <v>0.0031934356333305986</v>
      </c>
      <c r="Q101" t="s">
        <v>153</v>
      </c>
      <c r="S101" t="s">
        <v>185</v>
      </c>
      <c r="T101" t="s">
        <v>152</v>
      </c>
      <c r="U101">
        <v>0.0054491011881560008</v>
      </c>
      <c r="V101" t="s">
        <v>153</v>
      </c>
      <c r="AC101" t="s">
        <v>19</v>
      </c>
      <c r="AD101" t="s">
        <v>152</v>
      </c>
      <c r="AE101">
        <v>0.0047142860976000216</v>
      </c>
      <c r="AK101">
        <v>2031</v>
      </c>
      <c r="AL101" t="s">
        <v>141</v>
      </c>
      <c r="AM101">
        <v>0.4083</v>
      </c>
      <c r="AN101" t="s">
        <v>195</v>
      </c>
    </row>
    <row r="102" spans="9:40" ht="14.25">
      <c r="I102" t="s">
        <v>165</v>
      </c>
      <c r="J102" t="s">
        <v>154</v>
      </c>
      <c r="K102">
        <v>0.00071764673192090209</v>
      </c>
      <c r="L102" t="s">
        <v>153</v>
      </c>
      <c r="N102" t="s">
        <v>175</v>
      </c>
      <c r="O102" t="s">
        <v>154</v>
      </c>
      <c r="P102">
        <v>0.00042631725119052742</v>
      </c>
      <c r="Q102" t="s">
        <v>153</v>
      </c>
      <c r="S102" t="s">
        <v>185</v>
      </c>
      <c r="T102" t="s">
        <v>154</v>
      </c>
      <c r="U102">
        <v>0.00059713332078231143</v>
      </c>
      <c r="V102" t="s">
        <v>153</v>
      </c>
      <c r="AC102" t="s">
        <v>19</v>
      </c>
      <c r="AD102" t="s">
        <v>154</v>
      </c>
      <c r="AE102">
        <v>0.00068159373523424553</v>
      </c>
      <c r="AK102">
        <v>2031</v>
      </c>
      <c r="AL102" t="s">
        <v>145</v>
      </c>
      <c r="AM102">
        <v>0.41054999999999997</v>
      </c>
      <c r="AN102" t="s">
        <v>195</v>
      </c>
    </row>
    <row r="103" spans="9:40" ht="14.25">
      <c r="I103" t="s">
        <v>165</v>
      </c>
      <c r="J103" t="s">
        <v>155</v>
      </c>
      <c r="K103">
        <v>0.012505253190177722</v>
      </c>
      <c r="L103" t="s">
        <v>153</v>
      </c>
      <c r="N103" t="s">
        <v>175</v>
      </c>
      <c r="O103" t="s">
        <v>155</v>
      </c>
      <c r="P103">
        <v>0.0033386248420097333</v>
      </c>
      <c r="Q103" t="s">
        <v>153</v>
      </c>
      <c r="S103" t="s">
        <v>185</v>
      </c>
      <c r="T103" t="s">
        <v>155</v>
      </c>
      <c r="U103">
        <v>0.0042221150892224127</v>
      </c>
      <c r="V103" t="s">
        <v>153</v>
      </c>
      <c r="AC103" t="s">
        <v>19</v>
      </c>
      <c r="AD103" t="s">
        <v>155</v>
      </c>
      <c r="AE103">
        <v>0.0054985857690303137</v>
      </c>
      <c r="AK103">
        <v>2031</v>
      </c>
      <c r="AL103" t="s">
        <v>147</v>
      </c>
      <c r="AM103">
        <v>0.4128</v>
      </c>
      <c r="AN103" t="s">
        <v>195</v>
      </c>
    </row>
    <row r="104" spans="9:40" ht="14.25">
      <c r="I104" t="s">
        <v>165</v>
      </c>
      <c r="J104" t="s">
        <v>200</v>
      </c>
      <c r="K104">
        <v>0.0013054883626511474</v>
      </c>
      <c r="L104" t="s">
        <v>153</v>
      </c>
      <c r="N104" t="s">
        <v>175</v>
      </c>
      <c r="O104" t="s">
        <v>200</v>
      </c>
      <c r="P104">
        <v>0.00048896665922057013</v>
      </c>
      <c r="Q104" t="s">
        <v>153</v>
      </c>
      <c r="S104" t="s">
        <v>185</v>
      </c>
      <c r="T104" t="s">
        <v>200</v>
      </c>
      <c r="U104">
        <v>0.00052606468121687558</v>
      </c>
      <c r="V104" t="s">
        <v>153</v>
      </c>
      <c r="AC104" t="s">
        <v>19</v>
      </c>
      <c r="AD104" t="s">
        <v>200</v>
      </c>
      <c r="AE104">
        <v>0.00068920859504358685</v>
      </c>
      <c r="AK104">
        <v>2031</v>
      </c>
      <c r="AL104" t="s">
        <v>149</v>
      </c>
      <c r="AM104">
        <v>0.43759999999999999</v>
      </c>
      <c r="AN104" t="s">
        <v>195</v>
      </c>
    </row>
    <row r="105" spans="9:40" ht="14.25">
      <c r="I105" t="s">
        <v>165</v>
      </c>
      <c r="J105" t="s">
        <v>201</v>
      </c>
      <c r="K105">
        <v>0.00072023261326945726</v>
      </c>
      <c r="L105" t="s">
        <v>153</v>
      </c>
      <c r="N105" t="s">
        <v>175</v>
      </c>
      <c r="O105" t="s">
        <v>201</v>
      </c>
      <c r="P105">
        <v>0.00042595756633041803</v>
      </c>
      <c r="Q105" t="s">
        <v>153</v>
      </c>
      <c r="S105" t="s">
        <v>185</v>
      </c>
      <c r="T105" t="s">
        <v>201</v>
      </c>
      <c r="U105">
        <v>0.00051734265622384388</v>
      </c>
      <c r="V105" t="s">
        <v>153</v>
      </c>
      <c r="AC105" t="s">
        <v>19</v>
      </c>
      <c r="AD105" t="s">
        <v>201</v>
      </c>
      <c r="AE105">
        <v>0.00069039888600774346</v>
      </c>
      <c r="AK105">
        <v>2031</v>
      </c>
      <c r="AL105" t="s">
        <v>198</v>
      </c>
      <c r="AM105">
        <v>0.46239999999999998</v>
      </c>
      <c r="AN105" t="s">
        <v>195</v>
      </c>
    </row>
    <row r="106" spans="9:40" ht="14.25">
      <c r="I106" t="s">
        <v>165</v>
      </c>
      <c r="J106" t="s">
        <v>218</v>
      </c>
      <c r="K106">
        <v>0</v>
      </c>
      <c r="L106" t="s">
        <v>153</v>
      </c>
      <c r="N106" t="s">
        <v>175</v>
      </c>
      <c r="O106" t="s">
        <v>218</v>
      </c>
      <c r="P106">
        <v>0.0026342547573437072</v>
      </c>
      <c r="Q106" t="s">
        <v>153</v>
      </c>
      <c r="S106" t="s">
        <v>185</v>
      </c>
      <c r="T106" t="s">
        <v>218</v>
      </c>
      <c r="U106">
        <v>0.0031416947543552796</v>
      </c>
      <c r="V106" t="s">
        <v>153</v>
      </c>
      <c r="AC106" t="s">
        <v>19</v>
      </c>
      <c r="AD106" t="s">
        <v>218</v>
      </c>
      <c r="AE106">
        <v>0.0041253524946352864</v>
      </c>
      <c r="AK106">
        <v>2031</v>
      </c>
      <c r="AL106" t="s">
        <v>216</v>
      </c>
      <c r="AM106">
        <v>0.46239999999999998</v>
      </c>
      <c r="AN106" t="s">
        <v>195</v>
      </c>
    </row>
    <row r="107" spans="9:40" ht="14.25">
      <c r="I107" t="s">
        <v>165</v>
      </c>
      <c r="J107" t="s">
        <v>156</v>
      </c>
      <c r="K107">
        <v>0</v>
      </c>
      <c r="L107" t="s">
        <v>153</v>
      </c>
      <c r="N107" t="s">
        <v>175</v>
      </c>
      <c r="O107" t="s">
        <v>156</v>
      </c>
      <c r="P107">
        <v>0.036150239011509842</v>
      </c>
      <c r="Q107" t="s">
        <v>153</v>
      </c>
      <c r="S107" t="s">
        <v>185</v>
      </c>
      <c r="T107" t="s">
        <v>156</v>
      </c>
      <c r="U107">
        <v>0.033260825065773131</v>
      </c>
      <c r="V107" t="s">
        <v>153</v>
      </c>
      <c r="AC107" t="s">
        <v>19</v>
      </c>
      <c r="AD107" t="s">
        <v>156</v>
      </c>
      <c r="AE107">
        <v>0.02278981271076843</v>
      </c>
      <c r="AK107">
        <v>2031</v>
      </c>
      <c r="AL107" t="s">
        <v>232</v>
      </c>
      <c r="AM107">
        <v>0.48094999999999999</v>
      </c>
      <c r="AN107" t="s">
        <v>195</v>
      </c>
    </row>
    <row r="108" spans="9:40" ht="14.25">
      <c r="I108" t="s">
        <v>165</v>
      </c>
      <c r="J108" t="s">
        <v>157</v>
      </c>
      <c r="K108">
        <v>0.0032617715316588616</v>
      </c>
      <c r="L108" t="s">
        <v>153</v>
      </c>
      <c r="N108" t="s">
        <v>175</v>
      </c>
      <c r="O108" t="s">
        <v>157</v>
      </c>
      <c r="P108">
        <v>0.0056964147127611621</v>
      </c>
      <c r="Q108" t="s">
        <v>153</v>
      </c>
      <c r="S108" t="s">
        <v>185</v>
      </c>
      <c r="T108" t="s">
        <v>157</v>
      </c>
      <c r="U108">
        <v>0.0054634448317739063</v>
      </c>
      <c r="V108" t="s">
        <v>153</v>
      </c>
      <c r="AC108" t="s">
        <v>19</v>
      </c>
      <c r="AD108" t="s">
        <v>157</v>
      </c>
      <c r="AE108">
        <v>0.0032944958165521412</v>
      </c>
      <c r="AK108">
        <v>2031</v>
      </c>
      <c r="AL108" t="s">
        <v>233</v>
      </c>
      <c r="AM108">
        <v>0.52300000000000002</v>
      </c>
      <c r="AN108" t="s">
        <v>195</v>
      </c>
    </row>
    <row r="109" spans="9:40" ht="14.25">
      <c r="I109" t="s">
        <v>165</v>
      </c>
      <c r="J109" t="s">
        <v>158</v>
      </c>
      <c r="K109">
        <v>0.059212594081102285</v>
      </c>
      <c r="L109" t="s">
        <v>153</v>
      </c>
      <c r="N109" t="s">
        <v>175</v>
      </c>
      <c r="O109" t="s">
        <v>158</v>
      </c>
      <c r="P109">
        <v>0.036869377705332489</v>
      </c>
      <c r="Q109" t="s">
        <v>153</v>
      </c>
      <c r="S109" t="s">
        <v>185</v>
      </c>
      <c r="T109" t="s">
        <v>158</v>
      </c>
      <c r="U109">
        <v>0.037183072023683969</v>
      </c>
      <c r="V109" t="s">
        <v>153</v>
      </c>
      <c r="AC109" t="s">
        <v>19</v>
      </c>
      <c r="AD109" t="s">
        <v>158</v>
      </c>
      <c r="AE109">
        <v>0.026592427178506871</v>
      </c>
      <c r="AK109">
        <v>2031</v>
      </c>
      <c r="AL109" t="s">
        <v>234</v>
      </c>
      <c r="AM109">
        <v>0.55895000000000006</v>
      </c>
      <c r="AN109" t="s">
        <v>195</v>
      </c>
    </row>
    <row r="110" spans="9:40" ht="14.25">
      <c r="I110" t="s">
        <v>165</v>
      </c>
      <c r="J110" t="s">
        <v>202</v>
      </c>
      <c r="K110">
        <v>0.0062256385278781955</v>
      </c>
      <c r="L110" t="s">
        <v>153</v>
      </c>
      <c r="N110" t="s">
        <v>175</v>
      </c>
      <c r="O110" t="s">
        <v>202</v>
      </c>
      <c r="P110">
        <v>0.0039534582855934274</v>
      </c>
      <c r="Q110" t="s">
        <v>153</v>
      </c>
      <c r="S110" t="s">
        <v>185</v>
      </c>
      <c r="T110" t="s">
        <v>202</v>
      </c>
      <c r="U110">
        <v>0.0035645049332744729</v>
      </c>
      <c r="V110" t="s">
        <v>153</v>
      </c>
      <c r="AC110" t="s">
        <v>19</v>
      </c>
      <c r="AD110" t="s">
        <v>202</v>
      </c>
      <c r="AE110">
        <v>0.0033307929114334881</v>
      </c>
      <c r="AK110">
        <v>2031</v>
      </c>
      <c r="AL110" t="s">
        <v>256</v>
      </c>
      <c r="AM110">
        <v>0.57140000000000002</v>
      </c>
      <c r="AN110" t="s">
        <v>195</v>
      </c>
    </row>
    <row r="111" spans="9:40" ht="14.25">
      <c r="I111" t="s">
        <v>165</v>
      </c>
      <c r="J111" t="s">
        <v>203</v>
      </c>
      <c r="K111">
        <v>0.0036396543316790822</v>
      </c>
      <c r="L111" t="s">
        <v>153</v>
      </c>
      <c r="N111" t="s">
        <v>175</v>
      </c>
      <c r="O111" t="s">
        <v>203</v>
      </c>
      <c r="P111">
        <v>0.0039027472926017673</v>
      </c>
      <c r="Q111" t="s">
        <v>153</v>
      </c>
      <c r="S111" t="s">
        <v>185</v>
      </c>
      <c r="T111" t="s">
        <v>203</v>
      </c>
      <c r="U111">
        <v>0.0034635548337689083</v>
      </c>
      <c r="V111" t="s">
        <v>153</v>
      </c>
      <c r="AC111" t="s">
        <v>19</v>
      </c>
      <c r="AD111" t="s">
        <v>203</v>
      </c>
      <c r="AE111">
        <v>0.0033380896177996025</v>
      </c>
      <c r="AK111">
        <v>2031</v>
      </c>
      <c r="AL111" t="s">
        <v>257</v>
      </c>
      <c r="AM111">
        <v>0.57140000000000002</v>
      </c>
      <c r="AN111" t="s">
        <v>195</v>
      </c>
    </row>
    <row r="112" spans="9:40" ht="14.25">
      <c r="I112" t="s">
        <v>165</v>
      </c>
      <c r="J112" t="s">
        <v>219</v>
      </c>
      <c r="K112">
        <v>0</v>
      </c>
      <c r="L112" t="s">
        <v>153</v>
      </c>
      <c r="N112" t="s">
        <v>175</v>
      </c>
      <c r="O112" t="s">
        <v>219</v>
      </c>
      <c r="P112">
        <v>0.025899636085785271</v>
      </c>
      <c r="Q112" t="s">
        <v>153</v>
      </c>
      <c r="S112" t="s">
        <v>185</v>
      </c>
      <c r="T112" t="s">
        <v>219</v>
      </c>
      <c r="U112">
        <v>0.022781404585808542</v>
      </c>
      <c r="V112" t="s">
        <v>153</v>
      </c>
      <c r="AC112" t="s">
        <v>19</v>
      </c>
      <c r="AD112" t="s">
        <v>219</v>
      </c>
      <c r="AE112">
        <v>0.019952556659832602</v>
      </c>
      <c r="AK112">
        <v>2031</v>
      </c>
      <c r="AL112" t="s">
        <v>258</v>
      </c>
      <c r="AM112">
        <v>0.49206666666666665</v>
      </c>
      <c r="AN112" t="s">
        <v>195</v>
      </c>
    </row>
    <row r="113" spans="9:40" ht="14.25">
      <c r="I113" t="s">
        <v>165</v>
      </c>
      <c r="J113" t="s">
        <v>159</v>
      </c>
      <c r="K113">
        <v>0</v>
      </c>
      <c r="L113" t="s">
        <v>153</v>
      </c>
      <c r="N113" t="s">
        <v>175</v>
      </c>
      <c r="O113" t="s">
        <v>159</v>
      </c>
      <c r="P113">
        <v>0.010495516177355382</v>
      </c>
      <c r="Q113" t="s">
        <v>153</v>
      </c>
      <c r="S113" t="s">
        <v>185</v>
      </c>
      <c r="T113" t="s">
        <v>159</v>
      </c>
      <c r="U113">
        <v>0.01403540562365602</v>
      </c>
      <c r="V113" t="s">
        <v>153</v>
      </c>
      <c r="AC113" t="s">
        <v>19</v>
      </c>
      <c r="AD113" t="s">
        <v>159</v>
      </c>
      <c r="AE113">
        <v>0.014150063432029311</v>
      </c>
      <c r="AK113">
        <v>2031</v>
      </c>
      <c r="AL113" t="s">
        <v>259</v>
      </c>
      <c r="AM113">
        <v>0.4405</v>
      </c>
      <c r="AN113" t="s">
        <v>195</v>
      </c>
    </row>
    <row r="114" spans="9:40" ht="14.25">
      <c r="I114" t="s">
        <v>165</v>
      </c>
      <c r="J114" t="s">
        <v>160</v>
      </c>
      <c r="K114">
        <v>0.0020041448397320194</v>
      </c>
      <c r="L114" t="s">
        <v>153</v>
      </c>
      <c r="N114" t="s">
        <v>175</v>
      </c>
      <c r="O114" t="s">
        <v>160</v>
      </c>
      <c r="P114">
        <v>0.0015870005675866156</v>
      </c>
      <c r="Q114" t="s">
        <v>153</v>
      </c>
      <c r="S114" t="s">
        <v>185</v>
      </c>
      <c r="T114" t="s">
        <v>160</v>
      </c>
      <c r="U114">
        <v>0.002110565101744964</v>
      </c>
      <c r="V114" t="s">
        <v>153</v>
      </c>
      <c r="AC114" t="s">
        <v>19</v>
      </c>
      <c r="AD114" t="s">
        <v>160</v>
      </c>
      <c r="AE114">
        <v>0.0020479410809404199</v>
      </c>
      <c r="AK114">
        <v>2031</v>
      </c>
      <c r="AL114" t="s">
        <v>260</v>
      </c>
      <c r="AM114">
        <v>0.42662500000000003</v>
      </c>
      <c r="AN114" t="s">
        <v>195</v>
      </c>
    </row>
    <row r="115" spans="9:40" ht="14.25">
      <c r="I115" t="s">
        <v>165</v>
      </c>
      <c r="J115" t="s">
        <v>161</v>
      </c>
      <c r="K115">
        <v>0.041543250237900002</v>
      </c>
      <c r="L115" t="s">
        <v>153</v>
      </c>
      <c r="N115" t="s">
        <v>175</v>
      </c>
      <c r="O115" t="s">
        <v>161</v>
      </c>
      <c r="P115">
        <v>0.010167643129626175</v>
      </c>
      <c r="Q115" t="s">
        <v>153</v>
      </c>
      <c r="S115" t="s">
        <v>185</v>
      </c>
      <c r="T115" t="s">
        <v>161</v>
      </c>
      <c r="U115">
        <v>0.014201326435001356</v>
      </c>
      <c r="V115" t="s">
        <v>153</v>
      </c>
      <c r="AC115" t="s">
        <v>19</v>
      </c>
      <c r="AD115" t="s">
        <v>161</v>
      </c>
      <c r="AE115">
        <v>0.016526905925256255</v>
      </c>
      <c r="AK115">
        <v>2031</v>
      </c>
      <c r="AL115" t="s">
        <v>261</v>
      </c>
      <c r="AM115">
        <v>0.41980000000000001</v>
      </c>
      <c r="AN115" t="s">
        <v>195</v>
      </c>
    </row>
    <row r="116" spans="9:40" ht="14.25">
      <c r="I116" t="s">
        <v>165</v>
      </c>
      <c r="J116" t="s">
        <v>204</v>
      </c>
      <c r="K116">
        <v>0.0047896735323093124</v>
      </c>
      <c r="L116" t="s">
        <v>153</v>
      </c>
      <c r="N116" t="s">
        <v>175</v>
      </c>
      <c r="O116" t="s">
        <v>204</v>
      </c>
      <c r="P116">
        <v>0.0010934518245824664</v>
      </c>
      <c r="Q116" t="s">
        <v>153</v>
      </c>
      <c r="S116" t="s">
        <v>185</v>
      </c>
      <c r="T116" t="s">
        <v>204</v>
      </c>
      <c r="U116">
        <v>0.001664629193236481</v>
      </c>
      <c r="V116" t="s">
        <v>153</v>
      </c>
      <c r="AC116" t="s">
        <v>19</v>
      </c>
      <c r="AD116" t="s">
        <v>204</v>
      </c>
      <c r="AE116">
        <v>0.0020705498297339674</v>
      </c>
      <c r="AK116">
        <v>2032</v>
      </c>
      <c r="AL116" t="s">
        <v>141</v>
      </c>
      <c r="AM116">
        <v>0.39329999999999998</v>
      </c>
      <c r="AN116" t="s">
        <v>195</v>
      </c>
    </row>
    <row r="117" spans="9:40" ht="14.25">
      <c r="I117" t="s">
        <v>165</v>
      </c>
      <c r="J117" t="s">
        <v>205</v>
      </c>
      <c r="K117">
        <v>0.0032148893415712434</v>
      </c>
      <c r="L117" t="s">
        <v>153</v>
      </c>
      <c r="N117" t="s">
        <v>175</v>
      </c>
      <c r="O117" t="s">
        <v>205</v>
      </c>
      <c r="P117">
        <v>0.0012174580123853042</v>
      </c>
      <c r="Q117" t="s">
        <v>153</v>
      </c>
      <c r="S117" t="s">
        <v>185</v>
      </c>
      <c r="T117" t="s">
        <v>205</v>
      </c>
      <c r="U117">
        <v>0.0016933868048504327</v>
      </c>
      <c r="V117" t="s">
        <v>153</v>
      </c>
      <c r="AC117" t="s">
        <v>19</v>
      </c>
      <c r="AD117" t="s">
        <v>205</v>
      </c>
      <c r="AE117">
        <v>0.0020750257692708669</v>
      </c>
      <c r="AK117">
        <v>2032</v>
      </c>
      <c r="AL117" t="s">
        <v>145</v>
      </c>
      <c r="AM117">
        <v>0.38580000000000003</v>
      </c>
      <c r="AN117" t="s">
        <v>195</v>
      </c>
    </row>
    <row r="118" spans="9:40" ht="14.25">
      <c r="I118" t="s">
        <v>165</v>
      </c>
      <c r="J118" t="s">
        <v>220</v>
      </c>
      <c r="K118">
        <v>0</v>
      </c>
      <c r="L118" t="s">
        <v>153</v>
      </c>
      <c r="N118" t="s">
        <v>175</v>
      </c>
      <c r="O118" t="s">
        <v>220</v>
      </c>
      <c r="P118">
        <v>0.0088024581694820473</v>
      </c>
      <c r="Q118" t="s">
        <v>153</v>
      </c>
      <c r="S118" t="s">
        <v>185</v>
      </c>
      <c r="T118" t="s">
        <v>220</v>
      </c>
      <c r="U118">
        <v>0.010201305481242278</v>
      </c>
      <c r="V118" t="s">
        <v>153</v>
      </c>
      <c r="AC118" t="s">
        <v>19</v>
      </c>
      <c r="AD118" t="s">
        <v>220</v>
      </c>
      <c r="AE118">
        <v>0.012396880136320596</v>
      </c>
      <c r="AK118">
        <v>2032</v>
      </c>
      <c r="AL118" t="s">
        <v>147</v>
      </c>
      <c r="AM118">
        <v>0.37830000000000003</v>
      </c>
      <c r="AN118" t="s">
        <v>195</v>
      </c>
    </row>
    <row r="119" spans="9:40" ht="14.25">
      <c r="I119" t="s">
        <v>165</v>
      </c>
      <c r="J119" t="s">
        <v>162</v>
      </c>
      <c r="K119">
        <v>0</v>
      </c>
      <c r="L119" t="s">
        <v>153</v>
      </c>
      <c r="N119" t="s">
        <v>175</v>
      </c>
      <c r="O119" t="s">
        <v>162</v>
      </c>
      <c r="P119">
        <v>0.010446537462354905</v>
      </c>
      <c r="Q119" t="s">
        <v>153</v>
      </c>
      <c r="S119" t="s">
        <v>185</v>
      </c>
      <c r="T119" t="s">
        <v>162</v>
      </c>
      <c r="U119">
        <v>0.01004605248841536</v>
      </c>
      <c r="V119" t="s">
        <v>153</v>
      </c>
      <c r="AC119" t="s">
        <v>19</v>
      </c>
      <c r="AD119" t="s">
        <v>162</v>
      </c>
      <c r="AE119">
        <v>0.0086423594282466661</v>
      </c>
      <c r="AK119">
        <v>2032</v>
      </c>
      <c r="AL119" t="s">
        <v>149</v>
      </c>
      <c r="AM119">
        <v>0.40265000000000001</v>
      </c>
      <c r="AN119" t="s">
        <v>195</v>
      </c>
    </row>
    <row r="120" spans="9:40" ht="14.25">
      <c r="I120" t="s">
        <v>165</v>
      </c>
      <c r="J120" t="s">
        <v>163</v>
      </c>
      <c r="K120">
        <v>0.0013436887601809616</v>
      </c>
      <c r="L120" t="s">
        <v>153</v>
      </c>
      <c r="N120" t="s">
        <v>175</v>
      </c>
      <c r="O120" t="s">
        <v>163</v>
      </c>
      <c r="P120">
        <v>0.0014493227451512218</v>
      </c>
      <c r="Q120" t="s">
        <v>153</v>
      </c>
      <c r="S120" t="s">
        <v>185</v>
      </c>
      <c r="T120" t="s">
        <v>163</v>
      </c>
      <c r="U120">
        <v>0.0013911617057557248</v>
      </c>
      <c r="V120" t="s">
        <v>153</v>
      </c>
      <c r="AC120" t="s">
        <v>19</v>
      </c>
      <c r="AD120" t="s">
        <v>163</v>
      </c>
      <c r="AE120">
        <v>0.0012467334291345132</v>
      </c>
      <c r="AK120">
        <v>2032</v>
      </c>
      <c r="AL120" t="s">
        <v>198</v>
      </c>
      <c r="AM120">
        <v>0.42699999999999999</v>
      </c>
      <c r="AN120" t="s">
        <v>195</v>
      </c>
    </row>
    <row r="121" spans="9:40" ht="14.25">
      <c r="I121" t="s">
        <v>165</v>
      </c>
      <c r="J121" t="s">
        <v>164</v>
      </c>
      <c r="K121">
        <v>0.02631406612147906</v>
      </c>
      <c r="L121" t="s">
        <v>153</v>
      </c>
      <c r="N121" t="s">
        <v>175</v>
      </c>
      <c r="O121" t="s">
        <v>164</v>
      </c>
      <c r="P121">
        <v>0.0068129255020724991</v>
      </c>
      <c r="Q121" t="s">
        <v>153</v>
      </c>
      <c r="S121" t="s">
        <v>185</v>
      </c>
      <c r="T121" t="s">
        <v>164</v>
      </c>
      <c r="U121">
        <v>0.0076691136646915535</v>
      </c>
      <c r="V121" t="s">
        <v>153</v>
      </c>
      <c r="AC121" t="s">
        <v>19</v>
      </c>
      <c r="AD121" t="s">
        <v>164</v>
      </c>
      <c r="AE121">
        <v>0.010076974814027759</v>
      </c>
      <c r="AK121">
        <v>2032</v>
      </c>
      <c r="AL121" t="s">
        <v>216</v>
      </c>
      <c r="AM121">
        <v>0.42699999999999999</v>
      </c>
      <c r="AN121" t="s">
        <v>195</v>
      </c>
    </row>
    <row r="122" spans="9:40" ht="14.25">
      <c r="I122" t="s">
        <v>165</v>
      </c>
      <c r="J122" t="s">
        <v>206</v>
      </c>
      <c r="K122">
        <v>0.0028515238757248237</v>
      </c>
      <c r="L122" t="s">
        <v>153</v>
      </c>
      <c r="N122" t="s">
        <v>175</v>
      </c>
      <c r="O122" t="s">
        <v>206</v>
      </c>
      <c r="P122">
        <v>0.00066277211621285797</v>
      </c>
      <c r="Q122" t="s">
        <v>153</v>
      </c>
      <c r="S122" t="s">
        <v>185</v>
      </c>
      <c r="T122" t="s">
        <v>206</v>
      </c>
      <c r="U122">
        <v>0.00071812657086513351</v>
      </c>
      <c r="V122" t="s">
        <v>153</v>
      </c>
      <c r="AC122" t="s">
        <v>19</v>
      </c>
      <c r="AD122" t="s">
        <v>206</v>
      </c>
      <c r="AE122">
        <v>0.0012627907351070377</v>
      </c>
      <c r="AK122">
        <v>2032</v>
      </c>
      <c r="AL122" t="s">
        <v>232</v>
      </c>
      <c r="AM122">
        <v>0.47919999999999996</v>
      </c>
      <c r="AN122" t="s">
        <v>195</v>
      </c>
    </row>
    <row r="123" spans="9:40" ht="14.25">
      <c r="I123" t="s">
        <v>165</v>
      </c>
      <c r="J123" t="s">
        <v>207</v>
      </c>
      <c r="K123">
        <v>0.0019211119062198015</v>
      </c>
      <c r="L123" t="s">
        <v>153</v>
      </c>
      <c r="N123" t="s">
        <v>175</v>
      </c>
      <c r="O123" t="s">
        <v>207</v>
      </c>
      <c r="P123">
        <v>0.00080549184904546173</v>
      </c>
      <c r="Q123" t="s">
        <v>153</v>
      </c>
      <c r="S123" t="s">
        <v>185</v>
      </c>
      <c r="T123" t="s">
        <v>207</v>
      </c>
      <c r="U123">
        <v>0.00071931701242115473</v>
      </c>
      <c r="V123" t="s">
        <v>153</v>
      </c>
      <c r="AC123" t="s">
        <v>19</v>
      </c>
      <c r="AD123" t="s">
        <v>207</v>
      </c>
      <c r="AE123">
        <v>0.0012648032856550585</v>
      </c>
      <c r="AK123">
        <v>2032</v>
      </c>
      <c r="AL123" t="s">
        <v>233</v>
      </c>
      <c r="AM123">
        <v>0.52655000000000007</v>
      </c>
      <c r="AN123" t="s">
        <v>195</v>
      </c>
    </row>
    <row r="124" spans="9:40" ht="14.25">
      <c r="I124" t="s">
        <v>165</v>
      </c>
      <c r="J124" t="s">
        <v>221</v>
      </c>
      <c r="K124">
        <v>7.4295217525200373E-05</v>
      </c>
      <c r="L124" t="s">
        <v>153</v>
      </c>
      <c r="N124" t="s">
        <v>175</v>
      </c>
      <c r="O124" t="s">
        <v>221</v>
      </c>
      <c r="P124">
        <v>0.0077574269178051318</v>
      </c>
      <c r="Q124" t="s">
        <v>153</v>
      </c>
      <c r="S124" t="s">
        <v>185</v>
      </c>
      <c r="T124" t="s">
        <v>221</v>
      </c>
      <c r="U124">
        <v>0.0048320158350216094</v>
      </c>
      <c r="V124" t="s">
        <v>153</v>
      </c>
      <c r="AC124" t="s">
        <v>19</v>
      </c>
      <c r="AD124" t="s">
        <v>221</v>
      </c>
      <c r="AE124">
        <v>0.0075682525707937943</v>
      </c>
      <c r="AK124">
        <v>2032</v>
      </c>
      <c r="AL124" t="s">
        <v>234</v>
      </c>
      <c r="AM124">
        <v>0.5515000000000001</v>
      </c>
      <c r="AN124" t="s">
        <v>195</v>
      </c>
    </row>
    <row r="125" spans="9:40" ht="14.25">
      <c r="I125" t="s">
        <v>165</v>
      </c>
      <c r="J125" t="s">
        <v>208</v>
      </c>
      <c r="K125">
        <v>0</v>
      </c>
      <c r="L125" t="s">
        <v>153</v>
      </c>
      <c r="N125" t="s">
        <v>175</v>
      </c>
      <c r="O125" t="s">
        <v>208</v>
      </c>
      <c r="P125">
        <v>0.018286857687296498</v>
      </c>
      <c r="Q125" t="s">
        <v>153</v>
      </c>
      <c r="S125" t="s">
        <v>185</v>
      </c>
      <c r="T125" t="s">
        <v>208</v>
      </c>
      <c r="U125">
        <v>0.016930646460485969</v>
      </c>
      <c r="V125" t="s">
        <v>153</v>
      </c>
      <c r="AC125" t="s">
        <v>19</v>
      </c>
      <c r="AD125" t="s">
        <v>208</v>
      </c>
      <c r="AE125">
        <v>0.011791394226140166</v>
      </c>
      <c r="AK125">
        <v>2032</v>
      </c>
      <c r="AL125" t="s">
        <v>256</v>
      </c>
      <c r="AM125">
        <v>0.58130000000000004</v>
      </c>
      <c r="AN125" t="s">
        <v>195</v>
      </c>
    </row>
    <row r="126" spans="9:40" ht="14.25">
      <c r="I126" t="s">
        <v>165</v>
      </c>
      <c r="J126" t="s">
        <v>209</v>
      </c>
      <c r="K126">
        <v>0.0019054424821573893</v>
      </c>
      <c r="L126" t="s">
        <v>153</v>
      </c>
      <c r="N126" t="s">
        <v>175</v>
      </c>
      <c r="O126" t="s">
        <v>209</v>
      </c>
      <c r="P126">
        <v>0.0027907591003377514</v>
      </c>
      <c r="Q126" t="s">
        <v>153</v>
      </c>
      <c r="S126" t="s">
        <v>185</v>
      </c>
      <c r="T126" t="s">
        <v>209</v>
      </c>
      <c r="U126">
        <v>0.0023658360430390091</v>
      </c>
      <c r="V126" t="s">
        <v>153</v>
      </c>
      <c r="AC126" t="s">
        <v>19</v>
      </c>
      <c r="AD126" t="s">
        <v>209</v>
      </c>
      <c r="AE126">
        <v>0.0017011060028928084</v>
      </c>
      <c r="AK126">
        <v>2032</v>
      </c>
      <c r="AL126" t="s">
        <v>257</v>
      </c>
      <c r="AM126">
        <v>0.58130000000000004</v>
      </c>
      <c r="AN126" t="s">
        <v>195</v>
      </c>
    </row>
    <row r="127" spans="9:40" ht="14.25">
      <c r="I127" t="s">
        <v>165</v>
      </c>
      <c r="J127" t="s">
        <v>210</v>
      </c>
      <c r="K127">
        <v>0.035111864642329287</v>
      </c>
      <c r="L127" t="s">
        <v>153</v>
      </c>
      <c r="N127" t="s">
        <v>175</v>
      </c>
      <c r="O127" t="s">
        <v>210</v>
      </c>
      <c r="P127">
        <v>0.019142138944955863</v>
      </c>
      <c r="Q127" t="s">
        <v>153</v>
      </c>
      <c r="S127" t="s">
        <v>185</v>
      </c>
      <c r="T127" t="s">
        <v>210</v>
      </c>
      <c r="U127">
        <v>0.018132665761538828</v>
      </c>
      <c r="V127" t="s">
        <v>153</v>
      </c>
      <c r="AC127" t="s">
        <v>19</v>
      </c>
      <c r="AD127" t="s">
        <v>210</v>
      </c>
      <c r="AE127">
        <v>0.013772318845735701</v>
      </c>
      <c r="AK127">
        <v>2032</v>
      </c>
      <c r="AL127" t="s">
        <v>258</v>
      </c>
      <c r="AM127">
        <v>0.5386333333333333</v>
      </c>
      <c r="AN127" t="s">
        <v>195</v>
      </c>
    </row>
    <row r="128" spans="9:40" ht="14.25">
      <c r="I128" t="s">
        <v>165</v>
      </c>
      <c r="J128" t="s">
        <v>211</v>
      </c>
      <c r="K128">
        <v>0.0038101629598763943</v>
      </c>
      <c r="L128" t="s">
        <v>153</v>
      </c>
      <c r="N128" t="s">
        <v>175</v>
      </c>
      <c r="O128" t="s">
        <v>211</v>
      </c>
      <c r="P128">
        <v>0.0025661384508389312</v>
      </c>
      <c r="Q128" t="s">
        <v>153</v>
      </c>
      <c r="S128" t="s">
        <v>185</v>
      </c>
      <c r="T128" t="s">
        <v>211</v>
      </c>
      <c r="U128">
        <v>0.0022625057057997556</v>
      </c>
      <c r="V128" t="s">
        <v>153</v>
      </c>
      <c r="AC128" t="s">
        <v>19</v>
      </c>
      <c r="AD128" t="s">
        <v>211</v>
      </c>
      <c r="AE128">
        <v>0.0017251965622438487</v>
      </c>
      <c r="AK128">
        <v>2032</v>
      </c>
      <c r="AL128" t="s">
        <v>259</v>
      </c>
      <c r="AM128">
        <v>0.43254999999999999</v>
      </c>
      <c r="AN128" t="s">
        <v>195</v>
      </c>
    </row>
    <row r="129" spans="9:40" ht="14.25">
      <c r="I129" t="s">
        <v>165</v>
      </c>
      <c r="J129" t="s">
        <v>212</v>
      </c>
      <c r="K129">
        <v>0.0026409795203490237</v>
      </c>
      <c r="L129" t="s">
        <v>153</v>
      </c>
      <c r="N129" t="s">
        <v>175</v>
      </c>
      <c r="O129" t="s">
        <v>212</v>
      </c>
      <c r="P129">
        <v>0.0025083969139981692</v>
      </c>
      <c r="Q129" t="s">
        <v>153</v>
      </c>
      <c r="S129" t="s">
        <v>185</v>
      </c>
      <c r="T129" t="s">
        <v>212</v>
      </c>
      <c r="U129">
        <v>0.0023482200287112099</v>
      </c>
      <c r="V129" t="s">
        <v>153</v>
      </c>
      <c r="AC129" t="s">
        <v>19</v>
      </c>
      <c r="AD129" t="s">
        <v>212</v>
      </c>
      <c r="AE129">
        <v>0.0017283795494315629</v>
      </c>
      <c r="AK129">
        <v>2032</v>
      </c>
      <c r="AL129" t="s">
        <v>260</v>
      </c>
      <c r="AM129">
        <v>0.38487499999999997</v>
      </c>
      <c r="AN129" t="s">
        <v>195</v>
      </c>
    </row>
    <row r="130" spans="9:40" ht="14.25">
      <c r="I130" t="s">
        <v>165</v>
      </c>
      <c r="J130" t="s">
        <v>222</v>
      </c>
      <c r="K130">
        <v>0.0012145513142297179</v>
      </c>
      <c r="L130" t="s">
        <v>153</v>
      </c>
      <c r="N130" t="s">
        <v>175</v>
      </c>
      <c r="O130" t="s">
        <v>222</v>
      </c>
      <c r="P130">
        <v>0.016144887921914753</v>
      </c>
      <c r="Q130" t="s">
        <v>153</v>
      </c>
      <c r="S130" t="s">
        <v>185</v>
      </c>
      <c r="T130" t="s">
        <v>222</v>
      </c>
      <c r="U130">
        <v>0.01653260312074735</v>
      </c>
      <c r="V130" t="s">
        <v>153</v>
      </c>
      <c r="AC130" t="s">
        <v>19</v>
      </c>
      <c r="AD130" t="s">
        <v>222</v>
      </c>
      <c r="AE130">
        <v>0.01033221171407536</v>
      </c>
      <c r="AK130">
        <v>2032</v>
      </c>
      <c r="AL130" t="s">
        <v>261</v>
      </c>
      <c r="AM130">
        <v>0.4017</v>
      </c>
      <c r="AN130" t="s">
        <v>195</v>
      </c>
    </row>
    <row r="131" spans="9:40" ht="14.25">
      <c r="I131" t="s">
        <v>165</v>
      </c>
      <c r="J131" t="s">
        <v>223</v>
      </c>
      <c r="K131">
        <v>0</v>
      </c>
      <c r="L131" t="s">
        <v>153</v>
      </c>
      <c r="N131" t="s">
        <v>175</v>
      </c>
      <c r="O131" t="s">
        <v>223</v>
      </c>
      <c r="P131">
        <v>0.0035184950744195616</v>
      </c>
      <c r="Q131" t="s">
        <v>153</v>
      </c>
      <c r="S131" t="s">
        <v>185</v>
      </c>
      <c r="T131" t="s">
        <v>223</v>
      </c>
      <c r="U131">
        <v>0.0047234850363887231</v>
      </c>
      <c r="V131" t="s">
        <v>153</v>
      </c>
      <c r="AC131" t="s">
        <v>19</v>
      </c>
      <c r="AD131" t="s">
        <v>223</v>
      </c>
      <c r="AE131">
        <v>0.0039295427265887252</v>
      </c>
      <c r="AK131">
        <v>2033</v>
      </c>
      <c r="AL131" t="s">
        <v>141</v>
      </c>
      <c r="AM131">
        <v>0.42799999999999999</v>
      </c>
      <c r="AN131" t="s">
        <v>195</v>
      </c>
    </row>
    <row r="132" spans="9:40" ht="14.25">
      <c r="I132" t="s">
        <v>165</v>
      </c>
      <c r="J132" t="s">
        <v>224</v>
      </c>
      <c r="K132">
        <v>0.00046566878571141496</v>
      </c>
      <c r="L132" t="s">
        <v>153</v>
      </c>
      <c r="N132" t="s">
        <v>175</v>
      </c>
      <c r="O132" t="s">
        <v>224</v>
      </c>
      <c r="P132">
        <v>0.00061450226448089699</v>
      </c>
      <c r="Q132" t="s">
        <v>153</v>
      </c>
      <c r="S132" t="s">
        <v>185</v>
      </c>
      <c r="T132" t="s">
        <v>224</v>
      </c>
      <c r="U132">
        <v>0.00096567166253647705</v>
      </c>
      <c r="V132" t="s">
        <v>153</v>
      </c>
      <c r="AC132" t="s">
        <v>19</v>
      </c>
      <c r="AD132" t="s">
        <v>224</v>
      </c>
      <c r="AE132">
        <v>0.00056604810626169539</v>
      </c>
      <c r="AK132">
        <v>2033</v>
      </c>
      <c r="AL132" t="s">
        <v>145</v>
      </c>
      <c r="AM132">
        <v>0.41839999999999999</v>
      </c>
      <c r="AN132" t="s">
        <v>195</v>
      </c>
    </row>
    <row r="133" spans="9:40" ht="14.25">
      <c r="I133" t="s">
        <v>165</v>
      </c>
      <c r="J133" t="s">
        <v>225</v>
      </c>
      <c r="K133">
        <v>0.010459549478115809</v>
      </c>
      <c r="L133" t="s">
        <v>153</v>
      </c>
      <c r="N133" t="s">
        <v>175</v>
      </c>
      <c r="O133" t="s">
        <v>225</v>
      </c>
      <c r="P133">
        <v>0.0035073586497505688</v>
      </c>
      <c r="Q133" t="s">
        <v>153</v>
      </c>
      <c r="S133" t="s">
        <v>185</v>
      </c>
      <c r="T133" t="s">
        <v>225</v>
      </c>
      <c r="U133">
        <v>0.0070866405918694709</v>
      </c>
      <c r="V133" t="s">
        <v>153</v>
      </c>
      <c r="AC133" t="s">
        <v>19</v>
      </c>
      <c r="AD133" t="s">
        <v>225</v>
      </c>
      <c r="AE133">
        <v>0.004579601743431241</v>
      </c>
      <c r="AK133">
        <v>2033</v>
      </c>
      <c r="AL133" t="s">
        <v>147</v>
      </c>
      <c r="AM133">
        <v>0.4088</v>
      </c>
      <c r="AN133" t="s">
        <v>195</v>
      </c>
    </row>
    <row r="134" spans="9:40" ht="14.25">
      <c r="I134" t="s">
        <v>165</v>
      </c>
      <c r="J134" t="s">
        <v>226</v>
      </c>
      <c r="K134">
        <v>0.0011495862338769432</v>
      </c>
      <c r="L134" t="s">
        <v>153</v>
      </c>
      <c r="N134" t="s">
        <v>175</v>
      </c>
      <c r="O134" t="s">
        <v>226</v>
      </c>
      <c r="P134">
        <v>0.00071912938100795651</v>
      </c>
      <c r="Q134" t="s">
        <v>153</v>
      </c>
      <c r="S134" t="s">
        <v>185</v>
      </c>
      <c r="T134" t="s">
        <v>226</v>
      </c>
      <c r="U134">
        <v>0.00063768362510061081</v>
      </c>
      <c r="V134" t="s">
        <v>153</v>
      </c>
      <c r="AC134" t="s">
        <v>19</v>
      </c>
      <c r="AD134" t="s">
        <v>226</v>
      </c>
      <c r="AE134">
        <v>0.00057358548578044879</v>
      </c>
      <c r="AK134">
        <v>2033</v>
      </c>
      <c r="AL134" t="s">
        <v>149</v>
      </c>
      <c r="AM134">
        <v>0.45025000000000004</v>
      </c>
      <c r="AN134" t="s">
        <v>195</v>
      </c>
    </row>
    <row r="135" spans="9:40" ht="14.25">
      <c r="I135" t="s">
        <v>165</v>
      </c>
      <c r="J135" t="s">
        <v>227</v>
      </c>
      <c r="K135">
        <v>0.00078430919640836002</v>
      </c>
      <c r="L135" t="s">
        <v>153</v>
      </c>
      <c r="N135" t="s">
        <v>175</v>
      </c>
      <c r="O135" t="s">
        <v>227</v>
      </c>
      <c r="P135">
        <v>0.00070367256789129835</v>
      </c>
      <c r="Q135" t="s">
        <v>153</v>
      </c>
      <c r="S135" t="s">
        <v>185</v>
      </c>
      <c r="T135" t="s">
        <v>227</v>
      </c>
      <c r="U135">
        <v>0.00067307298359109511</v>
      </c>
      <c r="V135" t="s">
        <v>153</v>
      </c>
      <c r="AC135" t="s">
        <v>19</v>
      </c>
      <c r="AD135" t="s">
        <v>227</v>
      </c>
      <c r="AE135">
        <v>0.00057407603287023341</v>
      </c>
      <c r="AK135">
        <v>2033</v>
      </c>
      <c r="AL135" t="s">
        <v>198</v>
      </c>
      <c r="AM135">
        <v>0.49170000000000003</v>
      </c>
      <c r="AN135" t="s">
        <v>195</v>
      </c>
    </row>
    <row r="136" spans="9:40" ht="14.25">
      <c r="I136" t="s">
        <v>165</v>
      </c>
      <c r="J136" t="s">
        <v>228</v>
      </c>
      <c r="K136">
        <v>0.00035126497405937922</v>
      </c>
      <c r="L136" t="s">
        <v>153</v>
      </c>
      <c r="N136" t="s">
        <v>175</v>
      </c>
      <c r="O136" t="s">
        <v>228</v>
      </c>
      <c r="P136">
        <v>0.0035762341623198396</v>
      </c>
      <c r="Q136" t="s">
        <v>153</v>
      </c>
      <c r="S136" t="s">
        <v>185</v>
      </c>
      <c r="T136" t="s">
        <v>228</v>
      </c>
      <c r="U136">
        <v>0.0049668245105186342</v>
      </c>
      <c r="V136" t="s">
        <v>153</v>
      </c>
      <c r="AC136" t="s">
        <v>19</v>
      </c>
      <c r="AD136" t="s">
        <v>228</v>
      </c>
      <c r="AE136">
        <v>0.003437656817470497</v>
      </c>
      <c r="AK136">
        <v>2033</v>
      </c>
      <c r="AL136" t="s">
        <v>216</v>
      </c>
      <c r="AM136">
        <v>0.49170000000000003</v>
      </c>
      <c r="AN136" t="s">
        <v>195</v>
      </c>
    </row>
    <row r="137" spans="9:40" ht="14.25">
      <c r="I137" t="s">
        <v>165</v>
      </c>
      <c r="J137" t="s">
        <v>235</v>
      </c>
      <c r="K137">
        <v>0.0014272601311479058</v>
      </c>
      <c r="L137" t="s">
        <v>153</v>
      </c>
      <c r="N137" t="s">
        <v>175</v>
      </c>
      <c r="O137" t="s">
        <v>235</v>
      </c>
      <c r="P137">
        <v>0.029527557189977155</v>
      </c>
      <c r="Q137" t="s">
        <v>153</v>
      </c>
      <c r="S137" t="s">
        <v>185</v>
      </c>
      <c r="T137" t="s">
        <v>235</v>
      </c>
      <c r="U137">
        <v>0.029437678968982747</v>
      </c>
      <c r="V137" t="s">
        <v>153</v>
      </c>
      <c r="AC137" t="s">
        <v>19</v>
      </c>
      <c r="AD137" t="s">
        <v>235</v>
      </c>
      <c r="AE137">
        <v>0.022742536325026135</v>
      </c>
      <c r="AK137">
        <v>2033</v>
      </c>
      <c r="AL137" t="s">
        <v>232</v>
      </c>
      <c r="AM137">
        <v>0.50995000000000001</v>
      </c>
      <c r="AN137" t="s">
        <v>195</v>
      </c>
    </row>
    <row r="138" spans="9:40" ht="14.25">
      <c r="I138" t="s">
        <v>165</v>
      </c>
      <c r="J138" t="s">
        <v>236</v>
      </c>
      <c r="K138">
        <v>0.0047163669019084494</v>
      </c>
      <c r="L138" t="s">
        <v>153</v>
      </c>
      <c r="N138" t="s">
        <v>175</v>
      </c>
      <c r="O138" t="s">
        <v>236</v>
      </c>
      <c r="P138">
        <v>0.0035128797820835316</v>
      </c>
      <c r="Q138" t="s">
        <v>153</v>
      </c>
      <c r="S138" t="s">
        <v>185</v>
      </c>
      <c r="T138" t="s">
        <v>236</v>
      </c>
      <c r="U138">
        <v>0.0034803147380032084</v>
      </c>
      <c r="V138" t="s">
        <v>153</v>
      </c>
      <c r="AC138" t="s">
        <v>19</v>
      </c>
      <c r="AD138" t="s">
        <v>236</v>
      </c>
      <c r="AE138">
        <v>0.0032786994054604681</v>
      </c>
      <c r="AK138">
        <v>2033</v>
      </c>
      <c r="AL138" t="s">
        <v>233</v>
      </c>
      <c r="AM138">
        <v>0.52184999999999993</v>
      </c>
      <c r="AN138" t="s">
        <v>195</v>
      </c>
    </row>
    <row r="139" spans="9:40" ht="14.25">
      <c r="I139" t="s">
        <v>165</v>
      </c>
      <c r="J139" t="s">
        <v>237</v>
      </c>
      <c r="K139">
        <v>0.067966663527923132</v>
      </c>
      <c r="L139" t="s">
        <v>153</v>
      </c>
      <c r="N139" t="s">
        <v>175</v>
      </c>
      <c r="O139" t="s">
        <v>237</v>
      </c>
      <c r="P139">
        <v>0.023342688697684379</v>
      </c>
      <c r="Q139" t="s">
        <v>153</v>
      </c>
      <c r="S139" t="s">
        <v>185</v>
      </c>
      <c r="T139" t="s">
        <v>237</v>
      </c>
      <c r="U139">
        <v>0.023370990714573128</v>
      </c>
      <c r="V139" t="s">
        <v>153</v>
      </c>
      <c r="AC139" t="s">
        <v>19</v>
      </c>
      <c r="AD139" t="s">
        <v>237</v>
      </c>
      <c r="AE139">
        <v>0.026679205137684413</v>
      </c>
      <c r="AK139">
        <v>2033</v>
      </c>
      <c r="AL139" t="s">
        <v>234</v>
      </c>
      <c r="AM139">
        <v>0.53959999999999997</v>
      </c>
      <c r="AN139" t="s">
        <v>195</v>
      </c>
    </row>
    <row r="140" spans="9:40" ht="14.25">
      <c r="I140" t="s">
        <v>165</v>
      </c>
      <c r="J140" t="s">
        <v>238</v>
      </c>
      <c r="K140">
        <v>0.0070354920110273708</v>
      </c>
      <c r="L140" t="s">
        <v>153</v>
      </c>
      <c r="N140" t="s">
        <v>175</v>
      </c>
      <c r="O140" t="s">
        <v>238</v>
      </c>
      <c r="P140">
        <v>0.0045316729800773149</v>
      </c>
      <c r="Q140" t="s">
        <v>153</v>
      </c>
      <c r="S140" t="s">
        <v>185</v>
      </c>
      <c r="T140" t="s">
        <v>238</v>
      </c>
      <c r="U140">
        <v>0.002903518543525651</v>
      </c>
      <c r="V140" t="s">
        <v>153</v>
      </c>
      <c r="AC140" t="s">
        <v>19</v>
      </c>
      <c r="AD140" t="s">
        <v>238</v>
      </c>
      <c r="AE140">
        <v>0.003341170795257854</v>
      </c>
      <c r="AK140">
        <v>2033</v>
      </c>
      <c r="AL140" t="s">
        <v>256</v>
      </c>
      <c r="AM140">
        <v>0.56369999999999998</v>
      </c>
      <c r="AN140" t="s">
        <v>195</v>
      </c>
    </row>
    <row r="141" spans="9:40" ht="14.25">
      <c r="I141" t="s">
        <v>165</v>
      </c>
      <c r="J141" t="s">
        <v>239</v>
      </c>
      <c r="K141">
        <v>0.0050548197690883619</v>
      </c>
      <c r="L141" t="s">
        <v>153</v>
      </c>
      <c r="N141" t="s">
        <v>175</v>
      </c>
      <c r="O141" t="s">
        <v>239</v>
      </c>
      <c r="P141">
        <v>0.0047656877528150822</v>
      </c>
      <c r="Q141" t="s">
        <v>153</v>
      </c>
      <c r="S141" t="s">
        <v>185</v>
      </c>
      <c r="T141" t="s">
        <v>239</v>
      </c>
      <c r="U141">
        <v>0.0032019157660074828</v>
      </c>
      <c r="V141" t="s">
        <v>153</v>
      </c>
      <c r="AC141" t="s">
        <v>19</v>
      </c>
      <c r="AD141" t="s">
        <v>239</v>
      </c>
      <c r="AE141">
        <v>0.0033441886525762523</v>
      </c>
      <c r="AK141">
        <v>2033</v>
      </c>
      <c r="AL141" t="s">
        <v>257</v>
      </c>
      <c r="AM141">
        <v>0.56369999999999998</v>
      </c>
      <c r="AN141" t="s">
        <v>195</v>
      </c>
    </row>
    <row r="142" spans="9:40" ht="14.25">
      <c r="I142" t="s">
        <v>165</v>
      </c>
      <c r="J142" t="s">
        <v>240</v>
      </c>
      <c r="K142">
        <v>0.0022353201888418057</v>
      </c>
      <c r="L142" t="s">
        <v>153</v>
      </c>
      <c r="N142" t="s">
        <v>175</v>
      </c>
      <c r="O142" t="s">
        <v>240</v>
      </c>
      <c r="P142">
        <v>0.028875391670308396</v>
      </c>
      <c r="Q142" t="s">
        <v>153</v>
      </c>
      <c r="S142" t="s">
        <v>185</v>
      </c>
      <c r="T142" t="s">
        <v>240</v>
      </c>
      <c r="U142">
        <v>0.02393127960426605</v>
      </c>
      <c r="V142" t="s">
        <v>153</v>
      </c>
      <c r="AC142" t="s">
        <v>19</v>
      </c>
      <c r="AD142" t="s">
        <v>240</v>
      </c>
      <c r="AE142">
        <v>0.02003290786260201</v>
      </c>
      <c r="AK142">
        <v>2033</v>
      </c>
      <c r="AL142" t="s">
        <v>258</v>
      </c>
      <c r="AM142">
        <v>0.48130000000000001</v>
      </c>
      <c r="AN142" t="s">
        <v>195</v>
      </c>
    </row>
    <row r="143" spans="9:40" ht="14.25">
      <c r="I143" t="s">
        <v>165</v>
      </c>
      <c r="J143" t="s">
        <v>241</v>
      </c>
      <c r="K143">
        <v>0.0015257656725425493</v>
      </c>
      <c r="L143" t="s">
        <v>153</v>
      </c>
      <c r="N143" t="s">
        <v>175</v>
      </c>
      <c r="O143" t="s">
        <v>241</v>
      </c>
      <c r="P143">
        <v>0.011910778487131648</v>
      </c>
      <c r="Q143" t="s">
        <v>153</v>
      </c>
      <c r="S143" t="s">
        <v>185</v>
      </c>
      <c r="T143" t="s">
        <v>241</v>
      </c>
      <c r="U143">
        <v>0.022510519552917652</v>
      </c>
      <c r="V143" t="s">
        <v>153</v>
      </c>
      <c r="AC143" t="s">
        <v>19</v>
      </c>
      <c r="AD143" t="s">
        <v>241</v>
      </c>
      <c r="AE143">
        <v>0.018859463013265309</v>
      </c>
      <c r="AK143">
        <v>2033</v>
      </c>
      <c r="AL143" t="s">
        <v>259</v>
      </c>
      <c r="AM143">
        <v>0.40925</v>
      </c>
      <c r="AN143" t="s">
        <v>195</v>
      </c>
    </row>
    <row r="144" spans="9:40" ht="14.25">
      <c r="I144" t="s">
        <v>165</v>
      </c>
      <c r="J144" t="s">
        <v>242</v>
      </c>
      <c r="K144">
        <v>0.0033331971803229926</v>
      </c>
      <c r="L144" t="s">
        <v>153</v>
      </c>
      <c r="N144" t="s">
        <v>175</v>
      </c>
      <c r="O144" t="s">
        <v>242</v>
      </c>
      <c r="P144">
        <v>0.0017320512392882642</v>
      </c>
      <c r="Q144" t="s">
        <v>153</v>
      </c>
      <c r="S144" t="s">
        <v>185</v>
      </c>
      <c r="T144" t="s">
        <v>242</v>
      </c>
      <c r="U144">
        <v>0.0030655405407689577</v>
      </c>
      <c r="V144" t="s">
        <v>153</v>
      </c>
      <c r="AC144" t="s">
        <v>19</v>
      </c>
      <c r="AD144" t="s">
        <v>242</v>
      </c>
      <c r="AE144">
        <v>0.0027046630992814463</v>
      </c>
      <c r="AK144">
        <v>2033</v>
      </c>
      <c r="AL144" t="s">
        <v>260</v>
      </c>
      <c r="AM144">
        <v>0.41237499999999999</v>
      </c>
      <c r="AN144" t="s">
        <v>195</v>
      </c>
    </row>
    <row r="145" spans="9:40" ht="14.25">
      <c r="I145" t="s">
        <v>165</v>
      </c>
      <c r="J145" t="s">
        <v>243</v>
      </c>
      <c r="K145">
        <v>0.050590877092141794</v>
      </c>
      <c r="L145" t="s">
        <v>153</v>
      </c>
      <c r="N145" t="s">
        <v>175</v>
      </c>
      <c r="O145" t="s">
        <v>243</v>
      </c>
      <c r="P145">
        <v>0.015388587107166391</v>
      </c>
      <c r="Q145" t="s">
        <v>153</v>
      </c>
      <c r="S145" t="s">
        <v>185</v>
      </c>
      <c r="T145" t="s">
        <v>243</v>
      </c>
      <c r="U145">
        <v>0.024900556123994815</v>
      </c>
      <c r="V145" t="s">
        <v>153</v>
      </c>
      <c r="AC145" t="s">
        <v>19</v>
      </c>
      <c r="AD145" t="s">
        <v>243</v>
      </c>
      <c r="AE145">
        <v>0.022056770981199018</v>
      </c>
      <c r="AK145">
        <v>2033</v>
      </c>
      <c r="AL145" t="s">
        <v>261</v>
      </c>
      <c r="AM145">
        <v>0.43409999999999999</v>
      </c>
      <c r="AN145" t="s">
        <v>195</v>
      </c>
    </row>
    <row r="146" spans="9:40" ht="14.25">
      <c r="I146" t="s">
        <v>165</v>
      </c>
      <c r="J146" t="s">
        <v>244</v>
      </c>
      <c r="K146">
        <v>0.0051104340827836155</v>
      </c>
      <c r="L146" t="s">
        <v>153</v>
      </c>
      <c r="N146" t="s">
        <v>175</v>
      </c>
      <c r="O146" t="s">
        <v>244</v>
      </c>
      <c r="P146">
        <v>0.0025411417067274854</v>
      </c>
      <c r="Q146" t="s">
        <v>153</v>
      </c>
      <c r="S146" t="s">
        <v>185</v>
      </c>
      <c r="T146" t="s">
        <v>244</v>
      </c>
      <c r="U146">
        <v>0.0030195880950112507</v>
      </c>
      <c r="V146" t="s">
        <v>153</v>
      </c>
      <c r="AC146" t="s">
        <v>19</v>
      </c>
      <c r="AD146" t="s">
        <v>244</v>
      </c>
      <c r="AE146">
        <v>0.0027617539671493194</v>
      </c>
      <c r="AK146">
        <v>2034</v>
      </c>
      <c r="AL146" t="s">
        <v>141</v>
      </c>
      <c r="AM146">
        <v>0.3925</v>
      </c>
      <c r="AN146" t="s">
        <v>195</v>
      </c>
    </row>
    <row r="147" spans="9:40" ht="14.25">
      <c r="I147" t="s">
        <v>165</v>
      </c>
      <c r="J147" t="s">
        <v>245</v>
      </c>
      <c r="K147">
        <v>0.0037577909123382969</v>
      </c>
      <c r="L147" t="s">
        <v>153</v>
      </c>
      <c r="N147" t="s">
        <v>175</v>
      </c>
      <c r="O147" t="s">
        <v>245</v>
      </c>
      <c r="P147">
        <v>0.0026507051970242335</v>
      </c>
      <c r="Q147" t="s">
        <v>153</v>
      </c>
      <c r="S147" t="s">
        <v>185</v>
      </c>
      <c r="T147" t="s">
        <v>245</v>
      </c>
      <c r="U147">
        <v>0.0030104660571667894</v>
      </c>
      <c r="V147" t="s">
        <v>153</v>
      </c>
      <c r="AC147" t="s">
        <v>19</v>
      </c>
      <c r="AD147" t="s">
        <v>245</v>
      </c>
      <c r="AE147">
        <v>0.0027629641124379384</v>
      </c>
      <c r="AK147">
        <v>2034</v>
      </c>
      <c r="AL147" t="s">
        <v>145</v>
      </c>
      <c r="AM147">
        <v>0.38305</v>
      </c>
      <c r="AN147" t="s">
        <v>195</v>
      </c>
    </row>
    <row r="148" spans="9:40" ht="14.25">
      <c r="I148" t="s">
        <v>165</v>
      </c>
      <c r="J148" t="s">
        <v>246</v>
      </c>
      <c r="K148">
        <v>0.0017728396274799794</v>
      </c>
      <c r="L148" t="s">
        <v>153</v>
      </c>
      <c r="N148" t="s">
        <v>175</v>
      </c>
      <c r="O148" t="s">
        <v>246</v>
      </c>
      <c r="P148">
        <v>0.015154897384262853</v>
      </c>
      <c r="Q148" t="s">
        <v>153</v>
      </c>
      <c r="S148" t="s">
        <v>185</v>
      </c>
      <c r="T148" t="s">
        <v>246</v>
      </c>
      <c r="U148">
        <v>0.018927199893764811</v>
      </c>
      <c r="V148" t="s">
        <v>153</v>
      </c>
      <c r="AC148" t="s">
        <v>19</v>
      </c>
      <c r="AD148" t="s">
        <v>246</v>
      </c>
      <c r="AE148">
        <v>0.016530724598879994</v>
      </c>
      <c r="AK148">
        <v>2034</v>
      </c>
      <c r="AL148" t="s">
        <v>147</v>
      </c>
      <c r="AM148">
        <v>0.37359999999999999</v>
      </c>
      <c r="AN148" t="s">
        <v>195</v>
      </c>
    </row>
    <row r="149" spans="9:40" ht="14.25">
      <c r="I149" t="s">
        <v>165</v>
      </c>
      <c r="J149" t="s">
        <v>247</v>
      </c>
      <c r="K149">
        <v>0.0017491019288790174</v>
      </c>
      <c r="L149" t="s">
        <v>153</v>
      </c>
      <c r="N149" t="s">
        <v>175</v>
      </c>
      <c r="O149" t="s">
        <v>247</v>
      </c>
      <c r="P149">
        <v>0.020627959945657401</v>
      </c>
      <c r="Q149" t="s">
        <v>153</v>
      </c>
      <c r="S149" t="s">
        <v>185</v>
      </c>
      <c r="T149" t="s">
        <v>247</v>
      </c>
      <c r="U149">
        <v>0.027171771944404201</v>
      </c>
      <c r="V149" t="s">
        <v>153</v>
      </c>
      <c r="AC149" t="s">
        <v>19</v>
      </c>
      <c r="AD149" t="s">
        <v>247</v>
      </c>
      <c r="AE149">
        <v>0.016569451103077393</v>
      </c>
      <c r="AK149">
        <v>2034</v>
      </c>
      <c r="AL149" t="s">
        <v>149</v>
      </c>
      <c r="AM149">
        <v>0.36754999999999999</v>
      </c>
      <c r="AN149" t="s">
        <v>195</v>
      </c>
    </row>
    <row r="150" spans="9:40" ht="14.25">
      <c r="I150" t="s">
        <v>165</v>
      </c>
      <c r="J150" t="s">
        <v>248</v>
      </c>
      <c r="K150">
        <v>0.0036185825363175945</v>
      </c>
      <c r="L150" t="s">
        <v>153</v>
      </c>
      <c r="N150" t="s">
        <v>175</v>
      </c>
      <c r="O150" t="s">
        <v>248</v>
      </c>
      <c r="P150">
        <v>0.0030768040256116264</v>
      </c>
      <c r="Q150" t="s">
        <v>153</v>
      </c>
      <c r="S150" t="s">
        <v>185</v>
      </c>
      <c r="T150" t="s">
        <v>248</v>
      </c>
      <c r="U150">
        <v>0.0035966746540026765</v>
      </c>
      <c r="V150" t="s">
        <v>153</v>
      </c>
      <c r="AC150" t="s">
        <v>19</v>
      </c>
      <c r="AD150" t="s">
        <v>248</v>
      </c>
      <c r="AE150">
        <v>0.0023659530161998193</v>
      </c>
      <c r="AK150">
        <v>2034</v>
      </c>
      <c r="AL150" t="s">
        <v>198</v>
      </c>
      <c r="AM150">
        <v>0.36149999999999999</v>
      </c>
      <c r="AN150" t="s">
        <v>195</v>
      </c>
    </row>
    <row r="151" spans="9:40" ht="14.25">
      <c r="I151" t="s">
        <v>165</v>
      </c>
      <c r="J151" t="s">
        <v>249</v>
      </c>
      <c r="K151">
        <v>0.047825964301165882</v>
      </c>
      <c r="L151" t="s">
        <v>153</v>
      </c>
      <c r="N151" t="s">
        <v>175</v>
      </c>
      <c r="O151" t="s">
        <v>249</v>
      </c>
      <c r="P151">
        <v>0.028254096032482485</v>
      </c>
      <c r="Q151" t="s">
        <v>153</v>
      </c>
      <c r="S151" t="s">
        <v>185</v>
      </c>
      <c r="T151" t="s">
        <v>249</v>
      </c>
      <c r="U151">
        <v>0.025742021728650224</v>
      </c>
      <c r="V151" t="s">
        <v>153</v>
      </c>
      <c r="AC151" t="s">
        <v>19</v>
      </c>
      <c r="AD151" t="s">
        <v>249</v>
      </c>
      <c r="AE151">
        <v>0.019321531505688321</v>
      </c>
      <c r="AK151">
        <v>2034</v>
      </c>
      <c r="AL151" t="s">
        <v>216</v>
      </c>
      <c r="AM151">
        <v>0.36149999999999999</v>
      </c>
      <c r="AN151" t="s">
        <v>195</v>
      </c>
    </row>
    <row r="152" spans="9:40" ht="14.25">
      <c r="I152" t="s">
        <v>165</v>
      </c>
      <c r="J152" t="s">
        <v>250</v>
      </c>
      <c r="K152">
        <v>0.0047162037394982738</v>
      </c>
      <c r="L152" t="s">
        <v>153</v>
      </c>
      <c r="N152" t="s">
        <v>175</v>
      </c>
      <c r="O152" t="s">
        <v>250</v>
      </c>
      <c r="P152">
        <v>0.0041179326107785011</v>
      </c>
      <c r="Q152" t="s">
        <v>153</v>
      </c>
      <c r="S152" t="s">
        <v>185</v>
      </c>
      <c r="T152" t="s">
        <v>250</v>
      </c>
      <c r="U152">
        <v>0.0035767851310196551</v>
      </c>
      <c r="V152" t="s">
        <v>153</v>
      </c>
      <c r="AC152" t="s">
        <v>19</v>
      </c>
      <c r="AD152" t="s">
        <v>250</v>
      </c>
      <c r="AE152">
        <v>0.0024194618733834506</v>
      </c>
      <c r="AK152">
        <v>2034</v>
      </c>
      <c r="AL152" t="s">
        <v>232</v>
      </c>
      <c r="AM152">
        <v>0.38505</v>
      </c>
      <c r="AN152" t="s">
        <v>195</v>
      </c>
    </row>
    <row r="153" spans="9:40" ht="14.25">
      <c r="I153" t="s">
        <v>165</v>
      </c>
      <c r="J153" t="s">
        <v>251</v>
      </c>
      <c r="K153">
        <v>0.0035237530239163556</v>
      </c>
      <c r="L153" t="s">
        <v>153</v>
      </c>
      <c r="N153" t="s">
        <v>175</v>
      </c>
      <c r="O153" t="s">
        <v>251</v>
      </c>
      <c r="P153">
        <v>0.0037813218819904211</v>
      </c>
      <c r="Q153" t="s">
        <v>153</v>
      </c>
      <c r="S153" t="s">
        <v>185</v>
      </c>
      <c r="T153" t="s">
        <v>251</v>
      </c>
      <c r="U153">
        <v>0.0037214260917417677</v>
      </c>
      <c r="V153" t="s">
        <v>153</v>
      </c>
      <c r="AC153" t="s">
        <v>19</v>
      </c>
      <c r="AD153" t="s">
        <v>251</v>
      </c>
      <c r="AE153">
        <v>0.0024198875307298675</v>
      </c>
      <c r="AK153">
        <v>2034</v>
      </c>
      <c r="AL153" t="s">
        <v>233</v>
      </c>
      <c r="AM153">
        <v>0.44940000000000002</v>
      </c>
      <c r="AN153" t="s">
        <v>195</v>
      </c>
    </row>
    <row r="154" spans="9:40" ht="14.25">
      <c r="I154" t="s">
        <v>165</v>
      </c>
      <c r="J154" t="s">
        <v>252</v>
      </c>
      <c r="K154">
        <v>0.0017052684661509848</v>
      </c>
      <c r="L154" t="s">
        <v>153</v>
      </c>
      <c r="N154" t="s">
        <v>175</v>
      </c>
      <c r="O154" t="s">
        <v>252</v>
      </c>
      <c r="P154">
        <v>0.020686124683555844</v>
      </c>
      <c r="Q154" t="s">
        <v>153</v>
      </c>
      <c r="S154" t="s">
        <v>185</v>
      </c>
      <c r="T154" t="s">
        <v>252</v>
      </c>
      <c r="U154">
        <v>0.024715511040991182</v>
      </c>
      <c r="V154" t="s">
        <v>153</v>
      </c>
      <c r="AC154" t="s">
        <v>19</v>
      </c>
      <c r="AD154" t="s">
        <v>252</v>
      </c>
      <c r="AE154">
        <v>0.014481262507376086</v>
      </c>
      <c r="AK154">
        <v>2034</v>
      </c>
      <c r="AL154" t="s">
        <v>234</v>
      </c>
      <c r="AM154">
        <v>0.48135</v>
      </c>
      <c r="AN154" t="s">
        <v>195</v>
      </c>
    </row>
    <row r="155" spans="9:40" ht="14.25">
      <c r="I155" t="s">
        <v>165</v>
      </c>
      <c r="J155" t="s">
        <v>262</v>
      </c>
      <c r="K155">
        <v>0.00042392760094851783</v>
      </c>
      <c r="L155" t="s">
        <v>153</v>
      </c>
      <c r="N155" t="s">
        <v>175</v>
      </c>
      <c r="O155" t="s">
        <v>262</v>
      </c>
      <c r="P155">
        <v>0.015273444656190295</v>
      </c>
      <c r="Q155" t="s">
        <v>153</v>
      </c>
      <c r="S155" t="s">
        <v>185</v>
      </c>
      <c r="T155" t="s">
        <v>262</v>
      </c>
      <c r="U155">
        <v>0.017294134008312475</v>
      </c>
      <c r="V155" t="s">
        <v>153</v>
      </c>
      <c r="AC155" t="s">
        <v>19</v>
      </c>
      <c r="AD155" t="s">
        <v>262</v>
      </c>
      <c r="AE155">
        <v>0.0047547146494132707</v>
      </c>
      <c r="AK155">
        <v>2034</v>
      </c>
      <c r="AL155" t="s">
        <v>256</v>
      </c>
      <c r="AM155">
        <v>0.4725</v>
      </c>
      <c r="AN155" t="s">
        <v>195</v>
      </c>
    </row>
    <row r="156" spans="9:40" ht="14.25">
      <c r="I156" t="s">
        <v>165</v>
      </c>
      <c r="J156" t="s">
        <v>263</v>
      </c>
      <c r="K156">
        <v>0.000966180108376532</v>
      </c>
      <c r="L156" t="s">
        <v>153</v>
      </c>
      <c r="N156" t="s">
        <v>175</v>
      </c>
      <c r="O156" t="s">
        <v>263</v>
      </c>
      <c r="P156">
        <v>0.0024749653091198256</v>
      </c>
      <c r="Q156" t="s">
        <v>153</v>
      </c>
      <c r="S156" t="s">
        <v>185</v>
      </c>
      <c r="T156" t="s">
        <v>263</v>
      </c>
      <c r="U156">
        <v>0.0025054700231271704</v>
      </c>
      <c r="V156" t="s">
        <v>153</v>
      </c>
      <c r="AC156" t="s">
        <v>19</v>
      </c>
      <c r="AD156" t="s">
        <v>263</v>
      </c>
      <c r="AE156">
        <v>0.00067752564843227001</v>
      </c>
      <c r="AK156">
        <v>2034</v>
      </c>
      <c r="AL156" t="s">
        <v>257</v>
      </c>
      <c r="AM156">
        <v>0.4725</v>
      </c>
      <c r="AN156" t="s">
        <v>195</v>
      </c>
    </row>
    <row r="157" spans="9:40" ht="14.25">
      <c r="I157" t="s">
        <v>165</v>
      </c>
      <c r="J157" t="s">
        <v>264</v>
      </c>
      <c r="K157">
        <v>0.013529945481995643</v>
      </c>
      <c r="L157" t="s">
        <v>153</v>
      </c>
      <c r="N157" t="s">
        <v>175</v>
      </c>
      <c r="O157" t="s">
        <v>264</v>
      </c>
      <c r="P157">
        <v>0.018591519981511716</v>
      </c>
      <c r="Q157" t="s">
        <v>153</v>
      </c>
      <c r="S157" t="s">
        <v>185</v>
      </c>
      <c r="T157" t="s">
        <v>264</v>
      </c>
      <c r="U157">
        <v>0.01788559775260163</v>
      </c>
      <c r="V157" t="s">
        <v>153</v>
      </c>
      <c r="AC157" t="s">
        <v>19</v>
      </c>
      <c r="AD157" t="s">
        <v>264</v>
      </c>
      <c r="AE157">
        <v>0.0055122716270010396</v>
      </c>
      <c r="AK157">
        <v>2034</v>
      </c>
      <c r="AL157" t="s">
        <v>258</v>
      </c>
      <c r="AM157">
        <v>0.42720000000000002</v>
      </c>
      <c r="AN157" t="s">
        <v>195</v>
      </c>
    </row>
    <row r="158" spans="9:40" ht="14.25">
      <c r="I158" t="s">
        <v>165</v>
      </c>
      <c r="J158" t="s">
        <v>265</v>
      </c>
      <c r="K158">
        <v>0.0013369745570387241</v>
      </c>
      <c r="L158" t="s">
        <v>153</v>
      </c>
      <c r="N158" t="s">
        <v>175</v>
      </c>
      <c r="O158" t="s">
        <v>265</v>
      </c>
      <c r="P158">
        <v>0.0021243664652724542</v>
      </c>
      <c r="Q158" t="s">
        <v>153</v>
      </c>
      <c r="S158" t="s">
        <v>185</v>
      </c>
      <c r="T158" t="s">
        <v>265</v>
      </c>
      <c r="U158">
        <v>0.0023371591708880512</v>
      </c>
      <c r="V158" t="s">
        <v>153</v>
      </c>
      <c r="AC158" t="s">
        <v>19</v>
      </c>
      <c r="AD158" t="s">
        <v>265</v>
      </c>
      <c r="AE158">
        <v>0.00069057187661182259</v>
      </c>
      <c r="AK158">
        <v>2034</v>
      </c>
      <c r="AL158" t="s">
        <v>259</v>
      </c>
      <c r="AM158">
        <v>0.37595000000000001</v>
      </c>
      <c r="AN158" t="s">
        <v>195</v>
      </c>
    </row>
    <row r="159" spans="9:40" ht="14.25">
      <c r="I159" t="s">
        <v>165</v>
      </c>
      <c r="J159" t="s">
        <v>266</v>
      </c>
      <c r="K159">
        <v>0.00098660090196074374</v>
      </c>
      <c r="L159" t="s">
        <v>153</v>
      </c>
      <c r="N159" t="s">
        <v>175</v>
      </c>
      <c r="O159" t="s">
        <v>266</v>
      </c>
      <c r="P159">
        <v>0.0019414570339450791</v>
      </c>
      <c r="Q159" t="s">
        <v>153</v>
      </c>
      <c r="S159" t="s">
        <v>185</v>
      </c>
      <c r="T159" t="s">
        <v>266</v>
      </c>
      <c r="U159">
        <v>0.002354312130417301</v>
      </c>
      <c r="V159" t="s">
        <v>153</v>
      </c>
      <c r="AC159" t="s">
        <v>19</v>
      </c>
      <c r="AD159" t="s">
        <v>266</v>
      </c>
      <c r="AE159">
        <v>0.00069073845923658657</v>
      </c>
      <c r="AK159">
        <v>2034</v>
      </c>
      <c r="AL159" t="s">
        <v>260</v>
      </c>
      <c r="AM159">
        <v>0.36260000000000003</v>
      </c>
      <c r="AN159" t="s">
        <v>195</v>
      </c>
    </row>
    <row r="160" spans="9:40" ht="14.25">
      <c r="I160" t="s">
        <v>165</v>
      </c>
      <c r="J160" t="s">
        <v>267</v>
      </c>
      <c r="K160">
        <v>0.00046044058025988496</v>
      </c>
      <c r="L160" t="s">
        <v>153</v>
      </c>
      <c r="N160" t="s">
        <v>175</v>
      </c>
      <c r="O160" t="s">
        <v>267</v>
      </c>
      <c r="P160">
        <v>0.0096335329044784507</v>
      </c>
      <c r="Q160" t="s">
        <v>153</v>
      </c>
      <c r="S160" t="s">
        <v>185</v>
      </c>
      <c r="T160" t="s">
        <v>267</v>
      </c>
      <c r="U160">
        <v>0.013036063340474576</v>
      </c>
      <c r="V160" t="s">
        <v>153</v>
      </c>
      <c r="AC160" t="s">
        <v>19</v>
      </c>
      <c r="AD160" t="s">
        <v>267</v>
      </c>
      <c r="AE160">
        <v>0.0041251497851067217</v>
      </c>
      <c r="AK160">
        <v>2034</v>
      </c>
      <c r="AL160" t="s">
        <v>261</v>
      </c>
      <c r="AM160">
        <v>0.33429999999999999</v>
      </c>
      <c r="AN160" t="s">
        <v>195</v>
      </c>
    </row>
    <row r="161" spans="9:40" ht="14.25">
      <c r="I161" t="s">
        <v>165</v>
      </c>
      <c r="J161" t="s">
        <v>268</v>
      </c>
      <c r="K161">
        <v>0.00055002861973341523</v>
      </c>
      <c r="L161" t="s">
        <v>153</v>
      </c>
      <c r="N161" t="s">
        <v>175</v>
      </c>
      <c r="O161" t="s">
        <v>268</v>
      </c>
      <c r="P161">
        <v>0.010548418147866946</v>
      </c>
      <c r="Q161" t="s">
        <v>153</v>
      </c>
      <c r="S161" t="s">
        <v>185</v>
      </c>
      <c r="T161" t="s">
        <v>268</v>
      </c>
      <c r="U161">
        <v>0.012298898809312874</v>
      </c>
      <c r="V161" t="s">
        <v>153</v>
      </c>
      <c r="AC161" t="s">
        <v>19</v>
      </c>
      <c r="AD161" t="s">
        <v>268</v>
      </c>
      <c r="AE161">
        <v>0.0071391062160016533</v>
      </c>
      <c r="AK161">
        <v>2035</v>
      </c>
      <c r="AL161" t="s">
        <v>141</v>
      </c>
      <c r="AM161">
        <v>0.32340000000000002</v>
      </c>
      <c r="AN161" t="s">
        <v>195</v>
      </c>
    </row>
    <row r="162" spans="9:40" ht="14.25">
      <c r="I162" t="s">
        <v>165</v>
      </c>
      <c r="J162" t="s">
        <v>269</v>
      </c>
      <c r="K162">
        <v>0.0013393142886856172</v>
      </c>
      <c r="L162" t="s">
        <v>153</v>
      </c>
      <c r="N162" t="s">
        <v>175</v>
      </c>
      <c r="O162" t="s">
        <v>269</v>
      </c>
      <c r="P162">
        <v>0.0017089009228499024</v>
      </c>
      <c r="Q162" t="s">
        <v>153</v>
      </c>
      <c r="S162" t="s">
        <v>185</v>
      </c>
      <c r="T162" t="s">
        <v>269</v>
      </c>
      <c r="U162">
        <v>0.0011198127015006893</v>
      </c>
      <c r="V162" t="s">
        <v>153</v>
      </c>
      <c r="AC162" t="s">
        <v>19</v>
      </c>
      <c r="AD162" t="s">
        <v>269</v>
      </c>
      <c r="AE162">
        <v>0.0010168281712975313</v>
      </c>
      <c r="AK162">
        <v>2035</v>
      </c>
      <c r="AL162" t="s">
        <v>145</v>
      </c>
      <c r="AM162">
        <v>0.33030000000000004</v>
      </c>
      <c r="AN162" t="s">
        <v>195</v>
      </c>
    </row>
    <row r="163" spans="9:40" ht="14.25">
      <c r="I163" t="s">
        <v>165</v>
      </c>
      <c r="J163" t="s">
        <v>270</v>
      </c>
      <c r="K163">
        <v>0.019588719376695318</v>
      </c>
      <c r="L163" t="s">
        <v>153</v>
      </c>
      <c r="N163" t="s">
        <v>175</v>
      </c>
      <c r="O163" t="s">
        <v>270</v>
      </c>
      <c r="P163">
        <v>0.016430634654922369</v>
      </c>
      <c r="Q163" t="s">
        <v>153</v>
      </c>
      <c r="S163" t="s">
        <v>185</v>
      </c>
      <c r="T163" t="s">
        <v>270</v>
      </c>
      <c r="U163">
        <v>0.0055716347246366682</v>
      </c>
      <c r="V163" t="s">
        <v>153</v>
      </c>
      <c r="AC163" t="s">
        <v>19</v>
      </c>
      <c r="AD163" t="s">
        <v>270</v>
      </c>
      <c r="AE163">
        <v>0.0082752186844219592</v>
      </c>
      <c r="AK163">
        <v>2035</v>
      </c>
      <c r="AL163" t="s">
        <v>147</v>
      </c>
      <c r="AM163">
        <v>0.3372</v>
      </c>
      <c r="AN163" t="s">
        <v>195</v>
      </c>
    </row>
    <row r="164" spans="9:40" ht="14.25">
      <c r="I164" t="s">
        <v>165</v>
      </c>
      <c r="J164" t="s">
        <v>271</v>
      </c>
      <c r="K164">
        <v>0.0019165511345918863</v>
      </c>
      <c r="L164" t="s">
        <v>153</v>
      </c>
      <c r="N164" t="s">
        <v>175</v>
      </c>
      <c r="O164" t="s">
        <v>271</v>
      </c>
      <c r="P164">
        <v>0.0022711449284621545</v>
      </c>
      <c r="Q164" t="s">
        <v>153</v>
      </c>
      <c r="S164" t="s">
        <v>185</v>
      </c>
      <c r="T164" t="s">
        <v>271</v>
      </c>
      <c r="U164">
        <v>0.0011629077717739643</v>
      </c>
      <c r="V164" t="s">
        <v>153</v>
      </c>
      <c r="AC164" t="s">
        <v>19</v>
      </c>
      <c r="AD164" t="s">
        <v>271</v>
      </c>
      <c r="AE164">
        <v>0.0010368631216881117</v>
      </c>
      <c r="AK164">
        <v>2035</v>
      </c>
      <c r="AL164" t="s">
        <v>149</v>
      </c>
      <c r="AM164">
        <v>0.38490000000000002</v>
      </c>
      <c r="AN164" t="s">
        <v>195</v>
      </c>
    </row>
    <row r="165" spans="9:40" ht="14.25">
      <c r="I165" t="s">
        <v>165</v>
      </c>
      <c r="J165" t="s">
        <v>272</v>
      </c>
      <c r="K165">
        <v>0.0013942544074113036</v>
      </c>
      <c r="L165" t="s">
        <v>153</v>
      </c>
      <c r="N165" t="s">
        <v>175</v>
      </c>
      <c r="O165" t="s">
        <v>272</v>
      </c>
      <c r="P165">
        <v>0.0020968701899541247</v>
      </c>
      <c r="Q165" t="s">
        <v>153</v>
      </c>
      <c r="S165" t="s">
        <v>185</v>
      </c>
      <c r="T165" t="s">
        <v>272</v>
      </c>
      <c r="U165">
        <v>0.0014996240662290905</v>
      </c>
      <c r="V165" t="s">
        <v>153</v>
      </c>
      <c r="AC165" t="s">
        <v>19</v>
      </c>
      <c r="AD165" t="s">
        <v>272</v>
      </c>
      <c r="AE165">
        <v>0.0010364587714216064</v>
      </c>
      <c r="AK165">
        <v>2035</v>
      </c>
      <c r="AL165" t="s">
        <v>198</v>
      </c>
      <c r="AM165">
        <v>0.43259999999999998</v>
      </c>
      <c r="AN165" t="s">
        <v>195</v>
      </c>
    </row>
    <row r="166" spans="9:40" ht="14.25">
      <c r="I166" t="s">
        <v>165</v>
      </c>
      <c r="J166" t="s">
        <v>273</v>
      </c>
      <c r="K166">
        <v>0.00063688952378149091</v>
      </c>
      <c r="L166" t="s">
        <v>153</v>
      </c>
      <c r="N166" t="s">
        <v>175</v>
      </c>
      <c r="O166" t="s">
        <v>273</v>
      </c>
      <c r="P166">
        <v>0.010250701817348318</v>
      </c>
      <c r="Q166" t="s">
        <v>153</v>
      </c>
      <c r="S166" t="s">
        <v>185</v>
      </c>
      <c r="T166" t="s">
        <v>273</v>
      </c>
      <c r="U166">
        <v>0.012342772096791703</v>
      </c>
      <c r="V166" t="s">
        <v>153</v>
      </c>
      <c r="AC166" t="s">
        <v>19</v>
      </c>
      <c r="AD166" t="s">
        <v>273</v>
      </c>
      <c r="AE166">
        <v>0.0062012808230020675</v>
      </c>
      <c r="AK166">
        <v>2035</v>
      </c>
      <c r="AL166" t="s">
        <v>216</v>
      </c>
      <c r="AM166">
        <v>0.43259999999999998</v>
      </c>
      <c r="AN166" t="s">
        <v>195</v>
      </c>
    </row>
    <row r="167" spans="9:40" ht="14.25">
      <c r="I167" t="s">
        <v>165</v>
      </c>
      <c r="J167" t="s">
        <v>274</v>
      </c>
      <c r="K167">
        <v>0.0019203876936013144</v>
      </c>
      <c r="L167" t="s">
        <v>153</v>
      </c>
      <c r="N167" t="s">
        <v>175</v>
      </c>
      <c r="O167" t="s">
        <v>274</v>
      </c>
      <c r="P167">
        <v>0.016620351977706366</v>
      </c>
      <c r="Q167" t="s">
        <v>153</v>
      </c>
      <c r="S167" t="s">
        <v>185</v>
      </c>
      <c r="T167" t="s">
        <v>274</v>
      </c>
      <c r="U167">
        <v>0.026920359835127309</v>
      </c>
      <c r="V167" t="s">
        <v>153</v>
      </c>
      <c r="AC167" t="s">
        <v>19</v>
      </c>
      <c r="AD167" t="s">
        <v>274</v>
      </c>
      <c r="AE167">
        <v>0.032548024126509069</v>
      </c>
      <c r="AK167">
        <v>2035</v>
      </c>
      <c r="AL167" t="s">
        <v>232</v>
      </c>
      <c r="AM167">
        <v>0.44284999999999997</v>
      </c>
      <c r="AN167" t="s">
        <v>195</v>
      </c>
    </row>
    <row r="168" spans="9:40" ht="14.25">
      <c r="I168" t="s">
        <v>165</v>
      </c>
      <c r="J168" t="s">
        <v>275</v>
      </c>
      <c r="K168">
        <v>0.0053584459650410764</v>
      </c>
      <c r="L168" t="s">
        <v>153</v>
      </c>
      <c r="N168" t="s">
        <v>175</v>
      </c>
      <c r="O168" t="s">
        <v>275</v>
      </c>
      <c r="P168">
        <v>0.003240569958379159</v>
      </c>
      <c r="Q168" t="s">
        <v>153</v>
      </c>
      <c r="S168" t="s">
        <v>185</v>
      </c>
      <c r="T168" t="s">
        <v>275</v>
      </c>
      <c r="U168">
        <v>0.0039232043198169156</v>
      </c>
      <c r="V168" t="s">
        <v>153</v>
      </c>
      <c r="AC168" t="s">
        <v>19</v>
      </c>
      <c r="AD168" t="s">
        <v>275</v>
      </c>
      <c r="AE168">
        <v>0.0046463788852647465</v>
      </c>
      <c r="AK168">
        <v>2035</v>
      </c>
      <c r="AL168" t="s">
        <v>233</v>
      </c>
      <c r="AM168">
        <v>0.48250000000000004</v>
      </c>
      <c r="AN168" t="s">
        <v>195</v>
      </c>
    </row>
    <row r="169" spans="9:40" ht="14.25">
      <c r="I169" t="s">
        <v>165</v>
      </c>
      <c r="J169" t="s">
        <v>276</v>
      </c>
      <c r="K169">
        <v>0.086710389003333527</v>
      </c>
      <c r="L169" t="s">
        <v>153</v>
      </c>
      <c r="N169" t="s">
        <v>175</v>
      </c>
      <c r="O169" t="s">
        <v>276</v>
      </c>
      <c r="P169">
        <v>0.036974334470526553</v>
      </c>
      <c r="Q169" t="s">
        <v>153</v>
      </c>
      <c r="S169" t="s">
        <v>185</v>
      </c>
      <c r="T169" t="s">
        <v>276</v>
      </c>
      <c r="U169">
        <v>0.022096972038602565</v>
      </c>
      <c r="V169" t="s">
        <v>153</v>
      </c>
      <c r="AC169" t="s">
        <v>19</v>
      </c>
      <c r="AD169" t="s">
        <v>276</v>
      </c>
      <c r="AE169">
        <v>0.037715570796650562</v>
      </c>
      <c r="AK169">
        <v>2035</v>
      </c>
      <c r="AL169" t="s">
        <v>234</v>
      </c>
      <c r="AM169">
        <v>0.47720000000000001</v>
      </c>
      <c r="AN169" t="s">
        <v>195</v>
      </c>
    </row>
    <row r="170" spans="9:40" ht="14.25">
      <c r="I170" t="s">
        <v>165</v>
      </c>
      <c r="J170" t="s">
        <v>277</v>
      </c>
      <c r="K170">
        <v>0.0086352323183772374</v>
      </c>
      <c r="L170" t="s">
        <v>153</v>
      </c>
      <c r="N170" t="s">
        <v>175</v>
      </c>
      <c r="O170" t="s">
        <v>277</v>
      </c>
      <c r="P170">
        <v>0.0061357341585156133</v>
      </c>
      <c r="Q170" t="s">
        <v>153</v>
      </c>
      <c r="S170" t="s">
        <v>185</v>
      </c>
      <c r="T170" t="s">
        <v>277</v>
      </c>
      <c r="U170">
        <v>0.0028430728956630566</v>
      </c>
      <c r="V170" t="s">
        <v>153</v>
      </c>
      <c r="AC170" t="s">
        <v>19</v>
      </c>
      <c r="AD170" t="s">
        <v>277</v>
      </c>
      <c r="AE170">
        <v>0.0047223802708060425</v>
      </c>
      <c r="AK170">
        <v>2035</v>
      </c>
      <c r="AL170" t="s">
        <v>256</v>
      </c>
      <c r="AM170">
        <v>0.4425</v>
      </c>
      <c r="AN170" t="s">
        <v>195</v>
      </c>
    </row>
    <row r="171" spans="9:40" ht="14.25">
      <c r="I171" t="s">
        <v>165</v>
      </c>
      <c r="J171" t="s">
        <v>278</v>
      </c>
      <c r="K171">
        <v>0.0062962017820269679</v>
      </c>
      <c r="L171" t="s">
        <v>153</v>
      </c>
      <c r="N171" t="s">
        <v>175</v>
      </c>
      <c r="O171" t="s">
        <v>278</v>
      </c>
      <c r="P171">
        <v>0.0056499201175869585</v>
      </c>
      <c r="Q171" t="s">
        <v>153</v>
      </c>
      <c r="S171" t="s">
        <v>185</v>
      </c>
      <c r="T171" t="s">
        <v>278</v>
      </c>
      <c r="U171">
        <v>0.0034762981958959722</v>
      </c>
      <c r="V171" t="s">
        <v>153</v>
      </c>
      <c r="AC171" t="s">
        <v>19</v>
      </c>
      <c r="AD171" t="s">
        <v>278</v>
      </c>
      <c r="AE171">
        <v>0.0047211047515222397</v>
      </c>
      <c r="AK171">
        <v>2035</v>
      </c>
      <c r="AL171" t="s">
        <v>257</v>
      </c>
      <c r="AM171">
        <v>0.4425</v>
      </c>
      <c r="AN171" t="s">
        <v>195</v>
      </c>
    </row>
    <row r="172" spans="9:40" ht="14.25">
      <c r="I172" t="s">
        <v>165</v>
      </c>
      <c r="J172" t="s">
        <v>279</v>
      </c>
      <c r="K172">
        <v>0.002872144845196419</v>
      </c>
      <c r="L172" t="s">
        <v>153</v>
      </c>
      <c r="N172" t="s">
        <v>175</v>
      </c>
      <c r="O172" t="s">
        <v>279</v>
      </c>
      <c r="P172">
        <v>0.023398093335603685</v>
      </c>
      <c r="Q172" t="s">
        <v>153</v>
      </c>
      <c r="S172" t="s">
        <v>185</v>
      </c>
      <c r="T172" t="s">
        <v>279</v>
      </c>
      <c r="U172">
        <v>0.024716603792629244</v>
      </c>
      <c r="V172" t="s">
        <v>153</v>
      </c>
      <c r="AC172" t="s">
        <v>19</v>
      </c>
      <c r="AD172" t="s">
        <v>279</v>
      </c>
      <c r="AE172">
        <v>0.028265475737031497</v>
      </c>
      <c r="AK172">
        <v>2035</v>
      </c>
      <c r="AL172" t="s">
        <v>258</v>
      </c>
      <c r="AM172">
        <v>0.42156666666666665</v>
      </c>
      <c r="AN172" t="s">
        <v>195</v>
      </c>
    </row>
    <row r="173" spans="9:40" ht="14.25">
      <c r="I173" t="s">
        <v>165</v>
      </c>
      <c r="J173" t="s">
        <v>280</v>
      </c>
      <c r="K173">
        <v>0.0025716835038357695</v>
      </c>
      <c r="L173" t="s">
        <v>153</v>
      </c>
      <c r="N173" t="s">
        <v>175</v>
      </c>
      <c r="O173" t="s">
        <v>280</v>
      </c>
      <c r="P173">
        <v>0.02574762463182451</v>
      </c>
      <c r="Q173" t="s">
        <v>153</v>
      </c>
      <c r="S173" t="s">
        <v>185</v>
      </c>
      <c r="T173" t="s">
        <v>280</v>
      </c>
      <c r="U173">
        <v>0.020672106278668275</v>
      </c>
      <c r="V173" t="s">
        <v>153</v>
      </c>
      <c r="AC173" t="s">
        <v>19</v>
      </c>
      <c r="AD173" t="s">
        <v>280</v>
      </c>
      <c r="AE173">
        <v>0.043668183690765472</v>
      </c>
      <c r="AK173">
        <v>2035</v>
      </c>
      <c r="AL173" t="s">
        <v>259</v>
      </c>
      <c r="AM173">
        <v>0.36485000000000001</v>
      </c>
      <c r="AN173" t="s">
        <v>195</v>
      </c>
    </row>
    <row r="174" spans="9:40" ht="14.25">
      <c r="I174" t="s">
        <v>165</v>
      </c>
      <c r="J174" t="s">
        <v>281</v>
      </c>
      <c r="K174">
        <v>0.0075231636955652281</v>
      </c>
      <c r="L174" t="s">
        <v>153</v>
      </c>
      <c r="N174" t="s">
        <v>175</v>
      </c>
      <c r="O174" t="s">
        <v>281</v>
      </c>
      <c r="P174">
        <v>0.0032723933630130079</v>
      </c>
      <c r="Q174" t="s">
        <v>153</v>
      </c>
      <c r="S174" t="s">
        <v>185</v>
      </c>
      <c r="T174" t="s">
        <v>281</v>
      </c>
      <c r="U174">
        <v>0.0033330239877901596</v>
      </c>
      <c r="V174" t="s">
        <v>153</v>
      </c>
      <c r="AC174" t="s">
        <v>19</v>
      </c>
      <c r="AD174" t="s">
        <v>281</v>
      </c>
      <c r="AE174">
        <v>0.0062273240053993201</v>
      </c>
      <c r="AK174">
        <v>2035</v>
      </c>
      <c r="AL174" t="s">
        <v>260</v>
      </c>
      <c r="AM174">
        <v>0.36577499999999996</v>
      </c>
      <c r="AN174" t="s">
        <v>195</v>
      </c>
    </row>
    <row r="175" spans="9:40" ht="14.25">
      <c r="I175" t="s">
        <v>165</v>
      </c>
      <c r="J175" t="s">
        <v>282</v>
      </c>
      <c r="K175">
        <v>0.11941029645210023</v>
      </c>
      <c r="L175" t="s">
        <v>153</v>
      </c>
      <c r="N175" t="s">
        <v>175</v>
      </c>
      <c r="O175" t="s">
        <v>282</v>
      </c>
      <c r="P175">
        <v>0.031895906710493839</v>
      </c>
      <c r="Q175" t="s">
        <v>153</v>
      </c>
      <c r="S175" t="s">
        <v>185</v>
      </c>
      <c r="T175" t="s">
        <v>282</v>
      </c>
      <c r="U175">
        <v>0.02070431974929186</v>
      </c>
      <c r="V175" t="s">
        <v>153</v>
      </c>
      <c r="AC175" t="s">
        <v>19</v>
      </c>
      <c r="AD175" t="s">
        <v>282</v>
      </c>
      <c r="AE175">
        <v>0.050587003309351807</v>
      </c>
      <c r="AK175">
        <v>2035</v>
      </c>
      <c r="AL175" t="s">
        <v>261</v>
      </c>
      <c r="AM175">
        <v>0.36630000000000001</v>
      </c>
      <c r="AN175" t="s">
        <v>195</v>
      </c>
    </row>
    <row r="176" spans="9:40" ht="14.25">
      <c r="I176" t="s">
        <v>165</v>
      </c>
      <c r="J176" t="s">
        <v>283</v>
      </c>
      <c r="K176">
        <v>0.011936539467601323</v>
      </c>
      <c r="L176" t="s">
        <v>153</v>
      </c>
      <c r="N176" t="s">
        <v>175</v>
      </c>
      <c r="O176" t="s">
        <v>283</v>
      </c>
      <c r="P176">
        <v>0.0075286175398896447</v>
      </c>
      <c r="Q176" t="s">
        <v>153</v>
      </c>
      <c r="S176" t="s">
        <v>185</v>
      </c>
      <c r="T176" t="s">
        <v>283</v>
      </c>
      <c r="U176">
        <v>0.0023052059789012607</v>
      </c>
      <c r="V176" t="s">
        <v>153</v>
      </c>
      <c r="AC176" t="s">
        <v>19</v>
      </c>
      <c r="AD176" t="s">
        <v>283</v>
      </c>
      <c r="AE176">
        <v>0.0063347780306529551</v>
      </c>
      <c r="AK176">
        <v>2036</v>
      </c>
      <c r="AL176" t="s">
        <v>141</v>
      </c>
      <c r="AM176">
        <v>0.28370000000000001</v>
      </c>
      <c r="AN176" t="s">
        <v>195</v>
      </c>
    </row>
    <row r="177" spans="9:40" ht="14.25">
      <c r="I177" t="s">
        <v>165</v>
      </c>
      <c r="J177" t="s">
        <v>284</v>
      </c>
      <c r="K177">
        <v>0.0080532765768954167</v>
      </c>
      <c r="L177" t="s">
        <v>153</v>
      </c>
      <c r="N177" t="s">
        <v>175</v>
      </c>
      <c r="O177" t="s">
        <v>284</v>
      </c>
      <c r="P177">
        <v>0.0075822807411982177</v>
      </c>
      <c r="Q177" t="s">
        <v>153</v>
      </c>
      <c r="S177" t="s">
        <v>185</v>
      </c>
      <c r="T177" t="s">
        <v>284</v>
      </c>
      <c r="U177">
        <v>0.0025151543129466221</v>
      </c>
      <c r="V177" t="s">
        <v>153</v>
      </c>
      <c r="AC177" t="s">
        <v>19</v>
      </c>
      <c r="AD177" t="s">
        <v>284</v>
      </c>
      <c r="AE177">
        <v>0.0063326192360564507</v>
      </c>
      <c r="AK177">
        <v>2036</v>
      </c>
      <c r="AL177" t="s">
        <v>145</v>
      </c>
      <c r="AM177">
        <v>0.29039999999999999</v>
      </c>
      <c r="AN177" t="s">
        <v>195</v>
      </c>
    </row>
    <row r="178" spans="9:40" ht="14.25">
      <c r="I178" t="s">
        <v>165</v>
      </c>
      <c r="J178" t="s">
        <v>285</v>
      </c>
      <c r="K178">
        <v>0.0025517712223620871</v>
      </c>
      <c r="L178" t="s">
        <v>153</v>
      </c>
      <c r="N178" t="s">
        <v>175</v>
      </c>
      <c r="O178" t="s">
        <v>285</v>
      </c>
      <c r="P178">
        <v>0.034030711197231132</v>
      </c>
      <c r="Q178" t="s">
        <v>153</v>
      </c>
      <c r="S178" t="s">
        <v>185</v>
      </c>
      <c r="T178" t="s">
        <v>285</v>
      </c>
      <c r="U178">
        <v>0.016994416223087918</v>
      </c>
      <c r="V178" t="s">
        <v>153</v>
      </c>
      <c r="AC178" t="s">
        <v>19</v>
      </c>
      <c r="AD178" t="s">
        <v>285</v>
      </c>
      <c r="AE178">
        <v>0.037915298622737528</v>
      </c>
      <c r="AK178">
        <v>2036</v>
      </c>
      <c r="AL178" t="s">
        <v>147</v>
      </c>
      <c r="AM178">
        <v>0.29709999999999998</v>
      </c>
      <c r="AN178" t="s">
        <v>195</v>
      </c>
    </row>
    <row r="179" spans="9:40" ht="14.25">
      <c r="I179" t="s">
        <v>165</v>
      </c>
      <c r="J179" t="s">
        <v>286</v>
      </c>
      <c r="K179">
        <v>3.5236410849836736E-05</v>
      </c>
      <c r="L179" t="s">
        <v>153</v>
      </c>
      <c r="N179" t="s">
        <v>175</v>
      </c>
      <c r="O179" t="s">
        <v>286</v>
      </c>
      <c r="P179">
        <v>0.048225861153142646</v>
      </c>
      <c r="Q179" t="s">
        <v>153</v>
      </c>
      <c r="S179" t="s">
        <v>185</v>
      </c>
      <c r="T179" t="s">
        <v>286</v>
      </c>
      <c r="U179">
        <v>0.050878729172670334</v>
      </c>
      <c r="V179" t="s">
        <v>153</v>
      </c>
      <c r="AC179" t="s">
        <v>19</v>
      </c>
      <c r="AD179" t="s">
        <v>286</v>
      </c>
      <c r="AE179">
        <v>0.062105815105182795</v>
      </c>
      <c r="AK179">
        <v>2036</v>
      </c>
      <c r="AL179" t="s">
        <v>149</v>
      </c>
      <c r="AM179">
        <v>0.31884999999999997</v>
      </c>
      <c r="AN179" t="s">
        <v>195</v>
      </c>
    </row>
    <row r="180" spans="9:40" ht="14.25">
      <c r="I180" t="s">
        <v>165</v>
      </c>
      <c r="J180" t="s">
        <v>287</v>
      </c>
      <c r="K180">
        <v>0.010751313415965778</v>
      </c>
      <c r="L180" t="s">
        <v>153</v>
      </c>
      <c r="N180" t="s">
        <v>175</v>
      </c>
      <c r="O180" t="s">
        <v>287</v>
      </c>
      <c r="P180">
        <v>0.0064783948072885157</v>
      </c>
      <c r="Q180" t="s">
        <v>153</v>
      </c>
      <c r="S180" t="s">
        <v>185</v>
      </c>
      <c r="T180" t="s">
        <v>287</v>
      </c>
      <c r="U180">
        <v>0.0063038697009425134</v>
      </c>
      <c r="V180" t="s">
        <v>153</v>
      </c>
      <c r="AC180" t="s">
        <v>19</v>
      </c>
      <c r="AD180" t="s">
        <v>287</v>
      </c>
      <c r="AE180">
        <v>0.0089067801599600187</v>
      </c>
      <c r="AK180">
        <v>2036</v>
      </c>
      <c r="AL180" t="s">
        <v>198</v>
      </c>
      <c r="AM180">
        <v>0.34060000000000001</v>
      </c>
      <c r="AN180" t="s">
        <v>195</v>
      </c>
    </row>
    <row r="181" spans="9:40" ht="14.25">
      <c r="I181" t="s">
        <v>165</v>
      </c>
      <c r="J181" t="s">
        <v>288</v>
      </c>
      <c r="K181">
        <v>0.16788630581344516</v>
      </c>
      <c r="L181" t="s">
        <v>153</v>
      </c>
      <c r="N181" t="s">
        <v>175</v>
      </c>
      <c r="O181" t="s">
        <v>288</v>
      </c>
      <c r="P181">
        <v>0.044853351552599278</v>
      </c>
      <c r="Q181" t="s">
        <v>153</v>
      </c>
      <c r="S181" t="s">
        <v>185</v>
      </c>
      <c r="T181" t="s">
        <v>288</v>
      </c>
      <c r="U181">
        <v>0.047857418887791187</v>
      </c>
      <c r="V181" t="s">
        <v>153</v>
      </c>
      <c r="AC181" t="s">
        <v>19</v>
      </c>
      <c r="AD181" t="s">
        <v>288</v>
      </c>
      <c r="AE181">
        <v>0.072587669816920553</v>
      </c>
      <c r="AK181">
        <v>2036</v>
      </c>
      <c r="AL181" t="s">
        <v>216</v>
      </c>
      <c r="AM181">
        <v>0.34060000000000001</v>
      </c>
      <c r="AN181" t="s">
        <v>195</v>
      </c>
    </row>
    <row r="182" spans="9:40" ht="14.25">
      <c r="I182" t="s">
        <v>165</v>
      </c>
      <c r="J182" t="s">
        <v>289</v>
      </c>
      <c r="K182">
        <v>0.015911527907671724</v>
      </c>
      <c r="L182" t="s">
        <v>153</v>
      </c>
      <c r="N182" t="s">
        <v>175</v>
      </c>
      <c r="O182" t="s">
        <v>289</v>
      </c>
      <c r="P182">
        <v>0.0062738063326468665</v>
      </c>
      <c r="Q182" t="s">
        <v>153</v>
      </c>
      <c r="S182" t="s">
        <v>185</v>
      </c>
      <c r="T182" t="s">
        <v>289</v>
      </c>
      <c r="U182">
        <v>0.0065742512832928091</v>
      </c>
      <c r="V182" t="s">
        <v>153</v>
      </c>
      <c r="AC182" t="s">
        <v>19</v>
      </c>
      <c r="AD182" t="s">
        <v>289</v>
      </c>
      <c r="AE182">
        <v>0.0090973395448982284</v>
      </c>
      <c r="AK182">
        <v>2036</v>
      </c>
      <c r="AL182" t="s">
        <v>232</v>
      </c>
      <c r="AM182">
        <v>0.36609999999999998</v>
      </c>
      <c r="AN182" t="s">
        <v>195</v>
      </c>
    </row>
    <row r="183" spans="9:40" ht="14.25">
      <c r="I183" t="s">
        <v>165</v>
      </c>
      <c r="J183" t="s">
        <v>290</v>
      </c>
      <c r="K183">
        <v>0.0090756116502211312</v>
      </c>
      <c r="L183" t="s">
        <v>153</v>
      </c>
      <c r="N183" t="s">
        <v>175</v>
      </c>
      <c r="O183" t="s">
        <v>290</v>
      </c>
      <c r="P183">
        <v>0.0068814207174220073</v>
      </c>
      <c r="Q183" t="s">
        <v>153</v>
      </c>
      <c r="S183" t="s">
        <v>185</v>
      </c>
      <c r="T183" t="s">
        <v>290</v>
      </c>
      <c r="U183">
        <v>0.0068970963921550325</v>
      </c>
      <c r="V183" t="s">
        <v>153</v>
      </c>
      <c r="AC183" t="s">
        <v>19</v>
      </c>
      <c r="AD183" t="s">
        <v>290</v>
      </c>
      <c r="AE183">
        <v>0.0091045166410657491</v>
      </c>
      <c r="AK183">
        <v>2036</v>
      </c>
      <c r="AL183" t="s">
        <v>233</v>
      </c>
      <c r="AM183">
        <v>0.41605000000000003</v>
      </c>
      <c r="AN183" t="s">
        <v>195</v>
      </c>
    </row>
    <row r="184" spans="9:40" ht="14.25">
      <c r="I184" t="s">
        <v>165</v>
      </c>
      <c r="J184" t="s">
        <v>291</v>
      </c>
      <c r="K184">
        <v>0</v>
      </c>
      <c r="L184" t="s">
        <v>153</v>
      </c>
      <c r="N184" t="s">
        <v>175</v>
      </c>
      <c r="O184" t="s">
        <v>291</v>
      </c>
      <c r="P184">
        <v>0.043176522269542203</v>
      </c>
      <c r="Q184" t="s">
        <v>153</v>
      </c>
      <c r="S184" t="s">
        <v>185</v>
      </c>
      <c r="T184" t="s">
        <v>291</v>
      </c>
      <c r="U184">
        <v>0.044073022483804562</v>
      </c>
      <c r="V184" t="s">
        <v>153</v>
      </c>
      <c r="AC184" t="s">
        <v>19</v>
      </c>
      <c r="AD184" t="s">
        <v>291</v>
      </c>
      <c r="AE184">
        <v>0.054452663625675808</v>
      </c>
      <c r="AK184">
        <v>2036</v>
      </c>
      <c r="AL184" t="s">
        <v>234</v>
      </c>
      <c r="AM184">
        <v>0.42754999999999999</v>
      </c>
      <c r="AN184" t="s">
        <v>195</v>
      </c>
    </row>
    <row r="185" spans="9:40" ht="14.25">
      <c r="I185" t="s">
        <v>165</v>
      </c>
      <c r="J185" t="s">
        <v>292</v>
      </c>
      <c r="K185">
        <v>0</v>
      </c>
      <c r="L185" t="s">
        <v>153</v>
      </c>
      <c r="N185" t="s">
        <v>175</v>
      </c>
      <c r="O185" t="s">
        <v>292</v>
      </c>
      <c r="P185">
        <v>0.019899868043976827</v>
      </c>
      <c r="Q185" t="s">
        <v>153</v>
      </c>
      <c r="S185" t="s">
        <v>185</v>
      </c>
      <c r="T185" t="s">
        <v>292</v>
      </c>
      <c r="U185">
        <v>0.023077303065438273</v>
      </c>
      <c r="V185" t="s">
        <v>153</v>
      </c>
      <c r="AC185" t="s">
        <v>19</v>
      </c>
      <c r="AD185" t="s">
        <v>292</v>
      </c>
      <c r="AE185">
        <v>0.013381722533679332</v>
      </c>
      <c r="AK185">
        <v>2036</v>
      </c>
      <c r="AL185" t="s">
        <v>256</v>
      </c>
      <c r="AM185">
        <v>0.41460000000000002</v>
      </c>
      <c r="AN185" t="s">
        <v>195</v>
      </c>
    </row>
    <row r="186" spans="9:40" ht="14.25">
      <c r="I186" t="s">
        <v>165</v>
      </c>
      <c r="J186" t="s">
        <v>293</v>
      </c>
      <c r="K186">
        <v>0.0018602290983071299</v>
      </c>
      <c r="L186" t="s">
        <v>153</v>
      </c>
      <c r="N186" t="s">
        <v>175</v>
      </c>
      <c r="O186" t="s">
        <v>293</v>
      </c>
      <c r="P186">
        <v>0.0030417920907023057</v>
      </c>
      <c r="Q186" t="s">
        <v>153</v>
      </c>
      <c r="S186" t="s">
        <v>185</v>
      </c>
      <c r="T186" t="s">
        <v>293</v>
      </c>
      <c r="U186">
        <v>0.0037450074349188044</v>
      </c>
      <c r="V186" t="s">
        <v>153</v>
      </c>
      <c r="AC186" t="s">
        <v>19</v>
      </c>
      <c r="AD186" t="s">
        <v>293</v>
      </c>
      <c r="AE186">
        <v>0.0019349740779095494</v>
      </c>
      <c r="AK186">
        <v>2036</v>
      </c>
      <c r="AL186" t="s">
        <v>257</v>
      </c>
      <c r="AM186">
        <v>0.41460000000000002</v>
      </c>
      <c r="AN186" t="s">
        <v>195</v>
      </c>
    </row>
    <row r="187" spans="9:40" ht="14.25">
      <c r="I187" t="s">
        <v>165</v>
      </c>
      <c r="J187" t="s">
        <v>294</v>
      </c>
      <c r="K187">
        <v>0.0347723927324309</v>
      </c>
      <c r="L187" t="s">
        <v>153</v>
      </c>
      <c r="N187" t="s">
        <v>175</v>
      </c>
      <c r="O187" t="s">
        <v>294</v>
      </c>
      <c r="P187">
        <v>0.021957041171948518</v>
      </c>
      <c r="Q187" t="s">
        <v>153</v>
      </c>
      <c r="S187" t="s">
        <v>185</v>
      </c>
      <c r="T187" t="s">
        <v>294</v>
      </c>
      <c r="U187">
        <v>0.028905821212674716</v>
      </c>
      <c r="V187" t="s">
        <v>153</v>
      </c>
      <c r="AC187" t="s">
        <v>19</v>
      </c>
      <c r="AD187" t="s">
        <v>294</v>
      </c>
      <c r="AE187">
        <v>0.015589939572879779</v>
      </c>
      <c r="AK187">
        <v>2036</v>
      </c>
      <c r="AL187" t="s">
        <v>258</v>
      </c>
      <c r="AM187">
        <v>0.37820000000000004</v>
      </c>
      <c r="AN187" t="s">
        <v>195</v>
      </c>
    </row>
    <row r="188" spans="9:40" ht="14.25">
      <c r="I188" t="s">
        <v>165</v>
      </c>
      <c r="J188" t="s">
        <v>295</v>
      </c>
      <c r="K188">
        <v>0.0035351448363540681</v>
      </c>
      <c r="L188" t="s">
        <v>153</v>
      </c>
      <c r="N188" t="s">
        <v>175</v>
      </c>
      <c r="O188" t="s">
        <v>295</v>
      </c>
      <c r="P188">
        <v>0.0027347102133329598</v>
      </c>
      <c r="Q188" t="s">
        <v>153</v>
      </c>
      <c r="S188" t="s">
        <v>185</v>
      </c>
      <c r="T188" t="s">
        <v>295</v>
      </c>
      <c r="U188">
        <v>0.0031865558549760424</v>
      </c>
      <c r="V188" t="s">
        <v>153</v>
      </c>
      <c r="AC188" t="s">
        <v>19</v>
      </c>
      <c r="AD188" t="s">
        <v>295</v>
      </c>
      <c r="AE188">
        <v>0.0019509732736641332</v>
      </c>
      <c r="AK188">
        <v>2036</v>
      </c>
      <c r="AL188" t="s">
        <v>259</v>
      </c>
      <c r="AM188">
        <v>0.35065000000000002</v>
      </c>
      <c r="AN188" t="s">
        <v>195</v>
      </c>
    </row>
    <row r="189" spans="9:40" ht="14.25">
      <c r="I189" t="s">
        <v>165</v>
      </c>
      <c r="J189" t="s">
        <v>296</v>
      </c>
      <c r="K189">
        <v>0.0019988751437695906</v>
      </c>
      <c r="L189" t="s">
        <v>153</v>
      </c>
      <c r="N189" t="s">
        <v>175</v>
      </c>
      <c r="O189" t="s">
        <v>296</v>
      </c>
      <c r="P189">
        <v>0.0026410656059615801</v>
      </c>
      <c r="Q189" t="s">
        <v>153</v>
      </c>
      <c r="S189" t="s">
        <v>185</v>
      </c>
      <c r="T189" t="s">
        <v>296</v>
      </c>
      <c r="U189">
        <v>0.0030708615041492495</v>
      </c>
      <c r="V189" t="s">
        <v>153</v>
      </c>
      <c r="AC189" t="s">
        <v>19</v>
      </c>
      <c r="AD189" t="s">
        <v>296</v>
      </c>
      <c r="AE189">
        <v>0.0019550719810362328</v>
      </c>
      <c r="AK189">
        <v>2036</v>
      </c>
      <c r="AL189" t="s">
        <v>260</v>
      </c>
      <c r="AM189">
        <v>0.30602499999999999</v>
      </c>
      <c r="AN189" t="s">
        <v>195</v>
      </c>
    </row>
    <row r="190" spans="9:40" ht="14.25">
      <c r="I190" t="s">
        <v>165</v>
      </c>
      <c r="J190" t="s">
        <v>297</v>
      </c>
      <c r="K190">
        <v>0</v>
      </c>
      <c r="L190" t="s">
        <v>153</v>
      </c>
      <c r="N190" t="s">
        <v>175</v>
      </c>
      <c r="O190" t="s">
        <v>297</v>
      </c>
      <c r="P190">
        <v>0.015579387057039804</v>
      </c>
      <c r="Q190" t="s">
        <v>153</v>
      </c>
      <c r="S190" t="s">
        <v>185</v>
      </c>
      <c r="T190" t="s">
        <v>297</v>
      </c>
      <c r="U190">
        <v>0.01815866020164093</v>
      </c>
      <c r="V190" t="s">
        <v>153</v>
      </c>
      <c r="AC190" t="s">
        <v>19</v>
      </c>
      <c r="AD190" t="s">
        <v>297</v>
      </c>
      <c r="AE190">
        <v>0.011681070161587483</v>
      </c>
      <c r="AK190">
        <v>2036</v>
      </c>
      <c r="AL190" t="s">
        <v>261</v>
      </c>
      <c r="AM190">
        <v>0.3306</v>
      </c>
      <c r="AN190" t="s">
        <v>195</v>
      </c>
    </row>
    <row r="191" spans="9:40" ht="14.25">
      <c r="I191" t="s">
        <v>166</v>
      </c>
      <c r="J191" t="s">
        <v>152</v>
      </c>
      <c r="K191">
        <v>0</v>
      </c>
      <c r="L191" t="s">
        <v>153</v>
      </c>
      <c r="N191" t="s">
        <v>176</v>
      </c>
      <c r="O191" t="s">
        <v>152</v>
      </c>
      <c r="P191">
        <v>0.0029982892223411285</v>
      </c>
      <c r="Q191" t="s">
        <v>153</v>
      </c>
      <c r="AK191">
        <v>2037</v>
      </c>
      <c r="AL191" t="s">
        <v>141</v>
      </c>
      <c r="AM191">
        <v>0.32519999999999999</v>
      </c>
      <c r="AN191" t="s">
        <v>195</v>
      </c>
    </row>
    <row r="192" spans="9:40" ht="14.25">
      <c r="I192" t="s">
        <v>166</v>
      </c>
      <c r="J192" t="s">
        <v>154</v>
      </c>
      <c r="K192">
        <v>0.00066523709985895547</v>
      </c>
      <c r="L192" t="s">
        <v>153</v>
      </c>
      <c r="N192" t="s">
        <v>176</v>
      </c>
      <c r="O192" t="s">
        <v>154</v>
      </c>
      <c r="P192">
        <v>0.00033102716916862004</v>
      </c>
      <c r="Q192" t="s">
        <v>153</v>
      </c>
      <c r="AK192">
        <v>2037</v>
      </c>
      <c r="AL192" t="s">
        <v>145</v>
      </c>
      <c r="AM192">
        <v>0.31469999999999998</v>
      </c>
      <c r="AN192" t="s">
        <v>195</v>
      </c>
    </row>
    <row r="193" spans="9:40" ht="14.25">
      <c r="I193" t="s">
        <v>166</v>
      </c>
      <c r="J193" t="s">
        <v>155</v>
      </c>
      <c r="K193">
        <v>0.012717815527225645</v>
      </c>
      <c r="L193" t="s">
        <v>153</v>
      </c>
      <c r="N193" t="s">
        <v>176</v>
      </c>
      <c r="O193" t="s">
        <v>155</v>
      </c>
      <c r="P193">
        <v>0.0020142499571041924</v>
      </c>
      <c r="Q193" t="s">
        <v>153</v>
      </c>
      <c r="AK193">
        <v>2037</v>
      </c>
      <c r="AL193" t="s">
        <v>147</v>
      </c>
      <c r="AM193">
        <v>0.30420000000000003</v>
      </c>
      <c r="AN193" t="s">
        <v>195</v>
      </c>
    </row>
    <row r="194" spans="9:40" ht="14.25">
      <c r="I194" t="s">
        <v>166</v>
      </c>
      <c r="J194" t="s">
        <v>200</v>
      </c>
      <c r="K194">
        <v>0.0013053131173750225</v>
      </c>
      <c r="L194" t="s">
        <v>153</v>
      </c>
      <c r="N194" t="s">
        <v>176</v>
      </c>
      <c r="O194" t="s">
        <v>200</v>
      </c>
      <c r="P194">
        <v>0.00049317674909242146</v>
      </c>
      <c r="Q194" t="s">
        <v>153</v>
      </c>
      <c r="AK194">
        <v>2037</v>
      </c>
      <c r="AL194" t="s">
        <v>149</v>
      </c>
      <c r="AM194">
        <v>0.31910000000000005</v>
      </c>
      <c r="AN194" t="s">
        <v>195</v>
      </c>
    </row>
    <row r="195" spans="9:40" ht="14.25">
      <c r="I195" t="s">
        <v>166</v>
      </c>
      <c r="J195" t="s">
        <v>201</v>
      </c>
      <c r="K195">
        <v>0.00071717615811211664</v>
      </c>
      <c r="L195" t="s">
        <v>153</v>
      </c>
      <c r="N195" t="s">
        <v>176</v>
      </c>
      <c r="O195" t="s">
        <v>201</v>
      </c>
      <c r="P195">
        <v>0.00054708693157855335</v>
      </c>
      <c r="Q195" t="s">
        <v>153</v>
      </c>
      <c r="AK195">
        <v>2037</v>
      </c>
      <c r="AL195" t="s">
        <v>198</v>
      </c>
      <c r="AM195">
        <v>0.33400000000000002</v>
      </c>
      <c r="AN195" t="s">
        <v>195</v>
      </c>
    </row>
    <row r="196" spans="9:40" ht="14.25">
      <c r="I196" t="s">
        <v>166</v>
      </c>
      <c r="J196" t="s">
        <v>218</v>
      </c>
      <c r="K196">
        <v>0</v>
      </c>
      <c r="L196" t="s">
        <v>153</v>
      </c>
      <c r="N196" t="s">
        <v>176</v>
      </c>
      <c r="O196" t="s">
        <v>218</v>
      </c>
      <c r="P196">
        <v>0.0038986394066436226</v>
      </c>
      <c r="Q196" t="s">
        <v>153</v>
      </c>
      <c r="AK196">
        <v>2037</v>
      </c>
      <c r="AL196" t="s">
        <v>216</v>
      </c>
      <c r="AM196">
        <v>0.33400000000000002</v>
      </c>
      <c r="AN196" t="s">
        <v>195</v>
      </c>
    </row>
    <row r="197" spans="9:40" ht="14.25">
      <c r="I197" t="s">
        <v>166</v>
      </c>
      <c r="J197" t="s">
        <v>156</v>
      </c>
      <c r="K197">
        <v>0</v>
      </c>
      <c r="L197" t="s">
        <v>153</v>
      </c>
      <c r="N197" t="s">
        <v>176</v>
      </c>
      <c r="O197" t="s">
        <v>156</v>
      </c>
      <c r="P197">
        <v>0.035873388290415135</v>
      </c>
      <c r="Q197" t="s">
        <v>153</v>
      </c>
      <c r="AK197">
        <v>2037</v>
      </c>
      <c r="AL197" t="s">
        <v>232</v>
      </c>
      <c r="AM197">
        <v>0.36430000000000001</v>
      </c>
      <c r="AN197" t="s">
        <v>195</v>
      </c>
    </row>
    <row r="198" spans="9:40" ht="14.25">
      <c r="I198" t="s">
        <v>166</v>
      </c>
      <c r="J198" t="s">
        <v>157</v>
      </c>
      <c r="K198">
        <v>0.0029245844980125353</v>
      </c>
      <c r="L198" t="s">
        <v>153</v>
      </c>
      <c r="N198" t="s">
        <v>176</v>
      </c>
      <c r="O198" t="s">
        <v>157</v>
      </c>
      <c r="P198">
        <v>0.005084754495342507</v>
      </c>
      <c r="Q198" t="s">
        <v>153</v>
      </c>
      <c r="AK198">
        <v>2037</v>
      </c>
      <c r="AL198" t="s">
        <v>233</v>
      </c>
      <c r="AM198">
        <v>0.41925000000000001</v>
      </c>
      <c r="AN198" t="s">
        <v>195</v>
      </c>
    </row>
    <row r="199" spans="9:40" ht="14.25">
      <c r="I199" t="s">
        <v>166</v>
      </c>
      <c r="J199" t="s">
        <v>158</v>
      </c>
      <c r="K199">
        <v>0.060549197177267866</v>
      </c>
      <c r="L199" t="s">
        <v>153</v>
      </c>
      <c r="N199" t="s">
        <v>176</v>
      </c>
      <c r="O199" t="s">
        <v>158</v>
      </c>
      <c r="P199">
        <v>0.034756311368943686</v>
      </c>
      <c r="Q199" t="s">
        <v>153</v>
      </c>
      <c r="AK199">
        <v>2037</v>
      </c>
      <c r="AL199" t="s">
        <v>234</v>
      </c>
      <c r="AM199">
        <v>0.44369999999999998</v>
      </c>
      <c r="AN199" t="s">
        <v>195</v>
      </c>
    </row>
    <row r="200" spans="9:40" ht="14.25">
      <c r="I200" t="s">
        <v>166</v>
      </c>
      <c r="J200" t="s">
        <v>202</v>
      </c>
      <c r="K200">
        <v>0.0063694652066651862</v>
      </c>
      <c r="L200" t="s">
        <v>153</v>
      </c>
      <c r="N200" t="s">
        <v>176</v>
      </c>
      <c r="O200" t="s">
        <v>202</v>
      </c>
      <c r="P200">
        <v>0.0039706338807455662</v>
      </c>
      <c r="Q200" t="s">
        <v>153</v>
      </c>
      <c r="AK200">
        <v>2037</v>
      </c>
      <c r="AL200" t="s">
        <v>256</v>
      </c>
      <c r="AM200">
        <v>0.44350000000000001</v>
      </c>
      <c r="AN200" t="s">
        <v>195</v>
      </c>
    </row>
    <row r="201" spans="9:40" ht="14.25">
      <c r="I201" t="s">
        <v>166</v>
      </c>
      <c r="J201" t="s">
        <v>203</v>
      </c>
      <c r="K201">
        <v>0.003596859524537113</v>
      </c>
      <c r="L201" t="s">
        <v>153</v>
      </c>
      <c r="N201" t="s">
        <v>176</v>
      </c>
      <c r="O201" t="s">
        <v>203</v>
      </c>
      <c r="P201">
        <v>0.0038931582550589187</v>
      </c>
      <c r="Q201" t="s">
        <v>153</v>
      </c>
      <c r="AK201">
        <v>2037</v>
      </c>
      <c r="AL201" t="s">
        <v>257</v>
      </c>
      <c r="AM201">
        <v>0.44350000000000001</v>
      </c>
      <c r="AN201" t="s">
        <v>195</v>
      </c>
    </row>
    <row r="202" spans="9:40" ht="14.25">
      <c r="I202" t="s">
        <v>166</v>
      </c>
      <c r="J202" t="s">
        <v>219</v>
      </c>
      <c r="K202">
        <v>0</v>
      </c>
      <c r="L202" t="s">
        <v>153</v>
      </c>
      <c r="N202" t="s">
        <v>176</v>
      </c>
      <c r="O202" t="s">
        <v>219</v>
      </c>
      <c r="P202">
        <v>0.028298426650028834</v>
      </c>
      <c r="Q202" t="s">
        <v>153</v>
      </c>
      <c r="AK202">
        <v>2037</v>
      </c>
      <c r="AL202" t="s">
        <v>258</v>
      </c>
      <c r="AM202">
        <v>0.39666666666666667</v>
      </c>
      <c r="AN202" t="s">
        <v>195</v>
      </c>
    </row>
    <row r="203" spans="9:40" ht="14.25">
      <c r="I203" t="s">
        <v>166</v>
      </c>
      <c r="J203" t="s">
        <v>159</v>
      </c>
      <c r="K203">
        <v>0</v>
      </c>
      <c r="L203" t="s">
        <v>153</v>
      </c>
      <c r="N203" t="s">
        <v>176</v>
      </c>
      <c r="O203" t="s">
        <v>159</v>
      </c>
      <c r="P203">
        <v>0.01319485436151395</v>
      </c>
      <c r="Q203" t="s">
        <v>153</v>
      </c>
      <c r="AK203">
        <v>2037</v>
      </c>
      <c r="AL203" t="s">
        <v>259</v>
      </c>
      <c r="AM203">
        <v>0.33255000000000001</v>
      </c>
      <c r="AN203" t="s">
        <v>195</v>
      </c>
    </row>
    <row r="204" spans="9:40" ht="14.25">
      <c r="I204" t="s">
        <v>166</v>
      </c>
      <c r="J204" t="s">
        <v>160</v>
      </c>
      <c r="K204">
        <v>0.0018606690783385654</v>
      </c>
      <c r="L204" t="s">
        <v>153</v>
      </c>
      <c r="N204" t="s">
        <v>176</v>
      </c>
      <c r="O204" t="s">
        <v>160</v>
      </c>
      <c r="P204">
        <v>0.0015173798419230336</v>
      </c>
      <c r="Q204" t="s">
        <v>153</v>
      </c>
      <c r="AK204">
        <v>2037</v>
      </c>
      <c r="AL204" t="s">
        <v>260</v>
      </c>
      <c r="AM204">
        <v>0.30232500000000001</v>
      </c>
      <c r="AN204" t="s">
        <v>195</v>
      </c>
    </row>
    <row r="205" spans="9:40" ht="14.25">
      <c r="I205" t="s">
        <v>166</v>
      </c>
      <c r="J205" t="s">
        <v>161</v>
      </c>
      <c r="K205">
        <v>0.041411331782077822</v>
      </c>
      <c r="L205" t="s">
        <v>153</v>
      </c>
      <c r="N205" t="s">
        <v>176</v>
      </c>
      <c r="O205" t="s">
        <v>161</v>
      </c>
      <c r="P205">
        <v>0.0080994225445874413</v>
      </c>
      <c r="Q205" t="s">
        <v>153</v>
      </c>
      <c r="AK205">
        <v>2037</v>
      </c>
      <c r="AL205" t="s">
        <v>261</v>
      </c>
      <c r="AM205">
        <v>0.30159999999999998</v>
      </c>
      <c r="AN205" t="s">
        <v>195</v>
      </c>
    </row>
    <row r="206" spans="9:40" ht="14.25">
      <c r="I206" t="s">
        <v>166</v>
      </c>
      <c r="J206" t="s">
        <v>204</v>
      </c>
      <c r="K206">
        <v>0.0047713761221027766</v>
      </c>
      <c r="L206" t="s">
        <v>153</v>
      </c>
      <c r="N206" t="s">
        <v>176</v>
      </c>
      <c r="O206" t="s">
        <v>204</v>
      </c>
      <c r="P206">
        <v>0.0011374695638462456</v>
      </c>
      <c r="Q206" t="s">
        <v>153</v>
      </c>
      <c r="AK206">
        <v>2038</v>
      </c>
      <c r="AL206" t="s">
        <v>141</v>
      </c>
      <c r="AM206">
        <v>0.32719999999999999</v>
      </c>
      <c r="AN206" t="s">
        <v>195</v>
      </c>
    </row>
    <row r="207" spans="9:40" ht="14.25">
      <c r="I207" t="s">
        <v>166</v>
      </c>
      <c r="J207" t="s">
        <v>205</v>
      </c>
      <c r="K207">
        <v>0.0030721907625237085</v>
      </c>
      <c r="L207" t="s">
        <v>153</v>
      </c>
      <c r="N207" t="s">
        <v>176</v>
      </c>
      <c r="O207" t="s">
        <v>205</v>
      </c>
      <c r="P207">
        <v>0.0012104915174564472</v>
      </c>
      <c r="Q207" t="s">
        <v>153</v>
      </c>
      <c r="AK207">
        <v>2038</v>
      </c>
      <c r="AL207" t="s">
        <v>145</v>
      </c>
      <c r="AM207">
        <v>0.32955000000000001</v>
      </c>
      <c r="AN207" t="s">
        <v>195</v>
      </c>
    </row>
    <row r="208" spans="9:40" ht="14.25">
      <c r="I208" t="s">
        <v>166</v>
      </c>
      <c r="J208" t="s">
        <v>220</v>
      </c>
      <c r="K208">
        <v>0</v>
      </c>
      <c r="L208" t="s">
        <v>153</v>
      </c>
      <c r="N208" t="s">
        <v>176</v>
      </c>
      <c r="O208" t="s">
        <v>220</v>
      </c>
      <c r="P208">
        <v>0.01216886719616741</v>
      </c>
      <c r="Q208" t="s">
        <v>153</v>
      </c>
      <c r="AK208">
        <v>2038</v>
      </c>
      <c r="AL208" t="s">
        <v>147</v>
      </c>
      <c r="AM208">
        <v>0.33189999999999997</v>
      </c>
      <c r="AN208" t="s">
        <v>195</v>
      </c>
    </row>
    <row r="209" spans="9:40" ht="14.25">
      <c r="I209" t="s">
        <v>166</v>
      </c>
      <c r="J209" t="s">
        <v>162</v>
      </c>
      <c r="K209">
        <v>0</v>
      </c>
      <c r="L209" t="s">
        <v>153</v>
      </c>
      <c r="N209" t="s">
        <v>176</v>
      </c>
      <c r="O209" t="s">
        <v>162</v>
      </c>
      <c r="P209">
        <v>0.0073426077829406057</v>
      </c>
      <c r="Q209" t="s">
        <v>153</v>
      </c>
      <c r="AK209">
        <v>2038</v>
      </c>
      <c r="AL209" t="s">
        <v>149</v>
      </c>
      <c r="AM209">
        <v>0.34384999999999999</v>
      </c>
      <c r="AN209" t="s">
        <v>195</v>
      </c>
    </row>
    <row r="210" spans="9:40" ht="14.25">
      <c r="I210" t="s">
        <v>166</v>
      </c>
      <c r="J210" t="s">
        <v>163</v>
      </c>
      <c r="K210">
        <v>0.0014595479558051387</v>
      </c>
      <c r="L210" t="s">
        <v>153</v>
      </c>
      <c r="N210" t="s">
        <v>176</v>
      </c>
      <c r="O210" t="s">
        <v>163</v>
      </c>
      <c r="P210">
        <v>0.001513575991526154</v>
      </c>
      <c r="Q210" t="s">
        <v>153</v>
      </c>
      <c r="AK210">
        <v>2038</v>
      </c>
      <c r="AL210" t="s">
        <v>198</v>
      </c>
      <c r="AM210">
        <v>0.35580000000000001</v>
      </c>
      <c r="AN210" t="s">
        <v>195</v>
      </c>
    </row>
    <row r="211" spans="9:40" ht="14.25">
      <c r="I211" t="s">
        <v>166</v>
      </c>
      <c r="J211" t="s">
        <v>164</v>
      </c>
      <c r="K211">
        <v>0.026345016398562491</v>
      </c>
      <c r="L211" t="s">
        <v>153</v>
      </c>
      <c r="N211" t="s">
        <v>176</v>
      </c>
      <c r="O211" t="s">
        <v>164</v>
      </c>
      <c r="P211">
        <v>0.0070058238335444023</v>
      </c>
      <c r="Q211" t="s">
        <v>153</v>
      </c>
      <c r="AK211">
        <v>2038</v>
      </c>
      <c r="AL211" t="s">
        <v>216</v>
      </c>
      <c r="AM211">
        <v>0.35580000000000001</v>
      </c>
      <c r="AN211" t="s">
        <v>195</v>
      </c>
    </row>
    <row r="212" spans="9:40" ht="14.25">
      <c r="I212" t="s">
        <v>166</v>
      </c>
      <c r="J212" t="s">
        <v>206</v>
      </c>
      <c r="K212">
        <v>0.0028491046828870523</v>
      </c>
      <c r="L212" t="s">
        <v>153</v>
      </c>
      <c r="N212" t="s">
        <v>176</v>
      </c>
      <c r="O212" t="s">
        <v>206</v>
      </c>
      <c r="P212">
        <v>0.00059018648110923484</v>
      </c>
      <c r="Q212" t="s">
        <v>153</v>
      </c>
      <c r="AK212">
        <v>2038</v>
      </c>
      <c r="AL212" t="s">
        <v>232</v>
      </c>
      <c r="AM212">
        <v>0.36724999999999997</v>
      </c>
      <c r="AN212" t="s">
        <v>195</v>
      </c>
    </row>
    <row r="213" spans="9:40" ht="14.25">
      <c r="I213" t="s">
        <v>166</v>
      </c>
      <c r="J213" t="s">
        <v>207</v>
      </c>
      <c r="K213">
        <v>0.0018366319985205441</v>
      </c>
      <c r="L213" t="s">
        <v>153</v>
      </c>
      <c r="N213" t="s">
        <v>176</v>
      </c>
      <c r="O213" t="s">
        <v>207</v>
      </c>
      <c r="P213">
        <v>0.00060536864525452777</v>
      </c>
      <c r="Q213" t="s">
        <v>153</v>
      </c>
      <c r="AK213">
        <v>2038</v>
      </c>
      <c r="AL213" t="s">
        <v>233</v>
      </c>
      <c r="AM213">
        <v>0.41169999999999995</v>
      </c>
      <c r="AN213" t="s">
        <v>195</v>
      </c>
    </row>
    <row r="214" spans="9:40" ht="14.25">
      <c r="I214" t="s">
        <v>166</v>
      </c>
      <c r="J214" t="s">
        <v>221</v>
      </c>
      <c r="K214">
        <v>0</v>
      </c>
      <c r="L214" t="s">
        <v>153</v>
      </c>
      <c r="N214" t="s">
        <v>176</v>
      </c>
      <c r="O214" t="s">
        <v>221</v>
      </c>
      <c r="P214">
        <v>0.0045584908224969405</v>
      </c>
      <c r="Q214" t="s">
        <v>153</v>
      </c>
      <c r="AK214">
        <v>2038</v>
      </c>
      <c r="AL214" t="s">
        <v>234</v>
      </c>
      <c r="AM214">
        <v>0.40575</v>
      </c>
      <c r="AN214" t="s">
        <v>195</v>
      </c>
    </row>
    <row r="215" spans="9:40" ht="14.25">
      <c r="I215" t="s">
        <v>166</v>
      </c>
      <c r="J215" t="s">
        <v>208</v>
      </c>
      <c r="K215">
        <v>0</v>
      </c>
      <c r="L215" t="s">
        <v>153</v>
      </c>
      <c r="N215" t="s">
        <v>176</v>
      </c>
      <c r="O215" t="s">
        <v>208</v>
      </c>
      <c r="P215">
        <v>0.019645814183880211</v>
      </c>
      <c r="Q215" t="s">
        <v>153</v>
      </c>
      <c r="AK215">
        <v>2038</v>
      </c>
      <c r="AL215" t="s">
        <v>256</v>
      </c>
      <c r="AM215">
        <v>0.36680000000000001</v>
      </c>
      <c r="AN215" t="s">
        <v>195</v>
      </c>
    </row>
    <row r="216" spans="9:40" ht="14.25">
      <c r="I216" t="s">
        <v>166</v>
      </c>
      <c r="J216" t="s">
        <v>209</v>
      </c>
      <c r="K216">
        <v>0.0021571808157933997</v>
      </c>
      <c r="L216" t="s">
        <v>153</v>
      </c>
      <c r="N216" t="s">
        <v>176</v>
      </c>
      <c r="O216" t="s">
        <v>209</v>
      </c>
      <c r="P216">
        <v>0.0028025507626028906</v>
      </c>
      <c r="Q216" t="s">
        <v>153</v>
      </c>
      <c r="AK216">
        <v>2038</v>
      </c>
      <c r="AL216" t="s">
        <v>257</v>
      </c>
      <c r="AM216">
        <v>0.36680000000000001</v>
      </c>
      <c r="AN216" t="s">
        <v>195</v>
      </c>
    </row>
    <row r="217" spans="9:40" ht="14.25">
      <c r="I217" t="s">
        <v>166</v>
      </c>
      <c r="J217" t="s">
        <v>210</v>
      </c>
      <c r="K217">
        <v>0.035844099999310125</v>
      </c>
      <c r="L217" t="s">
        <v>153</v>
      </c>
      <c r="N217" t="s">
        <v>176</v>
      </c>
      <c r="O217" t="s">
        <v>210</v>
      </c>
      <c r="P217">
        <v>0.017841553118587681</v>
      </c>
      <c r="Q217" t="s">
        <v>153</v>
      </c>
      <c r="AK217">
        <v>2038</v>
      </c>
      <c r="AL217" t="s">
        <v>258</v>
      </c>
      <c r="AM217">
        <v>0.35586666666666661</v>
      </c>
      <c r="AN217" t="s">
        <v>195</v>
      </c>
    </row>
    <row r="218" spans="9:40" ht="14.25">
      <c r="I218" t="s">
        <v>166</v>
      </c>
      <c r="J218" t="s">
        <v>211</v>
      </c>
      <c r="K218">
        <v>0.0037980427821121803</v>
      </c>
      <c r="L218" t="s">
        <v>153</v>
      </c>
      <c r="N218" t="s">
        <v>176</v>
      </c>
      <c r="O218" t="s">
        <v>211</v>
      </c>
      <c r="P218">
        <v>0.0021492623493321065</v>
      </c>
      <c r="Q218" t="s">
        <v>153</v>
      </c>
      <c r="AK218">
        <v>2038</v>
      </c>
      <c r="AL218" t="s">
        <v>259</v>
      </c>
      <c r="AM218">
        <v>0.31414999999999998</v>
      </c>
      <c r="AN218" t="s">
        <v>195</v>
      </c>
    </row>
    <row r="219" spans="9:40" ht="14.25">
      <c r="I219" t="s">
        <v>166</v>
      </c>
      <c r="J219" t="s">
        <v>212</v>
      </c>
      <c r="K219">
        <v>0.0025648168388377117</v>
      </c>
      <c r="L219" t="s">
        <v>153</v>
      </c>
      <c r="N219" t="s">
        <v>176</v>
      </c>
      <c r="O219" t="s">
        <v>212</v>
      </c>
      <c r="P219">
        <v>0.0020651658921234783</v>
      </c>
      <c r="Q219" t="s">
        <v>153</v>
      </c>
      <c r="AK219">
        <v>2038</v>
      </c>
      <c r="AL219" t="s">
        <v>260</v>
      </c>
      <c r="AM219">
        <v>0.31310000000000004</v>
      </c>
      <c r="AN219" t="s">
        <v>195</v>
      </c>
    </row>
    <row r="220" spans="9:40" ht="14.25">
      <c r="I220" t="s">
        <v>166</v>
      </c>
      <c r="J220" t="s">
        <v>222</v>
      </c>
      <c r="K220">
        <v>0.00017475174439127812</v>
      </c>
      <c r="L220" t="s">
        <v>153</v>
      </c>
      <c r="N220" t="s">
        <v>176</v>
      </c>
      <c r="O220" t="s">
        <v>222</v>
      </c>
      <c r="P220">
        <v>0.015095151384532381</v>
      </c>
      <c r="Q220" t="s">
        <v>153</v>
      </c>
      <c r="AK220">
        <v>2038</v>
      </c>
      <c r="AL220" t="s">
        <v>261</v>
      </c>
      <c r="AM220">
        <v>0.29320000000000002</v>
      </c>
      <c r="AN220" t="s">
        <v>195</v>
      </c>
    </row>
    <row r="221" spans="9:40" ht="14.25">
      <c r="I221" t="s">
        <v>166</v>
      </c>
      <c r="J221" t="s">
        <v>223</v>
      </c>
      <c r="K221">
        <v>1.7261924968309395E-07</v>
      </c>
      <c r="L221" t="s">
        <v>153</v>
      </c>
      <c r="N221" t="s">
        <v>176</v>
      </c>
      <c r="O221" t="s">
        <v>223</v>
      </c>
      <c r="P221">
        <v>0.0037255022435567177</v>
      </c>
      <c r="Q221" t="s">
        <v>153</v>
      </c>
      <c r="AK221">
        <v>2039</v>
      </c>
      <c r="AL221" t="s">
        <v>141</v>
      </c>
      <c r="AM221">
        <v>0.30669999999999997</v>
      </c>
      <c r="AN221" t="s">
        <v>195</v>
      </c>
    </row>
    <row r="222" spans="9:40" ht="14.25">
      <c r="I222" t="s">
        <v>166</v>
      </c>
      <c r="J222" t="s">
        <v>224</v>
      </c>
      <c r="K222">
        <v>0.00049261065240267137</v>
      </c>
      <c r="L222" t="s">
        <v>153</v>
      </c>
      <c r="N222" t="s">
        <v>176</v>
      </c>
      <c r="O222" t="s">
        <v>224</v>
      </c>
      <c r="P222">
        <v>0.00031595961618654156</v>
      </c>
      <c r="Q222" t="s">
        <v>153</v>
      </c>
      <c r="AK222">
        <v>2039</v>
      </c>
      <c r="AL222" t="s">
        <v>145</v>
      </c>
      <c r="AM222">
        <v>0.30184999999999995</v>
      </c>
      <c r="AN222" t="s">
        <v>195</v>
      </c>
    </row>
    <row r="223" spans="9:40" ht="14.25">
      <c r="I223" t="s">
        <v>166</v>
      </c>
      <c r="J223" t="s">
        <v>225</v>
      </c>
      <c r="K223">
        <v>0.0092850988793491008</v>
      </c>
      <c r="L223" t="s">
        <v>153</v>
      </c>
      <c r="N223" t="s">
        <v>176</v>
      </c>
      <c r="O223" t="s">
        <v>225</v>
      </c>
      <c r="P223">
        <v>0.0031191472498083039</v>
      </c>
      <c r="Q223" t="s">
        <v>153</v>
      </c>
      <c r="AK223">
        <v>2039</v>
      </c>
      <c r="AL223" t="s">
        <v>147</v>
      </c>
      <c r="AM223">
        <v>0.29699999999999999</v>
      </c>
      <c r="AN223" t="s">
        <v>195</v>
      </c>
    </row>
    <row r="224" spans="9:40" ht="14.25">
      <c r="I224" t="s">
        <v>166</v>
      </c>
      <c r="J224" t="s">
        <v>226</v>
      </c>
      <c r="K224">
        <v>0.0010077365213449368</v>
      </c>
      <c r="L224" t="s">
        <v>153</v>
      </c>
      <c r="N224" t="s">
        <v>176</v>
      </c>
      <c r="O224" t="s">
        <v>226</v>
      </c>
      <c r="P224">
        <v>0.00056668614421545409</v>
      </c>
      <c r="Q224" t="s">
        <v>153</v>
      </c>
      <c r="AK224">
        <v>2039</v>
      </c>
      <c r="AL224" t="s">
        <v>149</v>
      </c>
      <c r="AM224">
        <v>0.30669999999999997</v>
      </c>
      <c r="AN224" t="s">
        <v>195</v>
      </c>
    </row>
    <row r="225" spans="9:40" ht="14.25">
      <c r="I225" t="s">
        <v>166</v>
      </c>
      <c r="J225" t="s">
        <v>227</v>
      </c>
      <c r="K225">
        <v>0.00070383037494433981</v>
      </c>
      <c r="L225" t="s">
        <v>153</v>
      </c>
      <c r="N225" t="s">
        <v>176</v>
      </c>
      <c r="O225" t="s">
        <v>227</v>
      </c>
      <c r="P225">
        <v>0.00050424086155228349</v>
      </c>
      <c r="Q225" t="s">
        <v>153</v>
      </c>
      <c r="AK225">
        <v>2039</v>
      </c>
      <c r="AL225" t="s">
        <v>198</v>
      </c>
      <c r="AM225">
        <v>0.31640000000000001</v>
      </c>
      <c r="AN225" t="s">
        <v>195</v>
      </c>
    </row>
    <row r="226" spans="9:40" ht="14.25">
      <c r="I226" t="s">
        <v>166</v>
      </c>
      <c r="J226" t="s">
        <v>228</v>
      </c>
      <c r="K226">
        <v>0.00020740068944006255</v>
      </c>
      <c r="L226" t="s">
        <v>153</v>
      </c>
      <c r="N226" t="s">
        <v>176</v>
      </c>
      <c r="O226" t="s">
        <v>228</v>
      </c>
      <c r="P226">
        <v>0.0029687888610537391</v>
      </c>
      <c r="Q226" t="s">
        <v>153</v>
      </c>
      <c r="AK226">
        <v>2039</v>
      </c>
      <c r="AL226" t="s">
        <v>216</v>
      </c>
      <c r="AM226">
        <v>0.31640000000000001</v>
      </c>
      <c r="AN226" t="s">
        <v>195</v>
      </c>
    </row>
    <row r="227" spans="9:40" ht="14.25">
      <c r="I227" t="s">
        <v>166</v>
      </c>
      <c r="J227" t="s">
        <v>235</v>
      </c>
      <c r="K227">
        <v>0.002337644939906001</v>
      </c>
      <c r="L227" t="s">
        <v>153</v>
      </c>
      <c r="N227" t="s">
        <v>176</v>
      </c>
      <c r="O227" t="s">
        <v>235</v>
      </c>
      <c r="P227">
        <v>0.027081676614534877</v>
      </c>
      <c r="Q227" t="s">
        <v>153</v>
      </c>
      <c r="AK227">
        <v>2039</v>
      </c>
      <c r="AL227" t="s">
        <v>232</v>
      </c>
      <c r="AM227">
        <v>0.36014999999999997</v>
      </c>
      <c r="AN227" t="s">
        <v>195</v>
      </c>
    </row>
    <row r="228" spans="9:40" ht="14.25">
      <c r="I228" t="s">
        <v>166</v>
      </c>
      <c r="J228" t="s">
        <v>236</v>
      </c>
      <c r="K228">
        <v>0.0053853524945253906</v>
      </c>
      <c r="L228" t="s">
        <v>153</v>
      </c>
      <c r="N228" t="s">
        <v>176</v>
      </c>
      <c r="O228" t="s">
        <v>236</v>
      </c>
      <c r="P228">
        <v>0.0035470816079195421</v>
      </c>
      <c r="Q228" t="s">
        <v>153</v>
      </c>
      <c r="AK228">
        <v>2039</v>
      </c>
      <c r="AL228" t="s">
        <v>233</v>
      </c>
      <c r="AM228">
        <v>0.38514999999999999</v>
      </c>
      <c r="AN228" t="s">
        <v>195</v>
      </c>
    </row>
    <row r="229" spans="9:40" ht="14.25">
      <c r="I229" t="s">
        <v>166</v>
      </c>
      <c r="J229" t="s">
        <v>237</v>
      </c>
      <c r="K229">
        <v>0.068435348483103051</v>
      </c>
      <c r="L229" t="s">
        <v>153</v>
      </c>
      <c r="N229" t="s">
        <v>176</v>
      </c>
      <c r="O229" t="s">
        <v>237</v>
      </c>
      <c r="P229">
        <v>0.02278707398201613</v>
      </c>
      <c r="Q229" t="s">
        <v>153</v>
      </c>
      <c r="AK229">
        <v>2039</v>
      </c>
      <c r="AL229" t="s">
        <v>234</v>
      </c>
      <c r="AM229">
        <v>0.4017</v>
      </c>
      <c r="AN229" t="s">
        <v>195</v>
      </c>
    </row>
    <row r="230" spans="9:40" ht="14.25">
      <c r="I230" t="s">
        <v>166</v>
      </c>
      <c r="J230" t="s">
        <v>238</v>
      </c>
      <c r="K230">
        <v>0.0069857058271724191</v>
      </c>
      <c r="L230" t="s">
        <v>153</v>
      </c>
      <c r="N230" t="s">
        <v>176</v>
      </c>
      <c r="O230" t="s">
        <v>238</v>
      </c>
      <c r="P230">
        <v>0.0033457119515006915</v>
      </c>
      <c r="Q230" t="s">
        <v>153</v>
      </c>
      <c r="AK230">
        <v>2039</v>
      </c>
      <c r="AL230" t="s">
        <v>256</v>
      </c>
      <c r="AM230">
        <v>0.437</v>
      </c>
      <c r="AN230" t="s">
        <v>195</v>
      </c>
    </row>
    <row r="231" spans="9:40" ht="14.25">
      <c r="I231" t="s">
        <v>166</v>
      </c>
      <c r="J231" t="s">
        <v>239</v>
      </c>
      <c r="K231">
        <v>0.0049202235823010178</v>
      </c>
      <c r="L231" t="s">
        <v>153</v>
      </c>
      <c r="N231" t="s">
        <v>176</v>
      </c>
      <c r="O231" t="s">
        <v>239</v>
      </c>
      <c r="P231">
        <v>0.0036421360821316008</v>
      </c>
      <c r="Q231" t="s">
        <v>153</v>
      </c>
      <c r="AK231">
        <v>2039</v>
      </c>
      <c r="AL231" t="s">
        <v>257</v>
      </c>
      <c r="AM231">
        <v>0.437</v>
      </c>
      <c r="AN231" t="s">
        <v>195</v>
      </c>
    </row>
    <row r="232" spans="9:40" ht="14.25">
      <c r="I232" t="s">
        <v>166</v>
      </c>
      <c r="J232" t="s">
        <v>240</v>
      </c>
      <c r="K232">
        <v>0.0022159779088032714</v>
      </c>
      <c r="L232" t="s">
        <v>153</v>
      </c>
      <c r="N232" t="s">
        <v>176</v>
      </c>
      <c r="O232" t="s">
        <v>240</v>
      </c>
      <c r="P232">
        <v>0.027257635925943529</v>
      </c>
      <c r="Q232" t="s">
        <v>153</v>
      </c>
      <c r="AK232">
        <v>2039</v>
      </c>
      <c r="AL232" t="s">
        <v>258</v>
      </c>
      <c r="AM232">
        <v>0.38233333333333336</v>
      </c>
      <c r="AN232" t="s">
        <v>195</v>
      </c>
    </row>
    <row r="233" spans="9:40" ht="14.25">
      <c r="I233" t="s">
        <v>166</v>
      </c>
      <c r="J233" t="s">
        <v>241</v>
      </c>
      <c r="K233">
        <v>0.0020377293506605504</v>
      </c>
      <c r="L233" t="s">
        <v>153</v>
      </c>
      <c r="N233" t="s">
        <v>176</v>
      </c>
      <c r="O233" t="s">
        <v>241</v>
      </c>
      <c r="P233">
        <v>0.011517039434382531</v>
      </c>
      <c r="Q233" t="s">
        <v>153</v>
      </c>
      <c r="AK233">
        <v>2039</v>
      </c>
      <c r="AL233" t="s">
        <v>259</v>
      </c>
      <c r="AM233">
        <v>0.31059999999999999</v>
      </c>
      <c r="AN233" t="s">
        <v>195</v>
      </c>
    </row>
    <row r="234" spans="9:40" ht="14.25">
      <c r="I234" t="s">
        <v>166</v>
      </c>
      <c r="J234" t="s">
        <v>242</v>
      </c>
      <c r="K234">
        <v>0.0039685772711267314</v>
      </c>
      <c r="L234" t="s">
        <v>153</v>
      </c>
      <c r="N234" t="s">
        <v>176</v>
      </c>
      <c r="O234" t="s">
        <v>242</v>
      </c>
      <c r="P234">
        <v>0.0011926239548025244</v>
      </c>
      <c r="Q234" t="s">
        <v>153</v>
      </c>
      <c r="AK234">
        <v>2039</v>
      </c>
      <c r="AL234" t="s">
        <v>260</v>
      </c>
      <c r="AM234">
        <v>0.29305000000000003</v>
      </c>
      <c r="AN234" t="s">
        <v>195</v>
      </c>
    </row>
    <row r="235" spans="9:40" ht="14.25">
      <c r="I235" t="s">
        <v>166</v>
      </c>
      <c r="J235" t="s">
        <v>243</v>
      </c>
      <c r="K235">
        <v>0.049777219591201696</v>
      </c>
      <c r="L235" t="s">
        <v>153</v>
      </c>
      <c r="N235" t="s">
        <v>176</v>
      </c>
      <c r="O235" t="s">
        <v>243</v>
      </c>
      <c r="P235">
        <v>0.013775559464910459</v>
      </c>
      <c r="Q235" t="s">
        <v>153</v>
      </c>
      <c r="AK235">
        <v>2039</v>
      </c>
      <c r="AL235" t="s">
        <v>261</v>
      </c>
      <c r="AM235">
        <v>0.316</v>
      </c>
      <c r="AN235" t="s">
        <v>195</v>
      </c>
    </row>
    <row r="236" spans="9:40" ht="14.25">
      <c r="I236" t="s">
        <v>166</v>
      </c>
      <c r="J236" t="s">
        <v>244</v>
      </c>
      <c r="K236">
        <v>0.0049834795263028007</v>
      </c>
      <c r="L236" t="s">
        <v>153</v>
      </c>
      <c r="N236" t="s">
        <v>176</v>
      </c>
      <c r="O236" t="s">
        <v>244</v>
      </c>
      <c r="P236">
        <v>0.0027877431025762679</v>
      </c>
      <c r="Q236" t="s">
        <v>153</v>
      </c>
      <c r="AK236">
        <v>2040</v>
      </c>
      <c r="AL236" t="s">
        <v>141</v>
      </c>
      <c r="AM236">
        <v>0.41510000000000002</v>
      </c>
      <c r="AN236" t="s">
        <v>195</v>
      </c>
    </row>
    <row r="237" spans="9:40" ht="14.25">
      <c r="I237" t="s">
        <v>166</v>
      </c>
      <c r="J237" t="s">
        <v>245</v>
      </c>
      <c r="K237">
        <v>0.003611500269987761</v>
      </c>
      <c r="L237" t="s">
        <v>153</v>
      </c>
      <c r="N237" t="s">
        <v>176</v>
      </c>
      <c r="O237" t="s">
        <v>245</v>
      </c>
      <c r="P237">
        <v>0.0031158373112374661</v>
      </c>
      <c r="Q237" t="s">
        <v>153</v>
      </c>
      <c r="AK237">
        <v>2040</v>
      </c>
      <c r="AL237" t="s">
        <v>145</v>
      </c>
      <c r="AM237">
        <v>0.40085000000000004</v>
      </c>
      <c r="AN237" t="s">
        <v>195</v>
      </c>
    </row>
    <row r="238" spans="9:40" ht="14.25">
      <c r="I238" t="s">
        <v>166</v>
      </c>
      <c r="J238" t="s">
        <v>246</v>
      </c>
      <c r="K238">
        <v>0.0016089569823670746</v>
      </c>
      <c r="L238" t="s">
        <v>153</v>
      </c>
      <c r="N238" t="s">
        <v>176</v>
      </c>
      <c r="O238" t="s">
        <v>246</v>
      </c>
      <c r="P238">
        <v>0.018251786607823828</v>
      </c>
      <c r="Q238" t="s">
        <v>153</v>
      </c>
      <c r="AK238">
        <v>2040</v>
      </c>
      <c r="AL238" t="s">
        <v>147</v>
      </c>
      <c r="AM238">
        <v>0.3866</v>
      </c>
      <c r="AN238" t="s">
        <v>195</v>
      </c>
    </row>
    <row r="239" spans="9:40" ht="14.25">
      <c r="I239" t="s">
        <v>166</v>
      </c>
      <c r="J239" t="s">
        <v>247</v>
      </c>
      <c r="K239">
        <v>0.0019782746026870642</v>
      </c>
      <c r="L239" t="s">
        <v>153</v>
      </c>
      <c r="N239" t="s">
        <v>176</v>
      </c>
      <c r="O239" t="s">
        <v>247</v>
      </c>
      <c r="P239">
        <v>0.01963537958520312</v>
      </c>
      <c r="Q239" t="s">
        <v>153</v>
      </c>
      <c r="AK239">
        <v>2040</v>
      </c>
      <c r="AL239" t="s">
        <v>149</v>
      </c>
      <c r="AM239">
        <v>0.40165000000000001</v>
      </c>
      <c r="AN239" t="s">
        <v>195</v>
      </c>
    </row>
    <row r="240" spans="9:40" ht="14.25">
      <c r="I240" t="s">
        <v>166</v>
      </c>
      <c r="J240" t="s">
        <v>248</v>
      </c>
      <c r="K240">
        <v>0.0038000681525360382</v>
      </c>
      <c r="L240" t="s">
        <v>153</v>
      </c>
      <c r="N240" t="s">
        <v>176</v>
      </c>
      <c r="O240" t="s">
        <v>248</v>
      </c>
      <c r="P240">
        <v>0.0020880670322200355</v>
      </c>
      <c r="Q240" t="s">
        <v>153</v>
      </c>
      <c r="AK240">
        <v>2040</v>
      </c>
      <c r="AL240" t="s">
        <v>198</v>
      </c>
      <c r="AM240">
        <v>0.41670000000000001</v>
      </c>
      <c r="AN240" t="s">
        <v>195</v>
      </c>
    </row>
    <row r="241" spans="9:40" ht="14.25">
      <c r="I241" t="s">
        <v>166</v>
      </c>
      <c r="J241" t="s">
        <v>249</v>
      </c>
      <c r="K241">
        <v>0.047794326310108839</v>
      </c>
      <c r="L241" t="s">
        <v>153</v>
      </c>
      <c r="N241" t="s">
        <v>176</v>
      </c>
      <c r="O241" t="s">
        <v>249</v>
      </c>
      <c r="P241">
        <v>0.019642748222034764</v>
      </c>
      <c r="Q241" t="s">
        <v>153</v>
      </c>
      <c r="AK241">
        <v>2040</v>
      </c>
      <c r="AL241" t="s">
        <v>216</v>
      </c>
      <c r="AM241">
        <v>0.41670000000000001</v>
      </c>
      <c r="AN241" t="s">
        <v>195</v>
      </c>
    </row>
    <row r="242" spans="9:40" ht="14.25">
      <c r="I242" t="s">
        <v>166</v>
      </c>
      <c r="J242" t="s">
        <v>250</v>
      </c>
      <c r="K242">
        <v>0.0047844375486231286</v>
      </c>
      <c r="L242" t="s">
        <v>153</v>
      </c>
      <c r="N242" t="s">
        <v>176</v>
      </c>
      <c r="O242" t="s">
        <v>250</v>
      </c>
      <c r="P242">
        <v>0.0039253807796299093</v>
      </c>
      <c r="Q242" t="s">
        <v>153</v>
      </c>
      <c r="AK242">
        <v>2040</v>
      </c>
      <c r="AL242" t="s">
        <v>232</v>
      </c>
      <c r="AM242">
        <v>0.46060000000000001</v>
      </c>
      <c r="AN242" t="s">
        <v>195</v>
      </c>
    </row>
    <row r="243" spans="9:40" ht="14.25">
      <c r="I243" t="s">
        <v>166</v>
      </c>
      <c r="J243" t="s">
        <v>251</v>
      </c>
      <c r="K243">
        <v>0.0034895817681672952</v>
      </c>
      <c r="L243" t="s">
        <v>153</v>
      </c>
      <c r="N243" t="s">
        <v>176</v>
      </c>
      <c r="O243" t="s">
        <v>251</v>
      </c>
      <c r="P243">
        <v>0.0041845152825966169</v>
      </c>
      <c r="Q243" t="s">
        <v>153</v>
      </c>
      <c r="AK243">
        <v>2040</v>
      </c>
      <c r="AL243" t="s">
        <v>233</v>
      </c>
      <c r="AM243">
        <v>0.53239999999999998</v>
      </c>
      <c r="AN243" t="s">
        <v>195</v>
      </c>
    </row>
    <row r="244" spans="9:40" ht="14.25">
      <c r="I244" t="s">
        <v>166</v>
      </c>
      <c r="J244" t="s">
        <v>252</v>
      </c>
      <c r="K244">
        <v>0.0015459397925993122</v>
      </c>
      <c r="L244" t="s">
        <v>153</v>
      </c>
      <c r="N244" t="s">
        <v>176</v>
      </c>
      <c r="O244" t="s">
        <v>252</v>
      </c>
      <c r="P244">
        <v>0.022558438428430454</v>
      </c>
      <c r="Q244" t="s">
        <v>153</v>
      </c>
      <c r="AK244">
        <v>2040</v>
      </c>
      <c r="AL244" t="s">
        <v>234</v>
      </c>
      <c r="AM244">
        <v>0.53510000000000002</v>
      </c>
      <c r="AN244" t="s">
        <v>195</v>
      </c>
    </row>
    <row r="245" spans="9:40" ht="14.25">
      <c r="I245" t="s">
        <v>166</v>
      </c>
      <c r="J245" t="s">
        <v>262</v>
      </c>
      <c r="K245">
        <v>0.00049460064188499393</v>
      </c>
      <c r="L245" t="s">
        <v>153</v>
      </c>
      <c r="N245" t="s">
        <v>176</v>
      </c>
      <c r="O245" t="s">
        <v>262</v>
      </c>
      <c r="P245">
        <v>0.013697497616594051</v>
      </c>
      <c r="Q245" t="s">
        <v>153</v>
      </c>
      <c r="AK245">
        <v>2040</v>
      </c>
      <c r="AL245" t="s">
        <v>256</v>
      </c>
      <c r="AM245">
        <v>0.50990000000000002</v>
      </c>
      <c r="AN245" t="s">
        <v>195</v>
      </c>
    </row>
    <row r="246" spans="9:40" ht="14.25">
      <c r="I246" t="s">
        <v>166</v>
      </c>
      <c r="J246" t="s">
        <v>263</v>
      </c>
      <c r="K246">
        <v>0.0010398300560282652</v>
      </c>
      <c r="L246" t="s">
        <v>153</v>
      </c>
      <c r="N246" t="s">
        <v>176</v>
      </c>
      <c r="O246" t="s">
        <v>263</v>
      </c>
      <c r="P246">
        <v>0.0019978032034734436</v>
      </c>
      <c r="Q246" t="s">
        <v>153</v>
      </c>
      <c r="AK246">
        <v>2040</v>
      </c>
      <c r="AL246" t="s">
        <v>257</v>
      </c>
      <c r="AM246">
        <v>0.50990000000000002</v>
      </c>
      <c r="AN246" t="s">
        <v>195</v>
      </c>
    </row>
    <row r="247" spans="9:40" ht="14.25">
      <c r="I247" t="s">
        <v>166</v>
      </c>
      <c r="J247" t="s">
        <v>264</v>
      </c>
      <c r="K247">
        <v>0.01361018815768724</v>
      </c>
      <c r="L247" t="s">
        <v>153</v>
      </c>
      <c r="N247" t="s">
        <v>176</v>
      </c>
      <c r="O247" t="s">
        <v>264</v>
      </c>
      <c r="P247">
        <v>0.018042050457748007</v>
      </c>
      <c r="Q247" t="s">
        <v>153</v>
      </c>
      <c r="AK247">
        <v>2040</v>
      </c>
      <c r="AL247" t="s">
        <v>258</v>
      </c>
      <c r="AM247">
        <v>0.49150000000000005</v>
      </c>
      <c r="AN247" t="s">
        <v>195</v>
      </c>
    </row>
    <row r="248" spans="9:40" ht="14.25">
      <c r="I248" t="s">
        <v>166</v>
      </c>
      <c r="J248" t="s">
        <v>265</v>
      </c>
      <c r="K248">
        <v>0.0013336621330927302</v>
      </c>
      <c r="L248" t="s">
        <v>153</v>
      </c>
      <c r="N248" t="s">
        <v>176</v>
      </c>
      <c r="O248" t="s">
        <v>265</v>
      </c>
      <c r="P248">
        <v>0.002354466830976335</v>
      </c>
      <c r="Q248" t="s">
        <v>153</v>
      </c>
      <c r="AK248">
        <v>2040</v>
      </c>
      <c r="AL248" t="s">
        <v>259</v>
      </c>
      <c r="AM248">
        <v>0.4249</v>
      </c>
      <c r="AN248" t="s">
        <v>195</v>
      </c>
    </row>
    <row r="249" spans="9:40" ht="14.25">
      <c r="I249" t="s">
        <v>166</v>
      </c>
      <c r="J249" t="s">
        <v>266</v>
      </c>
      <c r="K249">
        <v>0.00095717423937840185</v>
      </c>
      <c r="L249" t="s">
        <v>153</v>
      </c>
      <c r="N249" t="s">
        <v>176</v>
      </c>
      <c r="O249" t="s">
        <v>266</v>
      </c>
      <c r="P249">
        <v>0.0023251200703392266</v>
      </c>
      <c r="Q249" t="s">
        <v>153</v>
      </c>
      <c r="AK249">
        <v>2040</v>
      </c>
      <c r="AL249" t="s">
        <v>260</v>
      </c>
      <c r="AM249">
        <v>0.40894999999999998</v>
      </c>
      <c r="AN249" t="s">
        <v>195</v>
      </c>
    </row>
    <row r="250" spans="9:40" ht="14.25">
      <c r="I250" t="s">
        <v>166</v>
      </c>
      <c r="J250" t="s">
        <v>267</v>
      </c>
      <c r="K250">
        <v>0.00039980815208193448</v>
      </c>
      <c r="L250" t="s">
        <v>153</v>
      </c>
      <c r="N250" t="s">
        <v>176</v>
      </c>
      <c r="O250" t="s">
        <v>267</v>
      </c>
      <c r="P250">
        <v>0.010985569301285926</v>
      </c>
      <c r="Q250" t="s">
        <v>153</v>
      </c>
      <c r="AK250">
        <v>2040</v>
      </c>
      <c r="AL250" t="s">
        <v>261</v>
      </c>
      <c r="AM250">
        <v>0.40689999999999998</v>
      </c>
      <c r="AN250" t="s">
        <v>195</v>
      </c>
    </row>
    <row r="251" spans="9:40" ht="14.25">
      <c r="I251" t="s">
        <v>166</v>
      </c>
      <c r="J251" t="s">
        <v>268</v>
      </c>
      <c r="K251">
        <v>0.00063578401418933571</v>
      </c>
      <c r="L251" t="s">
        <v>153</v>
      </c>
      <c r="N251" t="s">
        <v>176</v>
      </c>
      <c r="O251" t="s">
        <v>268</v>
      </c>
      <c r="P251">
        <v>0.010216892169980393</v>
      </c>
      <c r="Q251" t="s">
        <v>153</v>
      </c>
      <c r="AK251">
        <v>2041</v>
      </c>
      <c r="AL251" t="s">
        <v>141</v>
      </c>
      <c r="AM251">
        <v>0.35699999999999998</v>
      </c>
      <c r="AN251" t="s">
        <v>195</v>
      </c>
    </row>
    <row r="252" spans="9:40" ht="14.25">
      <c r="I252" t="s">
        <v>166</v>
      </c>
      <c r="J252" t="s">
        <v>269</v>
      </c>
      <c r="K252">
        <v>0.0014356083881308032</v>
      </c>
      <c r="L252" t="s">
        <v>153</v>
      </c>
      <c r="N252" t="s">
        <v>176</v>
      </c>
      <c r="O252" t="s">
        <v>269</v>
      </c>
      <c r="P252">
        <v>0.00095839533510959731</v>
      </c>
      <c r="Q252" t="s">
        <v>153</v>
      </c>
      <c r="AK252">
        <v>2041</v>
      </c>
      <c r="AL252" t="s">
        <v>145</v>
      </c>
      <c r="AM252">
        <v>0.35865000000000002</v>
      </c>
      <c r="AN252" t="s">
        <v>195</v>
      </c>
    </row>
    <row r="253" spans="9:40" ht="14.25">
      <c r="I253" t="s">
        <v>166</v>
      </c>
      <c r="J253" t="s">
        <v>270</v>
      </c>
      <c r="K253">
        <v>0.019696821811507576</v>
      </c>
      <c r="L253" t="s">
        <v>153</v>
      </c>
      <c r="N253" t="s">
        <v>176</v>
      </c>
      <c r="O253" t="s">
        <v>270</v>
      </c>
      <c r="P253">
        <v>0.013580975914094002</v>
      </c>
      <c r="Q253" t="s">
        <v>153</v>
      </c>
      <c r="AK253">
        <v>2041</v>
      </c>
      <c r="AL253" t="s">
        <v>147</v>
      </c>
      <c r="AM253">
        <v>0.36030000000000001</v>
      </c>
      <c r="AN253" t="s">
        <v>195</v>
      </c>
    </row>
    <row r="254" spans="9:40" ht="14.25">
      <c r="I254" t="s">
        <v>166</v>
      </c>
      <c r="J254" t="s">
        <v>271</v>
      </c>
      <c r="K254">
        <v>0.0019241626169759058</v>
      </c>
      <c r="L254" t="s">
        <v>153</v>
      </c>
      <c r="N254" t="s">
        <v>176</v>
      </c>
      <c r="O254" t="s">
        <v>271</v>
      </c>
      <c r="P254">
        <v>0.0027087462673107744</v>
      </c>
      <c r="Q254" t="s">
        <v>153</v>
      </c>
      <c r="AK254">
        <v>2041</v>
      </c>
      <c r="AL254" t="s">
        <v>149</v>
      </c>
      <c r="AM254">
        <v>0.38819999999999999</v>
      </c>
      <c r="AN254" t="s">
        <v>195</v>
      </c>
    </row>
    <row r="255" spans="9:40" ht="14.25">
      <c r="I255" t="s">
        <v>166</v>
      </c>
      <c r="J255" t="s">
        <v>272</v>
      </c>
      <c r="K255">
        <v>0.0013678072191555509</v>
      </c>
      <c r="L255" t="s">
        <v>153</v>
      </c>
      <c r="N255" t="s">
        <v>176</v>
      </c>
      <c r="O255" t="s">
        <v>272</v>
      </c>
      <c r="P255">
        <v>0.0026144087632768319</v>
      </c>
      <c r="Q255" t="s">
        <v>153</v>
      </c>
      <c r="AK255">
        <v>2041</v>
      </c>
      <c r="AL255" t="s">
        <v>198</v>
      </c>
      <c r="AM255">
        <v>0.41610000000000003</v>
      </c>
      <c r="AN255" t="s">
        <v>195</v>
      </c>
    </row>
    <row r="256" spans="9:40" ht="14.25">
      <c r="I256" t="s">
        <v>166</v>
      </c>
      <c r="J256" t="s">
        <v>273</v>
      </c>
      <c r="K256">
        <v>0.0005618048688350336</v>
      </c>
      <c r="L256" t="s">
        <v>153</v>
      </c>
      <c r="N256" t="s">
        <v>176</v>
      </c>
      <c r="O256" t="s">
        <v>273</v>
      </c>
      <c r="P256">
        <v>0.012916530345406107</v>
      </c>
      <c r="Q256" t="s">
        <v>153</v>
      </c>
      <c r="AK256">
        <v>2041</v>
      </c>
      <c r="AL256" t="s">
        <v>216</v>
      </c>
      <c r="AM256">
        <v>0.41610000000000003</v>
      </c>
      <c r="AN256" t="s">
        <v>195</v>
      </c>
    </row>
    <row r="257" spans="9:40" ht="14.25">
      <c r="I257" t="s">
        <v>166</v>
      </c>
      <c r="J257" t="s">
        <v>274</v>
      </c>
      <c r="K257">
        <v>0.0022457083144665096</v>
      </c>
      <c r="L257" t="s">
        <v>153</v>
      </c>
      <c r="N257" t="s">
        <v>176</v>
      </c>
      <c r="O257" t="s">
        <v>274</v>
      </c>
      <c r="P257">
        <v>0.025649943890273346</v>
      </c>
      <c r="Q257" t="s">
        <v>153</v>
      </c>
      <c r="AK257">
        <v>2041</v>
      </c>
      <c r="AL257" t="s">
        <v>232</v>
      </c>
      <c r="AM257">
        <v>0.42985000000000001</v>
      </c>
      <c r="AN257" t="s">
        <v>195</v>
      </c>
    </row>
    <row r="258" spans="9:40" ht="14.25">
      <c r="I258" t="s">
        <v>166</v>
      </c>
      <c r="J258" t="s">
        <v>275</v>
      </c>
      <c r="K258">
        <v>0.0058059538495229971</v>
      </c>
      <c r="L258" t="s">
        <v>153</v>
      </c>
      <c r="N258" t="s">
        <v>176</v>
      </c>
      <c r="O258" t="s">
        <v>275</v>
      </c>
      <c r="P258">
        <v>0.003245546334315624</v>
      </c>
      <c r="Q258" t="s">
        <v>153</v>
      </c>
      <c r="AK258">
        <v>2041</v>
      </c>
      <c r="AL258" t="s">
        <v>233</v>
      </c>
      <c r="AM258">
        <v>0.48015000000000002</v>
      </c>
      <c r="AN258" t="s">
        <v>195</v>
      </c>
    </row>
    <row r="259" spans="9:40" ht="14.25">
      <c r="I259" t="s">
        <v>166</v>
      </c>
      <c r="J259" t="s">
        <v>276</v>
      </c>
      <c r="K259">
        <v>0.086286601544734193</v>
      </c>
      <c r="L259" t="s">
        <v>153</v>
      </c>
      <c r="N259" t="s">
        <v>176</v>
      </c>
      <c r="O259" t="s">
        <v>276</v>
      </c>
      <c r="P259">
        <v>0.032832506400787581</v>
      </c>
      <c r="Q259" t="s">
        <v>153</v>
      </c>
      <c r="AK259">
        <v>2041</v>
      </c>
      <c r="AL259" t="s">
        <v>234</v>
      </c>
      <c r="AM259">
        <v>0.51055000000000006</v>
      </c>
      <c r="AN259" t="s">
        <v>195</v>
      </c>
    </row>
    <row r="260" spans="9:40" ht="14.25">
      <c r="I260" t="s">
        <v>166</v>
      </c>
      <c r="J260" t="s">
        <v>277</v>
      </c>
      <c r="K260">
        <v>0.0083215863866904789</v>
      </c>
      <c r="L260" t="s">
        <v>153</v>
      </c>
      <c r="N260" t="s">
        <v>176</v>
      </c>
      <c r="O260" t="s">
        <v>277</v>
      </c>
      <c r="P260">
        <v>0.0062464358999808388</v>
      </c>
      <c r="Q260" t="s">
        <v>153</v>
      </c>
      <c r="AK260">
        <v>2041</v>
      </c>
      <c r="AL260" t="s">
        <v>256</v>
      </c>
      <c r="AM260">
        <v>0.50439999999999996</v>
      </c>
      <c r="AN260" t="s">
        <v>195</v>
      </c>
    </row>
    <row r="261" spans="9:40" ht="14.25">
      <c r="I261" t="s">
        <v>166</v>
      </c>
      <c r="J261" t="s">
        <v>278</v>
      </c>
      <c r="K261">
        <v>0.0058852349322577532</v>
      </c>
      <c r="L261" t="s">
        <v>153</v>
      </c>
      <c r="N261" t="s">
        <v>176</v>
      </c>
      <c r="O261" t="s">
        <v>278</v>
      </c>
      <c r="P261">
        <v>0.0068937026476098336</v>
      </c>
      <c r="Q261" t="s">
        <v>153</v>
      </c>
      <c r="AK261">
        <v>2041</v>
      </c>
      <c r="AL261" t="s">
        <v>257</v>
      </c>
      <c r="AM261">
        <v>0.50439999999999996</v>
      </c>
      <c r="AN261" t="s">
        <v>195</v>
      </c>
    </row>
    <row r="262" spans="9:40" ht="14.25">
      <c r="I262" t="s">
        <v>166</v>
      </c>
      <c r="J262" t="s">
        <v>279</v>
      </c>
      <c r="K262">
        <v>0.0023622915360265585</v>
      </c>
      <c r="L262" t="s">
        <v>153</v>
      </c>
      <c r="N262" t="s">
        <v>176</v>
      </c>
      <c r="O262" t="s">
        <v>279</v>
      </c>
      <c r="P262">
        <v>0.036956520635055272</v>
      </c>
      <c r="Q262" t="s">
        <v>153</v>
      </c>
      <c r="AK262">
        <v>2041</v>
      </c>
      <c r="AL262" t="s">
        <v>258</v>
      </c>
      <c r="AM262">
        <v>0.46103333333333335</v>
      </c>
      <c r="AN262" t="s">
        <v>195</v>
      </c>
    </row>
    <row r="263" spans="9:40" ht="14.25">
      <c r="I263" t="s">
        <v>166</v>
      </c>
      <c r="J263" t="s">
        <v>280</v>
      </c>
      <c r="K263">
        <v>0.0027455116489750182</v>
      </c>
      <c r="L263" t="s">
        <v>153</v>
      </c>
      <c r="N263" t="s">
        <v>176</v>
      </c>
      <c r="O263" t="s">
        <v>280</v>
      </c>
      <c r="P263">
        <v>0.035844396365235315</v>
      </c>
      <c r="Q263" t="s">
        <v>153</v>
      </c>
      <c r="AK263">
        <v>2041</v>
      </c>
      <c r="AL263" t="s">
        <v>259</v>
      </c>
      <c r="AM263">
        <v>0.40179999999999999</v>
      </c>
      <c r="AN263" t="s">
        <v>195</v>
      </c>
    </row>
    <row r="264" spans="9:40" ht="14.25">
      <c r="I264" t="s">
        <v>166</v>
      </c>
      <c r="J264" t="s">
        <v>281</v>
      </c>
      <c r="K264">
        <v>0.0078091406079967129</v>
      </c>
      <c r="L264" t="s">
        <v>153</v>
      </c>
      <c r="N264" t="s">
        <v>176</v>
      </c>
      <c r="O264" t="s">
        <v>281</v>
      </c>
      <c r="P264">
        <v>0.0052414055014669532</v>
      </c>
      <c r="Q264" t="s">
        <v>153</v>
      </c>
      <c r="AK264">
        <v>2041</v>
      </c>
      <c r="AL264" t="s">
        <v>260</v>
      </c>
      <c r="AM264">
        <v>0.34904999999999997</v>
      </c>
      <c r="AN264" t="s">
        <v>195</v>
      </c>
    </row>
    <row r="265" spans="9:40" ht="14.25">
      <c r="I265" t="s">
        <v>166</v>
      </c>
      <c r="J265" t="s">
        <v>282</v>
      </c>
      <c r="K265">
        <v>0.11794067669486105</v>
      </c>
      <c r="L265" t="s">
        <v>153</v>
      </c>
      <c r="N265" t="s">
        <v>176</v>
      </c>
      <c r="O265" t="s">
        <v>282</v>
      </c>
      <c r="P265">
        <v>0.027746826982148518</v>
      </c>
      <c r="Q265" t="s">
        <v>153</v>
      </c>
      <c r="AK265">
        <v>2041</v>
      </c>
      <c r="AL265" t="s">
        <v>261</v>
      </c>
      <c r="AM265">
        <v>0.3412</v>
      </c>
      <c r="AN265" t="s">
        <v>195</v>
      </c>
    </row>
    <row r="266" spans="9:40" ht="14.25">
      <c r="I266" t="s">
        <v>166</v>
      </c>
      <c r="J266" t="s">
        <v>283</v>
      </c>
      <c r="K266">
        <v>0.011124208487591807</v>
      </c>
      <c r="L266" t="s">
        <v>153</v>
      </c>
      <c r="N266" t="s">
        <v>176</v>
      </c>
      <c r="O266" t="s">
        <v>283</v>
      </c>
      <c r="P266">
        <v>0.0033693370171183519</v>
      </c>
      <c r="Q266" t="s">
        <v>153</v>
      </c>
      <c r="AK266">
        <v>2042</v>
      </c>
      <c r="AL266" t="s">
        <v>141</v>
      </c>
      <c r="AM266">
        <v>0.27339999999999998</v>
      </c>
      <c r="AN266" t="s">
        <v>195</v>
      </c>
    </row>
    <row r="267" spans="9:40" ht="14.25">
      <c r="I267" t="s">
        <v>166</v>
      </c>
      <c r="J267" t="s">
        <v>284</v>
      </c>
      <c r="K267">
        <v>0.0069725722017498224</v>
      </c>
      <c r="L267" t="s">
        <v>153</v>
      </c>
      <c r="N267" t="s">
        <v>176</v>
      </c>
      <c r="O267" t="s">
        <v>284</v>
      </c>
      <c r="P267">
        <v>0.0042263918130291053</v>
      </c>
      <c r="Q267" t="s">
        <v>153</v>
      </c>
      <c r="AK267">
        <v>2042</v>
      </c>
      <c r="AL267" t="s">
        <v>145</v>
      </c>
      <c r="AM267">
        <v>0.2873</v>
      </c>
      <c r="AN267" t="s">
        <v>195</v>
      </c>
    </row>
    <row r="268" spans="9:40" ht="14.25">
      <c r="I268" t="s">
        <v>166</v>
      </c>
      <c r="J268" t="s">
        <v>285</v>
      </c>
      <c r="K268">
        <v>0.0016555653261489745</v>
      </c>
      <c r="L268" t="s">
        <v>153</v>
      </c>
      <c r="N268" t="s">
        <v>176</v>
      </c>
      <c r="O268" t="s">
        <v>285</v>
      </c>
      <c r="P268">
        <v>0.035406483245783917</v>
      </c>
      <c r="Q268" t="s">
        <v>153</v>
      </c>
      <c r="AK268">
        <v>2042</v>
      </c>
      <c r="AL268" t="s">
        <v>147</v>
      </c>
      <c r="AM268">
        <v>0.30120000000000002</v>
      </c>
      <c r="AN268" t="s">
        <v>195</v>
      </c>
    </row>
    <row r="269" spans="9:40" ht="14.25">
      <c r="I269" t="s">
        <v>166</v>
      </c>
      <c r="J269" t="s">
        <v>286</v>
      </c>
      <c r="K269">
        <v>0.0012219337850922986</v>
      </c>
      <c r="L269" t="s">
        <v>153</v>
      </c>
      <c r="N269" t="s">
        <v>176</v>
      </c>
      <c r="O269" t="s">
        <v>286</v>
      </c>
      <c r="P269">
        <v>0.049174257412104086</v>
      </c>
      <c r="Q269" t="s">
        <v>153</v>
      </c>
      <c r="AK269">
        <v>2042</v>
      </c>
      <c r="AL269" t="s">
        <v>149</v>
      </c>
      <c r="AM269">
        <v>0.3306</v>
      </c>
      <c r="AN269" t="s">
        <v>195</v>
      </c>
    </row>
    <row r="270" spans="9:40" ht="14.25">
      <c r="I270" t="s">
        <v>166</v>
      </c>
      <c r="J270" t="s">
        <v>287</v>
      </c>
      <c r="K270">
        <v>0.011730593701429344</v>
      </c>
      <c r="L270" t="s">
        <v>153</v>
      </c>
      <c r="N270" t="s">
        <v>176</v>
      </c>
      <c r="O270" t="s">
        <v>287</v>
      </c>
      <c r="P270">
        <v>0.0058058997514442044</v>
      </c>
      <c r="Q270" t="s">
        <v>153</v>
      </c>
      <c r="AK270">
        <v>2042</v>
      </c>
      <c r="AL270" t="s">
        <v>198</v>
      </c>
      <c r="AM270">
        <v>0.36</v>
      </c>
      <c r="AN270" t="s">
        <v>195</v>
      </c>
    </row>
    <row r="271" spans="9:40" ht="14.25">
      <c r="I271" t="s">
        <v>166</v>
      </c>
      <c r="J271" t="s">
        <v>288</v>
      </c>
      <c r="K271">
        <v>0.17081437385233458</v>
      </c>
      <c r="L271" t="s">
        <v>153</v>
      </c>
      <c r="N271" t="s">
        <v>176</v>
      </c>
      <c r="O271" t="s">
        <v>288</v>
      </c>
      <c r="P271">
        <v>0.031043230365047095</v>
      </c>
      <c r="Q271" t="s">
        <v>153</v>
      </c>
      <c r="AK271">
        <v>2042</v>
      </c>
      <c r="AL271" t="s">
        <v>216</v>
      </c>
      <c r="AM271">
        <v>0.36</v>
      </c>
      <c r="AN271" t="s">
        <v>195</v>
      </c>
    </row>
    <row r="272" spans="9:40" ht="14.25">
      <c r="I272" t="s">
        <v>166</v>
      </c>
      <c r="J272" t="s">
        <v>289</v>
      </c>
      <c r="K272">
        <v>0.015535459059644681</v>
      </c>
      <c r="L272" t="s">
        <v>153</v>
      </c>
      <c r="N272" t="s">
        <v>176</v>
      </c>
      <c r="O272" t="s">
        <v>289</v>
      </c>
      <c r="P272">
        <v>0.0052147650950836984</v>
      </c>
      <c r="Q272" t="s">
        <v>153</v>
      </c>
      <c r="AK272">
        <v>2042</v>
      </c>
      <c r="AL272" t="s">
        <v>232</v>
      </c>
      <c r="AM272">
        <v>0.36924999999999997</v>
      </c>
      <c r="AN272" t="s">
        <v>195</v>
      </c>
    </row>
    <row r="273" spans="9:40" ht="14.25">
      <c r="I273" t="s">
        <v>166</v>
      </c>
      <c r="J273" t="s">
        <v>290</v>
      </c>
      <c r="K273">
        <v>0.0072460804297483899</v>
      </c>
      <c r="L273" t="s">
        <v>153</v>
      </c>
      <c r="N273" t="s">
        <v>176</v>
      </c>
      <c r="O273" t="s">
        <v>290</v>
      </c>
      <c r="P273">
        <v>0.0066015720901131088</v>
      </c>
      <c r="Q273" t="s">
        <v>153</v>
      </c>
      <c r="AK273">
        <v>2042</v>
      </c>
      <c r="AL273" t="s">
        <v>233</v>
      </c>
      <c r="AM273">
        <v>0.3962</v>
      </c>
      <c r="AN273" t="s">
        <v>195</v>
      </c>
    </row>
    <row r="274" spans="9:40" ht="14.25">
      <c r="I274" t="s">
        <v>166</v>
      </c>
      <c r="J274" t="s">
        <v>291</v>
      </c>
      <c r="K274">
        <v>0</v>
      </c>
      <c r="L274" t="s">
        <v>153</v>
      </c>
      <c r="N274" t="s">
        <v>176</v>
      </c>
      <c r="O274" t="s">
        <v>291</v>
      </c>
      <c r="P274">
        <v>0.051790650951571281</v>
      </c>
      <c r="Q274" t="s">
        <v>153</v>
      </c>
      <c r="AK274">
        <v>2042</v>
      </c>
      <c r="AL274" t="s">
        <v>234</v>
      </c>
      <c r="AM274">
        <v>0.4194</v>
      </c>
      <c r="AN274" t="s">
        <v>195</v>
      </c>
    </row>
    <row r="275" spans="9:40" ht="14.25">
      <c r="I275" t="s">
        <v>166</v>
      </c>
      <c r="J275" t="s">
        <v>292</v>
      </c>
      <c r="K275">
        <v>0</v>
      </c>
      <c r="L275" t="s">
        <v>153</v>
      </c>
      <c r="N275" t="s">
        <v>176</v>
      </c>
      <c r="O275" t="s">
        <v>292</v>
      </c>
      <c r="P275">
        <v>0.021122867923421943</v>
      </c>
      <c r="Q275" t="s">
        <v>153</v>
      </c>
      <c r="AK275">
        <v>2042</v>
      </c>
      <c r="AL275" t="s">
        <v>256</v>
      </c>
      <c r="AM275">
        <v>0.4249</v>
      </c>
      <c r="AN275" t="s">
        <v>195</v>
      </c>
    </row>
    <row r="276" spans="9:40" ht="14.25">
      <c r="I276" t="s">
        <v>166</v>
      </c>
      <c r="J276" t="s">
        <v>293</v>
      </c>
      <c r="K276">
        <v>0.0019493746306862073</v>
      </c>
      <c r="L276" t="s">
        <v>153</v>
      </c>
      <c r="N276" t="s">
        <v>176</v>
      </c>
      <c r="O276" t="s">
        <v>293</v>
      </c>
      <c r="P276">
        <v>0.0026979761423454669</v>
      </c>
      <c r="Q276" t="s">
        <v>153</v>
      </c>
      <c r="AK276">
        <v>2042</v>
      </c>
      <c r="AL276" t="s">
        <v>257</v>
      </c>
      <c r="AM276">
        <v>0.4249</v>
      </c>
      <c r="AN276" t="s">
        <v>195</v>
      </c>
    </row>
    <row r="277" spans="9:40" ht="14.25">
      <c r="I277" t="s">
        <v>166</v>
      </c>
      <c r="J277" t="s">
        <v>294</v>
      </c>
      <c r="K277">
        <v>0.035115139093955187</v>
      </c>
      <c r="L277" t="s">
        <v>153</v>
      </c>
      <c r="N277" t="s">
        <v>176</v>
      </c>
      <c r="O277" t="s">
        <v>294</v>
      </c>
      <c r="P277">
        <v>0.019799791913824121</v>
      </c>
      <c r="Q277" t="s">
        <v>153</v>
      </c>
      <c r="AK277">
        <v>2042</v>
      </c>
      <c r="AL277" t="s">
        <v>258</v>
      </c>
      <c r="AM277">
        <v>0.3847666666666667</v>
      </c>
      <c r="AN277" t="s">
        <v>195</v>
      </c>
    </row>
    <row r="278" spans="9:40" ht="14.25">
      <c r="I278" t="s">
        <v>166</v>
      </c>
      <c r="J278" t="s">
        <v>295</v>
      </c>
      <c r="K278">
        <v>0.0034125626747954661</v>
      </c>
      <c r="L278" t="s">
        <v>153</v>
      </c>
      <c r="N278" t="s">
        <v>176</v>
      </c>
      <c r="O278" t="s">
        <v>295</v>
      </c>
      <c r="P278">
        <v>0.0029986843812791087</v>
      </c>
      <c r="Q278" t="s">
        <v>153</v>
      </c>
      <c r="AK278">
        <v>2042</v>
      </c>
      <c r="AL278" t="s">
        <v>259</v>
      </c>
      <c r="AM278">
        <v>0.31955</v>
      </c>
      <c r="AN278" t="s">
        <v>195</v>
      </c>
    </row>
    <row r="279" spans="9:40" ht="14.25">
      <c r="I279" t="s">
        <v>166</v>
      </c>
      <c r="J279" t="s">
        <v>296</v>
      </c>
      <c r="K279">
        <v>0.0020145755331166019</v>
      </c>
      <c r="L279" t="s">
        <v>153</v>
      </c>
      <c r="N279" t="s">
        <v>176</v>
      </c>
      <c r="O279" t="s">
        <v>296</v>
      </c>
      <c r="P279">
        <v>0.003255826203125495</v>
      </c>
      <c r="Q279" t="s">
        <v>153</v>
      </c>
      <c r="AK279">
        <v>2042</v>
      </c>
      <c r="AL279" t="s">
        <v>260</v>
      </c>
      <c r="AM279">
        <v>0.31257499999999999</v>
      </c>
      <c r="AN279" t="s">
        <v>195</v>
      </c>
    </row>
    <row r="280" spans="9:40" ht="14.25">
      <c r="I280" t="s">
        <v>166</v>
      </c>
      <c r="J280" t="s">
        <v>297</v>
      </c>
      <c r="K280">
        <v>0</v>
      </c>
      <c r="L280" t="s">
        <v>153</v>
      </c>
      <c r="N280" t="s">
        <v>176</v>
      </c>
      <c r="O280" t="s">
        <v>297</v>
      </c>
      <c r="P280">
        <v>0.02219658576608818</v>
      </c>
      <c r="Q280" t="s">
        <v>153</v>
      </c>
      <c r="AK280">
        <v>2042</v>
      </c>
      <c r="AL280" t="s">
        <v>261</v>
      </c>
      <c r="AM280">
        <v>0.3019</v>
      </c>
      <c r="AN280" t="s">
        <v>195</v>
      </c>
    </row>
    <row r="281" spans="9:40" ht="14.25">
      <c r="I281" t="s">
        <v>167</v>
      </c>
      <c r="J281" t="s">
        <v>152</v>
      </c>
      <c r="K281">
        <v>0</v>
      </c>
      <c r="L281" t="s">
        <v>153</v>
      </c>
      <c r="N281" t="s">
        <v>177</v>
      </c>
      <c r="O281" t="s">
        <v>152</v>
      </c>
      <c r="P281">
        <v>0.0024642819257952812</v>
      </c>
      <c r="Q281" t="s">
        <v>153</v>
      </c>
      <c r="AK281">
        <v>2043</v>
      </c>
      <c r="AL281" t="s">
        <v>141</v>
      </c>
      <c r="AM281">
        <v>0.29010000000000002</v>
      </c>
      <c r="AN281" t="s">
        <v>195</v>
      </c>
    </row>
    <row r="282" spans="9:40" ht="14.25">
      <c r="I282" t="s">
        <v>167</v>
      </c>
      <c r="J282" t="s">
        <v>154</v>
      </c>
      <c r="K282">
        <v>0.00069150139217662881</v>
      </c>
      <c r="L282" t="s">
        <v>153</v>
      </c>
      <c r="N282" t="s">
        <v>177</v>
      </c>
      <c r="O282" t="s">
        <v>154</v>
      </c>
      <c r="P282">
        <v>0.00030896382505469187</v>
      </c>
      <c r="Q282" t="s">
        <v>153</v>
      </c>
      <c r="AK282">
        <v>2043</v>
      </c>
      <c r="AL282" t="s">
        <v>145</v>
      </c>
      <c r="AM282">
        <v>0.30680000000000002</v>
      </c>
      <c r="AN282" t="s">
        <v>195</v>
      </c>
    </row>
    <row r="283" spans="9:40" ht="14.25">
      <c r="I283" t="s">
        <v>167</v>
      </c>
      <c r="J283" t="s">
        <v>155</v>
      </c>
      <c r="K283">
        <v>0.012807700185566408</v>
      </c>
      <c r="L283" t="s">
        <v>153</v>
      </c>
      <c r="N283" t="s">
        <v>177</v>
      </c>
      <c r="O283" t="s">
        <v>155</v>
      </c>
      <c r="P283">
        <v>0.0030993931215933116</v>
      </c>
      <c r="Q283" t="s">
        <v>153</v>
      </c>
      <c r="AK283">
        <v>2043</v>
      </c>
      <c r="AL283" t="s">
        <v>147</v>
      </c>
      <c r="AM283">
        <v>0.32350000000000001</v>
      </c>
      <c r="AN283" t="s">
        <v>195</v>
      </c>
    </row>
    <row r="284" spans="9:40" ht="14.25">
      <c r="I284" t="s">
        <v>167</v>
      </c>
      <c r="J284" t="s">
        <v>200</v>
      </c>
      <c r="K284">
        <v>0.0013476523451734954</v>
      </c>
      <c r="L284" t="s">
        <v>153</v>
      </c>
      <c r="N284" t="s">
        <v>177</v>
      </c>
      <c r="O284" t="s">
        <v>200</v>
      </c>
      <c r="P284">
        <v>0.00062503764430562182</v>
      </c>
      <c r="Q284" t="s">
        <v>153</v>
      </c>
      <c r="AK284">
        <v>2043</v>
      </c>
      <c r="AL284" t="s">
        <v>149</v>
      </c>
      <c r="AM284">
        <v>0.32584999999999997</v>
      </c>
      <c r="AN284" t="s">
        <v>195</v>
      </c>
    </row>
    <row r="285" spans="9:40" ht="14.25">
      <c r="I285" t="s">
        <v>167</v>
      </c>
      <c r="J285" t="s">
        <v>201</v>
      </c>
      <c r="K285">
        <v>0.00074178097846597691</v>
      </c>
      <c r="L285" t="s">
        <v>153</v>
      </c>
      <c r="N285" t="s">
        <v>177</v>
      </c>
      <c r="O285" t="s">
        <v>201</v>
      </c>
      <c r="P285">
        <v>0.00053140388145060831</v>
      </c>
      <c r="Q285" t="s">
        <v>153</v>
      </c>
      <c r="AK285">
        <v>2043</v>
      </c>
      <c r="AL285" t="s">
        <v>198</v>
      </c>
      <c r="AM285">
        <v>0.32819999999999999</v>
      </c>
      <c r="AN285" t="s">
        <v>195</v>
      </c>
    </row>
    <row r="286" spans="9:40" ht="14.25">
      <c r="I286" t="s">
        <v>167</v>
      </c>
      <c r="J286" t="s">
        <v>218</v>
      </c>
      <c r="K286">
        <v>0</v>
      </c>
      <c r="L286" t="s">
        <v>153</v>
      </c>
      <c r="N286" t="s">
        <v>177</v>
      </c>
      <c r="O286" t="s">
        <v>218</v>
      </c>
      <c r="P286">
        <v>0.0025541484678246393</v>
      </c>
      <c r="Q286" t="s">
        <v>153</v>
      </c>
      <c r="AK286">
        <v>2043</v>
      </c>
      <c r="AL286" t="s">
        <v>216</v>
      </c>
      <c r="AM286">
        <v>0.32819999999999999</v>
      </c>
      <c r="AN286" t="s">
        <v>195</v>
      </c>
    </row>
    <row r="287" spans="9:40" ht="14.25">
      <c r="I287" t="s">
        <v>167</v>
      </c>
      <c r="J287" t="s">
        <v>156</v>
      </c>
      <c r="K287">
        <v>0</v>
      </c>
      <c r="L287" t="s">
        <v>153</v>
      </c>
      <c r="N287" t="s">
        <v>177</v>
      </c>
      <c r="O287" t="s">
        <v>156</v>
      </c>
      <c r="P287">
        <v>0.035097372627749292</v>
      </c>
      <c r="Q287" t="s">
        <v>153</v>
      </c>
      <c r="AK287">
        <v>2043</v>
      </c>
      <c r="AL287" t="s">
        <v>232</v>
      </c>
      <c r="AM287">
        <v>0.33529999999999999</v>
      </c>
      <c r="AN287" t="s">
        <v>195</v>
      </c>
    </row>
    <row r="288" spans="9:40" ht="14.25">
      <c r="I288" t="s">
        <v>167</v>
      </c>
      <c r="J288" t="s">
        <v>157</v>
      </c>
      <c r="K288">
        <v>0.0028697250980176882</v>
      </c>
      <c r="L288" t="s">
        <v>153</v>
      </c>
      <c r="N288" t="s">
        <v>177</v>
      </c>
      <c r="O288" t="s">
        <v>157</v>
      </c>
      <c r="P288">
        <v>0.0051667172188439858</v>
      </c>
      <c r="Q288" t="s">
        <v>153</v>
      </c>
      <c r="AK288">
        <v>2043</v>
      </c>
      <c r="AL288" t="s">
        <v>233</v>
      </c>
      <c r="AM288">
        <v>0.38944999999999996</v>
      </c>
      <c r="AN288" t="s">
        <v>195</v>
      </c>
    </row>
    <row r="289" spans="9:40" ht="14.25">
      <c r="I289" t="s">
        <v>167</v>
      </c>
      <c r="J289" t="s">
        <v>158</v>
      </c>
      <c r="K289">
        <v>0.0615214672662701</v>
      </c>
      <c r="L289" t="s">
        <v>153</v>
      </c>
      <c r="N289" t="s">
        <v>177</v>
      </c>
      <c r="O289" t="s">
        <v>158</v>
      </c>
      <c r="P289">
        <v>0.0380431801667587</v>
      </c>
      <c r="Q289" t="s">
        <v>153</v>
      </c>
      <c r="AK289">
        <v>2043</v>
      </c>
      <c r="AL289" t="s">
        <v>234</v>
      </c>
      <c r="AM289">
        <v>0.40349999999999997</v>
      </c>
      <c r="AN289" t="s">
        <v>195</v>
      </c>
    </row>
    <row r="290" spans="9:40" ht="14.25">
      <c r="I290" t="s">
        <v>167</v>
      </c>
      <c r="J290" t="s">
        <v>202</v>
      </c>
      <c r="K290">
        <v>0.0066995461422805613</v>
      </c>
      <c r="L290" t="s">
        <v>153</v>
      </c>
      <c r="N290" t="s">
        <v>177</v>
      </c>
      <c r="O290" t="s">
        <v>202</v>
      </c>
      <c r="P290">
        <v>0.0044676058762341802</v>
      </c>
      <c r="Q290" t="s">
        <v>153</v>
      </c>
      <c r="AK290">
        <v>2043</v>
      </c>
      <c r="AL290" t="s">
        <v>256</v>
      </c>
      <c r="AM290">
        <v>0.3705</v>
      </c>
      <c r="AN290" t="s">
        <v>195</v>
      </c>
    </row>
    <row r="291" spans="9:40" ht="14.25">
      <c r="I291" t="s">
        <v>167</v>
      </c>
      <c r="J291" t="s">
        <v>203</v>
      </c>
      <c r="K291">
        <v>0.0038871255655491838</v>
      </c>
      <c r="L291" t="s">
        <v>153</v>
      </c>
      <c r="N291" t="s">
        <v>177</v>
      </c>
      <c r="O291" t="s">
        <v>203</v>
      </c>
      <c r="P291">
        <v>0.0045342428127351109</v>
      </c>
      <c r="Q291" t="s">
        <v>153</v>
      </c>
      <c r="AK291">
        <v>2043</v>
      </c>
      <c r="AL291" t="s">
        <v>257</v>
      </c>
      <c r="AM291">
        <v>0.3705</v>
      </c>
      <c r="AN291" t="s">
        <v>195</v>
      </c>
    </row>
    <row r="292" spans="9:40" ht="14.25">
      <c r="I292" t="s">
        <v>167</v>
      </c>
      <c r="J292" t="s">
        <v>219</v>
      </c>
      <c r="K292">
        <v>0</v>
      </c>
      <c r="L292" t="s">
        <v>153</v>
      </c>
      <c r="N292" t="s">
        <v>177</v>
      </c>
      <c r="O292" t="s">
        <v>219</v>
      </c>
      <c r="P292">
        <v>0.02744552089452966</v>
      </c>
      <c r="Q292" t="s">
        <v>153</v>
      </c>
      <c r="AK292">
        <v>2043</v>
      </c>
      <c r="AL292" t="s">
        <v>258</v>
      </c>
      <c r="AM292">
        <v>0.37946666666666667</v>
      </c>
      <c r="AN292" t="s">
        <v>195</v>
      </c>
    </row>
    <row r="293" spans="9:40" ht="14.25">
      <c r="I293" t="s">
        <v>167</v>
      </c>
      <c r="J293" t="s">
        <v>159</v>
      </c>
      <c r="K293">
        <v>0</v>
      </c>
      <c r="L293" t="s">
        <v>153</v>
      </c>
      <c r="N293" t="s">
        <v>177</v>
      </c>
      <c r="O293" t="s">
        <v>159</v>
      </c>
      <c r="P293">
        <v>0.0081687747067178493</v>
      </c>
      <c r="Q293" t="s">
        <v>153</v>
      </c>
      <c r="AK293">
        <v>2043</v>
      </c>
      <c r="AL293" t="s">
        <v>259</v>
      </c>
      <c r="AM293">
        <v>0.33145000000000002</v>
      </c>
      <c r="AN293" t="s">
        <v>195</v>
      </c>
    </row>
    <row r="294" spans="9:40" ht="14.25">
      <c r="I294" t="s">
        <v>167</v>
      </c>
      <c r="J294" t="s">
        <v>160</v>
      </c>
      <c r="K294">
        <v>0.0018888535573371823</v>
      </c>
      <c r="L294" t="s">
        <v>153</v>
      </c>
      <c r="N294" t="s">
        <v>177</v>
      </c>
      <c r="O294" t="s">
        <v>160</v>
      </c>
      <c r="P294">
        <v>0.0011118332754128757</v>
      </c>
      <c r="Q294" t="s">
        <v>153</v>
      </c>
      <c r="AK294">
        <v>2043</v>
      </c>
      <c r="AL294" t="s">
        <v>260</v>
      </c>
      <c r="AM294">
        <v>0.299425</v>
      </c>
      <c r="AN294" t="s">
        <v>195</v>
      </c>
    </row>
    <row r="295" spans="9:40" ht="14.25">
      <c r="I295" t="s">
        <v>167</v>
      </c>
      <c r="J295" t="s">
        <v>161</v>
      </c>
      <c r="K295">
        <v>0.041569257237849343</v>
      </c>
      <c r="L295" t="s">
        <v>153</v>
      </c>
      <c r="N295" t="s">
        <v>177</v>
      </c>
      <c r="O295" t="s">
        <v>161</v>
      </c>
      <c r="P295">
        <v>0.011160652261140543</v>
      </c>
      <c r="Q295" t="s">
        <v>153</v>
      </c>
      <c r="AK295">
        <v>2043</v>
      </c>
      <c r="AL295" t="s">
        <v>261</v>
      </c>
      <c r="AM295">
        <v>0.30049999999999999</v>
      </c>
      <c r="AN295" t="s">
        <v>195</v>
      </c>
    </row>
    <row r="296" spans="9:40" ht="14.25">
      <c r="I296" t="s">
        <v>167</v>
      </c>
      <c r="J296" t="s">
        <v>204</v>
      </c>
      <c r="K296">
        <v>0.0048301957370964193</v>
      </c>
      <c r="L296" t="s">
        <v>153</v>
      </c>
      <c r="N296" t="s">
        <v>177</v>
      </c>
      <c r="O296" t="s">
        <v>204</v>
      </c>
      <c r="P296">
        <v>0.0015270029472902668</v>
      </c>
      <c r="Q296" t="s">
        <v>153</v>
      </c>
      <c r="AK296">
        <v>2044</v>
      </c>
      <c r="AL296" t="s">
        <v>141</v>
      </c>
      <c r="AM296">
        <v>0.33079999999999998</v>
      </c>
      <c r="AN296" t="s">
        <v>195</v>
      </c>
    </row>
    <row r="297" spans="9:40" ht="14.25">
      <c r="I297" t="s">
        <v>167</v>
      </c>
      <c r="J297" t="s">
        <v>205</v>
      </c>
      <c r="K297">
        <v>0.0031942205265434427</v>
      </c>
      <c r="L297" t="s">
        <v>153</v>
      </c>
      <c r="N297" t="s">
        <v>177</v>
      </c>
      <c r="O297" t="s">
        <v>205</v>
      </c>
      <c r="P297">
        <v>0.0015719459784284784</v>
      </c>
      <c r="Q297" t="s">
        <v>153</v>
      </c>
      <c r="AK297">
        <v>2044</v>
      </c>
      <c r="AL297" t="s">
        <v>145</v>
      </c>
      <c r="AM297">
        <v>0.32669999999999999</v>
      </c>
      <c r="AN297" t="s">
        <v>195</v>
      </c>
    </row>
    <row r="298" spans="9:40" ht="14.25">
      <c r="I298" t="s">
        <v>167</v>
      </c>
      <c r="J298" t="s">
        <v>220</v>
      </c>
      <c r="K298">
        <v>0</v>
      </c>
      <c r="L298" t="s">
        <v>153</v>
      </c>
      <c r="N298" t="s">
        <v>177</v>
      </c>
      <c r="O298" t="s">
        <v>220</v>
      </c>
      <c r="P298">
        <v>0.0092866868193317402</v>
      </c>
      <c r="Q298" t="s">
        <v>153</v>
      </c>
      <c r="AK298">
        <v>2044</v>
      </c>
      <c r="AL298" t="s">
        <v>147</v>
      </c>
      <c r="AM298">
        <v>0.3226</v>
      </c>
      <c r="AN298" t="s">
        <v>195</v>
      </c>
    </row>
    <row r="299" spans="9:40" ht="14.25">
      <c r="I299" t="s">
        <v>167</v>
      </c>
      <c r="J299" t="s">
        <v>162</v>
      </c>
      <c r="K299">
        <v>0</v>
      </c>
      <c r="L299" t="s">
        <v>153</v>
      </c>
      <c r="N299" t="s">
        <v>177</v>
      </c>
      <c r="O299" t="s">
        <v>162</v>
      </c>
      <c r="P299">
        <v>0.0077292735708832747</v>
      </c>
      <c r="Q299" t="s">
        <v>153</v>
      </c>
      <c r="AK299">
        <v>2044</v>
      </c>
      <c r="AL299" t="s">
        <v>149</v>
      </c>
      <c r="AM299">
        <v>0.37060000000000004</v>
      </c>
      <c r="AN299" t="s">
        <v>195</v>
      </c>
    </row>
    <row r="300" spans="9:40" ht="14.25">
      <c r="I300" t="s">
        <v>167</v>
      </c>
      <c r="J300" t="s">
        <v>163</v>
      </c>
      <c r="K300">
        <v>0.0013545935481338162</v>
      </c>
      <c r="L300" t="s">
        <v>153</v>
      </c>
      <c r="N300" t="s">
        <v>177</v>
      </c>
      <c r="O300" t="s">
        <v>163</v>
      </c>
      <c r="P300">
        <v>0.0012223746729059938</v>
      </c>
      <c r="Q300" t="s">
        <v>153</v>
      </c>
      <c r="AK300">
        <v>2044</v>
      </c>
      <c r="AL300" t="s">
        <v>198</v>
      </c>
      <c r="AM300">
        <v>0.41860000000000003</v>
      </c>
      <c r="AN300" t="s">
        <v>195</v>
      </c>
    </row>
    <row r="301" spans="9:40" ht="14.25">
      <c r="I301" t="s">
        <v>167</v>
      </c>
      <c r="J301" t="s">
        <v>164</v>
      </c>
      <c r="K301">
        <v>0.025998741733745376</v>
      </c>
      <c r="L301" t="s">
        <v>153</v>
      </c>
      <c r="N301" t="s">
        <v>177</v>
      </c>
      <c r="O301" t="s">
        <v>164</v>
      </c>
      <c r="P301">
        <v>0.0075927876232705924</v>
      </c>
      <c r="Q301" t="s">
        <v>153</v>
      </c>
      <c r="AK301">
        <v>2044</v>
      </c>
      <c r="AL301" t="s">
        <v>216</v>
      </c>
      <c r="AM301">
        <v>0.41860000000000003</v>
      </c>
      <c r="AN301" t="s">
        <v>195</v>
      </c>
    </row>
    <row r="302" spans="9:40" ht="14.25">
      <c r="I302" t="s">
        <v>167</v>
      </c>
      <c r="J302" t="s">
        <v>206</v>
      </c>
      <c r="K302">
        <v>0.0028580318605115193</v>
      </c>
      <c r="L302" t="s">
        <v>153</v>
      </c>
      <c r="N302" t="s">
        <v>177</v>
      </c>
      <c r="O302" t="s">
        <v>206</v>
      </c>
      <c r="P302">
        <v>0.00075708204606331989</v>
      </c>
      <c r="Q302" t="s">
        <v>153</v>
      </c>
      <c r="AK302">
        <v>2044</v>
      </c>
      <c r="AL302" t="s">
        <v>232</v>
      </c>
      <c r="AM302">
        <v>0.44110000000000005</v>
      </c>
      <c r="AN302" t="s">
        <v>195</v>
      </c>
    </row>
    <row r="303" spans="9:40" ht="14.25">
      <c r="I303" t="s">
        <v>167</v>
      </c>
      <c r="J303" t="s">
        <v>207</v>
      </c>
      <c r="K303">
        <v>0.0018335404718697219</v>
      </c>
      <c r="L303" t="s">
        <v>153</v>
      </c>
      <c r="N303" t="s">
        <v>177</v>
      </c>
      <c r="O303" t="s">
        <v>207</v>
      </c>
      <c r="P303">
        <v>0.00085861019728051993</v>
      </c>
      <c r="Q303" t="s">
        <v>153</v>
      </c>
      <c r="AK303">
        <v>2044</v>
      </c>
      <c r="AL303" t="s">
        <v>233</v>
      </c>
      <c r="AM303">
        <v>0.47985</v>
      </c>
      <c r="AN303" t="s">
        <v>195</v>
      </c>
    </row>
    <row r="304" spans="9:40" ht="14.25">
      <c r="I304" t="s">
        <v>167</v>
      </c>
      <c r="J304" t="s">
        <v>221</v>
      </c>
      <c r="K304">
        <v>0</v>
      </c>
      <c r="L304" t="s">
        <v>153</v>
      </c>
      <c r="N304" t="s">
        <v>177</v>
      </c>
      <c r="O304" t="s">
        <v>221</v>
      </c>
      <c r="P304">
        <v>0.0067788908053978596</v>
      </c>
      <c r="Q304" t="s">
        <v>153</v>
      </c>
      <c r="AK304">
        <v>2044</v>
      </c>
      <c r="AL304" t="s">
        <v>234</v>
      </c>
      <c r="AM304">
        <v>0.46870000000000001</v>
      </c>
      <c r="AN304" t="s">
        <v>195</v>
      </c>
    </row>
    <row r="305" spans="9:40" ht="14.25">
      <c r="I305" t="s">
        <v>167</v>
      </c>
      <c r="J305" t="s">
        <v>208</v>
      </c>
      <c r="K305">
        <v>0</v>
      </c>
      <c r="L305" t="s">
        <v>153</v>
      </c>
      <c r="N305" t="s">
        <v>177</v>
      </c>
      <c r="O305" t="s">
        <v>208</v>
      </c>
      <c r="P305">
        <v>0.019580516749465874</v>
      </c>
      <c r="Q305" t="s">
        <v>153</v>
      </c>
      <c r="AK305">
        <v>2044</v>
      </c>
      <c r="AL305" t="s">
        <v>256</v>
      </c>
      <c r="AM305">
        <v>0.44130000000000003</v>
      </c>
      <c r="AN305" t="s">
        <v>195</v>
      </c>
    </row>
    <row r="306" spans="9:40" ht="14.25">
      <c r="I306" t="s">
        <v>167</v>
      </c>
      <c r="J306" t="s">
        <v>209</v>
      </c>
      <c r="K306">
        <v>0.0020858711761324498</v>
      </c>
      <c r="L306" t="s">
        <v>153</v>
      </c>
      <c r="N306" t="s">
        <v>177</v>
      </c>
      <c r="O306" t="s">
        <v>209</v>
      </c>
      <c r="P306">
        <v>0.0028257345962101462</v>
      </c>
      <c r="Q306" t="s">
        <v>153</v>
      </c>
      <c r="AK306">
        <v>2044</v>
      </c>
      <c r="AL306" t="s">
        <v>257</v>
      </c>
      <c r="AM306">
        <v>0.44130000000000003</v>
      </c>
      <c r="AN306" t="s">
        <v>195</v>
      </c>
    </row>
    <row r="307" spans="9:40" ht="14.25">
      <c r="I307" t="s">
        <v>167</v>
      </c>
      <c r="J307" t="s">
        <v>210</v>
      </c>
      <c r="K307">
        <v>0.036147657563245415</v>
      </c>
      <c r="L307" t="s">
        <v>153</v>
      </c>
      <c r="N307" t="s">
        <v>177</v>
      </c>
      <c r="O307" t="s">
        <v>210</v>
      </c>
      <c r="P307">
        <v>0.019698468890457659</v>
      </c>
      <c r="Q307" t="s">
        <v>153</v>
      </c>
      <c r="AK307">
        <v>2044</v>
      </c>
      <c r="AL307" t="s">
        <v>258</v>
      </c>
      <c r="AM307">
        <v>0.43169999999999997</v>
      </c>
      <c r="AN307" t="s">
        <v>195</v>
      </c>
    </row>
    <row r="308" spans="9:40" ht="14.25">
      <c r="I308" t="s">
        <v>167</v>
      </c>
      <c r="J308" t="s">
        <v>211</v>
      </c>
      <c r="K308">
        <v>0.0038937779359852569</v>
      </c>
      <c r="L308" t="s">
        <v>153</v>
      </c>
      <c r="N308" t="s">
        <v>177</v>
      </c>
      <c r="O308" t="s">
        <v>211</v>
      </c>
      <c r="P308">
        <v>0.0026034357146402605</v>
      </c>
      <c r="Q308" t="s">
        <v>153</v>
      </c>
      <c r="AK308">
        <v>2044</v>
      </c>
      <c r="AL308" t="s">
        <v>259</v>
      </c>
      <c r="AM308">
        <v>0.3891</v>
      </c>
      <c r="AN308" t="s">
        <v>195</v>
      </c>
    </row>
    <row r="309" spans="9:40" ht="14.25">
      <c r="I309" t="s">
        <v>167</v>
      </c>
      <c r="J309" t="s">
        <v>212</v>
      </c>
      <c r="K309">
        <v>0.0026732788329301683</v>
      </c>
      <c r="L309" t="s">
        <v>153</v>
      </c>
      <c r="N309" t="s">
        <v>177</v>
      </c>
      <c r="O309" t="s">
        <v>212</v>
      </c>
      <c r="P309">
        <v>0.0025844289273355271</v>
      </c>
      <c r="Q309" t="s">
        <v>153</v>
      </c>
      <c r="AK309">
        <v>2044</v>
      </c>
      <c r="AL309" t="s">
        <v>260</v>
      </c>
      <c r="AM309">
        <v>0.357325</v>
      </c>
      <c r="AN309" t="s">
        <v>195</v>
      </c>
    </row>
    <row r="310" spans="9:40" ht="14.25">
      <c r="I310" t="s">
        <v>167</v>
      </c>
      <c r="J310" t="s">
        <v>222</v>
      </c>
      <c r="K310">
        <v>0.00055618237409617007</v>
      </c>
      <c r="L310" t="s">
        <v>153</v>
      </c>
      <c r="N310" t="s">
        <v>177</v>
      </c>
      <c r="O310" t="s">
        <v>222</v>
      </c>
      <c r="P310">
        <v>0.01576933480917413</v>
      </c>
      <c r="Q310" t="s">
        <v>153</v>
      </c>
      <c r="AK310">
        <v>2044</v>
      </c>
      <c r="AL310" t="s">
        <v>261</v>
      </c>
      <c r="AM310">
        <v>0.32669999999999999</v>
      </c>
      <c r="AN310" t="s">
        <v>195</v>
      </c>
    </row>
    <row r="311" spans="9:40" ht="14.25">
      <c r="I311" t="s">
        <v>167</v>
      </c>
      <c r="J311" t="s">
        <v>223</v>
      </c>
      <c r="K311">
        <v>0</v>
      </c>
      <c r="L311" t="s">
        <v>153</v>
      </c>
      <c r="N311" t="s">
        <v>177</v>
      </c>
      <c r="O311" t="s">
        <v>223</v>
      </c>
      <c r="P311">
        <v>0.0025391533755643233</v>
      </c>
      <c r="Q311" t="s">
        <v>153</v>
      </c>
      <c r="AK311">
        <v>2045</v>
      </c>
      <c r="AL311" t="s">
        <v>141</v>
      </c>
      <c r="AM311">
        <v>0.38329999999999997</v>
      </c>
      <c r="AN311" t="s">
        <v>195</v>
      </c>
    </row>
    <row r="312" spans="9:40" ht="14.25">
      <c r="I312" t="s">
        <v>167</v>
      </c>
      <c r="J312" t="s">
        <v>224</v>
      </c>
      <c r="K312">
        <v>0.00045967684715852856</v>
      </c>
      <c r="L312" t="s">
        <v>153</v>
      </c>
      <c r="N312" t="s">
        <v>177</v>
      </c>
      <c r="O312" t="s">
        <v>224</v>
      </c>
      <c r="P312">
        <v>0.00024925287259153244</v>
      </c>
      <c r="Q312" t="s">
        <v>153</v>
      </c>
      <c r="AK312">
        <v>2045</v>
      </c>
      <c r="AL312" t="s">
        <v>145</v>
      </c>
      <c r="AM312">
        <v>0.3876</v>
      </c>
      <c r="AN312" t="s">
        <v>195</v>
      </c>
    </row>
    <row r="313" spans="9:40" ht="14.25">
      <c r="I313" t="s">
        <v>167</v>
      </c>
      <c r="J313" t="s">
        <v>225</v>
      </c>
      <c r="K313">
        <v>0.0093738677800163633</v>
      </c>
      <c r="L313" t="s">
        <v>153</v>
      </c>
      <c r="N313" t="s">
        <v>177</v>
      </c>
      <c r="O313" t="s">
        <v>225</v>
      </c>
      <c r="P313">
        <v>0.003344427614892309</v>
      </c>
      <c r="Q313" t="s">
        <v>153</v>
      </c>
      <c r="AK313">
        <v>2045</v>
      </c>
      <c r="AL313" t="s">
        <v>147</v>
      </c>
      <c r="AM313">
        <v>0.39190000000000003</v>
      </c>
      <c r="AN313" t="s">
        <v>195</v>
      </c>
    </row>
    <row r="314" spans="9:40" ht="14.25">
      <c r="I314" t="s">
        <v>167</v>
      </c>
      <c r="J314" t="s">
        <v>226</v>
      </c>
      <c r="K314">
        <v>0.0010285050207132147</v>
      </c>
      <c r="L314" t="s">
        <v>153</v>
      </c>
      <c r="N314" t="s">
        <v>177</v>
      </c>
      <c r="O314" t="s">
        <v>226</v>
      </c>
      <c r="P314">
        <v>0.00075724913691743267</v>
      </c>
      <c r="Q314" t="s">
        <v>153</v>
      </c>
      <c r="AK314">
        <v>2045</v>
      </c>
      <c r="AL314" t="s">
        <v>149</v>
      </c>
      <c r="AM314">
        <v>0.39700000000000002</v>
      </c>
      <c r="AN314" t="s">
        <v>195</v>
      </c>
    </row>
    <row r="315" spans="9:40" ht="14.25">
      <c r="I315" t="s">
        <v>167</v>
      </c>
      <c r="J315" t="s">
        <v>227</v>
      </c>
      <c r="K315">
        <v>0.00075720951313434611</v>
      </c>
      <c r="L315" t="s">
        <v>153</v>
      </c>
      <c r="N315" t="s">
        <v>177</v>
      </c>
      <c r="O315" t="s">
        <v>227</v>
      </c>
      <c r="P315">
        <v>0.00075823416592980743</v>
      </c>
      <c r="Q315" t="s">
        <v>153</v>
      </c>
      <c r="AK315">
        <v>2045</v>
      </c>
      <c r="AL315" t="s">
        <v>198</v>
      </c>
      <c r="AM315">
        <v>0.40210000000000001</v>
      </c>
      <c r="AN315" t="s">
        <v>195</v>
      </c>
    </row>
    <row r="316" spans="9:40" ht="14.25">
      <c r="I316" t="s">
        <v>167</v>
      </c>
      <c r="J316" t="s">
        <v>228</v>
      </c>
      <c r="K316">
        <v>0.00039471332728498366</v>
      </c>
      <c r="L316" t="s">
        <v>153</v>
      </c>
      <c r="N316" t="s">
        <v>177</v>
      </c>
      <c r="O316" t="s">
        <v>228</v>
      </c>
      <c r="P316">
        <v>0.0024153885327925593</v>
      </c>
      <c r="Q316" t="s">
        <v>153</v>
      </c>
      <c r="AK316">
        <v>2045</v>
      </c>
      <c r="AL316" t="s">
        <v>216</v>
      </c>
      <c r="AM316">
        <v>0.40210000000000001</v>
      </c>
      <c r="AN316" t="s">
        <v>195</v>
      </c>
    </row>
    <row r="317" spans="9:40" ht="14.25">
      <c r="I317" t="s">
        <v>167</v>
      </c>
      <c r="J317" t="s">
        <v>235</v>
      </c>
      <c r="K317">
        <v>0.0020125415477523496</v>
      </c>
      <c r="L317" t="s">
        <v>153</v>
      </c>
      <c r="N317" t="s">
        <v>177</v>
      </c>
      <c r="O317" t="s">
        <v>235</v>
      </c>
      <c r="P317">
        <v>0.024869257007562269</v>
      </c>
      <c r="Q317" t="s">
        <v>153</v>
      </c>
      <c r="AK317">
        <v>2045</v>
      </c>
      <c r="AL317" t="s">
        <v>232</v>
      </c>
      <c r="AM317">
        <v>0.41265000000000002</v>
      </c>
      <c r="AN317" t="s">
        <v>195</v>
      </c>
    </row>
    <row r="318" spans="9:40" ht="14.25">
      <c r="I318" t="s">
        <v>167</v>
      </c>
      <c r="J318" t="s">
        <v>236</v>
      </c>
      <c r="K318">
        <v>0.005308118619182252</v>
      </c>
      <c r="L318" t="s">
        <v>153</v>
      </c>
      <c r="N318" t="s">
        <v>177</v>
      </c>
      <c r="O318" t="s">
        <v>236</v>
      </c>
      <c r="P318">
        <v>0.0035607887464049011</v>
      </c>
      <c r="Q318" t="s">
        <v>153</v>
      </c>
      <c r="AK318">
        <v>2045</v>
      </c>
      <c r="AL318" t="s">
        <v>233</v>
      </c>
      <c r="AM318">
        <v>0.44674999999999998</v>
      </c>
      <c r="AN318" t="s">
        <v>195</v>
      </c>
    </row>
    <row r="319" spans="9:40" ht="14.25">
      <c r="I319" t="s">
        <v>167</v>
      </c>
      <c r="J319" t="s">
        <v>237</v>
      </c>
      <c r="K319">
        <v>0.067975127342386504</v>
      </c>
      <c r="L319" t="s">
        <v>153</v>
      </c>
      <c r="N319" t="s">
        <v>177</v>
      </c>
      <c r="O319" t="s">
        <v>237</v>
      </c>
      <c r="P319">
        <v>0.026820827284569946</v>
      </c>
      <c r="Q319" t="s">
        <v>153</v>
      </c>
      <c r="AK319">
        <v>2045</v>
      </c>
      <c r="AL319" t="s">
        <v>234</v>
      </c>
      <c r="AM319">
        <v>0.49399999999999999</v>
      </c>
      <c r="AN319" t="s">
        <v>195</v>
      </c>
    </row>
    <row r="320" spans="9:40" ht="14.25">
      <c r="I320" t="s">
        <v>167</v>
      </c>
      <c r="J320" t="s">
        <v>238</v>
      </c>
      <c r="K320">
        <v>0.0070411380192999815</v>
      </c>
      <c r="L320" t="s">
        <v>153</v>
      </c>
      <c r="N320" t="s">
        <v>177</v>
      </c>
      <c r="O320" t="s">
        <v>238</v>
      </c>
      <c r="P320">
        <v>0.0052131896278071726</v>
      </c>
      <c r="Q320" t="s">
        <v>153</v>
      </c>
      <c r="AK320">
        <v>2045</v>
      </c>
      <c r="AL320" t="s">
        <v>256</v>
      </c>
      <c r="AM320">
        <v>0.51770000000000005</v>
      </c>
      <c r="AN320" t="s">
        <v>195</v>
      </c>
    </row>
    <row r="321" spans="9:40" ht="14.25">
      <c r="I321" t="s">
        <v>167</v>
      </c>
      <c r="J321" t="s">
        <v>239</v>
      </c>
      <c r="K321">
        <v>0.0049640513651552243</v>
      </c>
      <c r="L321" t="s">
        <v>153</v>
      </c>
      <c r="N321" t="s">
        <v>177</v>
      </c>
      <c r="O321" t="s">
        <v>239</v>
      </c>
      <c r="P321">
        <v>0.0053719134972038691</v>
      </c>
      <c r="Q321" t="s">
        <v>153</v>
      </c>
      <c r="AK321">
        <v>2045</v>
      </c>
      <c r="AL321" t="s">
        <v>257</v>
      </c>
      <c r="AM321">
        <v>0.51770000000000005</v>
      </c>
      <c r="AN321" t="s">
        <v>195</v>
      </c>
    </row>
    <row r="322" spans="9:40" ht="14.25">
      <c r="I322" t="s">
        <v>167</v>
      </c>
      <c r="J322" t="s">
        <v>240</v>
      </c>
      <c r="K322">
        <v>0.0022758762702639701</v>
      </c>
      <c r="L322" t="s">
        <v>153</v>
      </c>
      <c r="N322" t="s">
        <v>177</v>
      </c>
      <c r="O322" t="s">
        <v>240</v>
      </c>
      <c r="P322">
        <v>0.02497062959755976</v>
      </c>
      <c r="Q322" t="s">
        <v>153</v>
      </c>
      <c r="AK322">
        <v>2045</v>
      </c>
      <c r="AL322" t="s">
        <v>258</v>
      </c>
      <c r="AM322">
        <v>0.44356666666666666</v>
      </c>
      <c r="AN322" t="s">
        <v>195</v>
      </c>
    </row>
    <row r="323" spans="9:40" ht="14.25">
      <c r="I323" t="s">
        <v>167</v>
      </c>
      <c r="J323" t="s">
        <v>241</v>
      </c>
      <c r="K323">
        <v>0.0018779107923665953</v>
      </c>
      <c r="L323" t="s">
        <v>153</v>
      </c>
      <c r="N323" t="s">
        <v>177</v>
      </c>
      <c r="O323" t="s">
        <v>241</v>
      </c>
      <c r="P323">
        <v>0.0073115636641111698</v>
      </c>
      <c r="Q323" t="s">
        <v>153</v>
      </c>
      <c r="AK323">
        <v>2045</v>
      </c>
      <c r="AL323" t="s">
        <v>259</v>
      </c>
      <c r="AM323">
        <v>0.38685000000000003</v>
      </c>
      <c r="AN323" t="s">
        <v>195</v>
      </c>
    </row>
    <row r="324" spans="9:40" ht="14.25">
      <c r="I324" t="s">
        <v>167</v>
      </c>
      <c r="J324" t="s">
        <v>242</v>
      </c>
      <c r="K324">
        <v>0.0037543478665073371</v>
      </c>
      <c r="L324" t="s">
        <v>153</v>
      </c>
      <c r="N324" t="s">
        <v>177</v>
      </c>
      <c r="O324" t="s">
        <v>242</v>
      </c>
      <c r="P324">
        <v>0.0013614121214168922</v>
      </c>
      <c r="Q324" t="s">
        <v>153</v>
      </c>
      <c r="AK324">
        <v>2045</v>
      </c>
      <c r="AL324" t="s">
        <v>260</v>
      </c>
      <c r="AM324">
        <v>0.36395</v>
      </c>
      <c r="AN324" t="s">
        <v>195</v>
      </c>
    </row>
    <row r="325" spans="9:40" ht="14.25">
      <c r="I325" t="s">
        <v>167</v>
      </c>
      <c r="J325" t="s">
        <v>243</v>
      </c>
      <c r="K325">
        <v>0.048683687529584838</v>
      </c>
      <c r="L325" t="s">
        <v>153</v>
      </c>
      <c r="N325" t="s">
        <v>177</v>
      </c>
      <c r="O325" t="s">
        <v>243</v>
      </c>
      <c r="P325">
        <v>0.016782761004960518</v>
      </c>
      <c r="Q325" t="s">
        <v>153</v>
      </c>
      <c r="AK325">
        <v>2045</v>
      </c>
      <c r="AL325" t="s">
        <v>261</v>
      </c>
      <c r="AM325">
        <v>0.37159999999999999</v>
      </c>
      <c r="AN325" t="s">
        <v>195</v>
      </c>
    </row>
    <row r="326" spans="9:40" ht="14.25">
      <c r="I326" t="s">
        <v>167</v>
      </c>
      <c r="J326" t="s">
        <v>244</v>
      </c>
      <c r="K326">
        <v>0.0050391841053139203</v>
      </c>
      <c r="L326" t="s">
        <v>153</v>
      </c>
      <c r="N326" t="s">
        <v>177</v>
      </c>
      <c r="O326" t="s">
        <v>244</v>
      </c>
      <c r="P326">
        <v>0.0025773645398268069</v>
      </c>
      <c r="Q326" t="s">
        <v>153</v>
      </c>
      <c r="AK326">
        <v>2046</v>
      </c>
      <c r="AL326" t="s">
        <v>141</v>
      </c>
      <c r="AM326">
        <v>0.33639999999999998</v>
      </c>
      <c r="AN326" t="s">
        <v>195</v>
      </c>
    </row>
    <row r="327" spans="9:40" ht="14.25">
      <c r="I327" t="s">
        <v>167</v>
      </c>
      <c r="J327" t="s">
        <v>245</v>
      </c>
      <c r="K327">
        <v>0.0036725778572403497</v>
      </c>
      <c r="L327" t="s">
        <v>153</v>
      </c>
      <c r="N327" t="s">
        <v>177</v>
      </c>
      <c r="O327" t="s">
        <v>245</v>
      </c>
      <c r="P327">
        <v>0.0024932967051983163</v>
      </c>
      <c r="Q327" t="s">
        <v>153</v>
      </c>
      <c r="AK327">
        <v>2046</v>
      </c>
      <c r="AL327" t="s">
        <v>145</v>
      </c>
      <c r="AM327">
        <v>0.34104999999999996</v>
      </c>
      <c r="AN327" t="s">
        <v>195</v>
      </c>
    </row>
    <row r="328" spans="9:40" ht="14.25">
      <c r="I328" t="s">
        <v>167</v>
      </c>
      <c r="J328" t="s">
        <v>246</v>
      </c>
      <c r="K328">
        <v>0.0016802602602727105</v>
      </c>
      <c r="L328" t="s">
        <v>153</v>
      </c>
      <c r="N328" t="s">
        <v>177</v>
      </c>
      <c r="O328" t="s">
        <v>246</v>
      </c>
      <c r="P328">
        <v>0.010432419235450177</v>
      </c>
      <c r="Q328" t="s">
        <v>153</v>
      </c>
      <c r="AK328">
        <v>2046</v>
      </c>
      <c r="AL328" t="s">
        <v>147</v>
      </c>
      <c r="AM328">
        <v>0.34570000000000001</v>
      </c>
      <c r="AN328" t="s">
        <v>195</v>
      </c>
    </row>
    <row r="329" spans="9:40" ht="14.25">
      <c r="I329" t="s">
        <v>167</v>
      </c>
      <c r="J329" t="s">
        <v>247</v>
      </c>
      <c r="K329">
        <v>0.001857547542898552</v>
      </c>
      <c r="L329" t="s">
        <v>153</v>
      </c>
      <c r="N329" t="s">
        <v>177</v>
      </c>
      <c r="O329" t="s">
        <v>247</v>
      </c>
      <c r="P329">
        <v>0.019838724186275199</v>
      </c>
      <c r="Q329" t="s">
        <v>153</v>
      </c>
      <c r="AK329">
        <v>2046</v>
      </c>
      <c r="AL329" t="s">
        <v>149</v>
      </c>
      <c r="AM329">
        <v>0.36299999999999999</v>
      </c>
      <c r="AN329" t="s">
        <v>195</v>
      </c>
    </row>
    <row r="330" spans="9:40" ht="14.25">
      <c r="I330" t="s">
        <v>167</v>
      </c>
      <c r="J330" t="s">
        <v>248</v>
      </c>
      <c r="K330">
        <v>0.0037370955206066404</v>
      </c>
      <c r="L330" t="s">
        <v>153</v>
      </c>
      <c r="N330" t="s">
        <v>177</v>
      </c>
      <c r="O330" t="s">
        <v>248</v>
      </c>
      <c r="P330">
        <v>0.0023356136092570947</v>
      </c>
      <c r="Q330" t="s">
        <v>153</v>
      </c>
      <c r="AK330">
        <v>2046</v>
      </c>
      <c r="AL330" t="s">
        <v>198</v>
      </c>
      <c r="AM330">
        <v>0.38030000000000003</v>
      </c>
      <c r="AN330" t="s">
        <v>195</v>
      </c>
    </row>
    <row r="331" spans="9:40" ht="14.25">
      <c r="I331" t="s">
        <v>167</v>
      </c>
      <c r="J331" t="s">
        <v>249</v>
      </c>
      <c r="K331">
        <v>0.047252602933324686</v>
      </c>
      <c r="L331" t="s">
        <v>153</v>
      </c>
      <c r="N331" t="s">
        <v>177</v>
      </c>
      <c r="O331" t="s">
        <v>249</v>
      </c>
      <c r="P331">
        <v>0.028946871742379639</v>
      </c>
      <c r="Q331" t="s">
        <v>153</v>
      </c>
      <c r="AK331">
        <v>2046</v>
      </c>
      <c r="AL331" t="s">
        <v>216</v>
      </c>
      <c r="AM331">
        <v>0.38030000000000003</v>
      </c>
      <c r="AN331" t="s">
        <v>195</v>
      </c>
    </row>
    <row r="332" spans="9:40" ht="14.25">
      <c r="I332" t="s">
        <v>167</v>
      </c>
      <c r="J332" t="s">
        <v>250</v>
      </c>
      <c r="K332">
        <v>0.0047568121356657096</v>
      </c>
      <c r="L332" t="s">
        <v>153</v>
      </c>
      <c r="N332" t="s">
        <v>177</v>
      </c>
      <c r="O332" t="s">
        <v>250</v>
      </c>
      <c r="P332">
        <v>0.0052827359270331258</v>
      </c>
      <c r="Q332" t="s">
        <v>153</v>
      </c>
      <c r="AK332">
        <v>2046</v>
      </c>
      <c r="AL332" t="s">
        <v>232</v>
      </c>
      <c r="AM332">
        <v>0.4017</v>
      </c>
      <c r="AN332" t="s">
        <v>195</v>
      </c>
    </row>
    <row r="333" spans="9:40" ht="14.25">
      <c r="I333" t="s">
        <v>167</v>
      </c>
      <c r="J333" t="s">
        <v>251</v>
      </c>
      <c r="K333">
        <v>0.0034676930569946334</v>
      </c>
      <c r="L333" t="s">
        <v>153</v>
      </c>
      <c r="N333" t="s">
        <v>177</v>
      </c>
      <c r="O333" t="s">
        <v>251</v>
      </c>
      <c r="P333">
        <v>0.0047126680897877004</v>
      </c>
      <c r="Q333" t="s">
        <v>153</v>
      </c>
      <c r="AK333">
        <v>2046</v>
      </c>
      <c r="AL333" t="s">
        <v>233</v>
      </c>
      <c r="AM333">
        <v>0.42669999999999997</v>
      </c>
      <c r="AN333" t="s">
        <v>195</v>
      </c>
    </row>
    <row r="334" spans="9:40" ht="14.25">
      <c r="I334" t="s">
        <v>167</v>
      </c>
      <c r="J334" t="s">
        <v>252</v>
      </c>
      <c r="K334">
        <v>0.0015486005795846945</v>
      </c>
      <c r="L334" t="s">
        <v>153</v>
      </c>
      <c r="N334" t="s">
        <v>177</v>
      </c>
      <c r="O334" t="s">
        <v>252</v>
      </c>
      <c r="P334">
        <v>0.0191787433449251</v>
      </c>
      <c r="Q334" t="s">
        <v>153</v>
      </c>
      <c r="AK334">
        <v>2046</v>
      </c>
      <c r="AL334" t="s">
        <v>234</v>
      </c>
      <c r="AM334">
        <v>0.4667</v>
      </c>
      <c r="AN334" t="s">
        <v>195</v>
      </c>
    </row>
    <row r="335" spans="9:40" ht="14.25">
      <c r="I335" t="s">
        <v>167</v>
      </c>
      <c r="J335" t="s">
        <v>262</v>
      </c>
      <c r="K335">
        <v>0.00046343497366486302</v>
      </c>
      <c r="L335" t="s">
        <v>153</v>
      </c>
      <c r="N335" t="s">
        <v>177</v>
      </c>
      <c r="O335" t="s">
        <v>262</v>
      </c>
      <c r="P335">
        <v>0.016884865498383</v>
      </c>
      <c r="Q335" t="s">
        <v>153</v>
      </c>
      <c r="AK335">
        <v>2046</v>
      </c>
      <c r="AL335" t="s">
        <v>256</v>
      </c>
      <c r="AM335">
        <v>0.50309999999999999</v>
      </c>
      <c r="AN335" t="s">
        <v>195</v>
      </c>
    </row>
    <row r="336" spans="9:40" ht="14.25">
      <c r="I336" t="s">
        <v>167</v>
      </c>
      <c r="J336" t="s">
        <v>263</v>
      </c>
      <c r="K336">
        <v>0.0010320090171972991</v>
      </c>
      <c r="L336" t="s">
        <v>153</v>
      </c>
      <c r="N336" t="s">
        <v>177</v>
      </c>
      <c r="O336" t="s">
        <v>263</v>
      </c>
      <c r="P336">
        <v>0.0026941867650943515</v>
      </c>
      <c r="Q336" t="s">
        <v>153</v>
      </c>
      <c r="AK336">
        <v>2046</v>
      </c>
      <c r="AL336" t="s">
        <v>257</v>
      </c>
      <c r="AM336">
        <v>0.50309999999999999</v>
      </c>
      <c r="AN336" t="s">
        <v>195</v>
      </c>
    </row>
    <row r="337" spans="9:40" ht="14.25">
      <c r="I337" t="s">
        <v>167</v>
      </c>
      <c r="J337" t="s">
        <v>264</v>
      </c>
      <c r="K337">
        <v>0.013518447861389424</v>
      </c>
      <c r="L337" t="s">
        <v>153</v>
      </c>
      <c r="N337" t="s">
        <v>177</v>
      </c>
      <c r="O337" t="s">
        <v>264</v>
      </c>
      <c r="P337">
        <v>0.022204483001029483</v>
      </c>
      <c r="Q337" t="s">
        <v>153</v>
      </c>
      <c r="AK337">
        <v>2046</v>
      </c>
      <c r="AL337" t="s">
        <v>258</v>
      </c>
      <c r="AM337">
        <v>0.43133333333333335</v>
      </c>
      <c r="AN337" t="s">
        <v>195</v>
      </c>
    </row>
    <row r="338" spans="9:40" ht="14.25">
      <c r="I338" t="s">
        <v>167</v>
      </c>
      <c r="J338" t="s">
        <v>265</v>
      </c>
      <c r="K338">
        <v>0.0013302129489484906</v>
      </c>
      <c r="L338" t="s">
        <v>153</v>
      </c>
      <c r="N338" t="s">
        <v>177</v>
      </c>
      <c r="O338" t="s">
        <v>265</v>
      </c>
      <c r="P338">
        <v>0.0026710861326495693</v>
      </c>
      <c r="Q338" t="s">
        <v>153</v>
      </c>
      <c r="AK338">
        <v>2046</v>
      </c>
      <c r="AL338" t="s">
        <v>259</v>
      </c>
      <c r="AM338">
        <v>0.37165000000000004</v>
      </c>
      <c r="AN338" t="s">
        <v>195</v>
      </c>
    </row>
    <row r="339" spans="9:40" ht="14.25">
      <c r="I339" t="s">
        <v>167</v>
      </c>
      <c r="J339" t="s">
        <v>266</v>
      </c>
      <c r="K339">
        <v>0.0009619224212633605</v>
      </c>
      <c r="L339" t="s">
        <v>153</v>
      </c>
      <c r="N339" t="s">
        <v>177</v>
      </c>
      <c r="O339" t="s">
        <v>266</v>
      </c>
      <c r="P339">
        <v>0.0024464389952127317</v>
      </c>
      <c r="Q339" t="s">
        <v>153</v>
      </c>
      <c r="AK339">
        <v>2046</v>
      </c>
      <c r="AL339" t="s">
        <v>260</v>
      </c>
      <c r="AM339">
        <v>0.376025</v>
      </c>
      <c r="AN339" t="s">
        <v>195</v>
      </c>
    </row>
    <row r="340" spans="9:40" ht="14.25">
      <c r="I340" t="s">
        <v>167</v>
      </c>
      <c r="J340" t="s">
        <v>267</v>
      </c>
      <c r="K340">
        <v>0.00040845650498361912</v>
      </c>
      <c r="L340" t="s">
        <v>153</v>
      </c>
      <c r="N340" t="s">
        <v>177</v>
      </c>
      <c r="O340" t="s">
        <v>267</v>
      </c>
      <c r="P340">
        <v>0.011347480004578622</v>
      </c>
      <c r="Q340" t="s">
        <v>153</v>
      </c>
      <c r="AK340">
        <v>2046</v>
      </c>
      <c r="AL340" t="s">
        <v>261</v>
      </c>
      <c r="AM340">
        <v>0.38229999999999997</v>
      </c>
      <c r="AN340" t="s">
        <v>195</v>
      </c>
    </row>
    <row r="341" spans="9:40" ht="14.25">
      <c r="I341" t="s">
        <v>167</v>
      </c>
      <c r="J341" t="s">
        <v>268</v>
      </c>
      <c r="K341">
        <v>0.00055509560041445906</v>
      </c>
      <c r="L341" t="s">
        <v>153</v>
      </c>
      <c r="N341" t="s">
        <v>177</v>
      </c>
      <c r="O341" t="s">
        <v>268</v>
      </c>
      <c r="P341">
        <v>0.009645433230921532</v>
      </c>
      <c r="Q341" t="s">
        <v>153</v>
      </c>
      <c r="AK341">
        <v>2047</v>
      </c>
      <c r="AL341" t="s">
        <v>141</v>
      </c>
      <c r="AM341">
        <v>0.34370000000000001</v>
      </c>
      <c r="AN341" t="s">
        <v>195</v>
      </c>
    </row>
    <row r="342" spans="9:40" ht="14.25">
      <c r="I342" t="s">
        <v>167</v>
      </c>
      <c r="J342" t="s">
        <v>269</v>
      </c>
      <c r="K342">
        <v>0.0013458969030558428</v>
      </c>
      <c r="L342" t="s">
        <v>153</v>
      </c>
      <c r="N342" t="s">
        <v>177</v>
      </c>
      <c r="O342" t="s">
        <v>269</v>
      </c>
      <c r="P342">
        <v>0.0011399327013354105</v>
      </c>
      <c r="Q342" t="s">
        <v>153</v>
      </c>
      <c r="AK342">
        <v>2047</v>
      </c>
      <c r="AL342" t="s">
        <v>145</v>
      </c>
      <c r="AM342">
        <v>0.36030000000000001</v>
      </c>
      <c r="AN342" t="s">
        <v>195</v>
      </c>
    </row>
    <row r="343" spans="9:40" ht="14.25">
      <c r="I343" t="s">
        <v>167</v>
      </c>
      <c r="J343" t="s">
        <v>270</v>
      </c>
      <c r="K343">
        <v>0.01918647628994399</v>
      </c>
      <c r="L343" t="s">
        <v>153</v>
      </c>
      <c r="N343" t="s">
        <v>177</v>
      </c>
      <c r="O343" t="s">
        <v>270</v>
      </c>
      <c r="P343">
        <v>0.016273373335230251</v>
      </c>
      <c r="Q343" t="s">
        <v>153</v>
      </c>
      <c r="AK343">
        <v>2047</v>
      </c>
      <c r="AL343" t="s">
        <v>147</v>
      </c>
      <c r="AM343">
        <v>0.37690000000000001</v>
      </c>
      <c r="AN343" t="s">
        <v>195</v>
      </c>
    </row>
    <row r="344" spans="9:40" ht="14.25">
      <c r="I344" t="s">
        <v>167</v>
      </c>
      <c r="J344" t="s">
        <v>271</v>
      </c>
      <c r="K344">
        <v>0.0018855576039930337</v>
      </c>
      <c r="L344" t="s">
        <v>153</v>
      </c>
      <c r="N344" t="s">
        <v>177</v>
      </c>
      <c r="O344" t="s">
        <v>271</v>
      </c>
      <c r="P344">
        <v>0.0025358704004818104</v>
      </c>
      <c r="Q344" t="s">
        <v>153</v>
      </c>
      <c r="AK344">
        <v>2047</v>
      </c>
      <c r="AL344" t="s">
        <v>149</v>
      </c>
      <c r="AM344">
        <v>0.379</v>
      </c>
      <c r="AN344" t="s">
        <v>195</v>
      </c>
    </row>
    <row r="345" spans="9:40" ht="14.25">
      <c r="I345" t="s">
        <v>167</v>
      </c>
      <c r="J345" t="s">
        <v>272</v>
      </c>
      <c r="K345">
        <v>0.0013456063917991008</v>
      </c>
      <c r="L345" t="s">
        <v>153</v>
      </c>
      <c r="N345" t="s">
        <v>177</v>
      </c>
      <c r="O345" t="s">
        <v>272</v>
      </c>
      <c r="P345">
        <v>0.0021785569479972769</v>
      </c>
      <c r="Q345" t="s">
        <v>153</v>
      </c>
      <c r="AK345">
        <v>2047</v>
      </c>
      <c r="AL345" t="s">
        <v>198</v>
      </c>
      <c r="AM345">
        <v>0.38109999999999999</v>
      </c>
      <c r="AN345" t="s">
        <v>195</v>
      </c>
    </row>
    <row r="346" spans="9:40" ht="14.25">
      <c r="I346" t="s">
        <v>167</v>
      </c>
      <c r="J346" t="s">
        <v>273</v>
      </c>
      <c r="K346">
        <v>0.00055758289417196958</v>
      </c>
      <c r="L346" t="s">
        <v>153</v>
      </c>
      <c r="N346" t="s">
        <v>177</v>
      </c>
      <c r="O346" t="s">
        <v>273</v>
      </c>
      <c r="P346">
        <v>0.0099341179162746648</v>
      </c>
      <c r="Q346" t="s">
        <v>153</v>
      </c>
      <c r="AK346">
        <v>2047</v>
      </c>
      <c r="AL346" t="s">
        <v>216</v>
      </c>
      <c r="AM346">
        <v>0.38109999999999999</v>
      </c>
      <c r="AN346" t="s">
        <v>195</v>
      </c>
    </row>
    <row r="347" spans="9:40" ht="14.25">
      <c r="I347" t="s">
        <v>167</v>
      </c>
      <c r="J347" t="s">
        <v>274</v>
      </c>
      <c r="K347">
        <v>0.0020174820764959395</v>
      </c>
      <c r="L347" t="s">
        <v>153</v>
      </c>
      <c r="N347" t="s">
        <v>177</v>
      </c>
      <c r="O347" t="s">
        <v>274</v>
      </c>
      <c r="P347">
        <v>0.020126045025361618</v>
      </c>
      <c r="Q347" t="s">
        <v>153</v>
      </c>
      <c r="AK347">
        <v>2047</v>
      </c>
      <c r="AL347" t="s">
        <v>232</v>
      </c>
      <c r="AM347">
        <v>0.3911</v>
      </c>
      <c r="AN347" t="s">
        <v>195</v>
      </c>
    </row>
    <row r="348" spans="9:40" ht="14.25">
      <c r="I348" t="s">
        <v>167</v>
      </c>
      <c r="J348" t="s">
        <v>275</v>
      </c>
      <c r="K348">
        <v>0.0055381533291874877</v>
      </c>
      <c r="L348" t="s">
        <v>153</v>
      </c>
      <c r="N348" t="s">
        <v>177</v>
      </c>
      <c r="O348" t="s">
        <v>275</v>
      </c>
      <c r="P348">
        <v>0.0035162019095372221</v>
      </c>
      <c r="Q348" t="s">
        <v>153</v>
      </c>
      <c r="AK348">
        <v>2047</v>
      </c>
      <c r="AL348" t="s">
        <v>233</v>
      </c>
      <c r="AM348">
        <v>0.41710000000000003</v>
      </c>
      <c r="AN348" t="s">
        <v>195</v>
      </c>
    </row>
    <row r="349" spans="9:40" ht="14.25">
      <c r="I349" t="s">
        <v>167</v>
      </c>
      <c r="J349" t="s">
        <v>276</v>
      </c>
      <c r="K349">
        <v>0.084988823385181392</v>
      </c>
      <c r="L349" t="s">
        <v>153</v>
      </c>
      <c r="N349" t="s">
        <v>177</v>
      </c>
      <c r="O349" t="s">
        <v>276</v>
      </c>
      <c r="P349">
        <v>0.042880205878652856</v>
      </c>
      <c r="Q349" t="s">
        <v>153</v>
      </c>
      <c r="AK349">
        <v>2047</v>
      </c>
      <c r="AL349" t="s">
        <v>234</v>
      </c>
      <c r="AM349">
        <v>0.46514999999999995</v>
      </c>
      <c r="AN349" t="s">
        <v>195</v>
      </c>
    </row>
    <row r="350" spans="9:40" ht="14.25">
      <c r="I350" t="s">
        <v>167</v>
      </c>
      <c r="J350" t="s">
        <v>277</v>
      </c>
      <c r="K350">
        <v>0.008202118158060441</v>
      </c>
      <c r="L350" t="s">
        <v>153</v>
      </c>
      <c r="N350" t="s">
        <v>177</v>
      </c>
      <c r="O350" t="s">
        <v>277</v>
      </c>
      <c r="P350">
        <v>0.0080236987344792857</v>
      </c>
      <c r="Q350" t="s">
        <v>153</v>
      </c>
      <c r="AK350">
        <v>2047</v>
      </c>
      <c r="AL350" t="s">
        <v>256</v>
      </c>
      <c r="AM350">
        <v>0.49719999999999998</v>
      </c>
      <c r="AN350" t="s">
        <v>195</v>
      </c>
    </row>
    <row r="351" spans="9:40" ht="14.25">
      <c r="I351" t="s">
        <v>167</v>
      </c>
      <c r="J351" t="s">
        <v>278</v>
      </c>
      <c r="K351">
        <v>0.0058074332905442994</v>
      </c>
      <c r="L351" t="s">
        <v>153</v>
      </c>
      <c r="N351" t="s">
        <v>177</v>
      </c>
      <c r="O351" t="s">
        <v>278</v>
      </c>
      <c r="P351">
        <v>0.0072990618065209385</v>
      </c>
      <c r="Q351" t="s">
        <v>153</v>
      </c>
      <c r="AK351">
        <v>2047</v>
      </c>
      <c r="AL351" t="s">
        <v>257</v>
      </c>
      <c r="AM351">
        <v>0.49719999999999998</v>
      </c>
      <c r="AN351" t="s">
        <v>195</v>
      </c>
    </row>
    <row r="352" spans="9:40" ht="14.25">
      <c r="I352" t="s">
        <v>167</v>
      </c>
      <c r="J352" t="s">
        <v>279</v>
      </c>
      <c r="K352">
        <v>0.0023793671166062471</v>
      </c>
      <c r="L352" t="s">
        <v>153</v>
      </c>
      <c r="N352" t="s">
        <v>177</v>
      </c>
      <c r="O352" t="s">
        <v>279</v>
      </c>
      <c r="P352">
        <v>0.024403618200888055</v>
      </c>
      <c r="Q352" t="s">
        <v>153</v>
      </c>
      <c r="AK352">
        <v>2047</v>
      </c>
      <c r="AL352" t="s">
        <v>258</v>
      </c>
      <c r="AM352">
        <v>0.45306666666666667</v>
      </c>
      <c r="AN352" t="s">
        <v>195</v>
      </c>
    </row>
    <row r="353" spans="9:40" ht="14.25">
      <c r="I353" t="s">
        <v>167</v>
      </c>
      <c r="J353" t="s">
        <v>280</v>
      </c>
      <c r="K353">
        <v>0.0025918950959344751</v>
      </c>
      <c r="L353" t="s">
        <v>153</v>
      </c>
      <c r="N353" t="s">
        <v>177</v>
      </c>
      <c r="O353" t="s">
        <v>280</v>
      </c>
      <c r="P353">
        <v>0.023381294876861896</v>
      </c>
      <c r="Q353" t="s">
        <v>153</v>
      </c>
      <c r="AK353">
        <v>2047</v>
      </c>
      <c r="AL353" t="s">
        <v>259</v>
      </c>
      <c r="AM353">
        <v>0.37380000000000002</v>
      </c>
      <c r="AN353" t="s">
        <v>195</v>
      </c>
    </row>
    <row r="354" spans="9:40" ht="14.25">
      <c r="I354" t="s">
        <v>167</v>
      </c>
      <c r="J354" t="s">
        <v>281</v>
      </c>
      <c r="K354">
        <v>0.0075427036447240125</v>
      </c>
      <c r="L354" t="s">
        <v>153</v>
      </c>
      <c r="N354" t="s">
        <v>177</v>
      </c>
      <c r="O354" t="s">
        <v>281</v>
      </c>
      <c r="P354">
        <v>0.0030115261916441572</v>
      </c>
      <c r="Q354" t="s">
        <v>153</v>
      </c>
      <c r="AK354">
        <v>2047</v>
      </c>
      <c r="AL354" t="s">
        <v>260</v>
      </c>
      <c r="AM354">
        <v>0.34834999999999999</v>
      </c>
      <c r="AN354" t="s">
        <v>195</v>
      </c>
    </row>
    <row r="355" spans="9:40" ht="14.25">
      <c r="I355" t="s">
        <v>167</v>
      </c>
      <c r="J355" t="s">
        <v>282</v>
      </c>
      <c r="K355">
        <v>0.11602797004915673</v>
      </c>
      <c r="L355" t="s">
        <v>153</v>
      </c>
      <c r="N355" t="s">
        <v>177</v>
      </c>
      <c r="O355" t="s">
        <v>282</v>
      </c>
      <c r="P355">
        <v>0.031233866412279477</v>
      </c>
      <c r="Q355" t="s">
        <v>153</v>
      </c>
      <c r="AK355">
        <v>2047</v>
      </c>
      <c r="AL355" t="s">
        <v>261</v>
      </c>
      <c r="AM355">
        <v>0.3468</v>
      </c>
      <c r="AN355" t="s">
        <v>195</v>
      </c>
    </row>
    <row r="356" spans="9:40" ht="14.25">
      <c r="I356" t="s">
        <v>167</v>
      </c>
      <c r="J356" t="s">
        <v>283</v>
      </c>
      <c r="K356">
        <v>0.010649006395812568</v>
      </c>
      <c r="L356" t="s">
        <v>153</v>
      </c>
      <c r="N356" t="s">
        <v>177</v>
      </c>
      <c r="O356" t="s">
        <v>283</v>
      </c>
      <c r="P356">
        <v>0.0078083505009336586</v>
      </c>
      <c r="Q356" t="s">
        <v>153</v>
      </c>
      <c r="AK356">
        <v>2048</v>
      </c>
      <c r="AL356" t="s">
        <v>141</v>
      </c>
      <c r="AM356">
        <v>0.3377</v>
      </c>
      <c r="AN356" t="s">
        <v>195</v>
      </c>
    </row>
    <row r="357" spans="9:40" ht="14.25">
      <c r="I357" t="s">
        <v>167</v>
      </c>
      <c r="J357" t="s">
        <v>284</v>
      </c>
      <c r="K357">
        <v>0.0067033090036880743</v>
      </c>
      <c r="L357" t="s">
        <v>153</v>
      </c>
      <c r="N357" t="s">
        <v>177</v>
      </c>
      <c r="O357" t="s">
        <v>284</v>
      </c>
      <c r="P357">
        <v>0.00827026211242597</v>
      </c>
      <c r="Q357" t="s">
        <v>153</v>
      </c>
      <c r="AK357">
        <v>2048</v>
      </c>
      <c r="AL357" t="s">
        <v>145</v>
      </c>
      <c r="AM357">
        <v>0.34720000000000001</v>
      </c>
      <c r="AN357" t="s">
        <v>195</v>
      </c>
    </row>
    <row r="358" spans="9:40" ht="14.25">
      <c r="I358" t="s">
        <v>167</v>
      </c>
      <c r="J358" t="s">
        <v>285</v>
      </c>
      <c r="K358">
        <v>0.0016250867183516548</v>
      </c>
      <c r="L358" t="s">
        <v>153</v>
      </c>
      <c r="N358" t="s">
        <v>177</v>
      </c>
      <c r="O358" t="s">
        <v>285</v>
      </c>
      <c r="P358">
        <v>0.031439002137246631</v>
      </c>
      <c r="Q358" t="s">
        <v>153</v>
      </c>
      <c r="AK358">
        <v>2048</v>
      </c>
      <c r="AL358" t="s">
        <v>147</v>
      </c>
      <c r="AM358">
        <v>0.35670000000000002</v>
      </c>
      <c r="AN358" t="s">
        <v>195</v>
      </c>
    </row>
    <row r="359" spans="9:40" ht="14.25">
      <c r="I359" t="s">
        <v>167</v>
      </c>
      <c r="J359" t="s">
        <v>286</v>
      </c>
      <c r="K359">
        <v>0.00077514782517684711</v>
      </c>
      <c r="L359" t="s">
        <v>153</v>
      </c>
      <c r="N359" t="s">
        <v>177</v>
      </c>
      <c r="O359" t="s">
        <v>286</v>
      </c>
      <c r="P359">
        <v>0.039131060074396935</v>
      </c>
      <c r="Q359" t="s">
        <v>153</v>
      </c>
      <c r="AK359">
        <v>2048</v>
      </c>
      <c r="AL359" t="s">
        <v>149</v>
      </c>
      <c r="AM359">
        <v>0.37065000000000003</v>
      </c>
      <c r="AN359" t="s">
        <v>195</v>
      </c>
    </row>
    <row r="360" spans="9:40" ht="14.25">
      <c r="I360" t="s">
        <v>167</v>
      </c>
      <c r="J360" t="s">
        <v>287</v>
      </c>
      <c r="K360">
        <v>0.011895232661329613</v>
      </c>
      <c r="L360" t="s">
        <v>153</v>
      </c>
      <c r="N360" t="s">
        <v>177</v>
      </c>
      <c r="O360" t="s">
        <v>287</v>
      </c>
      <c r="P360">
        <v>0.0053248993410206936</v>
      </c>
      <c r="Q360" t="s">
        <v>153</v>
      </c>
      <c r="AK360">
        <v>2048</v>
      </c>
      <c r="AL360" t="s">
        <v>198</v>
      </c>
      <c r="AM360">
        <v>0.3846</v>
      </c>
      <c r="AN360" t="s">
        <v>195</v>
      </c>
    </row>
    <row r="361" spans="9:40" ht="14.25">
      <c r="I361" t="s">
        <v>167</v>
      </c>
      <c r="J361" t="s">
        <v>288</v>
      </c>
      <c r="K361">
        <v>0.17354111571034703</v>
      </c>
      <c r="L361" t="s">
        <v>153</v>
      </c>
      <c r="N361" t="s">
        <v>177</v>
      </c>
      <c r="O361" t="s">
        <v>288</v>
      </c>
      <c r="P361">
        <v>0.044360549902136455</v>
      </c>
      <c r="Q361" t="s">
        <v>153</v>
      </c>
      <c r="AK361">
        <v>2048</v>
      </c>
      <c r="AL361" t="s">
        <v>216</v>
      </c>
      <c r="AM361">
        <v>0.3846</v>
      </c>
      <c r="AN361" t="s">
        <v>195</v>
      </c>
    </row>
    <row r="362" spans="9:40" ht="14.25">
      <c r="I362" t="s">
        <v>167</v>
      </c>
      <c r="J362" t="s">
        <v>289</v>
      </c>
      <c r="K362">
        <v>0.01623300190571083</v>
      </c>
      <c r="L362" t="s">
        <v>153</v>
      </c>
      <c r="N362" t="s">
        <v>177</v>
      </c>
      <c r="O362" t="s">
        <v>289</v>
      </c>
      <c r="P362">
        <v>0.0083095870770425306</v>
      </c>
      <c r="Q362" t="s">
        <v>153</v>
      </c>
      <c r="AK362">
        <v>2048</v>
      </c>
      <c r="AL362" t="s">
        <v>232</v>
      </c>
      <c r="AM362">
        <v>0.39895000000000003</v>
      </c>
      <c r="AN362" t="s">
        <v>195</v>
      </c>
    </row>
    <row r="363" spans="9:40" ht="14.25">
      <c r="I363" t="s">
        <v>167</v>
      </c>
      <c r="J363" t="s">
        <v>290</v>
      </c>
      <c r="K363">
        <v>0.0093910346323958296</v>
      </c>
      <c r="L363" t="s">
        <v>153</v>
      </c>
      <c r="N363" t="s">
        <v>177</v>
      </c>
      <c r="O363" t="s">
        <v>290</v>
      </c>
      <c r="P363">
        <v>0.0093176794997057236</v>
      </c>
      <c r="Q363" t="s">
        <v>153</v>
      </c>
      <c r="AK363">
        <v>2048</v>
      </c>
      <c r="AL363" t="s">
        <v>233</v>
      </c>
      <c r="AM363">
        <v>0.4577</v>
      </c>
      <c r="AN363" t="s">
        <v>195</v>
      </c>
    </row>
    <row r="364" spans="9:40" ht="14.25">
      <c r="I364" t="s">
        <v>167</v>
      </c>
      <c r="J364" t="s">
        <v>291</v>
      </c>
      <c r="K364">
        <v>0</v>
      </c>
      <c r="L364" t="s">
        <v>153</v>
      </c>
      <c r="N364" t="s">
        <v>177</v>
      </c>
      <c r="O364" t="s">
        <v>291</v>
      </c>
      <c r="P364">
        <v>0.043538536596769997</v>
      </c>
      <c r="Q364" t="s">
        <v>153</v>
      </c>
      <c r="AK364">
        <v>2048</v>
      </c>
      <c r="AL364" t="s">
        <v>234</v>
      </c>
      <c r="AM364">
        <v>0.48304999999999998</v>
      </c>
      <c r="AN364" t="s">
        <v>195</v>
      </c>
    </row>
    <row r="365" spans="9:40" ht="14.25">
      <c r="I365" t="s">
        <v>167</v>
      </c>
      <c r="J365" t="s">
        <v>292</v>
      </c>
      <c r="K365">
        <v>0</v>
      </c>
      <c r="L365" t="s">
        <v>153</v>
      </c>
      <c r="N365" t="s">
        <v>177</v>
      </c>
      <c r="O365" t="s">
        <v>292</v>
      </c>
      <c r="P365">
        <v>0.018834538551533286</v>
      </c>
      <c r="Q365" t="s">
        <v>153</v>
      </c>
      <c r="AK365">
        <v>2048</v>
      </c>
      <c r="AL365" t="s">
        <v>256</v>
      </c>
      <c r="AM365">
        <v>0.46400000000000002</v>
      </c>
      <c r="AN365" t="s">
        <v>195</v>
      </c>
    </row>
    <row r="366" spans="9:40" ht="14.25">
      <c r="I366" t="s">
        <v>167</v>
      </c>
      <c r="J366" t="s">
        <v>293</v>
      </c>
      <c r="K366">
        <v>0.001841394352940695</v>
      </c>
      <c r="L366" t="s">
        <v>153</v>
      </c>
      <c r="N366" t="s">
        <v>177</v>
      </c>
      <c r="O366" t="s">
        <v>293</v>
      </c>
      <c r="P366">
        <v>0.0027023446660737536</v>
      </c>
      <c r="Q366" t="s">
        <v>153</v>
      </c>
      <c r="AK366">
        <v>2048</v>
      </c>
      <c r="AL366" t="s">
        <v>257</v>
      </c>
      <c r="AM366">
        <v>0.46400000000000002</v>
      </c>
      <c r="AN366" t="s">
        <v>195</v>
      </c>
    </row>
    <row r="367" spans="9:40" ht="14.25">
      <c r="I367" t="s">
        <v>167</v>
      </c>
      <c r="J367" t="s">
        <v>294</v>
      </c>
      <c r="K367">
        <v>0.035565636175364831</v>
      </c>
      <c r="L367" t="s">
        <v>153</v>
      </c>
      <c r="N367" t="s">
        <v>177</v>
      </c>
      <c r="O367" t="s">
        <v>294</v>
      </c>
      <c r="P367">
        <v>0.024893678919961807</v>
      </c>
      <c r="Q367" t="s">
        <v>153</v>
      </c>
      <c r="AK367">
        <v>2048</v>
      </c>
      <c r="AL367" t="s">
        <v>258</v>
      </c>
      <c r="AM367">
        <v>0.4245666666666667</v>
      </c>
      <c r="AN367" t="s">
        <v>195</v>
      </c>
    </row>
    <row r="368" spans="9:40" ht="14.25">
      <c r="I368" t="s">
        <v>167</v>
      </c>
      <c r="J368" t="s">
        <v>295</v>
      </c>
      <c r="K368">
        <v>0.0036496639993476325</v>
      </c>
      <c r="L368" t="s">
        <v>153</v>
      </c>
      <c r="N368" t="s">
        <v>177</v>
      </c>
      <c r="O368" t="s">
        <v>295</v>
      </c>
      <c r="P368">
        <v>0.0035967727979777423</v>
      </c>
      <c r="Q368" t="s">
        <v>153</v>
      </c>
      <c r="AK368">
        <v>2048</v>
      </c>
      <c r="AL368" t="s">
        <v>259</v>
      </c>
      <c r="AM368">
        <v>0.35465000000000002</v>
      </c>
      <c r="AN368" t="s">
        <v>195</v>
      </c>
    </row>
    <row r="369" spans="9:40" ht="14.25">
      <c r="I369" t="s">
        <v>167</v>
      </c>
      <c r="J369" t="s">
        <v>296</v>
      </c>
      <c r="K369">
        <v>0.0020738777011326199</v>
      </c>
      <c r="L369" t="s">
        <v>153</v>
      </c>
      <c r="N369" t="s">
        <v>177</v>
      </c>
      <c r="O369" t="s">
        <v>296</v>
      </c>
      <c r="P369">
        <v>0.0034339658438639728</v>
      </c>
      <c r="Q369" t="s">
        <v>153</v>
      </c>
      <c r="AK369">
        <v>2048</v>
      </c>
      <c r="AL369" t="s">
        <v>260</v>
      </c>
      <c r="AM369">
        <v>0.35014999999999996</v>
      </c>
      <c r="AN369" t="s">
        <v>195</v>
      </c>
    </row>
    <row r="370" spans="9:40" ht="14.25">
      <c r="I370" t="s">
        <v>167</v>
      </c>
      <c r="J370" t="s">
        <v>297</v>
      </c>
      <c r="K370">
        <v>0</v>
      </c>
      <c r="L370" t="s">
        <v>153</v>
      </c>
      <c r="N370" t="s">
        <v>177</v>
      </c>
      <c r="O370" t="s">
        <v>297</v>
      </c>
      <c r="P370">
        <v>0.017917239328792592</v>
      </c>
      <c r="Q370" t="s">
        <v>153</v>
      </c>
      <c r="AK370">
        <v>2048</v>
      </c>
      <c r="AL370" t="s">
        <v>261</v>
      </c>
      <c r="AM370">
        <v>0.36909999999999998</v>
      </c>
      <c r="AN370" t="s">
        <v>195</v>
      </c>
    </row>
    <row r="371" spans="9:40" ht="14.25">
      <c r="I371" t="s">
        <v>168</v>
      </c>
      <c r="J371" t="s">
        <v>152</v>
      </c>
      <c r="K371">
        <v>0</v>
      </c>
      <c r="L371" t="s">
        <v>153</v>
      </c>
      <c r="N371" t="s">
        <v>178</v>
      </c>
      <c r="O371" t="s">
        <v>152</v>
      </c>
      <c r="P371">
        <v>0.0018774775855887921</v>
      </c>
      <c r="Q371" t="s">
        <v>153</v>
      </c>
      <c r="AK371">
        <v>2049</v>
      </c>
      <c r="AL371" t="s">
        <v>141</v>
      </c>
      <c r="AM371">
        <v>0.40889999999999999</v>
      </c>
      <c r="AN371" t="s">
        <v>195</v>
      </c>
    </row>
    <row r="372" spans="9:40" ht="14.25">
      <c r="I372" t="s">
        <v>168</v>
      </c>
      <c r="J372" t="s">
        <v>154</v>
      </c>
      <c r="K372">
        <v>0.00075198849983565722</v>
      </c>
      <c r="L372" t="s">
        <v>153</v>
      </c>
      <c r="N372" t="s">
        <v>178</v>
      </c>
      <c r="O372" t="s">
        <v>154</v>
      </c>
      <c r="P372">
        <v>0.00012455113579056904</v>
      </c>
      <c r="Q372" t="s">
        <v>153</v>
      </c>
      <c r="AK372">
        <v>2049</v>
      </c>
      <c r="AL372" t="s">
        <v>145</v>
      </c>
      <c r="AM372">
        <v>0.39829999999999999</v>
      </c>
      <c r="AN372" t="s">
        <v>195</v>
      </c>
    </row>
    <row r="373" spans="9:40" ht="14.25">
      <c r="I373" t="s">
        <v>168</v>
      </c>
      <c r="J373" t="s">
        <v>155</v>
      </c>
      <c r="K373">
        <v>0.01302005445210805</v>
      </c>
      <c r="L373" t="s">
        <v>153</v>
      </c>
      <c r="N373" t="s">
        <v>178</v>
      </c>
      <c r="O373" t="s">
        <v>155</v>
      </c>
      <c r="P373">
        <v>0.001672633251301219</v>
      </c>
      <c r="Q373" t="s">
        <v>153</v>
      </c>
      <c r="AK373">
        <v>2049</v>
      </c>
      <c r="AL373" t="s">
        <v>147</v>
      </c>
      <c r="AM373">
        <v>0.38769999999999999</v>
      </c>
      <c r="AN373" t="s">
        <v>195</v>
      </c>
    </row>
    <row r="374" spans="9:40" ht="14.25">
      <c r="I374" t="s">
        <v>168</v>
      </c>
      <c r="J374" t="s">
        <v>200</v>
      </c>
      <c r="K374">
        <v>0.0013197538031123317</v>
      </c>
      <c r="L374" t="s">
        <v>153</v>
      </c>
      <c r="N374" t="s">
        <v>178</v>
      </c>
      <c r="O374" t="s">
        <v>200</v>
      </c>
      <c r="P374">
        <v>0.00059790105921574068</v>
      </c>
      <c r="Q374" t="s">
        <v>153</v>
      </c>
      <c r="AK374">
        <v>2049</v>
      </c>
      <c r="AL374" t="s">
        <v>149</v>
      </c>
      <c r="AM374">
        <v>0.43204999999999999</v>
      </c>
      <c r="AN374" t="s">
        <v>195</v>
      </c>
    </row>
    <row r="375" spans="9:40" ht="14.25">
      <c r="I375" t="s">
        <v>168</v>
      </c>
      <c r="J375" t="s">
        <v>201</v>
      </c>
      <c r="K375">
        <v>0.00072844762621582162</v>
      </c>
      <c r="L375" t="s">
        <v>153</v>
      </c>
      <c r="N375" t="s">
        <v>178</v>
      </c>
      <c r="O375" t="s">
        <v>201</v>
      </c>
      <c r="P375">
        <v>0.00060757350501561497</v>
      </c>
      <c r="Q375" t="s">
        <v>153</v>
      </c>
      <c r="AK375">
        <v>2049</v>
      </c>
      <c r="AL375" t="s">
        <v>198</v>
      </c>
      <c r="AM375">
        <v>0.47639999999999999</v>
      </c>
      <c r="AN375" t="s">
        <v>195</v>
      </c>
    </row>
    <row r="376" spans="9:40" ht="14.25">
      <c r="I376" t="s">
        <v>168</v>
      </c>
      <c r="J376" t="s">
        <v>218</v>
      </c>
      <c r="K376">
        <v>0</v>
      </c>
      <c r="L376" t="s">
        <v>153</v>
      </c>
      <c r="N376" t="s">
        <v>178</v>
      </c>
      <c r="O376" t="s">
        <v>218</v>
      </c>
      <c r="P376">
        <v>0.0037843744141628417</v>
      </c>
      <c r="Q376" t="s">
        <v>153</v>
      </c>
      <c r="AK376">
        <v>2049</v>
      </c>
      <c r="AL376" t="s">
        <v>216</v>
      </c>
      <c r="AM376">
        <v>0.47639999999999999</v>
      </c>
      <c r="AN376" t="s">
        <v>195</v>
      </c>
    </row>
    <row r="377" spans="9:40" ht="14.25">
      <c r="I377" t="s">
        <v>168</v>
      </c>
      <c r="J377" t="s">
        <v>156</v>
      </c>
      <c r="K377">
        <v>0</v>
      </c>
      <c r="L377" t="s">
        <v>153</v>
      </c>
      <c r="N377" t="s">
        <v>178</v>
      </c>
      <c r="O377" t="s">
        <v>156</v>
      </c>
      <c r="P377">
        <v>0.037052604822843054</v>
      </c>
      <c r="Q377" t="s">
        <v>153</v>
      </c>
      <c r="AK377">
        <v>2049</v>
      </c>
      <c r="AL377" t="s">
        <v>232</v>
      </c>
      <c r="AM377">
        <v>0.49860000000000004</v>
      </c>
      <c r="AN377" t="s">
        <v>195</v>
      </c>
    </row>
    <row r="378" spans="9:40" ht="14.25">
      <c r="I378" t="s">
        <v>168</v>
      </c>
      <c r="J378" t="s">
        <v>157</v>
      </c>
      <c r="K378">
        <v>0.0030987118667629605</v>
      </c>
      <c r="L378" t="s">
        <v>153</v>
      </c>
      <c r="N378" t="s">
        <v>178</v>
      </c>
      <c r="O378" t="s">
        <v>157</v>
      </c>
      <c r="P378">
        <v>0.0057639838588306085</v>
      </c>
      <c r="Q378" t="s">
        <v>153</v>
      </c>
      <c r="AK378">
        <v>2049</v>
      </c>
      <c r="AL378" t="s">
        <v>233</v>
      </c>
      <c r="AM378">
        <v>0.54984999999999995</v>
      </c>
      <c r="AN378" t="s">
        <v>195</v>
      </c>
    </row>
    <row r="379" spans="9:40" ht="14.25">
      <c r="I379" t="s">
        <v>168</v>
      </c>
      <c r="J379" t="s">
        <v>158</v>
      </c>
      <c r="K379">
        <v>0.062259389767720656</v>
      </c>
      <c r="L379" t="s">
        <v>153</v>
      </c>
      <c r="N379" t="s">
        <v>178</v>
      </c>
      <c r="O379" t="s">
        <v>158</v>
      </c>
      <c r="P379">
        <v>0.041970928566009237</v>
      </c>
      <c r="Q379" t="s">
        <v>153</v>
      </c>
      <c r="AK379">
        <v>2049</v>
      </c>
      <c r="AL379" t="s">
        <v>234</v>
      </c>
      <c r="AM379">
        <v>0.53889999999999993</v>
      </c>
      <c r="AN379" t="s">
        <v>195</v>
      </c>
    </row>
    <row r="380" spans="9:40" ht="14.25">
      <c r="I380" t="s">
        <v>168</v>
      </c>
      <c r="J380" t="s">
        <v>202</v>
      </c>
      <c r="K380">
        <v>0.006596691317377011</v>
      </c>
      <c r="L380" t="s">
        <v>153</v>
      </c>
      <c r="N380" t="s">
        <v>178</v>
      </c>
      <c r="O380" t="s">
        <v>202</v>
      </c>
      <c r="P380">
        <v>0.0045786654590871737</v>
      </c>
      <c r="Q380" t="s">
        <v>153</v>
      </c>
      <c r="AK380">
        <v>2049</v>
      </c>
      <c r="AL380" t="s">
        <v>256</v>
      </c>
      <c r="AM380">
        <v>0.49890000000000001</v>
      </c>
      <c r="AN380" t="s">
        <v>195</v>
      </c>
    </row>
    <row r="381" spans="9:40" ht="14.25">
      <c r="I381" t="s">
        <v>168</v>
      </c>
      <c r="J381" t="s">
        <v>203</v>
      </c>
      <c r="K381">
        <v>0.0038009450746665408</v>
      </c>
      <c r="L381" t="s">
        <v>153</v>
      </c>
      <c r="N381" t="s">
        <v>178</v>
      </c>
      <c r="O381" t="s">
        <v>203</v>
      </c>
      <c r="P381">
        <v>0.004648750542891455</v>
      </c>
      <c r="Q381" t="s">
        <v>153</v>
      </c>
      <c r="AK381">
        <v>2049</v>
      </c>
      <c r="AL381" t="s">
        <v>257</v>
      </c>
      <c r="AM381">
        <v>0.49890000000000001</v>
      </c>
      <c r="AN381" t="s">
        <v>195</v>
      </c>
    </row>
    <row r="382" spans="9:40" ht="14.25">
      <c r="I382" t="s">
        <v>168</v>
      </c>
      <c r="J382" t="s">
        <v>219</v>
      </c>
      <c r="K382">
        <v>0</v>
      </c>
      <c r="L382" t="s">
        <v>153</v>
      </c>
      <c r="N382" t="s">
        <v>178</v>
      </c>
      <c r="O382" t="s">
        <v>219</v>
      </c>
      <c r="P382">
        <v>0.029405728157384806</v>
      </c>
      <c r="Q382" t="s">
        <v>153</v>
      </c>
      <c r="AK382">
        <v>2049</v>
      </c>
      <c r="AL382" t="s">
        <v>258</v>
      </c>
      <c r="AM382">
        <v>0.46823333333333333</v>
      </c>
      <c r="AN382" t="s">
        <v>195</v>
      </c>
    </row>
    <row r="383" spans="9:40" ht="14.25">
      <c r="I383" t="s">
        <v>168</v>
      </c>
      <c r="J383" t="s">
        <v>159</v>
      </c>
      <c r="K383">
        <v>0</v>
      </c>
      <c r="L383" t="s">
        <v>153</v>
      </c>
      <c r="N383" t="s">
        <v>178</v>
      </c>
      <c r="O383" t="s">
        <v>159</v>
      </c>
      <c r="P383">
        <v>0.0080540848555320232</v>
      </c>
      <c r="Q383" t="s">
        <v>153</v>
      </c>
      <c r="AK383">
        <v>2049</v>
      </c>
      <c r="AL383" t="s">
        <v>259</v>
      </c>
      <c r="AM383">
        <v>0.43674999999999997</v>
      </c>
      <c r="AN383" t="s">
        <v>195</v>
      </c>
    </row>
    <row r="384" spans="9:40" ht="14.25">
      <c r="I384" t="s">
        <v>168</v>
      </c>
      <c r="J384" t="s">
        <v>160</v>
      </c>
      <c r="K384">
        <v>0.0019214062333487352</v>
      </c>
      <c r="L384" t="s">
        <v>153</v>
      </c>
      <c r="N384" t="s">
        <v>178</v>
      </c>
      <c r="O384" t="s">
        <v>160</v>
      </c>
      <c r="P384">
        <v>0.00095889040024055056</v>
      </c>
      <c r="Q384" t="s">
        <v>153</v>
      </c>
      <c r="AK384">
        <v>2049</v>
      </c>
      <c r="AL384" t="s">
        <v>260</v>
      </c>
      <c r="AM384">
        <v>0.42309999999999998</v>
      </c>
      <c r="AN384" t="s">
        <v>195</v>
      </c>
    </row>
    <row r="385" spans="9:40" ht="14.25">
      <c r="I385" t="s">
        <v>168</v>
      </c>
      <c r="J385" t="s">
        <v>161</v>
      </c>
      <c r="K385">
        <v>0.041469043380889151</v>
      </c>
      <c r="L385" t="s">
        <v>153</v>
      </c>
      <c r="N385" t="s">
        <v>178</v>
      </c>
      <c r="O385" t="s">
        <v>161</v>
      </c>
      <c r="P385">
        <v>0.011016664266538528</v>
      </c>
      <c r="Q385" t="s">
        <v>153</v>
      </c>
      <c r="AK385">
        <v>2049</v>
      </c>
      <c r="AL385" t="s">
        <v>261</v>
      </c>
      <c r="AM385">
        <v>0.44180000000000003</v>
      </c>
      <c r="AN385" t="s">
        <v>195</v>
      </c>
    </row>
    <row r="386" spans="9:40" ht="14.25">
      <c r="I386" t="s">
        <v>168</v>
      </c>
      <c r="J386" t="s">
        <v>204</v>
      </c>
      <c r="K386">
        <v>0.0047640473406731776</v>
      </c>
      <c r="L386" t="s">
        <v>153</v>
      </c>
      <c r="N386" t="s">
        <v>178</v>
      </c>
      <c r="O386" t="s">
        <v>204</v>
      </c>
      <c r="P386">
        <v>0.0017264949629471804</v>
      </c>
      <c r="Q386" t="s">
        <v>153</v>
      </c>
      <c r="AK386">
        <v>2050</v>
      </c>
      <c r="AL386" t="s">
        <v>141</v>
      </c>
      <c r="AM386">
        <v>0.42380000000000001</v>
      </c>
      <c r="AN386" t="s">
        <v>195</v>
      </c>
    </row>
    <row r="387" spans="9:40" ht="14.25">
      <c r="I387" t="s">
        <v>168</v>
      </c>
      <c r="J387" t="s">
        <v>205</v>
      </c>
      <c r="K387">
        <v>0.0030568901964638283</v>
      </c>
      <c r="L387" t="s">
        <v>153</v>
      </c>
      <c r="N387" t="s">
        <v>178</v>
      </c>
      <c r="O387" t="s">
        <v>205</v>
      </c>
      <c r="P387">
        <v>0.0019337337795484119</v>
      </c>
      <c r="Q387" t="s">
        <v>153</v>
      </c>
      <c r="AK387">
        <v>2050</v>
      </c>
      <c r="AL387" t="s">
        <v>145</v>
      </c>
      <c r="AM387">
        <v>0.43230000000000002</v>
      </c>
      <c r="AN387" t="s">
        <v>195</v>
      </c>
    </row>
    <row r="388" spans="9:40" ht="14.25">
      <c r="I388" t="s">
        <v>168</v>
      </c>
      <c r="J388" t="s">
        <v>220</v>
      </c>
      <c r="K388">
        <v>0</v>
      </c>
      <c r="L388" t="s">
        <v>153</v>
      </c>
      <c r="N388" t="s">
        <v>178</v>
      </c>
      <c r="O388" t="s">
        <v>220</v>
      </c>
      <c r="P388">
        <v>0.012465234747123822</v>
      </c>
      <c r="Q388" t="s">
        <v>153</v>
      </c>
      <c r="AK388">
        <v>2050</v>
      </c>
      <c r="AL388" t="s">
        <v>147</v>
      </c>
      <c r="AM388">
        <v>0.44080000000000003</v>
      </c>
      <c r="AN388" t="s">
        <v>195</v>
      </c>
    </row>
    <row r="389" spans="9:40" ht="14.25">
      <c r="I389" t="s">
        <v>168</v>
      </c>
      <c r="J389" t="s">
        <v>162</v>
      </c>
      <c r="K389">
        <v>0</v>
      </c>
      <c r="L389" t="s">
        <v>153</v>
      </c>
      <c r="N389" t="s">
        <v>178</v>
      </c>
      <c r="O389" t="s">
        <v>162</v>
      </c>
      <c r="P389">
        <v>0.0068173525542688023</v>
      </c>
      <c r="Q389" t="s">
        <v>153</v>
      </c>
      <c r="AK389">
        <v>2050</v>
      </c>
      <c r="AL389" t="s">
        <v>149</v>
      </c>
      <c r="AM389">
        <v>0.46965000000000001</v>
      </c>
      <c r="AN389" t="s">
        <v>195</v>
      </c>
    </row>
    <row r="390" spans="9:40" ht="14.25">
      <c r="I390" t="s">
        <v>168</v>
      </c>
      <c r="J390" t="s">
        <v>163</v>
      </c>
      <c r="K390">
        <v>0.0014050037624320441</v>
      </c>
      <c r="L390" t="s">
        <v>153</v>
      </c>
      <c r="N390" t="s">
        <v>178</v>
      </c>
      <c r="O390" t="s">
        <v>163</v>
      </c>
      <c r="P390">
        <v>0.0014440941224318166</v>
      </c>
      <c r="Q390" t="s">
        <v>153</v>
      </c>
      <c r="AK390">
        <v>2050</v>
      </c>
      <c r="AL390" t="s">
        <v>198</v>
      </c>
      <c r="AM390">
        <v>0.4985</v>
      </c>
      <c r="AN390" t="s">
        <v>195</v>
      </c>
    </row>
    <row r="391" spans="9:40" ht="14.25">
      <c r="I391" t="s">
        <v>168</v>
      </c>
      <c r="J391" t="s">
        <v>164</v>
      </c>
      <c r="K391">
        <v>0.026190533613546767</v>
      </c>
      <c r="L391" t="s">
        <v>153</v>
      </c>
      <c r="N391" t="s">
        <v>178</v>
      </c>
      <c r="O391" t="s">
        <v>164</v>
      </c>
      <c r="P391">
        <v>0.0079035115169071666</v>
      </c>
      <c r="Q391" t="s">
        <v>153</v>
      </c>
      <c r="AK391">
        <v>2050</v>
      </c>
      <c r="AL391" t="s">
        <v>216</v>
      </c>
      <c r="AM391">
        <v>0.4985</v>
      </c>
      <c r="AN391" t="s">
        <v>195</v>
      </c>
    </row>
    <row r="392" spans="9:40" ht="14.25">
      <c r="I392" t="s">
        <v>168</v>
      </c>
      <c r="J392" t="s">
        <v>206</v>
      </c>
      <c r="K392">
        <v>0.0028634563386362114</v>
      </c>
      <c r="L392" t="s">
        <v>153</v>
      </c>
      <c r="N392" t="s">
        <v>178</v>
      </c>
      <c r="O392" t="s">
        <v>206</v>
      </c>
      <c r="P392">
        <v>0.00079314383249497688</v>
      </c>
      <c r="Q392" t="s">
        <v>153</v>
      </c>
      <c r="AK392">
        <v>2050</v>
      </c>
      <c r="AL392" t="s">
        <v>232</v>
      </c>
      <c r="AM392">
        <v>0.47944999999999999</v>
      </c>
      <c r="AN392" t="s">
        <v>195</v>
      </c>
    </row>
    <row r="393" spans="9:40" ht="14.25">
      <c r="I393" t="s">
        <v>168</v>
      </c>
      <c r="J393" t="s">
        <v>207</v>
      </c>
      <c r="K393">
        <v>0.0018562616289760532</v>
      </c>
      <c r="L393" t="s">
        <v>153</v>
      </c>
      <c r="N393" t="s">
        <v>178</v>
      </c>
      <c r="O393" t="s">
        <v>207</v>
      </c>
      <c r="P393">
        <v>0.00091301914960684877</v>
      </c>
      <c r="Q393" t="s">
        <v>153</v>
      </c>
      <c r="AK393">
        <v>2050</v>
      </c>
      <c r="AL393" t="s">
        <v>233</v>
      </c>
      <c r="AM393">
        <v>0.50654999999999994</v>
      </c>
      <c r="AN393" t="s">
        <v>195</v>
      </c>
    </row>
    <row r="394" spans="9:40" ht="14.25">
      <c r="I394" t="s">
        <v>168</v>
      </c>
      <c r="J394" t="s">
        <v>221</v>
      </c>
      <c r="K394">
        <v>0</v>
      </c>
      <c r="L394" t="s">
        <v>153</v>
      </c>
      <c r="N394" t="s">
        <v>178</v>
      </c>
      <c r="O394" t="s">
        <v>221</v>
      </c>
      <c r="P394">
        <v>0.0069097048676369476</v>
      </c>
      <c r="Q394" t="s">
        <v>153</v>
      </c>
      <c r="AK394">
        <v>2050</v>
      </c>
      <c r="AL394" t="s">
        <v>234</v>
      </c>
      <c r="AM394">
        <v>0.56969999999999998</v>
      </c>
      <c r="AN394" t="s">
        <v>195</v>
      </c>
    </row>
    <row r="395" spans="9:40" ht="14.25">
      <c r="I395" t="s">
        <v>168</v>
      </c>
      <c r="J395" t="s">
        <v>208</v>
      </c>
      <c r="K395">
        <v>0</v>
      </c>
      <c r="L395" t="s">
        <v>153</v>
      </c>
      <c r="N395" t="s">
        <v>178</v>
      </c>
      <c r="O395" t="s">
        <v>208</v>
      </c>
      <c r="P395">
        <v>0.017623196323396307</v>
      </c>
      <c r="Q395" t="s">
        <v>153</v>
      </c>
      <c r="AK395">
        <v>2050</v>
      </c>
      <c r="AL395" t="s">
        <v>256</v>
      </c>
      <c r="AM395">
        <v>0.5867</v>
      </c>
      <c r="AN395" t="s">
        <v>195</v>
      </c>
    </row>
    <row r="396" spans="9:40" ht="14.25">
      <c r="I396" t="s">
        <v>168</v>
      </c>
      <c r="J396" t="s">
        <v>209</v>
      </c>
      <c r="K396">
        <v>0.0022438016830395495</v>
      </c>
      <c r="L396" t="s">
        <v>153</v>
      </c>
      <c r="N396" t="s">
        <v>178</v>
      </c>
      <c r="O396" t="s">
        <v>209</v>
      </c>
      <c r="P396">
        <v>0.0033206303705801449</v>
      </c>
      <c r="Q396" t="s">
        <v>153</v>
      </c>
      <c r="AK396">
        <v>2050</v>
      </c>
      <c r="AL396" t="s">
        <v>257</v>
      </c>
      <c r="AM396">
        <v>0.5867</v>
      </c>
      <c r="AN396" t="s">
        <v>195</v>
      </c>
    </row>
    <row r="397" spans="9:40" ht="14.25">
      <c r="I397" t="s">
        <v>168</v>
      </c>
      <c r="J397" t="s">
        <v>210</v>
      </c>
      <c r="K397">
        <v>0.036375961452471781</v>
      </c>
      <c r="L397" t="s">
        <v>153</v>
      </c>
      <c r="N397" t="s">
        <v>178</v>
      </c>
      <c r="O397" t="s">
        <v>210</v>
      </c>
      <c r="P397">
        <v>0.01976668199309203</v>
      </c>
      <c r="Q397" t="s">
        <v>153</v>
      </c>
      <c r="AK397">
        <v>2050</v>
      </c>
      <c r="AL397" t="s">
        <v>258</v>
      </c>
      <c r="AM397">
        <v>0.49646666666666661</v>
      </c>
      <c r="AN397" t="s">
        <v>195</v>
      </c>
    </row>
    <row r="398" spans="9:40" ht="14.25">
      <c r="I398" t="s">
        <v>168</v>
      </c>
      <c r="J398" t="s">
        <v>211</v>
      </c>
      <c r="K398">
        <v>0.0038671969948148913</v>
      </c>
      <c r="L398" t="s">
        <v>153</v>
      </c>
      <c r="N398" t="s">
        <v>178</v>
      </c>
      <c r="O398" t="s">
        <v>211</v>
      </c>
      <c r="P398">
        <v>0.0022271093323357099</v>
      </c>
      <c r="Q398" t="s">
        <v>153</v>
      </c>
      <c r="AK398">
        <v>2050</v>
      </c>
      <c r="AL398" t="s">
        <v>259</v>
      </c>
      <c r="AM398">
        <v>0.41220000000000001</v>
      </c>
      <c r="AN398" t="s">
        <v>195</v>
      </c>
    </row>
    <row r="399" spans="9:40" ht="14.25">
      <c r="I399" t="s">
        <v>168</v>
      </c>
      <c r="J399" t="s">
        <v>212</v>
      </c>
      <c r="K399">
        <v>0.00259159231187874</v>
      </c>
      <c r="L399" t="s">
        <v>153</v>
      </c>
      <c r="N399" t="s">
        <v>178</v>
      </c>
      <c r="O399" t="s">
        <v>212</v>
      </c>
      <c r="P399">
        <v>0.0023717661679838577</v>
      </c>
      <c r="Q399" t="s">
        <v>153</v>
      </c>
      <c r="AK399">
        <v>2050</v>
      </c>
      <c r="AL399" t="s">
        <v>260</v>
      </c>
      <c r="AM399">
        <v>0.41422499999999995</v>
      </c>
      <c r="AN399" t="s">
        <v>195</v>
      </c>
    </row>
    <row r="400" spans="9:40" ht="14.25">
      <c r="I400" t="s">
        <v>168</v>
      </c>
      <c r="J400" t="s">
        <v>222</v>
      </c>
      <c r="K400">
        <v>5.8974274394902099E-05</v>
      </c>
      <c r="L400" t="s">
        <v>153</v>
      </c>
      <c r="N400" t="s">
        <v>178</v>
      </c>
      <c r="O400" t="s">
        <v>222</v>
      </c>
      <c r="P400">
        <v>0.015155176076384114</v>
      </c>
      <c r="Q400" t="s">
        <v>153</v>
      </c>
      <c r="AK400">
        <v>2050</v>
      </c>
      <c r="AL400" t="s">
        <v>261</v>
      </c>
      <c r="AM400">
        <v>0.39979999999999999</v>
      </c>
      <c r="AN400" t="s">
        <v>195</v>
      </c>
    </row>
    <row r="401" spans="9:17" ht="14.25">
      <c r="I401" t="s">
        <v>168</v>
      </c>
      <c r="J401" t="s">
        <v>223</v>
      </c>
      <c r="K401">
        <v>5.6726068943476618E-08</v>
      </c>
      <c r="L401" t="s">
        <v>153</v>
      </c>
      <c r="N401" t="s">
        <v>178</v>
      </c>
      <c r="O401" t="s">
        <v>223</v>
      </c>
      <c r="P401">
        <v>0.0029935954101779211</v>
      </c>
      <c r="Q401" t="s">
        <v>153</v>
      </c>
    </row>
    <row r="402" spans="9:17" ht="14.25">
      <c r="I402" t="s">
        <v>168</v>
      </c>
      <c r="J402" t="s">
        <v>224</v>
      </c>
      <c r="K402">
        <v>0.00050809150484196956</v>
      </c>
      <c r="L402" t="s">
        <v>153</v>
      </c>
      <c r="N402" t="s">
        <v>178</v>
      </c>
      <c r="O402" t="s">
        <v>224</v>
      </c>
      <c r="P402">
        <v>0.00031477513724889546</v>
      </c>
      <c r="Q402" t="s">
        <v>153</v>
      </c>
    </row>
    <row r="403" spans="9:17" ht="14.25">
      <c r="I403" t="s">
        <v>168</v>
      </c>
      <c r="J403" t="s">
        <v>225</v>
      </c>
      <c r="K403">
        <v>0.0092821029133916527</v>
      </c>
      <c r="L403" t="s">
        <v>153</v>
      </c>
      <c r="N403" t="s">
        <v>178</v>
      </c>
      <c r="O403" t="s">
        <v>225</v>
      </c>
      <c r="P403">
        <v>0.0041280285316470005</v>
      </c>
      <c r="Q403" t="s">
        <v>153</v>
      </c>
    </row>
    <row r="404" spans="9:17" ht="14.25">
      <c r="I404" t="s">
        <v>168</v>
      </c>
      <c r="J404" t="s">
        <v>226</v>
      </c>
      <c r="K404">
        <v>0.00093318937005341755</v>
      </c>
      <c r="L404" t="s">
        <v>153</v>
      </c>
      <c r="N404" t="s">
        <v>178</v>
      </c>
      <c r="O404" t="s">
        <v>226</v>
      </c>
      <c r="P404">
        <v>0.00065476808858354275</v>
      </c>
      <c r="Q404" t="s">
        <v>153</v>
      </c>
    </row>
    <row r="405" spans="9:17" ht="14.25">
      <c r="I405" t="s">
        <v>168</v>
      </c>
      <c r="J405" t="s">
        <v>227</v>
      </c>
      <c r="K405">
        <v>0.000633866666340191</v>
      </c>
      <c r="L405" t="s">
        <v>153</v>
      </c>
      <c r="N405" t="s">
        <v>178</v>
      </c>
      <c r="O405" t="s">
        <v>227</v>
      </c>
      <c r="P405">
        <v>0.00065021903747803993</v>
      </c>
      <c r="Q405" t="s">
        <v>153</v>
      </c>
    </row>
    <row r="406" spans="9:17" ht="14.25">
      <c r="I406" t="s">
        <v>168</v>
      </c>
      <c r="J406" t="s">
        <v>228</v>
      </c>
      <c r="K406">
        <v>0.00013007733399908697</v>
      </c>
      <c r="L406" t="s">
        <v>153</v>
      </c>
      <c r="N406" t="s">
        <v>178</v>
      </c>
      <c r="O406" t="s">
        <v>228</v>
      </c>
      <c r="P406">
        <v>0.0024168801123132812</v>
      </c>
      <c r="Q406" t="s">
        <v>153</v>
      </c>
    </row>
    <row r="407" spans="9:17" ht="14.25">
      <c r="I407" t="s">
        <v>168</v>
      </c>
      <c r="J407" t="s">
        <v>235</v>
      </c>
      <c r="K407">
        <v>0.0025504468854615292</v>
      </c>
      <c r="L407" t="s">
        <v>153</v>
      </c>
      <c r="N407" t="s">
        <v>178</v>
      </c>
      <c r="O407" t="s">
        <v>235</v>
      </c>
      <c r="P407">
        <v>0.021829804384860759</v>
      </c>
      <c r="Q407" t="s">
        <v>153</v>
      </c>
    </row>
    <row r="408" spans="9:17" ht="14.25">
      <c r="I408" t="s">
        <v>168</v>
      </c>
      <c r="J408" t="s">
        <v>236</v>
      </c>
      <c r="K408">
        <v>0.0056202079759198218</v>
      </c>
      <c r="L408" t="s">
        <v>153</v>
      </c>
      <c r="N408" t="s">
        <v>178</v>
      </c>
      <c r="O408" t="s">
        <v>236</v>
      </c>
      <c r="P408">
        <v>0.003292743960912759</v>
      </c>
      <c r="Q408" t="s">
        <v>153</v>
      </c>
    </row>
    <row r="409" spans="9:17" ht="14.25">
      <c r="I409" t="s">
        <v>168</v>
      </c>
      <c r="J409" t="s">
        <v>237</v>
      </c>
      <c r="K409">
        <v>0.068052512931402936</v>
      </c>
      <c r="L409" t="s">
        <v>153</v>
      </c>
      <c r="N409" t="s">
        <v>178</v>
      </c>
      <c r="O409" t="s">
        <v>237</v>
      </c>
      <c r="P409">
        <v>0.025085103726333009</v>
      </c>
      <c r="Q409" t="s">
        <v>153</v>
      </c>
    </row>
    <row r="410" spans="9:17" ht="14.25">
      <c r="I410" t="s">
        <v>168</v>
      </c>
      <c r="J410" t="s">
        <v>238</v>
      </c>
      <c r="K410">
        <v>0.0067748632955556398</v>
      </c>
      <c r="L410" t="s">
        <v>153</v>
      </c>
      <c r="N410" t="s">
        <v>178</v>
      </c>
      <c r="O410" t="s">
        <v>238</v>
      </c>
      <c r="P410">
        <v>0.004594610641628743</v>
      </c>
      <c r="Q410" t="s">
        <v>153</v>
      </c>
    </row>
    <row r="411" spans="9:17" ht="14.25">
      <c r="I411" t="s">
        <v>168</v>
      </c>
      <c r="J411" t="s">
        <v>239</v>
      </c>
      <c r="K411">
        <v>0.0047808762522828629</v>
      </c>
      <c r="L411" t="s">
        <v>153</v>
      </c>
      <c r="N411" t="s">
        <v>178</v>
      </c>
      <c r="O411" t="s">
        <v>239</v>
      </c>
      <c r="P411">
        <v>0.0049823640105138385</v>
      </c>
      <c r="Q411" t="s">
        <v>153</v>
      </c>
    </row>
    <row r="412" spans="9:17" ht="14.25">
      <c r="I412" t="s">
        <v>168</v>
      </c>
      <c r="J412" t="s">
        <v>240</v>
      </c>
      <c r="K412">
        <v>0.0022173400714397113</v>
      </c>
      <c r="L412" t="s">
        <v>153</v>
      </c>
      <c r="N412" t="s">
        <v>178</v>
      </c>
      <c r="O412" t="s">
        <v>240</v>
      </c>
      <c r="P412">
        <v>0.02642675117052435</v>
      </c>
      <c r="Q412" t="s">
        <v>153</v>
      </c>
    </row>
    <row r="413" spans="9:17" ht="14.25">
      <c r="I413" t="s">
        <v>168</v>
      </c>
      <c r="J413" t="s">
        <v>241</v>
      </c>
      <c r="K413">
        <v>0.002146705308405268</v>
      </c>
      <c r="L413" t="s">
        <v>153</v>
      </c>
      <c r="N413" t="s">
        <v>178</v>
      </c>
      <c r="O413" t="s">
        <v>241</v>
      </c>
      <c r="P413">
        <v>0.0059608389445806311</v>
      </c>
      <c r="Q413" t="s">
        <v>153</v>
      </c>
    </row>
    <row r="414" spans="9:17" ht="14.25">
      <c r="I414" t="s">
        <v>168</v>
      </c>
      <c r="J414" t="s">
        <v>242</v>
      </c>
      <c r="K414">
        <v>0.0041558960146162744</v>
      </c>
      <c r="L414" t="s">
        <v>153</v>
      </c>
      <c r="N414" t="s">
        <v>178</v>
      </c>
      <c r="O414" t="s">
        <v>242</v>
      </c>
      <c r="P414">
        <v>0.00072422415441721381</v>
      </c>
      <c r="Q414" t="s">
        <v>153</v>
      </c>
    </row>
    <row r="415" spans="9:17" ht="14.25">
      <c r="I415" t="s">
        <v>168</v>
      </c>
      <c r="J415" t="s">
        <v>243</v>
      </c>
      <c r="K415">
        <v>0.047857017856875433</v>
      </c>
      <c r="L415" t="s">
        <v>153</v>
      </c>
      <c r="N415" t="s">
        <v>178</v>
      </c>
      <c r="O415" t="s">
        <v>243</v>
      </c>
      <c r="P415">
        <v>0.0192293562178848</v>
      </c>
      <c r="Q415" t="s">
        <v>153</v>
      </c>
    </row>
    <row r="416" spans="9:17" ht="14.25">
      <c r="I416" t="s">
        <v>168</v>
      </c>
      <c r="J416" t="s">
        <v>244</v>
      </c>
      <c r="K416">
        <v>0.0047203882299711236</v>
      </c>
      <c r="L416" t="s">
        <v>153</v>
      </c>
      <c r="N416" t="s">
        <v>178</v>
      </c>
      <c r="O416" t="s">
        <v>244</v>
      </c>
      <c r="P416">
        <v>0.0034337572022102502</v>
      </c>
      <c r="Q416" t="s">
        <v>153</v>
      </c>
    </row>
    <row r="417" spans="9:17" ht="14.25">
      <c r="I417" t="s">
        <v>168</v>
      </c>
      <c r="J417" t="s">
        <v>245</v>
      </c>
      <c r="K417">
        <v>0.0033623767609879647</v>
      </c>
      <c r="L417" t="s">
        <v>153</v>
      </c>
      <c r="N417" t="s">
        <v>178</v>
      </c>
      <c r="O417" t="s">
        <v>245</v>
      </c>
      <c r="P417">
        <v>0.0032849179049481872</v>
      </c>
      <c r="Q417" t="s">
        <v>153</v>
      </c>
    </row>
    <row r="418" spans="9:17" ht="14.25">
      <c r="I418" t="s">
        <v>168</v>
      </c>
      <c r="J418" t="s">
        <v>246</v>
      </c>
      <c r="K418">
        <v>0.0014978852437997057</v>
      </c>
      <c r="L418" t="s">
        <v>153</v>
      </c>
      <c r="N418" t="s">
        <v>178</v>
      </c>
      <c r="O418" t="s">
        <v>246</v>
      </c>
      <c r="P418">
        <v>0.012650268398328918</v>
      </c>
      <c r="Q418" t="s">
        <v>153</v>
      </c>
    </row>
    <row r="419" spans="9:17" ht="14.25">
      <c r="I419" t="s">
        <v>168</v>
      </c>
      <c r="J419" t="s">
        <v>247</v>
      </c>
      <c r="K419">
        <v>0.0020493886613005162</v>
      </c>
      <c r="L419" t="s">
        <v>153</v>
      </c>
      <c r="N419" t="s">
        <v>178</v>
      </c>
      <c r="O419" t="s">
        <v>247</v>
      </c>
      <c r="P419">
        <v>0.016348615610392046</v>
      </c>
      <c r="Q419" t="s">
        <v>153</v>
      </c>
    </row>
    <row r="420" spans="9:17" ht="14.25">
      <c r="I420" t="s">
        <v>168</v>
      </c>
      <c r="J420" t="s">
        <v>248</v>
      </c>
      <c r="K420">
        <v>0.0039265232870323141</v>
      </c>
      <c r="L420" t="s">
        <v>153</v>
      </c>
      <c r="N420" t="s">
        <v>178</v>
      </c>
      <c r="O420" t="s">
        <v>248</v>
      </c>
      <c r="P420">
        <v>0.0018977757484979708</v>
      </c>
      <c r="Q420" t="s">
        <v>153</v>
      </c>
    </row>
    <row r="421" spans="9:17" ht="14.25">
      <c r="I421" t="s">
        <v>168</v>
      </c>
      <c r="J421" t="s">
        <v>249</v>
      </c>
      <c r="K421">
        <v>0.047581741420907597</v>
      </c>
      <c r="L421" t="s">
        <v>153</v>
      </c>
      <c r="N421" t="s">
        <v>178</v>
      </c>
      <c r="O421" t="s">
        <v>249</v>
      </c>
      <c r="P421">
        <v>0.021882830186006823</v>
      </c>
      <c r="Q421" t="s">
        <v>153</v>
      </c>
    </row>
    <row r="422" spans="9:17" ht="14.25">
      <c r="I422" t="s">
        <v>168</v>
      </c>
      <c r="J422" t="s">
        <v>250</v>
      </c>
      <c r="K422">
        <v>0.0046250459729590965</v>
      </c>
      <c r="L422" t="s">
        <v>153</v>
      </c>
      <c r="N422" t="s">
        <v>178</v>
      </c>
      <c r="O422" t="s">
        <v>250</v>
      </c>
      <c r="P422">
        <v>0.0047724898251044236</v>
      </c>
      <c r="Q422" t="s">
        <v>153</v>
      </c>
    </row>
    <row r="423" spans="9:17" ht="14.25">
      <c r="I423" t="s">
        <v>168</v>
      </c>
      <c r="J423" t="s">
        <v>251</v>
      </c>
      <c r="K423">
        <v>0.0033295608095924201</v>
      </c>
      <c r="L423" t="s">
        <v>153</v>
      </c>
      <c r="N423" t="s">
        <v>178</v>
      </c>
      <c r="O423" t="s">
        <v>251</v>
      </c>
      <c r="P423">
        <v>0.005259040169005501</v>
      </c>
      <c r="Q423" t="s">
        <v>153</v>
      </c>
    </row>
    <row r="424" spans="9:17" ht="14.25">
      <c r="I424" t="s">
        <v>168</v>
      </c>
      <c r="J424" t="s">
        <v>252</v>
      </c>
      <c r="K424">
        <v>0.0014254842898929472</v>
      </c>
      <c r="L424" t="s">
        <v>153</v>
      </c>
      <c r="N424" t="s">
        <v>178</v>
      </c>
      <c r="O424" t="s">
        <v>252</v>
      </c>
      <c r="P424">
        <v>0.022881237292061148</v>
      </c>
      <c r="Q424" t="s">
        <v>153</v>
      </c>
    </row>
    <row r="425" spans="9:17" ht="14.25">
      <c r="I425" t="s">
        <v>168</v>
      </c>
      <c r="J425" t="s">
        <v>262</v>
      </c>
      <c r="K425">
        <v>0.00050014291446639038</v>
      </c>
      <c r="L425" t="s">
        <v>153</v>
      </c>
      <c r="N425" t="s">
        <v>178</v>
      </c>
      <c r="O425" t="s">
        <v>262</v>
      </c>
      <c r="P425">
        <v>0.011885026550331339</v>
      </c>
      <c r="Q425" t="s">
        <v>153</v>
      </c>
    </row>
    <row r="426" spans="9:17" ht="14.25">
      <c r="I426" t="s">
        <v>168</v>
      </c>
      <c r="J426" t="s">
        <v>263</v>
      </c>
      <c r="K426">
        <v>0.0010568119267453427</v>
      </c>
      <c r="L426" t="s">
        <v>153</v>
      </c>
      <c r="N426" t="s">
        <v>178</v>
      </c>
      <c r="O426" t="s">
        <v>263</v>
      </c>
      <c r="P426">
        <v>0.0015914077243081707</v>
      </c>
      <c r="Q426" t="s">
        <v>153</v>
      </c>
    </row>
    <row r="427" spans="9:17" ht="14.25">
      <c r="I427" t="s">
        <v>168</v>
      </c>
      <c r="J427" t="s">
        <v>264</v>
      </c>
      <c r="K427">
        <v>0.013471495560561436</v>
      </c>
      <c r="L427" t="s">
        <v>153</v>
      </c>
      <c r="N427" t="s">
        <v>178</v>
      </c>
      <c r="O427" t="s">
        <v>264</v>
      </c>
      <c r="P427">
        <v>0.019282392869777114</v>
      </c>
      <c r="Q427" t="s">
        <v>153</v>
      </c>
    </row>
    <row r="428" spans="9:17" ht="14.25">
      <c r="I428" t="s">
        <v>168</v>
      </c>
      <c r="J428" t="s">
        <v>265</v>
      </c>
      <c r="K428">
        <v>0.00130600469062338</v>
      </c>
      <c r="L428" t="s">
        <v>153</v>
      </c>
      <c r="N428" t="s">
        <v>178</v>
      </c>
      <c r="O428" t="s">
        <v>265</v>
      </c>
      <c r="P428">
        <v>0.0028063294700227098</v>
      </c>
      <c r="Q428" t="s">
        <v>153</v>
      </c>
    </row>
    <row r="429" spans="9:17" ht="14.25">
      <c r="I429" t="s">
        <v>168</v>
      </c>
      <c r="J429" t="s">
        <v>266</v>
      </c>
      <c r="K429">
        <v>0.00092996157940376735</v>
      </c>
      <c r="L429" t="s">
        <v>153</v>
      </c>
      <c r="N429" t="s">
        <v>178</v>
      </c>
      <c r="O429" t="s">
        <v>266</v>
      </c>
      <c r="P429">
        <v>0.002694030639106055</v>
      </c>
      <c r="Q429" t="s">
        <v>153</v>
      </c>
    </row>
    <row r="430" spans="9:17" ht="14.25">
      <c r="I430" t="s">
        <v>168</v>
      </c>
      <c r="J430" t="s">
        <v>267</v>
      </c>
      <c r="K430">
        <v>0.00037382005220990889</v>
      </c>
      <c r="L430" t="s">
        <v>153</v>
      </c>
      <c r="N430" t="s">
        <v>178</v>
      </c>
      <c r="O430" t="s">
        <v>267</v>
      </c>
      <c r="P430">
        <v>0.011412717047383985</v>
      </c>
      <c r="Q430" t="s">
        <v>153</v>
      </c>
    </row>
    <row r="431" spans="9:17" ht="14.25">
      <c r="I431" t="s">
        <v>168</v>
      </c>
      <c r="J431" t="s">
        <v>268</v>
      </c>
      <c r="K431">
        <v>0.00058941444698556197</v>
      </c>
      <c r="L431" t="s">
        <v>153</v>
      </c>
      <c r="N431" t="s">
        <v>178</v>
      </c>
      <c r="O431" t="s">
        <v>268</v>
      </c>
      <c r="P431">
        <v>0.0046296506357397698</v>
      </c>
      <c r="Q431" t="s">
        <v>153</v>
      </c>
    </row>
    <row r="432" spans="9:17" ht="14.25">
      <c r="I432" t="s">
        <v>168</v>
      </c>
      <c r="J432" t="s">
        <v>269</v>
      </c>
      <c r="K432">
        <v>0.0013545350595445562</v>
      </c>
      <c r="L432" t="s">
        <v>153</v>
      </c>
      <c r="N432" t="s">
        <v>178</v>
      </c>
      <c r="O432" t="s">
        <v>269</v>
      </c>
      <c r="P432">
        <v>0.00029709001204292104</v>
      </c>
      <c r="Q432" t="s">
        <v>153</v>
      </c>
    </row>
    <row r="433" spans="9:17" ht="14.25">
      <c r="I433" t="s">
        <v>168</v>
      </c>
      <c r="J433" t="s">
        <v>270</v>
      </c>
      <c r="K433">
        <v>0.01921219458326243</v>
      </c>
      <c r="L433" t="s">
        <v>153</v>
      </c>
      <c r="N433" t="s">
        <v>178</v>
      </c>
      <c r="O433" t="s">
        <v>270</v>
      </c>
      <c r="P433">
        <v>0.0095631410932169574</v>
      </c>
      <c r="Q433" t="s">
        <v>153</v>
      </c>
    </row>
    <row r="434" spans="9:17" ht="14.25">
      <c r="I434" t="s">
        <v>168</v>
      </c>
      <c r="J434" t="s">
        <v>271</v>
      </c>
      <c r="K434">
        <v>0.0018597182921788597</v>
      </c>
      <c r="L434" t="s">
        <v>153</v>
      </c>
      <c r="N434" t="s">
        <v>178</v>
      </c>
      <c r="O434" t="s">
        <v>271</v>
      </c>
      <c r="P434">
        <v>0.0023617846098111708</v>
      </c>
      <c r="Q434" t="s">
        <v>153</v>
      </c>
    </row>
    <row r="435" spans="9:17" ht="14.25">
      <c r="I435" t="s">
        <v>168</v>
      </c>
      <c r="J435" t="s">
        <v>272</v>
      </c>
      <c r="K435">
        <v>0.0013062588114011583</v>
      </c>
      <c r="L435" t="s">
        <v>153</v>
      </c>
      <c r="N435" t="s">
        <v>178</v>
      </c>
      <c r="O435" t="s">
        <v>272</v>
      </c>
      <c r="P435">
        <v>0.0023081096829197429</v>
      </c>
      <c r="Q435" t="s">
        <v>153</v>
      </c>
    </row>
    <row r="436" spans="9:17" ht="14.25">
      <c r="I436" t="s">
        <v>168</v>
      </c>
      <c r="J436" t="s">
        <v>273</v>
      </c>
      <c r="K436">
        <v>0.00051175190417345915</v>
      </c>
      <c r="L436" t="s">
        <v>153</v>
      </c>
      <c r="N436" t="s">
        <v>178</v>
      </c>
      <c r="O436" t="s">
        <v>273</v>
      </c>
      <c r="P436">
        <v>0.0089704060721768238</v>
      </c>
      <c r="Q436" t="s">
        <v>153</v>
      </c>
    </row>
    <row r="437" spans="9:17" ht="14.25">
      <c r="I437" t="s">
        <v>168</v>
      </c>
      <c r="J437" t="s">
        <v>274</v>
      </c>
      <c r="K437">
        <v>0.0021541550711657656</v>
      </c>
      <c r="L437" t="s">
        <v>153</v>
      </c>
      <c r="N437" t="s">
        <v>178</v>
      </c>
      <c r="O437" t="s">
        <v>274</v>
      </c>
      <c r="P437">
        <v>0.020254723008792695</v>
      </c>
      <c r="Q437" t="s">
        <v>153</v>
      </c>
    </row>
    <row r="438" spans="9:17" ht="14.25">
      <c r="I438" t="s">
        <v>168</v>
      </c>
      <c r="J438" t="s">
        <v>275</v>
      </c>
      <c r="K438">
        <v>0.0056669733974294787</v>
      </c>
      <c r="L438" t="s">
        <v>153</v>
      </c>
      <c r="N438" t="s">
        <v>178</v>
      </c>
      <c r="O438" t="s">
        <v>275</v>
      </c>
      <c r="P438">
        <v>0.0035948947380890998</v>
      </c>
      <c r="Q438" t="s">
        <v>153</v>
      </c>
    </row>
    <row r="439" spans="9:17" ht="14.25">
      <c r="I439" t="s">
        <v>168</v>
      </c>
      <c r="J439" t="s">
        <v>276</v>
      </c>
      <c r="K439">
        <v>0.084834302063969913</v>
      </c>
      <c r="L439" t="s">
        <v>153</v>
      </c>
      <c r="N439" t="s">
        <v>178</v>
      </c>
      <c r="O439" t="s">
        <v>276</v>
      </c>
      <c r="P439">
        <v>0.036621470993512782</v>
      </c>
      <c r="Q439" t="s">
        <v>153</v>
      </c>
    </row>
    <row r="440" spans="9:17" ht="14.25">
      <c r="I440" t="s">
        <v>168</v>
      </c>
      <c r="J440" t="s">
        <v>277</v>
      </c>
      <c r="K440">
        <v>0.00780478582149085</v>
      </c>
      <c r="L440" t="s">
        <v>153</v>
      </c>
      <c r="N440" t="s">
        <v>178</v>
      </c>
      <c r="O440" t="s">
        <v>277</v>
      </c>
      <c r="P440">
        <v>0.0074989130466943275</v>
      </c>
      <c r="Q440" t="s">
        <v>153</v>
      </c>
    </row>
    <row r="441" spans="9:17" ht="14.25">
      <c r="I441" t="s">
        <v>168</v>
      </c>
      <c r="J441" t="s">
        <v>278</v>
      </c>
      <c r="K441">
        <v>0.0053769521305606421</v>
      </c>
      <c r="L441" t="s">
        <v>153</v>
      </c>
      <c r="N441" t="s">
        <v>178</v>
      </c>
      <c r="O441" t="s">
        <v>278</v>
      </c>
      <c r="P441">
        <v>0.0080366185475705537</v>
      </c>
      <c r="Q441" t="s">
        <v>153</v>
      </c>
    </row>
    <row r="442" spans="9:17" ht="14.25">
      <c r="I442" t="s">
        <v>168</v>
      </c>
      <c r="J442" t="s">
        <v>279</v>
      </c>
      <c r="K442">
        <v>0.0020155427052122921</v>
      </c>
      <c r="L442" t="s">
        <v>153</v>
      </c>
      <c r="N442" t="s">
        <v>178</v>
      </c>
      <c r="O442" t="s">
        <v>279</v>
      </c>
      <c r="P442">
        <v>0.031192801299777397</v>
      </c>
      <c r="Q442" t="s">
        <v>153</v>
      </c>
    </row>
    <row r="443" spans="9:17" ht="14.25">
      <c r="I443" t="s">
        <v>168</v>
      </c>
      <c r="J443" t="s">
        <v>280</v>
      </c>
      <c r="K443">
        <v>0.0026950546493080818</v>
      </c>
      <c r="L443" t="s">
        <v>153</v>
      </c>
      <c r="N443" t="s">
        <v>178</v>
      </c>
      <c r="O443" t="s">
        <v>280</v>
      </c>
      <c r="P443">
        <v>0.033283298665626966</v>
      </c>
      <c r="Q443" t="s">
        <v>153</v>
      </c>
    </row>
    <row r="444" spans="9:17" ht="14.25">
      <c r="I444" t="s">
        <v>168</v>
      </c>
      <c r="J444" t="s">
        <v>281</v>
      </c>
      <c r="K444">
        <v>0.0076898351370731366</v>
      </c>
      <c r="L444" t="s">
        <v>153</v>
      </c>
      <c r="N444" t="s">
        <v>178</v>
      </c>
      <c r="O444" t="s">
        <v>281</v>
      </c>
      <c r="P444">
        <v>0.0061906907546945417</v>
      </c>
      <c r="Q444" t="s">
        <v>153</v>
      </c>
    </row>
    <row r="445" spans="9:17" ht="14.25">
      <c r="I445" t="s">
        <v>168</v>
      </c>
      <c r="J445" t="s">
        <v>282</v>
      </c>
      <c r="K445">
        <v>0.11544439338049027</v>
      </c>
      <c r="L445" t="s">
        <v>153</v>
      </c>
      <c r="N445" t="s">
        <v>178</v>
      </c>
      <c r="O445" t="s">
        <v>282</v>
      </c>
      <c r="P445">
        <v>0.035625475352103635</v>
      </c>
      <c r="Q445" t="s">
        <v>153</v>
      </c>
    </row>
    <row r="446" spans="9:17" ht="14.25">
      <c r="I446" t="s">
        <v>168</v>
      </c>
      <c r="J446" t="s">
        <v>283</v>
      </c>
      <c r="K446">
        <v>0.010382468362214254</v>
      </c>
      <c r="L446" t="s">
        <v>153</v>
      </c>
      <c r="N446" t="s">
        <v>178</v>
      </c>
      <c r="O446" t="s">
        <v>283</v>
      </c>
      <c r="P446">
        <v>0.0052355013207856134</v>
      </c>
      <c r="Q446" t="s">
        <v>153</v>
      </c>
    </row>
    <row r="447" spans="9:17" ht="14.25">
      <c r="I447" t="s">
        <v>168</v>
      </c>
      <c r="J447" t="s">
        <v>284</v>
      </c>
      <c r="K447">
        <v>0.0063101320172420641</v>
      </c>
      <c r="L447" t="s">
        <v>153</v>
      </c>
      <c r="N447" t="s">
        <v>178</v>
      </c>
      <c r="O447" t="s">
        <v>284</v>
      </c>
      <c r="P447">
        <v>0.0062739998088673513</v>
      </c>
      <c r="Q447" t="s">
        <v>153</v>
      </c>
    </row>
    <row r="448" spans="9:17" ht="14.25">
      <c r="I448" t="s">
        <v>168</v>
      </c>
      <c r="J448" t="s">
        <v>285</v>
      </c>
      <c r="K448">
        <v>0.0012841341098490916</v>
      </c>
      <c r="L448" t="s">
        <v>153</v>
      </c>
      <c r="N448" t="s">
        <v>178</v>
      </c>
      <c r="O448" t="s">
        <v>285</v>
      </c>
      <c r="P448">
        <v>0.033508087114646409</v>
      </c>
      <c r="Q448" t="s">
        <v>153</v>
      </c>
    </row>
    <row r="449" spans="9:17" ht="14.25">
      <c r="I449" t="s">
        <v>168</v>
      </c>
      <c r="J449" t="s">
        <v>286</v>
      </c>
      <c r="K449">
        <v>0.0016853265077294828</v>
      </c>
      <c r="L449" t="s">
        <v>153</v>
      </c>
      <c r="N449" t="s">
        <v>178</v>
      </c>
      <c r="O449" t="s">
        <v>286</v>
      </c>
      <c r="P449">
        <v>0.038669500383152935</v>
      </c>
      <c r="Q449" t="s">
        <v>153</v>
      </c>
    </row>
    <row r="450" spans="9:17" ht="14.25">
      <c r="I450" t="s">
        <v>168</v>
      </c>
      <c r="J450" t="s">
        <v>287</v>
      </c>
      <c r="K450">
        <v>0.012652081086062467</v>
      </c>
      <c r="L450" t="s">
        <v>153</v>
      </c>
      <c r="N450" t="s">
        <v>178</v>
      </c>
      <c r="O450" t="s">
        <v>287</v>
      </c>
      <c r="P450">
        <v>0.0051582863939511952</v>
      </c>
      <c r="Q450" t="s">
        <v>153</v>
      </c>
    </row>
    <row r="451" spans="9:17" ht="14.25">
      <c r="I451" t="s">
        <v>168</v>
      </c>
      <c r="J451" t="s">
        <v>288</v>
      </c>
      <c r="K451">
        <v>0.17471951182227827</v>
      </c>
      <c r="L451" t="s">
        <v>153</v>
      </c>
      <c r="N451" t="s">
        <v>178</v>
      </c>
      <c r="O451" t="s">
        <v>288</v>
      </c>
      <c r="P451">
        <v>0.038065216303516856</v>
      </c>
      <c r="Q451" t="s">
        <v>153</v>
      </c>
    </row>
    <row r="452" spans="9:17" ht="14.25">
      <c r="I452" t="s">
        <v>168</v>
      </c>
      <c r="J452" t="s">
        <v>289</v>
      </c>
      <c r="K452">
        <v>0.015872470408194329</v>
      </c>
      <c r="L452" t="s">
        <v>153</v>
      </c>
      <c r="N452" t="s">
        <v>178</v>
      </c>
      <c r="O452" t="s">
        <v>289</v>
      </c>
      <c r="P452">
        <v>0.0075772108271156087</v>
      </c>
      <c r="Q452" t="s">
        <v>153</v>
      </c>
    </row>
    <row r="453" spans="9:17" ht="14.25">
      <c r="I453" t="s">
        <v>168</v>
      </c>
      <c r="J453" t="s">
        <v>290</v>
      </c>
      <c r="K453">
        <v>0.0078630931654996225</v>
      </c>
      <c r="L453" t="s">
        <v>153</v>
      </c>
      <c r="N453" t="s">
        <v>178</v>
      </c>
      <c r="O453" t="s">
        <v>290</v>
      </c>
      <c r="P453">
        <v>0.0092149671245999893</v>
      </c>
      <c r="Q453" t="s">
        <v>153</v>
      </c>
    </row>
    <row r="454" spans="9:17" ht="14.25">
      <c r="I454" t="s">
        <v>168</v>
      </c>
      <c r="J454" t="s">
        <v>291</v>
      </c>
      <c r="K454">
        <v>0</v>
      </c>
      <c r="L454" t="s">
        <v>153</v>
      </c>
      <c r="N454" t="s">
        <v>178</v>
      </c>
      <c r="O454" t="s">
        <v>291</v>
      </c>
      <c r="P454">
        <v>0.051573573601798518</v>
      </c>
      <c r="Q454" t="s">
        <v>153</v>
      </c>
    </row>
    <row r="455" spans="9:17" ht="14.25">
      <c r="I455" t="s">
        <v>168</v>
      </c>
      <c r="J455" t="s">
        <v>292</v>
      </c>
      <c r="K455">
        <v>0</v>
      </c>
      <c r="L455" t="s">
        <v>153</v>
      </c>
      <c r="N455" t="s">
        <v>178</v>
      </c>
      <c r="O455" t="s">
        <v>292</v>
      </c>
      <c r="P455">
        <v>0.020513521996284655</v>
      </c>
      <c r="Q455" t="s">
        <v>153</v>
      </c>
    </row>
    <row r="456" spans="9:17" ht="14.25">
      <c r="I456" t="s">
        <v>168</v>
      </c>
      <c r="J456" t="s">
        <v>293</v>
      </c>
      <c r="K456">
        <v>0.0021647299915815215</v>
      </c>
      <c r="L456" t="s">
        <v>153</v>
      </c>
      <c r="N456" t="s">
        <v>178</v>
      </c>
      <c r="O456" t="s">
        <v>293</v>
      </c>
      <c r="P456">
        <v>0.00265186715561932</v>
      </c>
      <c r="Q456" t="s">
        <v>153</v>
      </c>
    </row>
    <row r="457" spans="9:17" ht="14.25">
      <c r="I457" t="s">
        <v>168</v>
      </c>
      <c r="J457" t="s">
        <v>294</v>
      </c>
      <c r="K457">
        <v>0.03672791526752435</v>
      </c>
      <c r="L457" t="s">
        <v>153</v>
      </c>
      <c r="N457" t="s">
        <v>178</v>
      </c>
      <c r="O457" t="s">
        <v>294</v>
      </c>
      <c r="P457">
        <v>0.023216935279656653</v>
      </c>
      <c r="Q457" t="s">
        <v>153</v>
      </c>
    </row>
    <row r="458" spans="9:17" ht="14.25">
      <c r="I458" t="s">
        <v>168</v>
      </c>
      <c r="J458" t="s">
        <v>295</v>
      </c>
      <c r="K458">
        <v>0.0036134910503850849</v>
      </c>
      <c r="L458" t="s">
        <v>153</v>
      </c>
      <c r="N458" t="s">
        <v>178</v>
      </c>
      <c r="O458" t="s">
        <v>295</v>
      </c>
      <c r="P458">
        <v>0.0036609764743911915</v>
      </c>
      <c r="Q458" t="s">
        <v>153</v>
      </c>
    </row>
    <row r="459" spans="9:17" ht="14.25">
      <c r="I459" t="s">
        <v>168</v>
      </c>
      <c r="J459" t="s">
        <v>296</v>
      </c>
      <c r="K459">
        <v>0.0021687446307160235</v>
      </c>
      <c r="L459" t="s">
        <v>153</v>
      </c>
      <c r="N459" t="s">
        <v>178</v>
      </c>
      <c r="O459" t="s">
        <v>296</v>
      </c>
      <c r="P459">
        <v>0.0038557891723458612</v>
      </c>
      <c r="Q459" t="s">
        <v>153</v>
      </c>
    </row>
    <row r="460" spans="9:17" ht="14.25">
      <c r="I460" t="s">
        <v>168</v>
      </c>
      <c r="J460" t="s">
        <v>297</v>
      </c>
      <c r="K460">
        <v>0</v>
      </c>
      <c r="L460" t="s">
        <v>153</v>
      </c>
      <c r="N460" t="s">
        <v>178</v>
      </c>
      <c r="O460" t="s">
        <v>297</v>
      </c>
      <c r="P460">
        <v>0.021542936686739272</v>
      </c>
      <c r="Q460" t="s">
        <v>153</v>
      </c>
    </row>
    <row r="461" spans="9:17" ht="14.25">
      <c r="I461" t="s">
        <v>169</v>
      </c>
      <c r="J461" t="s">
        <v>152</v>
      </c>
      <c r="K461">
        <v>0</v>
      </c>
      <c r="L461" t="s">
        <v>153</v>
      </c>
      <c r="N461" t="s">
        <v>179</v>
      </c>
      <c r="O461" t="s">
        <v>152</v>
      </c>
      <c r="P461">
        <v>0.0016047073232582643</v>
      </c>
      <c r="Q461" t="s">
        <v>153</v>
      </c>
    </row>
    <row r="462" spans="9:17" ht="14.25">
      <c r="I462" t="s">
        <v>169</v>
      </c>
      <c r="J462" t="s">
        <v>154</v>
      </c>
      <c r="K462">
        <v>0.00061071200684151457</v>
      </c>
      <c r="L462" t="s">
        <v>153</v>
      </c>
      <c r="N462" t="s">
        <v>179</v>
      </c>
      <c r="O462" t="s">
        <v>154</v>
      </c>
      <c r="P462">
        <v>6.9439347593644958E-05</v>
      </c>
      <c r="Q462" t="s">
        <v>153</v>
      </c>
    </row>
    <row r="463" spans="9:17" ht="14.25">
      <c r="I463" t="s">
        <v>169</v>
      </c>
      <c r="J463" t="s">
        <v>155</v>
      </c>
      <c r="K463">
        <v>0.012372418307158819</v>
      </c>
      <c r="L463" t="s">
        <v>153</v>
      </c>
      <c r="N463" t="s">
        <v>179</v>
      </c>
      <c r="O463" t="s">
        <v>155</v>
      </c>
      <c r="P463">
        <v>0.0041438429469994736</v>
      </c>
      <c r="Q463" t="s">
        <v>153</v>
      </c>
    </row>
    <row r="464" spans="9:17" ht="14.25">
      <c r="I464" t="s">
        <v>169</v>
      </c>
      <c r="J464" t="s">
        <v>200</v>
      </c>
      <c r="K464">
        <v>0.0011939612982765067</v>
      </c>
      <c r="L464" t="s">
        <v>153</v>
      </c>
      <c r="N464" t="s">
        <v>179</v>
      </c>
      <c r="O464" t="s">
        <v>200</v>
      </c>
      <c r="P464">
        <v>0.00093719087972709495</v>
      </c>
      <c r="Q464" t="s">
        <v>153</v>
      </c>
    </row>
    <row r="465" spans="9:17" ht="14.25">
      <c r="I465" t="s">
        <v>169</v>
      </c>
      <c r="J465" t="s">
        <v>201</v>
      </c>
      <c r="K465">
        <v>0.00074215502781257363</v>
      </c>
      <c r="L465" t="s">
        <v>153</v>
      </c>
      <c r="N465" t="s">
        <v>179</v>
      </c>
      <c r="O465" t="s">
        <v>201</v>
      </c>
      <c r="P465">
        <v>0.00089103540976010452</v>
      </c>
      <c r="Q465" t="s">
        <v>153</v>
      </c>
    </row>
    <row r="466" spans="9:17" ht="14.25">
      <c r="I466" t="s">
        <v>169</v>
      </c>
      <c r="J466" t="s">
        <v>218</v>
      </c>
      <c r="K466">
        <v>0</v>
      </c>
      <c r="L466" t="s">
        <v>153</v>
      </c>
      <c r="N466" t="s">
        <v>179</v>
      </c>
      <c r="O466" t="s">
        <v>218</v>
      </c>
      <c r="P466">
        <v>0.0019822820145941962</v>
      </c>
      <c r="Q466" t="s">
        <v>153</v>
      </c>
    </row>
    <row r="467" spans="9:17" ht="14.25">
      <c r="I467" t="s">
        <v>169</v>
      </c>
      <c r="J467" t="s">
        <v>156</v>
      </c>
      <c r="K467">
        <v>0</v>
      </c>
      <c r="L467" t="s">
        <v>153</v>
      </c>
      <c r="N467" t="s">
        <v>179</v>
      </c>
      <c r="O467" t="s">
        <v>156</v>
      </c>
      <c r="P467">
        <v>0.039314674801849851</v>
      </c>
      <c r="Q467" t="s">
        <v>153</v>
      </c>
    </row>
    <row r="468" spans="9:17" ht="14.25">
      <c r="I468" t="s">
        <v>169</v>
      </c>
      <c r="J468" t="s">
        <v>157</v>
      </c>
      <c r="K468">
        <v>0.0027788455110164083</v>
      </c>
      <c r="L468" t="s">
        <v>153</v>
      </c>
      <c r="N468" t="s">
        <v>179</v>
      </c>
      <c r="O468" t="s">
        <v>157</v>
      </c>
      <c r="P468">
        <v>0.004944005622987498</v>
      </c>
      <c r="Q468" t="s">
        <v>153</v>
      </c>
    </row>
    <row r="469" spans="9:17" ht="14.25">
      <c r="I469" t="s">
        <v>169</v>
      </c>
      <c r="J469" t="s">
        <v>158</v>
      </c>
      <c r="K469">
        <v>0.05919466650554174</v>
      </c>
      <c r="L469" t="s">
        <v>153</v>
      </c>
      <c r="N469" t="s">
        <v>179</v>
      </c>
      <c r="O469" t="s">
        <v>158</v>
      </c>
      <c r="P469">
        <v>0.052951446003163351</v>
      </c>
      <c r="Q469" t="s">
        <v>153</v>
      </c>
    </row>
    <row r="470" spans="9:17" ht="14.25">
      <c r="I470" t="s">
        <v>169</v>
      </c>
      <c r="J470" t="s">
        <v>202</v>
      </c>
      <c r="K470">
        <v>0.00590732299064966</v>
      </c>
      <c r="L470" t="s">
        <v>153</v>
      </c>
      <c r="N470" t="s">
        <v>179</v>
      </c>
      <c r="O470" t="s">
        <v>202</v>
      </c>
      <c r="P470">
        <v>0.0059127940469873063</v>
      </c>
      <c r="Q470" t="s">
        <v>153</v>
      </c>
    </row>
    <row r="471" spans="9:17" ht="14.25">
      <c r="I471" t="s">
        <v>169</v>
      </c>
      <c r="J471" t="s">
        <v>203</v>
      </c>
      <c r="K471">
        <v>0.0033323131078732849</v>
      </c>
      <c r="L471" t="s">
        <v>153</v>
      </c>
      <c r="N471" t="s">
        <v>179</v>
      </c>
      <c r="O471" t="s">
        <v>203</v>
      </c>
      <c r="P471">
        <v>0.0057501506274752366</v>
      </c>
      <c r="Q471" t="s">
        <v>153</v>
      </c>
    </row>
    <row r="472" spans="9:17" ht="14.25">
      <c r="I472" t="s">
        <v>169</v>
      </c>
      <c r="J472" t="s">
        <v>219</v>
      </c>
      <c r="K472">
        <v>0</v>
      </c>
      <c r="L472" t="s">
        <v>153</v>
      </c>
      <c r="N472" t="s">
        <v>179</v>
      </c>
      <c r="O472" t="s">
        <v>219</v>
      </c>
      <c r="P472">
        <v>0.032506565851459335</v>
      </c>
      <c r="Q472" t="s">
        <v>153</v>
      </c>
    </row>
    <row r="473" spans="9:17" ht="14.25">
      <c r="I473" t="s">
        <v>169</v>
      </c>
      <c r="J473" t="s">
        <v>159</v>
      </c>
      <c r="K473">
        <v>0</v>
      </c>
      <c r="L473" t="s">
        <v>153</v>
      </c>
      <c r="N473" t="s">
        <v>179</v>
      </c>
      <c r="O473" t="s">
        <v>159</v>
      </c>
      <c r="P473">
        <v>0.0086733185197794549</v>
      </c>
      <c r="Q473" t="s">
        <v>153</v>
      </c>
    </row>
    <row r="474" spans="9:17" ht="14.25">
      <c r="I474" t="s">
        <v>169</v>
      </c>
      <c r="J474" t="s">
        <v>160</v>
      </c>
      <c r="K474">
        <v>0.0021193764814895107</v>
      </c>
      <c r="L474" t="s">
        <v>153</v>
      </c>
      <c r="N474" t="s">
        <v>179</v>
      </c>
      <c r="O474" t="s">
        <v>160</v>
      </c>
      <c r="P474">
        <v>0.0013209967304340007</v>
      </c>
      <c r="Q474" t="s">
        <v>153</v>
      </c>
    </row>
    <row r="475" spans="9:17" ht="14.25">
      <c r="I475" t="s">
        <v>169</v>
      </c>
      <c r="J475" t="s">
        <v>161</v>
      </c>
      <c r="K475">
        <v>0.041495548807079799</v>
      </c>
      <c r="L475" t="s">
        <v>153</v>
      </c>
      <c r="N475" t="s">
        <v>179</v>
      </c>
      <c r="O475" t="s">
        <v>161</v>
      </c>
      <c r="P475">
        <v>0.014733398587862002</v>
      </c>
      <c r="Q475" t="s">
        <v>153</v>
      </c>
    </row>
    <row r="476" spans="9:17" ht="14.25">
      <c r="I476" t="s">
        <v>169</v>
      </c>
      <c r="J476" t="s">
        <v>204</v>
      </c>
      <c r="K476">
        <v>0.0045140308895629576</v>
      </c>
      <c r="L476" t="s">
        <v>153</v>
      </c>
      <c r="N476" t="s">
        <v>179</v>
      </c>
      <c r="O476" t="s">
        <v>204</v>
      </c>
      <c r="P476">
        <v>0.0023290926399805135</v>
      </c>
      <c r="Q476" t="s">
        <v>153</v>
      </c>
    </row>
    <row r="477" spans="9:17" ht="14.25">
      <c r="I477" t="s">
        <v>169</v>
      </c>
      <c r="J477" t="s">
        <v>205</v>
      </c>
      <c r="K477">
        <v>0.0028082407833106299</v>
      </c>
      <c r="L477" t="s">
        <v>153</v>
      </c>
      <c r="N477" t="s">
        <v>179</v>
      </c>
      <c r="O477" t="s">
        <v>205</v>
      </c>
      <c r="P477">
        <v>0.0023656434067545482</v>
      </c>
      <c r="Q477" t="s">
        <v>153</v>
      </c>
    </row>
    <row r="478" spans="9:17" ht="14.25">
      <c r="I478" t="s">
        <v>169</v>
      </c>
      <c r="J478" t="s">
        <v>220</v>
      </c>
      <c r="K478">
        <v>0</v>
      </c>
      <c r="L478" t="s">
        <v>153</v>
      </c>
      <c r="N478" t="s">
        <v>179</v>
      </c>
      <c r="O478" t="s">
        <v>220</v>
      </c>
      <c r="P478">
        <v>0.0081545828616983538</v>
      </c>
      <c r="Q478" t="s">
        <v>153</v>
      </c>
    </row>
    <row r="479" spans="9:17" ht="14.25">
      <c r="I479" t="s">
        <v>169</v>
      </c>
      <c r="J479" t="s">
        <v>162</v>
      </c>
      <c r="K479">
        <v>0</v>
      </c>
      <c r="L479" t="s">
        <v>153</v>
      </c>
      <c r="N479" t="s">
        <v>179</v>
      </c>
      <c r="O479" t="s">
        <v>162</v>
      </c>
      <c r="P479">
        <v>0.0043485417089238511</v>
      </c>
      <c r="Q479" t="s">
        <v>153</v>
      </c>
    </row>
    <row r="480" spans="9:17" ht="14.25">
      <c r="I480" t="s">
        <v>169</v>
      </c>
      <c r="J480" t="s">
        <v>163</v>
      </c>
      <c r="K480">
        <v>0.0014700638039948375</v>
      </c>
      <c r="L480" t="s">
        <v>153</v>
      </c>
      <c r="N480" t="s">
        <v>179</v>
      </c>
      <c r="O480" t="s">
        <v>163</v>
      </c>
      <c r="P480">
        <v>0.00057092933727749973</v>
      </c>
      <c r="Q480" t="s">
        <v>153</v>
      </c>
    </row>
    <row r="481" spans="9:17" ht="14.25">
      <c r="I481" t="s">
        <v>169</v>
      </c>
      <c r="J481" t="s">
        <v>164</v>
      </c>
      <c r="K481">
        <v>0.026514191927384818</v>
      </c>
      <c r="L481" t="s">
        <v>153</v>
      </c>
      <c r="N481" t="s">
        <v>179</v>
      </c>
      <c r="O481" t="s">
        <v>164</v>
      </c>
      <c r="P481">
        <v>0.0081698847505558576</v>
      </c>
      <c r="Q481" t="s">
        <v>153</v>
      </c>
    </row>
    <row r="482" spans="9:17" ht="14.25">
      <c r="I482" t="s">
        <v>169</v>
      </c>
      <c r="J482" t="s">
        <v>206</v>
      </c>
      <c r="K482">
        <v>0.0028766403911273507</v>
      </c>
      <c r="L482" t="s">
        <v>153</v>
      </c>
      <c r="N482" t="s">
        <v>179</v>
      </c>
      <c r="O482" t="s">
        <v>206</v>
      </c>
      <c r="P482">
        <v>0.0015760552323751662</v>
      </c>
      <c r="Q482" t="s">
        <v>153</v>
      </c>
    </row>
    <row r="483" spans="9:17" ht="14.25">
      <c r="I483" t="s">
        <v>169</v>
      </c>
      <c r="J483" t="s">
        <v>207</v>
      </c>
      <c r="K483">
        <v>0.0018111863837123989</v>
      </c>
      <c r="L483" t="s">
        <v>153</v>
      </c>
      <c r="N483" t="s">
        <v>179</v>
      </c>
      <c r="O483" t="s">
        <v>207</v>
      </c>
      <c r="P483">
        <v>0.0016146682424266643</v>
      </c>
      <c r="Q483" t="s">
        <v>153</v>
      </c>
    </row>
    <row r="484" spans="9:17" ht="14.25">
      <c r="I484" t="s">
        <v>169</v>
      </c>
      <c r="J484" t="s">
        <v>221</v>
      </c>
      <c r="K484">
        <v>0</v>
      </c>
      <c r="L484" t="s">
        <v>153</v>
      </c>
      <c r="N484" t="s">
        <v>179</v>
      </c>
      <c r="O484" t="s">
        <v>221</v>
      </c>
      <c r="P484">
        <v>0.006745676872052222</v>
      </c>
      <c r="Q484" t="s">
        <v>153</v>
      </c>
    </row>
    <row r="485" spans="9:17" ht="14.25">
      <c r="I485" t="s">
        <v>169</v>
      </c>
      <c r="J485" t="s">
        <v>208</v>
      </c>
      <c r="K485">
        <v>0</v>
      </c>
      <c r="L485" t="s">
        <v>153</v>
      </c>
      <c r="N485" t="s">
        <v>179</v>
      </c>
      <c r="O485" t="s">
        <v>208</v>
      </c>
      <c r="P485">
        <v>0.0057832118466653497</v>
      </c>
      <c r="Q485" t="s">
        <v>153</v>
      </c>
    </row>
    <row r="486" spans="9:17" ht="14.25">
      <c r="I486" t="s">
        <v>169</v>
      </c>
      <c r="J486" t="s">
        <v>209</v>
      </c>
      <c r="K486">
        <v>0.0024078476661679605</v>
      </c>
      <c r="L486" t="s">
        <v>153</v>
      </c>
      <c r="N486" t="s">
        <v>179</v>
      </c>
      <c r="O486" t="s">
        <v>209</v>
      </c>
      <c r="P486">
        <v>0.0010121968939803595</v>
      </c>
      <c r="Q486" t="s">
        <v>153</v>
      </c>
    </row>
    <row r="487" spans="9:17" ht="14.25">
      <c r="I487" t="s">
        <v>169</v>
      </c>
      <c r="J487" t="s">
        <v>210</v>
      </c>
      <c r="K487">
        <v>0.036491502999359632</v>
      </c>
      <c r="L487" t="s">
        <v>153</v>
      </c>
      <c r="N487" t="s">
        <v>179</v>
      </c>
      <c r="O487" t="s">
        <v>210</v>
      </c>
      <c r="P487">
        <v>0.014945379844660052</v>
      </c>
      <c r="Q487" t="s">
        <v>153</v>
      </c>
    </row>
    <row r="488" spans="9:17" ht="14.25">
      <c r="I488" t="s">
        <v>169</v>
      </c>
      <c r="J488" t="s">
        <v>211</v>
      </c>
      <c r="K488">
        <v>0.0036795012990554639</v>
      </c>
      <c r="L488" t="s">
        <v>153</v>
      </c>
      <c r="N488" t="s">
        <v>179</v>
      </c>
      <c r="O488" t="s">
        <v>211</v>
      </c>
      <c r="P488">
        <v>0.0022417464057619299</v>
      </c>
      <c r="Q488" t="s">
        <v>153</v>
      </c>
    </row>
    <row r="489" spans="9:17" ht="14.25">
      <c r="I489" t="s">
        <v>169</v>
      </c>
      <c r="J489" t="s">
        <v>212</v>
      </c>
      <c r="K489">
        <v>0.0023609736696307737</v>
      </c>
      <c r="L489" t="s">
        <v>153</v>
      </c>
      <c r="N489" t="s">
        <v>179</v>
      </c>
      <c r="O489" t="s">
        <v>212</v>
      </c>
      <c r="P489">
        <v>0.0020122732514438885</v>
      </c>
      <c r="Q489" t="s">
        <v>153</v>
      </c>
    </row>
    <row r="490" spans="9:17" ht="14.25">
      <c r="I490" t="s">
        <v>169</v>
      </c>
      <c r="J490" t="s">
        <v>222</v>
      </c>
      <c r="K490">
        <v>0</v>
      </c>
      <c r="L490" t="s">
        <v>153</v>
      </c>
      <c r="N490" t="s">
        <v>179</v>
      </c>
      <c r="O490" t="s">
        <v>222</v>
      </c>
      <c r="P490">
        <v>0.0074706628601380436</v>
      </c>
      <c r="Q490" t="s">
        <v>153</v>
      </c>
    </row>
    <row r="491" spans="9:17" ht="14.25">
      <c r="I491" t="s">
        <v>169</v>
      </c>
      <c r="J491" t="s">
        <v>223</v>
      </c>
      <c r="K491">
        <v>0.00013867052753331643</v>
      </c>
      <c r="L491" t="s">
        <v>153</v>
      </c>
      <c r="N491" t="s">
        <v>179</v>
      </c>
      <c r="O491" t="s">
        <v>223</v>
      </c>
      <c r="P491">
        <v>0.001354899036788942</v>
      </c>
      <c r="Q491" t="s">
        <v>153</v>
      </c>
    </row>
    <row r="492" spans="9:17" ht="14.25">
      <c r="I492" t="s">
        <v>169</v>
      </c>
      <c r="J492" t="s">
        <v>224</v>
      </c>
      <c r="K492">
        <v>0.00048495447098507511</v>
      </c>
      <c r="L492" t="s">
        <v>153</v>
      </c>
      <c r="N492" t="s">
        <v>179</v>
      </c>
      <c r="O492" t="s">
        <v>224</v>
      </c>
      <c r="P492">
        <v>0.00015410053897467298</v>
      </c>
      <c r="Q492" t="s">
        <v>153</v>
      </c>
    </row>
    <row r="493" spans="9:17" ht="14.25">
      <c r="I493" t="s">
        <v>169</v>
      </c>
      <c r="J493" t="s">
        <v>225</v>
      </c>
      <c r="K493">
        <v>0.009008289110625305</v>
      </c>
      <c r="L493" t="s">
        <v>153</v>
      </c>
      <c r="N493" t="s">
        <v>179</v>
      </c>
      <c r="O493" t="s">
        <v>225</v>
      </c>
      <c r="P493">
        <v>0.012998528785239327</v>
      </c>
      <c r="Q493" t="s">
        <v>153</v>
      </c>
    </row>
    <row r="494" spans="9:17" ht="14.25">
      <c r="I494" t="s">
        <v>169</v>
      </c>
      <c r="J494" t="s">
        <v>226</v>
      </c>
      <c r="K494">
        <v>0.00077756599104055097</v>
      </c>
      <c r="L494" t="s">
        <v>153</v>
      </c>
      <c r="N494" t="s">
        <v>179</v>
      </c>
      <c r="O494" t="s">
        <v>226</v>
      </c>
      <c r="P494">
        <v>0.00177727921196804</v>
      </c>
      <c r="Q494" t="s">
        <v>153</v>
      </c>
    </row>
    <row r="495" spans="9:17" ht="14.25">
      <c r="I495" t="s">
        <v>169</v>
      </c>
      <c r="J495" t="s">
        <v>227</v>
      </c>
      <c r="K495">
        <v>0.00043972648205644721</v>
      </c>
      <c r="L495" t="s">
        <v>153</v>
      </c>
      <c r="N495" t="s">
        <v>179</v>
      </c>
      <c r="O495" t="s">
        <v>227</v>
      </c>
      <c r="P495">
        <v>0.0016716061011627348</v>
      </c>
      <c r="Q495" t="s">
        <v>153</v>
      </c>
    </row>
    <row r="496" spans="9:17" ht="14.25">
      <c r="I496" t="s">
        <v>169</v>
      </c>
      <c r="J496" t="s">
        <v>228</v>
      </c>
      <c r="K496">
        <v>0</v>
      </c>
      <c r="L496" t="s">
        <v>153</v>
      </c>
      <c r="N496" t="s">
        <v>179</v>
      </c>
      <c r="O496" t="s">
        <v>228</v>
      </c>
      <c r="P496">
        <v>0.0035697821653888485</v>
      </c>
      <c r="Q496" t="s">
        <v>153</v>
      </c>
    </row>
    <row r="497" spans="9:17" ht="14.25">
      <c r="I497" t="s">
        <v>169</v>
      </c>
      <c r="J497" t="s">
        <v>235</v>
      </c>
      <c r="K497">
        <v>0.0028593176330350342</v>
      </c>
      <c r="L497" t="s">
        <v>153</v>
      </c>
      <c r="N497" t="s">
        <v>179</v>
      </c>
      <c r="O497" t="s">
        <v>235</v>
      </c>
      <c r="P497">
        <v>0.011156640116118256</v>
      </c>
      <c r="Q497" t="s">
        <v>153</v>
      </c>
    </row>
    <row r="498" spans="9:17" ht="14.25">
      <c r="I498" t="s">
        <v>169</v>
      </c>
      <c r="J498" t="s">
        <v>236</v>
      </c>
      <c r="K498">
        <v>0.0057260793264600025</v>
      </c>
      <c r="L498" t="s">
        <v>153</v>
      </c>
      <c r="N498" t="s">
        <v>179</v>
      </c>
      <c r="O498" t="s">
        <v>236</v>
      </c>
      <c r="P498">
        <v>0.0015678535670619303</v>
      </c>
      <c r="Q498" t="s">
        <v>153</v>
      </c>
    </row>
    <row r="499" spans="9:17" ht="14.25">
      <c r="I499" t="s">
        <v>169</v>
      </c>
      <c r="J499" t="s">
        <v>237</v>
      </c>
      <c r="K499">
        <v>0.070016812372638376</v>
      </c>
      <c r="L499" t="s">
        <v>153</v>
      </c>
      <c r="N499" t="s">
        <v>179</v>
      </c>
      <c r="O499" t="s">
        <v>237</v>
      </c>
      <c r="P499">
        <v>0.03828984698657377</v>
      </c>
      <c r="Q499" t="s">
        <v>153</v>
      </c>
    </row>
    <row r="500" spans="9:17" ht="14.25">
      <c r="I500" t="s">
        <v>169</v>
      </c>
      <c r="J500" t="s">
        <v>238</v>
      </c>
      <c r="K500">
        <v>0.0069534121726878293</v>
      </c>
      <c r="L500" t="s">
        <v>153</v>
      </c>
      <c r="N500" t="s">
        <v>179</v>
      </c>
      <c r="O500" t="s">
        <v>238</v>
      </c>
      <c r="P500">
        <v>0.0063030503140064338</v>
      </c>
      <c r="Q500" t="s">
        <v>153</v>
      </c>
    </row>
    <row r="501" spans="9:17" ht="14.25">
      <c r="I501" t="s">
        <v>169</v>
      </c>
      <c r="J501" t="s">
        <v>239</v>
      </c>
      <c r="K501">
        <v>0.0047098909492282875</v>
      </c>
      <c r="L501" t="s">
        <v>153</v>
      </c>
      <c r="N501" t="s">
        <v>179</v>
      </c>
      <c r="O501" t="s">
        <v>239</v>
      </c>
      <c r="P501">
        <v>0.0063748782463354074</v>
      </c>
      <c r="Q501" t="s">
        <v>153</v>
      </c>
    </row>
    <row r="502" spans="9:17" ht="14.25">
      <c r="I502" t="s">
        <v>169</v>
      </c>
      <c r="J502" t="s">
        <v>240</v>
      </c>
      <c r="K502">
        <v>0.0014837331620266075</v>
      </c>
      <c r="L502" t="s">
        <v>153</v>
      </c>
      <c r="N502" t="s">
        <v>179</v>
      </c>
      <c r="O502" t="s">
        <v>240</v>
      </c>
      <c r="P502">
        <v>0.013046867520331551</v>
      </c>
      <c r="Q502" t="s">
        <v>153</v>
      </c>
    </row>
    <row r="503" spans="9:17" ht="14.25">
      <c r="I503" t="s">
        <v>169</v>
      </c>
      <c r="J503" t="s">
        <v>241</v>
      </c>
      <c r="K503">
        <v>0.0024582701882805555</v>
      </c>
      <c r="L503" t="s">
        <v>153</v>
      </c>
      <c r="N503" t="s">
        <v>179</v>
      </c>
      <c r="O503" t="s">
        <v>241</v>
      </c>
      <c r="P503">
        <v>0.015875586931506151</v>
      </c>
      <c r="Q503" t="s">
        <v>153</v>
      </c>
    </row>
    <row r="504" spans="9:17" ht="14.25">
      <c r="I504" t="s">
        <v>169</v>
      </c>
      <c r="J504" t="s">
        <v>242</v>
      </c>
      <c r="K504">
        <v>0.0044108272077909641</v>
      </c>
      <c r="L504" t="s">
        <v>153</v>
      </c>
      <c r="N504" t="s">
        <v>179</v>
      </c>
      <c r="O504" t="s">
        <v>242</v>
      </c>
      <c r="P504">
        <v>0.0014267117117032295</v>
      </c>
      <c r="Q504" t="s">
        <v>153</v>
      </c>
    </row>
    <row r="505" spans="9:17" ht="14.25">
      <c r="I505" t="s">
        <v>169</v>
      </c>
      <c r="J505" t="s">
        <v>243</v>
      </c>
      <c r="K505">
        <v>0.050710728091865588</v>
      </c>
      <c r="L505" t="s">
        <v>153</v>
      </c>
      <c r="N505" t="s">
        <v>179</v>
      </c>
      <c r="O505" t="s">
        <v>243</v>
      </c>
      <c r="P505">
        <v>0.067733953827061336</v>
      </c>
      <c r="Q505" t="s">
        <v>153</v>
      </c>
    </row>
    <row r="506" spans="9:17" ht="14.25">
      <c r="I506" t="s">
        <v>169</v>
      </c>
      <c r="J506" t="s">
        <v>244</v>
      </c>
      <c r="K506">
        <v>0.0045323836000070927</v>
      </c>
      <c r="L506" t="s">
        <v>153</v>
      </c>
      <c r="N506" t="s">
        <v>179</v>
      </c>
      <c r="O506" t="s">
        <v>244</v>
      </c>
      <c r="P506">
        <v>0.010778738933887564</v>
      </c>
      <c r="Q506" t="s">
        <v>153</v>
      </c>
    </row>
    <row r="507" spans="9:17" ht="14.25">
      <c r="I507" t="s">
        <v>169</v>
      </c>
      <c r="J507" t="s">
        <v>245</v>
      </c>
      <c r="K507">
        <v>0.0032152441492413249</v>
      </c>
      <c r="L507" t="s">
        <v>153</v>
      </c>
      <c r="N507" t="s">
        <v>179</v>
      </c>
      <c r="O507" t="s">
        <v>245</v>
      </c>
      <c r="P507">
        <v>0.0091892230727895</v>
      </c>
      <c r="Q507" t="s">
        <v>153</v>
      </c>
    </row>
    <row r="508" spans="9:17" ht="14.25">
      <c r="I508" t="s">
        <v>169</v>
      </c>
      <c r="J508" t="s">
        <v>246</v>
      </c>
      <c r="K508">
        <v>0.0013730925601930773</v>
      </c>
      <c r="L508" t="s">
        <v>153</v>
      </c>
      <c r="N508" t="s">
        <v>179</v>
      </c>
      <c r="O508" t="s">
        <v>246</v>
      </c>
      <c r="P508">
        <v>0.021560545376198906</v>
      </c>
      <c r="Q508" t="s">
        <v>153</v>
      </c>
    </row>
    <row r="509" spans="9:17" ht="14.25">
      <c r="I509" t="s">
        <v>169</v>
      </c>
      <c r="J509" t="s">
        <v>247</v>
      </c>
      <c r="K509">
        <v>0.0022736364471881289</v>
      </c>
      <c r="L509" t="s">
        <v>153</v>
      </c>
      <c r="N509" t="s">
        <v>179</v>
      </c>
      <c r="O509" t="s">
        <v>247</v>
      </c>
      <c r="P509">
        <v>0.015788930959842424</v>
      </c>
      <c r="Q509" t="s">
        <v>153</v>
      </c>
    </row>
    <row r="510" spans="9:17" ht="14.25">
      <c r="I510" t="s">
        <v>169</v>
      </c>
      <c r="J510" t="s">
        <v>248</v>
      </c>
      <c r="K510">
        <v>0.0040810262865943487</v>
      </c>
      <c r="L510" t="s">
        <v>153</v>
      </c>
      <c r="N510" t="s">
        <v>179</v>
      </c>
      <c r="O510" t="s">
        <v>248</v>
      </c>
      <c r="P510">
        <v>0.002346262285325799</v>
      </c>
      <c r="Q510" t="s">
        <v>153</v>
      </c>
    </row>
    <row r="511" spans="9:17" ht="14.25">
      <c r="I511" t="s">
        <v>169</v>
      </c>
      <c r="J511" t="s">
        <v>249</v>
      </c>
      <c r="K511">
        <v>0.049414286999703204</v>
      </c>
      <c r="L511" t="s">
        <v>153</v>
      </c>
      <c r="N511" t="s">
        <v>179</v>
      </c>
      <c r="O511" t="s">
        <v>249</v>
      </c>
      <c r="P511">
        <v>0.034887676839044965</v>
      </c>
      <c r="Q511" t="s">
        <v>153</v>
      </c>
    </row>
    <row r="512" spans="9:17" ht="14.25">
      <c r="I512" t="s">
        <v>169</v>
      </c>
      <c r="J512" t="s">
        <v>250</v>
      </c>
      <c r="K512">
        <v>0.0047661763562227358</v>
      </c>
      <c r="L512" t="s">
        <v>153</v>
      </c>
      <c r="N512" t="s">
        <v>179</v>
      </c>
      <c r="O512" t="s">
        <v>250</v>
      </c>
      <c r="P512">
        <v>0.0055900363586822432</v>
      </c>
      <c r="Q512" t="s">
        <v>153</v>
      </c>
    </row>
    <row r="513" spans="9:17" ht="14.25">
      <c r="I513" t="s">
        <v>169</v>
      </c>
      <c r="J513" t="s">
        <v>251</v>
      </c>
      <c r="K513">
        <v>0.0034264803754498058</v>
      </c>
      <c r="L513" t="s">
        <v>153</v>
      </c>
      <c r="N513" t="s">
        <v>179</v>
      </c>
      <c r="O513" t="s">
        <v>251</v>
      </c>
      <c r="P513">
        <v>0.0054821439789591014</v>
      </c>
      <c r="Q513" t="s">
        <v>153</v>
      </c>
    </row>
    <row r="514" spans="9:17" ht="14.25">
      <c r="I514" t="s">
        <v>169</v>
      </c>
      <c r="J514" t="s">
        <v>252</v>
      </c>
      <c r="K514">
        <v>0.0014391725773021963</v>
      </c>
      <c r="L514" t="s">
        <v>153</v>
      </c>
      <c r="N514" t="s">
        <v>179</v>
      </c>
      <c r="O514" t="s">
        <v>252</v>
      </c>
      <c r="P514">
        <v>0.018058517301697274</v>
      </c>
      <c r="Q514" t="s">
        <v>153</v>
      </c>
    </row>
    <row r="515" spans="9:17" ht="14.25">
      <c r="I515" t="s">
        <v>169</v>
      </c>
      <c r="J515" t="s">
        <v>262</v>
      </c>
      <c r="K515">
        <v>0.000572671944675733</v>
      </c>
      <c r="L515" t="s">
        <v>153</v>
      </c>
      <c r="N515" t="s">
        <v>179</v>
      </c>
      <c r="O515" t="s">
        <v>262</v>
      </c>
      <c r="P515">
        <v>0.0067144872657169275</v>
      </c>
      <c r="Q515" t="s">
        <v>153</v>
      </c>
    </row>
    <row r="516" spans="9:17" ht="14.25">
      <c r="I516" t="s">
        <v>169</v>
      </c>
      <c r="J516" t="s">
        <v>263</v>
      </c>
      <c r="K516">
        <v>0.0010928872306958692</v>
      </c>
      <c r="L516" t="s">
        <v>153</v>
      </c>
      <c r="N516" t="s">
        <v>179</v>
      </c>
      <c r="O516" t="s">
        <v>263</v>
      </c>
      <c r="P516">
        <v>0.00039375244212513027</v>
      </c>
      <c r="Q516" t="s">
        <v>153</v>
      </c>
    </row>
    <row r="517" spans="9:17" ht="14.25">
      <c r="I517" t="s">
        <v>169</v>
      </c>
      <c r="J517" t="s">
        <v>264</v>
      </c>
      <c r="K517">
        <v>0.013760329458687858</v>
      </c>
      <c r="L517" t="s">
        <v>153</v>
      </c>
      <c r="N517" t="s">
        <v>179</v>
      </c>
      <c r="O517" t="s">
        <v>264</v>
      </c>
      <c r="P517">
        <v>0.0041042481404473296</v>
      </c>
      <c r="Q517" t="s">
        <v>153</v>
      </c>
    </row>
    <row r="518" spans="9:17" ht="14.25">
      <c r="I518" t="s">
        <v>169</v>
      </c>
      <c r="J518" t="s">
        <v>265</v>
      </c>
      <c r="K518">
        <v>0.0013090385212293867</v>
      </c>
      <c r="L518" t="s">
        <v>153</v>
      </c>
      <c r="N518" t="s">
        <v>179</v>
      </c>
      <c r="O518" t="s">
        <v>265</v>
      </c>
      <c r="P518">
        <v>0.0012635881874672092</v>
      </c>
      <c r="Q518" t="s">
        <v>153</v>
      </c>
    </row>
    <row r="519" spans="9:17" ht="14.25">
      <c r="I519" t="s">
        <v>169</v>
      </c>
      <c r="J519" t="s">
        <v>266</v>
      </c>
      <c r="K519">
        <v>0.00092038164894784171</v>
      </c>
      <c r="L519" t="s">
        <v>153</v>
      </c>
      <c r="N519" t="s">
        <v>179</v>
      </c>
      <c r="O519" t="s">
        <v>266</v>
      </c>
      <c r="P519">
        <v>0.0017729187900486719</v>
      </c>
      <c r="Q519" t="s">
        <v>153</v>
      </c>
    </row>
    <row r="520" spans="9:17" ht="14.25">
      <c r="I520" t="s">
        <v>169</v>
      </c>
      <c r="J520" t="s">
        <v>267</v>
      </c>
      <c r="K520">
        <v>0.0003654107494803777</v>
      </c>
      <c r="L520" t="s">
        <v>153</v>
      </c>
      <c r="N520" t="s">
        <v>179</v>
      </c>
      <c r="O520" t="s">
        <v>267</v>
      </c>
      <c r="P520">
        <v>0.0077294158603143292</v>
      </c>
      <c r="Q520" t="s">
        <v>153</v>
      </c>
    </row>
    <row r="521" spans="9:17" ht="14.25">
      <c r="I521" t="s">
        <v>169</v>
      </c>
      <c r="J521" t="s">
        <v>268</v>
      </c>
      <c r="K521">
        <v>0.00069717477233798009</v>
      </c>
      <c r="L521" t="s">
        <v>153</v>
      </c>
      <c r="N521" t="s">
        <v>179</v>
      </c>
      <c r="O521" t="s">
        <v>268</v>
      </c>
      <c r="P521">
        <v>0.00053155406393400972</v>
      </c>
      <c r="Q521" t="s">
        <v>153</v>
      </c>
    </row>
    <row r="522" spans="9:17" ht="14.25">
      <c r="I522" t="s">
        <v>169</v>
      </c>
      <c r="J522" t="s">
        <v>269</v>
      </c>
      <c r="K522">
        <v>0.0014526622172514746</v>
      </c>
      <c r="L522" t="s">
        <v>153</v>
      </c>
      <c r="N522" t="s">
        <v>179</v>
      </c>
      <c r="O522" t="s">
        <v>269</v>
      </c>
      <c r="P522">
        <v>0.00026978087495395467</v>
      </c>
      <c r="Q522" t="s">
        <v>153</v>
      </c>
    </row>
    <row r="523" spans="9:17" ht="14.25">
      <c r="I523" t="s">
        <v>169</v>
      </c>
      <c r="J523" t="s">
        <v>270</v>
      </c>
      <c r="K523">
        <v>0.020074619337003788</v>
      </c>
      <c r="L523" t="s">
        <v>153</v>
      </c>
      <c r="N523" t="s">
        <v>179</v>
      </c>
      <c r="O523" t="s">
        <v>270</v>
      </c>
      <c r="P523">
        <v>0.0030665843442860539</v>
      </c>
      <c r="Q523" t="s">
        <v>153</v>
      </c>
    </row>
    <row r="524" spans="9:17" ht="14.25">
      <c r="I524" t="s">
        <v>169</v>
      </c>
      <c r="J524" t="s">
        <v>271</v>
      </c>
      <c r="K524">
        <v>0.0018882799340545241</v>
      </c>
      <c r="L524" t="s">
        <v>153</v>
      </c>
      <c r="N524" t="s">
        <v>179</v>
      </c>
      <c r="O524" t="s">
        <v>271</v>
      </c>
      <c r="P524">
        <v>0.00041504248848998838</v>
      </c>
      <c r="Q524" t="s">
        <v>153</v>
      </c>
    </row>
    <row r="525" spans="9:17" ht="14.25">
      <c r="I525" t="s">
        <v>169</v>
      </c>
      <c r="J525" t="s">
        <v>272</v>
      </c>
      <c r="K525">
        <v>0.0013201732094190964</v>
      </c>
      <c r="L525" t="s">
        <v>153</v>
      </c>
      <c r="N525" t="s">
        <v>179</v>
      </c>
      <c r="O525" t="s">
        <v>272</v>
      </c>
      <c r="P525">
        <v>0.00028848709230292196</v>
      </c>
      <c r="Q525" t="s">
        <v>153</v>
      </c>
    </row>
    <row r="526" spans="9:17" ht="14.25">
      <c r="I526" t="s">
        <v>169</v>
      </c>
      <c r="J526" t="s">
        <v>273</v>
      </c>
      <c r="K526">
        <v>0.00051928853554018784</v>
      </c>
      <c r="L526" t="s">
        <v>153</v>
      </c>
      <c r="N526" t="s">
        <v>179</v>
      </c>
      <c r="O526" t="s">
        <v>273</v>
      </c>
      <c r="P526">
        <v>0.00077326730350048181</v>
      </c>
      <c r="Q526" t="s">
        <v>153</v>
      </c>
    </row>
    <row r="527" spans="9:17" ht="14.25">
      <c r="I527" t="s">
        <v>169</v>
      </c>
      <c r="J527" t="s">
        <v>274</v>
      </c>
      <c r="K527">
        <v>0.0026997412962159822</v>
      </c>
      <c r="L527" t="s">
        <v>153</v>
      </c>
      <c r="N527" t="s">
        <v>179</v>
      </c>
      <c r="O527" t="s">
        <v>274</v>
      </c>
      <c r="P527">
        <v>0.025035473487769175</v>
      </c>
      <c r="Q527" t="s">
        <v>153</v>
      </c>
    </row>
    <row r="528" spans="9:17" ht="14.25">
      <c r="I528" t="s">
        <v>169</v>
      </c>
      <c r="J528" t="s">
        <v>275</v>
      </c>
      <c r="K528">
        <v>0.0062771895581109341</v>
      </c>
      <c r="L528" t="s">
        <v>153</v>
      </c>
      <c r="N528" t="s">
        <v>179</v>
      </c>
      <c r="O528" t="s">
        <v>275</v>
      </c>
      <c r="P528">
        <v>0.0040458336333582482</v>
      </c>
      <c r="Q528" t="s">
        <v>153</v>
      </c>
    </row>
    <row r="529" spans="9:17" ht="14.25">
      <c r="I529" t="s">
        <v>169</v>
      </c>
      <c r="J529" t="s">
        <v>276</v>
      </c>
      <c r="K529">
        <v>0.087965986542630187</v>
      </c>
      <c r="L529" t="s">
        <v>153</v>
      </c>
      <c r="N529" t="s">
        <v>179</v>
      </c>
      <c r="O529" t="s">
        <v>276</v>
      </c>
      <c r="P529">
        <v>0.031417910908465727</v>
      </c>
      <c r="Q529" t="s">
        <v>153</v>
      </c>
    </row>
    <row r="530" spans="9:17" ht="14.25">
      <c r="I530" t="s">
        <v>169</v>
      </c>
      <c r="J530" t="s">
        <v>277</v>
      </c>
      <c r="K530">
        <v>0.0080534879497752895</v>
      </c>
      <c r="L530" t="s">
        <v>153</v>
      </c>
      <c r="N530" t="s">
        <v>179</v>
      </c>
      <c r="O530" t="s">
        <v>277</v>
      </c>
      <c r="P530">
        <v>0.0047869297677043971</v>
      </c>
      <c r="Q530" t="s">
        <v>153</v>
      </c>
    </row>
    <row r="531" spans="9:17" ht="14.25">
      <c r="I531" t="s">
        <v>169</v>
      </c>
      <c r="J531" t="s">
        <v>278</v>
      </c>
      <c r="K531">
        <v>0.0055841984957019294</v>
      </c>
      <c r="L531" t="s">
        <v>153</v>
      </c>
      <c r="N531" t="s">
        <v>179</v>
      </c>
      <c r="O531" t="s">
        <v>278</v>
      </c>
      <c r="P531">
        <v>0.0051530370473798432</v>
      </c>
      <c r="Q531" t="s">
        <v>153</v>
      </c>
    </row>
    <row r="532" spans="9:17" ht="14.25">
      <c r="I532" t="s">
        <v>169</v>
      </c>
      <c r="J532" t="s">
        <v>279</v>
      </c>
      <c r="K532">
        <v>0.0021359380205382499</v>
      </c>
      <c r="L532" t="s">
        <v>153</v>
      </c>
      <c r="N532" t="s">
        <v>179</v>
      </c>
      <c r="O532" t="s">
        <v>279</v>
      </c>
      <c r="P532">
        <v>0.021079022987960053</v>
      </c>
      <c r="Q532" t="s">
        <v>153</v>
      </c>
    </row>
    <row r="533" spans="9:17" ht="14.25">
      <c r="I533" t="s">
        <v>169</v>
      </c>
      <c r="J533" t="s">
        <v>280</v>
      </c>
      <c r="K533">
        <v>0.0032763165282934537</v>
      </c>
      <c r="L533" t="s">
        <v>153</v>
      </c>
      <c r="N533" t="s">
        <v>179</v>
      </c>
      <c r="O533" t="s">
        <v>280</v>
      </c>
      <c r="P533">
        <v>0.030797828941416819</v>
      </c>
      <c r="Q533" t="s">
        <v>153</v>
      </c>
    </row>
    <row r="534" spans="9:17" ht="14.25">
      <c r="I534" t="s">
        <v>169</v>
      </c>
      <c r="J534" t="s">
        <v>281</v>
      </c>
      <c r="K534">
        <v>0.0084536148513588184</v>
      </c>
      <c r="L534" t="s">
        <v>153</v>
      </c>
      <c r="N534" t="s">
        <v>179</v>
      </c>
      <c r="O534" t="s">
        <v>281</v>
      </c>
      <c r="P534">
        <v>0.0047272427539544011</v>
      </c>
      <c r="Q534" t="s">
        <v>153</v>
      </c>
    </row>
    <row r="535" spans="9:17" ht="14.25">
      <c r="I535" t="s">
        <v>169</v>
      </c>
      <c r="J535" t="s">
        <v>282</v>
      </c>
      <c r="K535">
        <v>0.119174884213692</v>
      </c>
      <c r="L535" t="s">
        <v>153</v>
      </c>
      <c r="N535" t="s">
        <v>179</v>
      </c>
      <c r="O535" t="s">
        <v>282</v>
      </c>
      <c r="P535">
        <v>0.033324264804015173</v>
      </c>
      <c r="Q535" t="s">
        <v>153</v>
      </c>
    </row>
    <row r="536" spans="9:17" ht="14.25">
      <c r="I536" t="s">
        <v>169</v>
      </c>
      <c r="J536" t="s">
        <v>283</v>
      </c>
      <c r="K536">
        <v>0.010386556141486324</v>
      </c>
      <c r="L536" t="s">
        <v>153</v>
      </c>
      <c r="N536" t="s">
        <v>179</v>
      </c>
      <c r="O536" t="s">
        <v>283</v>
      </c>
      <c r="P536">
        <v>0.0054113851031279371</v>
      </c>
      <c r="Q536" t="s">
        <v>153</v>
      </c>
    </row>
    <row r="537" spans="9:17" ht="14.25">
      <c r="I537" t="s">
        <v>169</v>
      </c>
      <c r="J537" t="s">
        <v>284</v>
      </c>
      <c r="K537">
        <v>0.006246230804669713</v>
      </c>
      <c r="L537" t="s">
        <v>153</v>
      </c>
      <c r="N537" t="s">
        <v>179</v>
      </c>
      <c r="O537" t="s">
        <v>284</v>
      </c>
      <c r="P537">
        <v>0.0058682336115682236</v>
      </c>
      <c r="Q537" t="s">
        <v>153</v>
      </c>
    </row>
    <row r="538" spans="9:17" ht="14.25">
      <c r="I538" t="s">
        <v>169</v>
      </c>
      <c r="J538" t="s">
        <v>285</v>
      </c>
      <c r="K538">
        <v>0.0013030292548018513</v>
      </c>
      <c r="L538" t="s">
        <v>153</v>
      </c>
      <c r="N538" t="s">
        <v>179</v>
      </c>
      <c r="O538" t="s">
        <v>285</v>
      </c>
      <c r="P538">
        <v>0.02532012861003928</v>
      </c>
      <c r="Q538" t="s">
        <v>153</v>
      </c>
    </row>
    <row r="539" spans="9:17" ht="14.25">
      <c r="I539" t="s">
        <v>169</v>
      </c>
      <c r="J539" t="s">
        <v>286</v>
      </c>
      <c r="K539">
        <v>0.0022736955652811024</v>
      </c>
      <c r="L539" t="s">
        <v>153</v>
      </c>
      <c r="N539" t="s">
        <v>179</v>
      </c>
      <c r="O539" t="s">
        <v>286</v>
      </c>
      <c r="P539">
        <v>0.027871161839805588</v>
      </c>
      <c r="Q539" t="s">
        <v>153</v>
      </c>
    </row>
    <row r="540" spans="9:17" ht="14.25">
      <c r="I540" t="s">
        <v>169</v>
      </c>
      <c r="J540" t="s">
        <v>287</v>
      </c>
      <c r="K540">
        <v>0.012523635981687712</v>
      </c>
      <c r="L540" t="s">
        <v>153</v>
      </c>
      <c r="N540" t="s">
        <v>179</v>
      </c>
      <c r="O540" t="s">
        <v>287</v>
      </c>
      <c r="P540">
        <v>0.0034592275623801863</v>
      </c>
      <c r="Q540" t="s">
        <v>153</v>
      </c>
    </row>
    <row r="541" spans="9:17" ht="14.25">
      <c r="I541" t="s">
        <v>169</v>
      </c>
      <c r="J541" t="s">
        <v>288</v>
      </c>
      <c r="K541">
        <v>0.17004105853850818</v>
      </c>
      <c r="L541" t="s">
        <v>153</v>
      </c>
      <c r="N541" t="s">
        <v>179</v>
      </c>
      <c r="O541" t="s">
        <v>288</v>
      </c>
      <c r="P541">
        <v>0.054698236027082056</v>
      </c>
      <c r="Q541" t="s">
        <v>153</v>
      </c>
    </row>
    <row r="542" spans="9:17" ht="14.25">
      <c r="I542" t="s">
        <v>169</v>
      </c>
      <c r="J542" t="s">
        <v>289</v>
      </c>
      <c r="K542">
        <v>0.014335060016556114</v>
      </c>
      <c r="L542" t="s">
        <v>153</v>
      </c>
      <c r="N542" t="s">
        <v>179</v>
      </c>
      <c r="O542" t="s">
        <v>289</v>
      </c>
      <c r="P542">
        <v>0.01086726322059688</v>
      </c>
      <c r="Q542" t="s">
        <v>153</v>
      </c>
    </row>
    <row r="543" spans="9:17" ht="14.25">
      <c r="I543" t="s">
        <v>169</v>
      </c>
      <c r="J543" t="s">
        <v>290</v>
      </c>
      <c r="K543">
        <v>0.0038760726906151366</v>
      </c>
      <c r="L543" t="s">
        <v>153</v>
      </c>
      <c r="N543" t="s">
        <v>179</v>
      </c>
      <c r="O543" t="s">
        <v>290</v>
      </c>
      <c r="P543">
        <v>0.011156663278562051</v>
      </c>
      <c r="Q543" t="s">
        <v>153</v>
      </c>
    </row>
    <row r="544" spans="9:17" ht="14.25">
      <c r="I544" t="s">
        <v>169</v>
      </c>
      <c r="J544" t="s">
        <v>291</v>
      </c>
      <c r="K544">
        <v>0</v>
      </c>
      <c r="L544" t="s">
        <v>153</v>
      </c>
      <c r="N544" t="s">
        <v>179</v>
      </c>
      <c r="O544" t="s">
        <v>291</v>
      </c>
      <c r="P544">
        <v>0.036103024362226274</v>
      </c>
      <c r="Q544" t="s">
        <v>153</v>
      </c>
    </row>
    <row r="545" spans="9:17" ht="14.25">
      <c r="I545" t="s">
        <v>169</v>
      </c>
      <c r="J545" t="s">
        <v>292</v>
      </c>
      <c r="K545">
        <v>0</v>
      </c>
      <c r="L545" t="s">
        <v>153</v>
      </c>
      <c r="N545" t="s">
        <v>179</v>
      </c>
      <c r="O545" t="s">
        <v>292</v>
      </c>
      <c r="P545">
        <v>0.019209822711270346</v>
      </c>
      <c r="Q545" t="s">
        <v>153</v>
      </c>
    </row>
    <row r="546" spans="9:17" ht="14.25">
      <c r="I546" t="s">
        <v>169</v>
      </c>
      <c r="J546" t="s">
        <v>293</v>
      </c>
      <c r="K546">
        <v>0.0021680255629464634</v>
      </c>
      <c r="L546" t="s">
        <v>153</v>
      </c>
      <c r="N546" t="s">
        <v>179</v>
      </c>
      <c r="O546" t="s">
        <v>293</v>
      </c>
      <c r="P546">
        <v>0.0025585274453864678</v>
      </c>
      <c r="Q546" t="s">
        <v>153</v>
      </c>
    </row>
    <row r="547" spans="9:17" ht="14.25">
      <c r="I547" t="s">
        <v>169</v>
      </c>
      <c r="J547" t="s">
        <v>294</v>
      </c>
      <c r="K547">
        <v>0.035996218821417784</v>
      </c>
      <c r="L547" t="s">
        <v>153</v>
      </c>
      <c r="N547" t="s">
        <v>179</v>
      </c>
      <c r="O547" t="s">
        <v>294</v>
      </c>
      <c r="P547">
        <v>0.029003068148051574</v>
      </c>
      <c r="Q547" t="s">
        <v>153</v>
      </c>
    </row>
    <row r="548" spans="9:17" ht="14.25">
      <c r="I548" t="s">
        <v>169</v>
      </c>
      <c r="J548" t="s">
        <v>295</v>
      </c>
      <c r="K548">
        <v>0.0031774705891593701</v>
      </c>
      <c r="L548" t="s">
        <v>153</v>
      </c>
      <c r="N548" t="s">
        <v>179</v>
      </c>
      <c r="O548" t="s">
        <v>295</v>
      </c>
      <c r="P548">
        <v>0.0041176096005537607</v>
      </c>
      <c r="Q548" t="s">
        <v>153</v>
      </c>
    </row>
    <row r="549" spans="9:17" ht="14.25">
      <c r="I549" t="s">
        <v>169</v>
      </c>
      <c r="J549" t="s">
        <v>296</v>
      </c>
      <c r="K549">
        <v>0.00069739412202814328</v>
      </c>
      <c r="L549" t="s">
        <v>153</v>
      </c>
      <c r="N549" t="s">
        <v>179</v>
      </c>
      <c r="O549" t="s">
        <v>296</v>
      </c>
      <c r="P549">
        <v>0.0042750216831058396</v>
      </c>
      <c r="Q549" t="s">
        <v>153</v>
      </c>
    </row>
    <row r="550" spans="9:17" ht="14.25">
      <c r="I550" t="s">
        <v>169</v>
      </c>
      <c r="J550" t="s">
        <v>297</v>
      </c>
      <c r="K550">
        <v>0</v>
      </c>
      <c r="L550" t="s">
        <v>153</v>
      </c>
      <c r="N550" t="s">
        <v>179</v>
      </c>
      <c r="O550" t="s">
        <v>297</v>
      </c>
      <c r="P550">
        <v>0.020329900575355761</v>
      </c>
      <c r="Q550" t="s">
        <v>153</v>
      </c>
    </row>
    <row r="551" spans="9:17" ht="14.25">
      <c r="I551" t="s">
        <v>170</v>
      </c>
      <c r="J551" t="s">
        <v>152</v>
      </c>
      <c r="K551">
        <v>0</v>
      </c>
      <c r="L551" t="s">
        <v>153</v>
      </c>
      <c r="N551" t="s">
        <v>180</v>
      </c>
      <c r="O551" t="s">
        <v>152</v>
      </c>
      <c r="P551">
        <v>0.0024341889572584655</v>
      </c>
      <c r="Q551" t="s">
        <v>153</v>
      </c>
    </row>
    <row r="552" spans="9:17" ht="14.25">
      <c r="I552" t="s">
        <v>170</v>
      </c>
      <c r="J552" t="s">
        <v>154</v>
      </c>
      <c r="K552">
        <v>0.00069953577886947102</v>
      </c>
      <c r="L552" t="s">
        <v>153</v>
      </c>
      <c r="N552" t="s">
        <v>180</v>
      </c>
      <c r="O552" t="s">
        <v>154</v>
      </c>
      <c r="P552">
        <v>0.00013479464698621597</v>
      </c>
      <c r="Q552" t="s">
        <v>153</v>
      </c>
    </row>
    <row r="553" spans="9:17" ht="14.25">
      <c r="I553" t="s">
        <v>170</v>
      </c>
      <c r="J553" t="s">
        <v>155</v>
      </c>
      <c r="K553">
        <v>0.012701940688237446</v>
      </c>
      <c r="L553" t="s">
        <v>153</v>
      </c>
      <c r="N553" t="s">
        <v>180</v>
      </c>
      <c r="O553" t="s">
        <v>155</v>
      </c>
      <c r="P553">
        <v>0.0018637299017243199</v>
      </c>
      <c r="Q553" t="s">
        <v>153</v>
      </c>
    </row>
    <row r="554" spans="9:17" ht="14.25">
      <c r="I554" t="s">
        <v>170</v>
      </c>
      <c r="J554" t="s">
        <v>200</v>
      </c>
      <c r="K554">
        <v>0.001174170200688882</v>
      </c>
      <c r="L554" t="s">
        <v>153</v>
      </c>
      <c r="N554" t="s">
        <v>180</v>
      </c>
      <c r="O554" t="s">
        <v>200</v>
      </c>
      <c r="P554">
        <v>0.00054534697769360472</v>
      </c>
      <c r="Q554" t="s">
        <v>153</v>
      </c>
    </row>
    <row r="555" spans="9:17" ht="14.25">
      <c r="I555" t="s">
        <v>170</v>
      </c>
      <c r="J555" t="s">
        <v>201</v>
      </c>
      <c r="K555">
        <v>0.00067289375207510416</v>
      </c>
      <c r="L555" t="s">
        <v>153</v>
      </c>
      <c r="N555" t="s">
        <v>180</v>
      </c>
      <c r="O555" t="s">
        <v>201</v>
      </c>
      <c r="P555">
        <v>0.00064931512044118862</v>
      </c>
      <c r="Q555" t="s">
        <v>153</v>
      </c>
    </row>
    <row r="556" spans="9:17" ht="14.25">
      <c r="I556" t="s">
        <v>170</v>
      </c>
      <c r="J556" t="s">
        <v>218</v>
      </c>
      <c r="K556">
        <v>0</v>
      </c>
      <c r="L556" t="s">
        <v>153</v>
      </c>
      <c r="N556" t="s">
        <v>180</v>
      </c>
      <c r="O556" t="s">
        <v>218</v>
      </c>
      <c r="P556">
        <v>0.0029906320587480494</v>
      </c>
      <c r="Q556" t="s">
        <v>153</v>
      </c>
    </row>
    <row r="557" spans="9:17" ht="14.25">
      <c r="I557" t="s">
        <v>170</v>
      </c>
      <c r="J557" t="s">
        <v>156</v>
      </c>
      <c r="K557">
        <v>0</v>
      </c>
      <c r="L557" t="s">
        <v>153</v>
      </c>
      <c r="N557" t="s">
        <v>180</v>
      </c>
      <c r="O557" t="s">
        <v>156</v>
      </c>
      <c r="P557">
        <v>0.037348791313097991</v>
      </c>
      <c r="Q557" t="s">
        <v>153</v>
      </c>
    </row>
    <row r="558" spans="9:17" ht="14.25">
      <c r="I558" t="s">
        <v>170</v>
      </c>
      <c r="J558" t="s">
        <v>157</v>
      </c>
      <c r="K558">
        <v>0.0031593937683792226</v>
      </c>
      <c r="L558" t="s">
        <v>153</v>
      </c>
      <c r="N558" t="s">
        <v>180</v>
      </c>
      <c r="O558" t="s">
        <v>157</v>
      </c>
      <c r="P558">
        <v>0.006158618667623213</v>
      </c>
      <c r="Q558" t="s">
        <v>153</v>
      </c>
    </row>
    <row r="559" spans="9:17" ht="14.25">
      <c r="I559" t="s">
        <v>170</v>
      </c>
      <c r="J559" t="s">
        <v>158</v>
      </c>
      <c r="K559">
        <v>0.059903329416107369</v>
      </c>
      <c r="L559" t="s">
        <v>153</v>
      </c>
      <c r="N559" t="s">
        <v>180</v>
      </c>
      <c r="O559" t="s">
        <v>158</v>
      </c>
      <c r="P559">
        <v>0.049371454967233143</v>
      </c>
      <c r="Q559" t="s">
        <v>153</v>
      </c>
    </row>
    <row r="560" spans="9:17" ht="14.25">
      <c r="I560" t="s">
        <v>170</v>
      </c>
      <c r="J560" t="s">
        <v>202</v>
      </c>
      <c r="K560">
        <v>0.0057074274092402781</v>
      </c>
      <c r="L560" t="s">
        <v>153</v>
      </c>
      <c r="N560" t="s">
        <v>180</v>
      </c>
      <c r="O560" t="s">
        <v>202</v>
      </c>
      <c r="P560">
        <v>0.0047789199462005853</v>
      </c>
      <c r="Q560" t="s">
        <v>153</v>
      </c>
    </row>
    <row r="561" spans="9:17" ht="14.25">
      <c r="I561" t="s">
        <v>170</v>
      </c>
      <c r="J561" t="s">
        <v>203</v>
      </c>
      <c r="K561">
        <v>0.0032380724011287698</v>
      </c>
      <c r="L561" t="s">
        <v>153</v>
      </c>
      <c r="N561" t="s">
        <v>180</v>
      </c>
      <c r="O561" t="s">
        <v>203</v>
      </c>
      <c r="P561">
        <v>0.0049395770373173919</v>
      </c>
      <c r="Q561" t="s">
        <v>153</v>
      </c>
    </row>
    <row r="562" spans="9:17" ht="14.25">
      <c r="I562" t="s">
        <v>170</v>
      </c>
      <c r="J562" t="s">
        <v>219</v>
      </c>
      <c r="K562">
        <v>0</v>
      </c>
      <c r="L562" t="s">
        <v>153</v>
      </c>
      <c r="N562" t="s">
        <v>180</v>
      </c>
      <c r="O562" t="s">
        <v>219</v>
      </c>
      <c r="P562">
        <v>0.028751947616215846</v>
      </c>
      <c r="Q562" t="s">
        <v>153</v>
      </c>
    </row>
    <row r="563" spans="9:17" ht="14.25">
      <c r="I563" t="s">
        <v>170</v>
      </c>
      <c r="J563" t="s">
        <v>159</v>
      </c>
      <c r="K563">
        <v>0</v>
      </c>
      <c r="L563" t="s">
        <v>153</v>
      </c>
      <c r="N563" t="s">
        <v>180</v>
      </c>
      <c r="O563" t="s">
        <v>159</v>
      </c>
      <c r="P563">
        <v>0.0081830745461247793</v>
      </c>
      <c r="Q563" t="s">
        <v>153</v>
      </c>
    </row>
    <row r="564" spans="9:17" ht="14.25">
      <c r="I564" t="s">
        <v>170</v>
      </c>
      <c r="J564" t="s">
        <v>160</v>
      </c>
      <c r="K564">
        <v>0.0024711804279078371</v>
      </c>
      <c r="L564" t="s">
        <v>153</v>
      </c>
      <c r="N564" t="s">
        <v>180</v>
      </c>
      <c r="O564" t="s">
        <v>160</v>
      </c>
      <c r="P564">
        <v>0.0012328446987617506</v>
      </c>
      <c r="Q564" t="s">
        <v>153</v>
      </c>
    </row>
    <row r="565" spans="9:17" ht="14.25">
      <c r="I565" t="s">
        <v>170</v>
      </c>
      <c r="J565" t="s">
        <v>161</v>
      </c>
      <c r="K565">
        <v>0.042003254595831201</v>
      </c>
      <c r="L565" t="s">
        <v>153</v>
      </c>
      <c r="N565" t="s">
        <v>180</v>
      </c>
      <c r="O565" t="s">
        <v>161</v>
      </c>
      <c r="P565">
        <v>0.011530921195213897</v>
      </c>
      <c r="Q565" t="s">
        <v>153</v>
      </c>
    </row>
    <row r="566" spans="9:17" ht="14.25">
      <c r="I566" t="s">
        <v>170</v>
      </c>
      <c r="J566" t="s">
        <v>204</v>
      </c>
      <c r="K566">
        <v>0.0043359195943010968</v>
      </c>
      <c r="L566" t="s">
        <v>153</v>
      </c>
      <c r="N566" t="s">
        <v>180</v>
      </c>
      <c r="O566" t="s">
        <v>204</v>
      </c>
      <c r="P566">
        <v>0.00177284498587993</v>
      </c>
      <c r="Q566" t="s">
        <v>153</v>
      </c>
    </row>
    <row r="567" spans="9:17" ht="14.25">
      <c r="I567" t="s">
        <v>170</v>
      </c>
      <c r="J567" t="s">
        <v>205</v>
      </c>
      <c r="K567">
        <v>0.0026923233571026417</v>
      </c>
      <c r="L567" t="s">
        <v>153</v>
      </c>
      <c r="N567" t="s">
        <v>180</v>
      </c>
      <c r="O567" t="s">
        <v>205</v>
      </c>
      <c r="P567">
        <v>0.0022587077641242998</v>
      </c>
      <c r="Q567" t="s">
        <v>153</v>
      </c>
    </row>
    <row r="568" spans="9:17" ht="14.25">
      <c r="I568" t="s">
        <v>170</v>
      </c>
      <c r="J568" t="s">
        <v>220</v>
      </c>
      <c r="K568">
        <v>0</v>
      </c>
      <c r="L568" t="s">
        <v>153</v>
      </c>
      <c r="N568" t="s">
        <v>180</v>
      </c>
      <c r="O568" t="s">
        <v>220</v>
      </c>
      <c r="P568">
        <v>0.011082281015684554</v>
      </c>
      <c r="Q568" t="s">
        <v>153</v>
      </c>
    </row>
    <row r="569" spans="9:17" ht="14.25">
      <c r="I569" t="s">
        <v>170</v>
      </c>
      <c r="J569" t="s">
        <v>162</v>
      </c>
      <c r="K569">
        <v>0</v>
      </c>
      <c r="L569" t="s">
        <v>153</v>
      </c>
      <c r="N569" t="s">
        <v>180</v>
      </c>
      <c r="O569" t="s">
        <v>162</v>
      </c>
      <c r="P569">
        <v>0.0070784285260270131</v>
      </c>
      <c r="Q569" t="s">
        <v>153</v>
      </c>
    </row>
    <row r="570" spans="9:17" ht="14.25">
      <c r="I570" t="s">
        <v>170</v>
      </c>
      <c r="J570" t="s">
        <v>163</v>
      </c>
      <c r="K570">
        <v>0.0016433541981119265</v>
      </c>
      <c r="L570" t="s">
        <v>153</v>
      </c>
      <c r="N570" t="s">
        <v>180</v>
      </c>
      <c r="O570" t="s">
        <v>163</v>
      </c>
      <c r="P570">
        <v>0.001312447776666193</v>
      </c>
      <c r="Q570" t="s">
        <v>153</v>
      </c>
    </row>
    <row r="571" spans="9:17" ht="14.25">
      <c r="I571" t="s">
        <v>170</v>
      </c>
      <c r="J571" t="s">
        <v>164</v>
      </c>
      <c r="K571">
        <v>0.026812244282248755</v>
      </c>
      <c r="L571" t="s">
        <v>153</v>
      </c>
      <c r="N571" t="s">
        <v>180</v>
      </c>
      <c r="O571" t="s">
        <v>164</v>
      </c>
      <c r="P571">
        <v>0.0070146023848504328</v>
      </c>
      <c r="Q571" t="s">
        <v>153</v>
      </c>
    </row>
    <row r="572" spans="9:17" ht="14.25">
      <c r="I572" t="s">
        <v>170</v>
      </c>
      <c r="J572" t="s">
        <v>206</v>
      </c>
      <c r="K572">
        <v>0.0028312496711256018</v>
      </c>
      <c r="L572" t="s">
        <v>153</v>
      </c>
      <c r="N572" t="s">
        <v>180</v>
      </c>
      <c r="O572" t="s">
        <v>206</v>
      </c>
      <c r="P572">
        <v>0.0013319703723254058</v>
      </c>
      <c r="Q572" t="s">
        <v>153</v>
      </c>
    </row>
    <row r="573" spans="9:17" ht="14.25">
      <c r="I573" t="s">
        <v>170</v>
      </c>
      <c r="J573" t="s">
        <v>207</v>
      </c>
      <c r="K573">
        <v>0.0017908647582522814</v>
      </c>
      <c r="L573" t="s">
        <v>153</v>
      </c>
      <c r="N573" t="s">
        <v>180</v>
      </c>
      <c r="O573" t="s">
        <v>207</v>
      </c>
      <c r="P573">
        <v>0.0018128961046024556</v>
      </c>
      <c r="Q573" t="s">
        <v>153</v>
      </c>
    </row>
    <row r="574" spans="9:17" ht="14.25">
      <c r="I574" t="s">
        <v>170</v>
      </c>
      <c r="J574" t="s">
        <v>221</v>
      </c>
      <c r="K574">
        <v>0</v>
      </c>
      <c r="L574" t="s">
        <v>153</v>
      </c>
      <c r="N574" t="s">
        <v>180</v>
      </c>
      <c r="O574" t="s">
        <v>221</v>
      </c>
      <c r="P574">
        <v>0.0094152695580251439</v>
      </c>
      <c r="Q574" t="s">
        <v>153</v>
      </c>
    </row>
    <row r="575" spans="9:17" ht="14.25">
      <c r="I575" t="s">
        <v>170</v>
      </c>
      <c r="J575" t="s">
        <v>208</v>
      </c>
      <c r="K575">
        <v>0.00012099843009390007</v>
      </c>
      <c r="L575" t="s">
        <v>153</v>
      </c>
      <c r="N575" t="s">
        <v>180</v>
      </c>
      <c r="O575" t="s">
        <v>208</v>
      </c>
      <c r="P575">
        <v>0.011451596308049709</v>
      </c>
      <c r="Q575" t="s">
        <v>153</v>
      </c>
    </row>
    <row r="576" spans="9:17" ht="14.25">
      <c r="I576" t="s">
        <v>170</v>
      </c>
      <c r="J576" t="s">
        <v>209</v>
      </c>
      <c r="K576">
        <v>0.0026705921881479424</v>
      </c>
      <c r="L576" t="s">
        <v>153</v>
      </c>
      <c r="N576" t="s">
        <v>180</v>
      </c>
      <c r="O576" t="s">
        <v>209</v>
      </c>
      <c r="P576">
        <v>0.0027973211403674375</v>
      </c>
      <c r="Q576" t="s">
        <v>153</v>
      </c>
    </row>
    <row r="577" spans="9:17" ht="14.25">
      <c r="I577" t="s">
        <v>170</v>
      </c>
      <c r="J577" t="s">
        <v>210</v>
      </c>
      <c r="K577">
        <v>0.036730525893886028</v>
      </c>
      <c r="L577" t="s">
        <v>153</v>
      </c>
      <c r="N577" t="s">
        <v>180</v>
      </c>
      <c r="O577" t="s">
        <v>210</v>
      </c>
      <c r="P577">
        <v>0.01711154097226605</v>
      </c>
      <c r="Q577" t="s">
        <v>153</v>
      </c>
    </row>
    <row r="578" spans="9:17" ht="14.25">
      <c r="I578" t="s">
        <v>170</v>
      </c>
      <c r="J578" t="s">
        <v>211</v>
      </c>
      <c r="K578">
        <v>0.0035855669152330028</v>
      </c>
      <c r="L578" t="s">
        <v>153</v>
      </c>
      <c r="N578" t="s">
        <v>180</v>
      </c>
      <c r="O578" t="s">
        <v>211</v>
      </c>
      <c r="P578">
        <v>0.0019737574926725538</v>
      </c>
      <c r="Q578" t="s">
        <v>153</v>
      </c>
    </row>
    <row r="579" spans="9:17" ht="14.25">
      <c r="I579" t="s">
        <v>170</v>
      </c>
      <c r="J579" t="s">
        <v>212</v>
      </c>
      <c r="K579">
        <v>0.0022622790366038613</v>
      </c>
      <c r="L579" t="s">
        <v>153</v>
      </c>
      <c r="N579" t="s">
        <v>180</v>
      </c>
      <c r="O579" t="s">
        <v>212</v>
      </c>
      <c r="P579">
        <v>0.0023940072000831194</v>
      </c>
      <c r="Q579" t="s">
        <v>153</v>
      </c>
    </row>
    <row r="580" spans="9:17" ht="14.25">
      <c r="I580" t="s">
        <v>170</v>
      </c>
      <c r="J580" t="s">
        <v>222</v>
      </c>
      <c r="K580">
        <v>0</v>
      </c>
      <c r="L580" t="s">
        <v>153</v>
      </c>
      <c r="N580" t="s">
        <v>180</v>
      </c>
      <c r="O580" t="s">
        <v>222</v>
      </c>
      <c r="P580">
        <v>0.013097545985629181</v>
      </c>
      <c r="Q580" t="s">
        <v>153</v>
      </c>
    </row>
    <row r="581" spans="9:17" ht="14.25">
      <c r="I581" t="s">
        <v>170</v>
      </c>
      <c r="J581" t="s">
        <v>223</v>
      </c>
      <c r="K581">
        <v>0.00026552913982969456</v>
      </c>
      <c r="L581" t="s">
        <v>153</v>
      </c>
      <c r="N581" t="s">
        <v>180</v>
      </c>
      <c r="O581" t="s">
        <v>223</v>
      </c>
      <c r="P581">
        <v>0.0027970916467950362</v>
      </c>
      <c r="Q581" t="s">
        <v>153</v>
      </c>
    </row>
    <row r="582" spans="9:17" ht="14.25">
      <c r="I582" t="s">
        <v>170</v>
      </c>
      <c r="J582" t="s">
        <v>224</v>
      </c>
      <c r="K582">
        <v>0.00054429185035477653</v>
      </c>
      <c r="L582" t="s">
        <v>153</v>
      </c>
      <c r="N582" t="s">
        <v>180</v>
      </c>
      <c r="O582" t="s">
        <v>224</v>
      </c>
      <c r="P582">
        <v>0.0006503749991947674</v>
      </c>
      <c r="Q582" t="s">
        <v>153</v>
      </c>
    </row>
    <row r="583" spans="9:17" ht="14.25">
      <c r="I583" t="s">
        <v>170</v>
      </c>
      <c r="J583" t="s">
        <v>225</v>
      </c>
      <c r="K583">
        <v>0.0093801671776526617</v>
      </c>
      <c r="L583" t="s">
        <v>153</v>
      </c>
      <c r="N583" t="s">
        <v>180</v>
      </c>
      <c r="O583" t="s">
        <v>225</v>
      </c>
      <c r="P583">
        <v>0.0076889876602803204</v>
      </c>
      <c r="Q583" t="s">
        <v>153</v>
      </c>
    </row>
    <row r="584" spans="9:17" ht="14.25">
      <c r="I584" t="s">
        <v>170</v>
      </c>
      <c r="J584" t="s">
        <v>226</v>
      </c>
      <c r="K584">
        <v>0.00075649284177857273</v>
      </c>
      <c r="L584" t="s">
        <v>153</v>
      </c>
      <c r="N584" t="s">
        <v>180</v>
      </c>
      <c r="O584" t="s">
        <v>226</v>
      </c>
      <c r="P584">
        <v>0.0011924066798385919</v>
      </c>
      <c r="Q584" t="s">
        <v>153</v>
      </c>
    </row>
    <row r="585" spans="9:17" ht="14.25">
      <c r="I585" t="s">
        <v>170</v>
      </c>
      <c r="J585" t="s">
        <v>227</v>
      </c>
      <c r="K585">
        <v>0.00044359452716889768</v>
      </c>
      <c r="L585" t="s">
        <v>153</v>
      </c>
      <c r="N585" t="s">
        <v>180</v>
      </c>
      <c r="O585" t="s">
        <v>227</v>
      </c>
      <c r="P585">
        <v>0.0011940196042577655</v>
      </c>
      <c r="Q585" t="s">
        <v>153</v>
      </c>
    </row>
    <row r="586" spans="9:17" ht="14.25">
      <c r="I586" t="s">
        <v>170</v>
      </c>
      <c r="J586" t="s">
        <v>228</v>
      </c>
      <c r="K586">
        <v>0</v>
      </c>
      <c r="L586" t="s">
        <v>153</v>
      </c>
      <c r="N586" t="s">
        <v>180</v>
      </c>
      <c r="O586" t="s">
        <v>228</v>
      </c>
      <c r="P586">
        <v>0.0028353380905989331</v>
      </c>
      <c r="Q586" t="s">
        <v>153</v>
      </c>
    </row>
    <row r="587" spans="9:17" ht="14.25">
      <c r="I587" t="s">
        <v>170</v>
      </c>
      <c r="J587" t="s">
        <v>235</v>
      </c>
      <c r="K587">
        <v>0.0029919623143439475</v>
      </c>
      <c r="L587" t="s">
        <v>153</v>
      </c>
      <c r="N587" t="s">
        <v>180</v>
      </c>
      <c r="O587" t="s">
        <v>235</v>
      </c>
      <c r="P587">
        <v>0.015951180029323442</v>
      </c>
      <c r="Q587" t="s">
        <v>153</v>
      </c>
    </row>
    <row r="588" spans="9:17" ht="14.25">
      <c r="I588" t="s">
        <v>170</v>
      </c>
      <c r="J588" t="s">
        <v>236</v>
      </c>
      <c r="K588">
        <v>0.0060249398464448352</v>
      </c>
      <c r="L588" t="s">
        <v>153</v>
      </c>
      <c r="N588" t="s">
        <v>180</v>
      </c>
      <c r="O588" t="s">
        <v>236</v>
      </c>
      <c r="P588">
        <v>0.0027657014187642448</v>
      </c>
      <c r="Q588" t="s">
        <v>153</v>
      </c>
    </row>
    <row r="589" spans="9:17" ht="14.25">
      <c r="I589" t="s">
        <v>170</v>
      </c>
      <c r="J589" t="s">
        <v>237</v>
      </c>
      <c r="K589">
        <v>0.069558304942016064</v>
      </c>
      <c r="L589" t="s">
        <v>153</v>
      </c>
      <c r="N589" t="s">
        <v>180</v>
      </c>
      <c r="O589" t="s">
        <v>237</v>
      </c>
      <c r="P589">
        <v>0.024600997430888751</v>
      </c>
      <c r="Q589" t="s">
        <v>153</v>
      </c>
    </row>
    <row r="590" spans="9:17" ht="14.25">
      <c r="I590" t="s">
        <v>170</v>
      </c>
      <c r="J590" t="s">
        <v>238</v>
      </c>
      <c r="K590">
        <v>0.0066740136719710399</v>
      </c>
      <c r="L590" t="s">
        <v>153</v>
      </c>
      <c r="N590" t="s">
        <v>180</v>
      </c>
      <c r="O590" t="s">
        <v>238</v>
      </c>
      <c r="P590">
        <v>0.004729482587954679</v>
      </c>
      <c r="Q590" t="s">
        <v>153</v>
      </c>
    </row>
    <row r="591" spans="9:17" ht="14.25">
      <c r="I591" t="s">
        <v>170</v>
      </c>
      <c r="J591" t="s">
        <v>239</v>
      </c>
      <c r="K591">
        <v>0.0045305464650782796</v>
      </c>
      <c r="L591" t="s">
        <v>153</v>
      </c>
      <c r="N591" t="s">
        <v>180</v>
      </c>
      <c r="O591" t="s">
        <v>239</v>
      </c>
      <c r="P591">
        <v>0.0051160790285333744</v>
      </c>
      <c r="Q591" t="s">
        <v>153</v>
      </c>
    </row>
    <row r="592" spans="9:17" ht="14.25">
      <c r="I592" t="s">
        <v>170</v>
      </c>
      <c r="J592" t="s">
        <v>240</v>
      </c>
      <c r="K592">
        <v>0.0010267472854962186</v>
      </c>
      <c r="L592" t="s">
        <v>153</v>
      </c>
      <c r="N592" t="s">
        <v>180</v>
      </c>
      <c r="O592" t="s">
        <v>240</v>
      </c>
      <c r="P592">
        <v>0.018648603555634753</v>
      </c>
      <c r="Q592" t="s">
        <v>153</v>
      </c>
    </row>
    <row r="593" spans="9:17" ht="14.25">
      <c r="I593" t="s">
        <v>170</v>
      </c>
      <c r="J593" t="s">
        <v>241</v>
      </c>
      <c r="K593">
        <v>0.0027256950426428894</v>
      </c>
      <c r="L593" t="s">
        <v>153</v>
      </c>
      <c r="N593" t="s">
        <v>180</v>
      </c>
      <c r="O593" t="s">
        <v>241</v>
      </c>
      <c r="P593">
        <v>0.008591697455862168</v>
      </c>
      <c r="Q593" t="s">
        <v>153</v>
      </c>
    </row>
    <row r="594" spans="9:17" ht="14.25">
      <c r="I594" t="s">
        <v>170</v>
      </c>
      <c r="J594" t="s">
        <v>242</v>
      </c>
      <c r="K594">
        <v>0.0047696642417777695</v>
      </c>
      <c r="L594" t="s">
        <v>153</v>
      </c>
      <c r="N594" t="s">
        <v>180</v>
      </c>
      <c r="O594" t="s">
        <v>242</v>
      </c>
      <c r="P594">
        <v>0.00080677866571015277</v>
      </c>
      <c r="Q594" t="s">
        <v>153</v>
      </c>
    </row>
    <row r="595" spans="9:17" ht="14.25">
      <c r="I595" t="s">
        <v>170</v>
      </c>
      <c r="J595" t="s">
        <v>243</v>
      </c>
      <c r="K595">
        <v>0.051730815540464867</v>
      </c>
      <c r="L595" t="s">
        <v>153</v>
      </c>
      <c r="N595" t="s">
        <v>180</v>
      </c>
      <c r="O595" t="s">
        <v>243</v>
      </c>
      <c r="P595">
        <v>0.032899601947131034</v>
      </c>
      <c r="Q595" t="s">
        <v>153</v>
      </c>
    </row>
    <row r="596" spans="9:17" ht="14.25">
      <c r="I596" t="s">
        <v>170</v>
      </c>
      <c r="J596" t="s">
        <v>244</v>
      </c>
      <c r="K596">
        <v>0.004411420848815282</v>
      </c>
      <c r="L596" t="s">
        <v>153</v>
      </c>
      <c r="N596" t="s">
        <v>180</v>
      </c>
      <c r="O596" t="s">
        <v>244</v>
      </c>
      <c r="P596">
        <v>0.005430987985998564</v>
      </c>
      <c r="Q596" t="s">
        <v>153</v>
      </c>
    </row>
    <row r="597" spans="9:17" ht="14.25">
      <c r="I597" t="s">
        <v>170</v>
      </c>
      <c r="J597" t="s">
        <v>245</v>
      </c>
      <c r="K597">
        <v>0.0029685191311265408</v>
      </c>
      <c r="L597" t="s">
        <v>153</v>
      </c>
      <c r="N597" t="s">
        <v>180</v>
      </c>
      <c r="O597" t="s">
        <v>245</v>
      </c>
      <c r="P597">
        <v>0.0044276161342943808</v>
      </c>
      <c r="Q597" t="s">
        <v>153</v>
      </c>
    </row>
    <row r="598" spans="9:17" ht="14.25">
      <c r="I598" t="s">
        <v>170</v>
      </c>
      <c r="J598" t="s">
        <v>246</v>
      </c>
      <c r="K598">
        <v>0.0012488656381331473</v>
      </c>
      <c r="L598" t="s">
        <v>153</v>
      </c>
      <c r="N598" t="s">
        <v>180</v>
      </c>
      <c r="O598" t="s">
        <v>246</v>
      </c>
      <c r="P598">
        <v>0.01411772387149242</v>
      </c>
      <c r="Q598" t="s">
        <v>153</v>
      </c>
    </row>
    <row r="599" spans="9:17" ht="14.25">
      <c r="I599" t="s">
        <v>170</v>
      </c>
      <c r="J599" t="s">
        <v>247</v>
      </c>
      <c r="K599">
        <v>0.0024773415511879613</v>
      </c>
      <c r="L599" t="s">
        <v>153</v>
      </c>
      <c r="N599" t="s">
        <v>180</v>
      </c>
      <c r="O599" t="s">
        <v>247</v>
      </c>
      <c r="P599">
        <v>0.018949710713361455</v>
      </c>
      <c r="Q599" t="s">
        <v>153</v>
      </c>
    </row>
    <row r="600" spans="9:17" ht="14.25">
      <c r="I600" t="s">
        <v>170</v>
      </c>
      <c r="J600" t="s">
        <v>248</v>
      </c>
      <c r="K600">
        <v>0.0042420064548844534</v>
      </c>
      <c r="L600" t="s">
        <v>153</v>
      </c>
      <c r="N600" t="s">
        <v>180</v>
      </c>
      <c r="O600" t="s">
        <v>248</v>
      </c>
      <c r="P600">
        <v>0.0029003776209529167</v>
      </c>
      <c r="Q600" t="s">
        <v>153</v>
      </c>
    </row>
    <row r="601" spans="9:17" ht="14.25">
      <c r="I601" t="s">
        <v>170</v>
      </c>
      <c r="J601" t="s">
        <v>249</v>
      </c>
      <c r="K601">
        <v>0.049320703795052712</v>
      </c>
      <c r="L601" t="s">
        <v>153</v>
      </c>
      <c r="N601" t="s">
        <v>180</v>
      </c>
      <c r="O601" t="s">
        <v>249</v>
      </c>
      <c r="P601">
        <v>0.0242362451442691</v>
      </c>
      <c r="Q601" t="s">
        <v>153</v>
      </c>
    </row>
    <row r="602" spans="9:17" ht="14.25">
      <c r="I602" t="s">
        <v>170</v>
      </c>
      <c r="J602" t="s">
        <v>250</v>
      </c>
      <c r="K602">
        <v>0.0046779186662602931</v>
      </c>
      <c r="L602" t="s">
        <v>153</v>
      </c>
      <c r="N602" t="s">
        <v>180</v>
      </c>
      <c r="O602" t="s">
        <v>250</v>
      </c>
      <c r="P602">
        <v>0.0046418375067488905</v>
      </c>
      <c r="Q602" t="s">
        <v>153</v>
      </c>
    </row>
    <row r="603" spans="9:17" ht="14.25">
      <c r="I603" t="s">
        <v>170</v>
      </c>
      <c r="J603" t="s">
        <v>251</v>
      </c>
      <c r="K603">
        <v>0.0033342550322138223</v>
      </c>
      <c r="L603" t="s">
        <v>153</v>
      </c>
      <c r="N603" t="s">
        <v>180</v>
      </c>
      <c r="O603" t="s">
        <v>251</v>
      </c>
      <c r="P603">
        <v>0.0049649199235596636</v>
      </c>
      <c r="Q603" t="s">
        <v>153</v>
      </c>
    </row>
    <row r="604" spans="9:17" ht="14.25">
      <c r="I604" t="s">
        <v>170</v>
      </c>
      <c r="J604" t="s">
        <v>252</v>
      </c>
      <c r="K604">
        <v>0.0013867635924496194</v>
      </c>
      <c r="L604" t="s">
        <v>153</v>
      </c>
      <c r="N604" t="s">
        <v>180</v>
      </c>
      <c r="O604" t="s">
        <v>252</v>
      </c>
      <c r="P604">
        <v>0.017923885706490068</v>
      </c>
      <c r="Q604" t="s">
        <v>153</v>
      </c>
    </row>
    <row r="605" spans="9:17" ht="14.25">
      <c r="I605" t="s">
        <v>170</v>
      </c>
      <c r="J605" t="s">
        <v>262</v>
      </c>
      <c r="K605">
        <v>0.0006210737341878406</v>
      </c>
      <c r="L605" t="s">
        <v>153</v>
      </c>
      <c r="N605" t="s">
        <v>180</v>
      </c>
      <c r="O605" t="s">
        <v>262</v>
      </c>
      <c r="P605">
        <v>0.0073875648543794779</v>
      </c>
      <c r="Q605" t="s">
        <v>153</v>
      </c>
    </row>
    <row r="606" spans="9:17" ht="14.25">
      <c r="I606" t="s">
        <v>170</v>
      </c>
      <c r="J606" t="s">
        <v>263</v>
      </c>
      <c r="K606">
        <v>0.0011334714493988643</v>
      </c>
      <c r="L606" t="s">
        <v>153</v>
      </c>
      <c r="N606" t="s">
        <v>180</v>
      </c>
      <c r="O606" t="s">
        <v>263</v>
      </c>
      <c r="P606">
        <v>0.00071811138406285705</v>
      </c>
      <c r="Q606" t="s">
        <v>153</v>
      </c>
    </row>
    <row r="607" spans="9:17" ht="14.25">
      <c r="I607" t="s">
        <v>170</v>
      </c>
      <c r="J607" t="s">
        <v>264</v>
      </c>
      <c r="K607">
        <v>0.013743360220533397</v>
      </c>
      <c r="L607" t="s">
        <v>153</v>
      </c>
      <c r="N607" t="s">
        <v>180</v>
      </c>
      <c r="O607" t="s">
        <v>264</v>
      </c>
      <c r="P607">
        <v>0.0066030202208578644</v>
      </c>
      <c r="Q607" t="s">
        <v>153</v>
      </c>
    </row>
    <row r="608" spans="9:17" ht="14.25">
      <c r="I608" t="s">
        <v>170</v>
      </c>
      <c r="J608" t="s">
        <v>265</v>
      </c>
      <c r="K608">
        <v>0.0012798445688163855</v>
      </c>
      <c r="L608" t="s">
        <v>153</v>
      </c>
      <c r="N608" t="s">
        <v>180</v>
      </c>
      <c r="O608" t="s">
        <v>265</v>
      </c>
      <c r="P608">
        <v>0.0016160264483540004</v>
      </c>
      <c r="Q608" t="s">
        <v>153</v>
      </c>
    </row>
    <row r="609" spans="9:17" ht="14.25">
      <c r="I609" t="s">
        <v>170</v>
      </c>
      <c r="J609" t="s">
        <v>266</v>
      </c>
      <c r="K609">
        <v>0.00089372576562332575</v>
      </c>
      <c r="L609" t="s">
        <v>153</v>
      </c>
      <c r="N609" t="s">
        <v>180</v>
      </c>
      <c r="O609" t="s">
        <v>266</v>
      </c>
      <c r="P609">
        <v>0.0018925627404179327</v>
      </c>
      <c r="Q609" t="s">
        <v>153</v>
      </c>
    </row>
    <row r="610" spans="9:17" ht="14.25">
      <c r="I610" t="s">
        <v>170</v>
      </c>
      <c r="J610" t="s">
        <v>267</v>
      </c>
      <c r="K610">
        <v>0.00035040891001005204</v>
      </c>
      <c r="L610" t="s">
        <v>153</v>
      </c>
      <c r="N610" t="s">
        <v>180</v>
      </c>
      <c r="O610" t="s">
        <v>267</v>
      </c>
      <c r="P610">
        <v>0.0072443163955836498</v>
      </c>
      <c r="Q610" t="s">
        <v>153</v>
      </c>
    </row>
    <row r="611" spans="9:17" ht="14.25">
      <c r="I611" t="s">
        <v>170</v>
      </c>
      <c r="J611" t="s">
        <v>268</v>
      </c>
      <c r="K611">
        <v>0.00077113553810639879</v>
      </c>
      <c r="L611" t="s">
        <v>153</v>
      </c>
      <c r="N611" t="s">
        <v>180</v>
      </c>
      <c r="O611" t="s">
        <v>268</v>
      </c>
      <c r="P611">
        <v>0.0008472172890570765</v>
      </c>
      <c r="Q611" t="s">
        <v>153</v>
      </c>
    </row>
    <row r="612" spans="9:17" ht="14.25">
      <c r="I612" t="s">
        <v>170</v>
      </c>
      <c r="J612" t="s">
        <v>269</v>
      </c>
      <c r="K612">
        <v>0.0014797324665450499</v>
      </c>
      <c r="L612" t="s">
        <v>153</v>
      </c>
      <c r="N612" t="s">
        <v>180</v>
      </c>
      <c r="O612" t="s">
        <v>269</v>
      </c>
      <c r="P612">
        <v>9.3625494374494832E-05</v>
      </c>
      <c r="Q612" t="s">
        <v>153</v>
      </c>
    </row>
    <row r="613" spans="9:17" ht="14.25">
      <c r="I613" t="s">
        <v>170</v>
      </c>
      <c r="J613" t="s">
        <v>270</v>
      </c>
      <c r="K613">
        <v>0.019604443457292862</v>
      </c>
      <c r="L613" t="s">
        <v>153</v>
      </c>
      <c r="N613" t="s">
        <v>180</v>
      </c>
      <c r="O613" t="s">
        <v>270</v>
      </c>
      <c r="P613">
        <v>0.0032548167680195111</v>
      </c>
      <c r="Q613" t="s">
        <v>153</v>
      </c>
    </row>
    <row r="614" spans="9:17" ht="14.25">
      <c r="I614" t="s">
        <v>170</v>
      </c>
      <c r="J614" t="s">
        <v>271</v>
      </c>
      <c r="K614">
        <v>0.0018262770195622306</v>
      </c>
      <c r="L614" t="s">
        <v>153</v>
      </c>
      <c r="N614" t="s">
        <v>180</v>
      </c>
      <c r="O614" t="s">
        <v>271</v>
      </c>
      <c r="P614">
        <v>0.0014617896757048686</v>
      </c>
      <c r="Q614" t="s">
        <v>153</v>
      </c>
    </row>
    <row r="615" spans="9:17" ht="14.25">
      <c r="I615" t="s">
        <v>170</v>
      </c>
      <c r="J615" t="s">
        <v>272</v>
      </c>
      <c r="K615">
        <v>0.0012578284233157361</v>
      </c>
      <c r="L615" t="s">
        <v>153</v>
      </c>
      <c r="N615" t="s">
        <v>180</v>
      </c>
      <c r="O615" t="s">
        <v>272</v>
      </c>
      <c r="P615">
        <v>0.001714227374524117</v>
      </c>
      <c r="Q615" t="s">
        <v>153</v>
      </c>
    </row>
    <row r="616" spans="9:17" ht="14.25">
      <c r="I616" t="s">
        <v>170</v>
      </c>
      <c r="J616" t="s">
        <v>273</v>
      </c>
      <c r="K616">
        <v>0.00048485177235106397</v>
      </c>
      <c r="L616" t="s">
        <v>153</v>
      </c>
      <c r="N616" t="s">
        <v>180</v>
      </c>
      <c r="O616" t="s">
        <v>273</v>
      </c>
      <c r="P616">
        <v>0.005332061119936244</v>
      </c>
      <c r="Q616" t="s">
        <v>153</v>
      </c>
    </row>
    <row r="617" spans="9:17" ht="14.25">
      <c r="I617" t="s">
        <v>170</v>
      </c>
      <c r="J617" t="s">
        <v>274</v>
      </c>
      <c r="K617">
        <v>0.0029263442320535569</v>
      </c>
      <c r="L617" t="s">
        <v>153</v>
      </c>
      <c r="N617" t="s">
        <v>180</v>
      </c>
      <c r="O617" t="s">
        <v>274</v>
      </c>
      <c r="P617">
        <v>0.03147290731647736</v>
      </c>
      <c r="Q617" t="s">
        <v>153</v>
      </c>
    </row>
    <row r="618" spans="9:17" ht="14.25">
      <c r="I618" t="s">
        <v>170</v>
      </c>
      <c r="J618" t="s">
        <v>275</v>
      </c>
      <c r="K618">
        <v>0.0064568794700351735</v>
      </c>
      <c r="L618" t="s">
        <v>153</v>
      </c>
      <c r="N618" t="s">
        <v>180</v>
      </c>
      <c r="O618" t="s">
        <v>275</v>
      </c>
      <c r="P618">
        <v>0.0046941515998868899</v>
      </c>
      <c r="Q618" t="s">
        <v>153</v>
      </c>
    </row>
    <row r="619" spans="9:17" ht="14.25">
      <c r="I619" t="s">
        <v>170</v>
      </c>
      <c r="J619" t="s">
        <v>276</v>
      </c>
      <c r="K619">
        <v>0.087981431111306629</v>
      </c>
      <c r="L619" t="s">
        <v>153</v>
      </c>
      <c r="N619" t="s">
        <v>180</v>
      </c>
      <c r="O619" t="s">
        <v>276</v>
      </c>
      <c r="P619">
        <v>0.026815162915044887</v>
      </c>
      <c r="Q619" t="s">
        <v>153</v>
      </c>
    </row>
    <row r="620" spans="9:17" ht="14.25">
      <c r="I620" t="s">
        <v>170</v>
      </c>
      <c r="J620" t="s">
        <v>277</v>
      </c>
      <c r="K620">
        <v>0.0079949291865167287</v>
      </c>
      <c r="L620" t="s">
        <v>153</v>
      </c>
      <c r="N620" t="s">
        <v>180</v>
      </c>
      <c r="O620" t="s">
        <v>277</v>
      </c>
      <c r="P620">
        <v>0.0061343127199080206</v>
      </c>
      <c r="Q620" t="s">
        <v>153</v>
      </c>
    </row>
    <row r="621" spans="9:17" ht="14.25">
      <c r="I621" t="s">
        <v>170</v>
      </c>
      <c r="J621" t="s">
        <v>278</v>
      </c>
      <c r="K621">
        <v>0.0054910022993336803</v>
      </c>
      <c r="L621" t="s">
        <v>153</v>
      </c>
      <c r="N621" t="s">
        <v>180</v>
      </c>
      <c r="O621" t="s">
        <v>278</v>
      </c>
      <c r="P621">
        <v>0.0077043039359386625</v>
      </c>
      <c r="Q621" t="s">
        <v>153</v>
      </c>
    </row>
    <row r="622" spans="9:17" ht="14.25">
      <c r="I622" t="s">
        <v>170</v>
      </c>
      <c r="J622" t="s">
        <v>279</v>
      </c>
      <c r="K622">
        <v>0.0020545954645713091</v>
      </c>
      <c r="L622" t="s">
        <v>153</v>
      </c>
      <c r="N622" t="s">
        <v>180</v>
      </c>
      <c r="O622" t="s">
        <v>279</v>
      </c>
      <c r="P622">
        <v>0.034635592164333678</v>
      </c>
      <c r="Q622" t="s">
        <v>153</v>
      </c>
    </row>
    <row r="623" spans="9:17" ht="14.25">
      <c r="I623" t="s">
        <v>170</v>
      </c>
      <c r="J623" t="s">
        <v>280</v>
      </c>
      <c r="K623">
        <v>0.0035421422372020703</v>
      </c>
      <c r="L623" t="s">
        <v>153</v>
      </c>
      <c r="N623" t="s">
        <v>180</v>
      </c>
      <c r="O623" t="s">
        <v>280</v>
      </c>
      <c r="P623">
        <v>0.048711276834594239</v>
      </c>
      <c r="Q623" t="s">
        <v>153</v>
      </c>
    </row>
    <row r="624" spans="9:17" ht="14.25">
      <c r="I624" t="s">
        <v>170</v>
      </c>
      <c r="J624" t="s">
        <v>281</v>
      </c>
      <c r="K624">
        <v>0.0087487299039020507</v>
      </c>
      <c r="L624" t="s">
        <v>153</v>
      </c>
      <c r="N624" t="s">
        <v>180</v>
      </c>
      <c r="O624" t="s">
        <v>281</v>
      </c>
      <c r="P624">
        <v>0.009159810849923098</v>
      </c>
      <c r="Q624" t="s">
        <v>153</v>
      </c>
    </row>
    <row r="625" spans="9:17" ht="14.25">
      <c r="I625" t="s">
        <v>170</v>
      </c>
      <c r="J625" t="s">
        <v>282</v>
      </c>
      <c r="K625">
        <v>0.11750112208284325</v>
      </c>
      <c r="L625" t="s">
        <v>153</v>
      </c>
      <c r="N625" t="s">
        <v>180</v>
      </c>
      <c r="O625" t="s">
        <v>282</v>
      </c>
      <c r="P625">
        <v>0.043759897092405173</v>
      </c>
      <c r="Q625" t="s">
        <v>153</v>
      </c>
    </row>
    <row r="626" spans="9:17" ht="14.25">
      <c r="I626" t="s">
        <v>170</v>
      </c>
      <c r="J626" t="s">
        <v>283</v>
      </c>
      <c r="K626">
        <v>0.009870549623677163</v>
      </c>
      <c r="L626" t="s">
        <v>153</v>
      </c>
      <c r="N626" t="s">
        <v>180</v>
      </c>
      <c r="O626" t="s">
        <v>283</v>
      </c>
      <c r="P626">
        <v>0.0055003207930945184</v>
      </c>
      <c r="Q626" t="s">
        <v>153</v>
      </c>
    </row>
    <row r="627" spans="9:17" ht="14.25">
      <c r="I627" t="s">
        <v>170</v>
      </c>
      <c r="J627" t="s">
        <v>284</v>
      </c>
      <c r="K627">
        <v>0.0059075695193504443</v>
      </c>
      <c r="L627" t="s">
        <v>153</v>
      </c>
      <c r="N627" t="s">
        <v>180</v>
      </c>
      <c r="O627" t="s">
        <v>284</v>
      </c>
      <c r="P627">
        <v>0.0068781122397845347</v>
      </c>
      <c r="Q627" t="s">
        <v>153</v>
      </c>
    </row>
    <row r="628" spans="9:17" ht="14.25">
      <c r="I628" t="s">
        <v>170</v>
      </c>
      <c r="J628" t="s">
        <v>285</v>
      </c>
      <c r="K628">
        <v>0.0011111505786996873</v>
      </c>
      <c r="L628" t="s">
        <v>153</v>
      </c>
      <c r="N628" t="s">
        <v>180</v>
      </c>
      <c r="O628" t="s">
        <v>285</v>
      </c>
      <c r="P628">
        <v>0.036776616992273088</v>
      </c>
      <c r="Q628" t="s">
        <v>153</v>
      </c>
    </row>
    <row r="629" spans="9:17" ht="14.25">
      <c r="I629" t="s">
        <v>170</v>
      </c>
      <c r="J629" t="s">
        <v>286</v>
      </c>
      <c r="K629">
        <v>0.0028930050467914697</v>
      </c>
      <c r="L629" t="s">
        <v>153</v>
      </c>
      <c r="N629" t="s">
        <v>180</v>
      </c>
      <c r="O629" t="s">
        <v>286</v>
      </c>
      <c r="P629">
        <v>0.037405769106677991</v>
      </c>
      <c r="Q629" t="s">
        <v>153</v>
      </c>
    </row>
    <row r="630" spans="9:17" ht="14.25">
      <c r="I630" t="s">
        <v>170</v>
      </c>
      <c r="J630" t="s">
        <v>287</v>
      </c>
      <c r="K630">
        <v>0.013321042893459775</v>
      </c>
      <c r="L630" t="s">
        <v>153</v>
      </c>
      <c r="N630" t="s">
        <v>180</v>
      </c>
      <c r="O630" t="s">
        <v>287</v>
      </c>
      <c r="P630">
        <v>0.0052842885829430782</v>
      </c>
      <c r="Q630" t="s">
        <v>153</v>
      </c>
    </row>
    <row r="631" spans="9:17" ht="14.25">
      <c r="I631" t="s">
        <v>170</v>
      </c>
      <c r="J631" t="s">
        <v>288</v>
      </c>
      <c r="K631">
        <v>0.17003437482230901</v>
      </c>
      <c r="L631" t="s">
        <v>153</v>
      </c>
      <c r="N631" t="s">
        <v>180</v>
      </c>
      <c r="O631" t="s">
        <v>288</v>
      </c>
      <c r="P631">
        <v>0.036488823140466101</v>
      </c>
      <c r="Q631" t="s">
        <v>153</v>
      </c>
    </row>
    <row r="632" spans="9:17" ht="14.25">
      <c r="I632" t="s">
        <v>170</v>
      </c>
      <c r="J632" t="s">
        <v>289</v>
      </c>
      <c r="K632">
        <v>0.013694512815477809</v>
      </c>
      <c r="L632" t="s">
        <v>153</v>
      </c>
      <c r="N632" t="s">
        <v>180</v>
      </c>
      <c r="O632" t="s">
        <v>289</v>
      </c>
      <c r="P632">
        <v>0.0090509802261149932</v>
      </c>
      <c r="Q632" t="s">
        <v>153</v>
      </c>
    </row>
    <row r="633" spans="9:17" ht="14.25">
      <c r="I633" t="s">
        <v>170</v>
      </c>
      <c r="J633" t="s">
        <v>290</v>
      </c>
      <c r="K633">
        <v>0.0032033859830202468</v>
      </c>
      <c r="L633" t="s">
        <v>153</v>
      </c>
      <c r="N633" t="s">
        <v>180</v>
      </c>
      <c r="O633" t="s">
        <v>290</v>
      </c>
      <c r="P633">
        <v>0.011778712047827766</v>
      </c>
      <c r="Q633" t="s">
        <v>153</v>
      </c>
    </row>
    <row r="634" spans="9:17" ht="14.25">
      <c r="I634" t="s">
        <v>170</v>
      </c>
      <c r="J634" t="s">
        <v>291</v>
      </c>
      <c r="K634">
        <v>0</v>
      </c>
      <c r="L634" t="s">
        <v>153</v>
      </c>
      <c r="N634" t="s">
        <v>180</v>
      </c>
      <c r="O634" t="s">
        <v>291</v>
      </c>
      <c r="P634">
        <v>0.050807637918661004</v>
      </c>
      <c r="Q634" t="s">
        <v>153</v>
      </c>
    </row>
    <row r="635" spans="9:17" ht="14.25">
      <c r="I635" t="s">
        <v>170</v>
      </c>
      <c r="J635" t="s">
        <v>292</v>
      </c>
      <c r="K635">
        <v>0</v>
      </c>
      <c r="L635" t="s">
        <v>153</v>
      </c>
      <c r="N635" t="s">
        <v>180</v>
      </c>
      <c r="O635" t="s">
        <v>292</v>
      </c>
      <c r="P635">
        <v>0.017333851836353345</v>
      </c>
      <c r="Q635" t="s">
        <v>153</v>
      </c>
    </row>
    <row r="636" spans="9:17" ht="14.25">
      <c r="I636" t="s">
        <v>170</v>
      </c>
      <c r="J636" t="s">
        <v>293</v>
      </c>
      <c r="K636">
        <v>0.0022875927930365112</v>
      </c>
      <c r="L636" t="s">
        <v>153</v>
      </c>
      <c r="N636" t="s">
        <v>180</v>
      </c>
      <c r="O636" t="s">
        <v>293</v>
      </c>
      <c r="P636">
        <v>0.002353219081257428</v>
      </c>
      <c r="Q636" t="s">
        <v>153</v>
      </c>
    </row>
    <row r="637" spans="9:17" ht="14.25">
      <c r="I637" t="s">
        <v>170</v>
      </c>
      <c r="J637" t="s">
        <v>294</v>
      </c>
      <c r="K637">
        <v>0.035692126919685541</v>
      </c>
      <c r="L637" t="s">
        <v>153</v>
      </c>
      <c r="N637" t="s">
        <v>180</v>
      </c>
      <c r="O637" t="s">
        <v>294</v>
      </c>
      <c r="P637">
        <v>0.019509849911637515</v>
      </c>
      <c r="Q637" t="s">
        <v>153</v>
      </c>
    </row>
    <row r="638" spans="9:17" ht="14.25">
      <c r="I638" t="s">
        <v>170</v>
      </c>
      <c r="J638" t="s">
        <v>295</v>
      </c>
      <c r="K638">
        <v>0.0030703492736956564</v>
      </c>
      <c r="L638" t="s">
        <v>153</v>
      </c>
      <c r="N638" t="s">
        <v>180</v>
      </c>
      <c r="O638" t="s">
        <v>295</v>
      </c>
      <c r="P638">
        <v>0.0033127268534421848</v>
      </c>
      <c r="Q638" t="s">
        <v>153</v>
      </c>
    </row>
    <row r="639" spans="9:17" ht="14.25">
      <c r="I639" t="s">
        <v>170</v>
      </c>
      <c r="J639" t="s">
        <v>296</v>
      </c>
      <c r="K639">
        <v>7.3334056571409706E-05</v>
      </c>
      <c r="L639" t="s">
        <v>153</v>
      </c>
      <c r="N639" t="s">
        <v>180</v>
      </c>
      <c r="O639" t="s">
        <v>296</v>
      </c>
      <c r="P639">
        <v>0.0039691490963612288</v>
      </c>
      <c r="Q639" t="s">
        <v>153</v>
      </c>
    </row>
    <row r="640" spans="9:17" ht="14.25">
      <c r="I640" t="s">
        <v>170</v>
      </c>
      <c r="J640" t="s">
        <v>297</v>
      </c>
      <c r="K640">
        <v>0</v>
      </c>
      <c r="L640" t="s">
        <v>153</v>
      </c>
      <c r="N640" t="s">
        <v>180</v>
      </c>
      <c r="O640" t="s">
        <v>297</v>
      </c>
      <c r="P640">
        <v>0.021416166333493449</v>
      </c>
      <c r="Q640" t="s">
        <v>153</v>
      </c>
    </row>
    <row r="641" spans="9:17" ht="14.25">
      <c r="I641" t="s">
        <v>171</v>
      </c>
      <c r="J641" t="s">
        <v>152</v>
      </c>
      <c r="K641">
        <v>0</v>
      </c>
      <c r="L641" t="s">
        <v>153</v>
      </c>
      <c r="N641" t="s">
        <v>181</v>
      </c>
      <c r="O641" t="s">
        <v>152</v>
      </c>
      <c r="P641">
        <v>0.0020426107432063067</v>
      </c>
      <c r="Q641" t="s">
        <v>153</v>
      </c>
    </row>
    <row r="642" spans="9:17" ht="14.25">
      <c r="I642" t="s">
        <v>171</v>
      </c>
      <c r="J642" t="s">
        <v>154</v>
      </c>
      <c r="K642">
        <v>0.00077458233025520557</v>
      </c>
      <c r="L642" t="s">
        <v>153</v>
      </c>
      <c r="N642" t="s">
        <v>181</v>
      </c>
      <c r="O642" t="s">
        <v>154</v>
      </c>
      <c r="P642">
        <v>0.00012514722715499223</v>
      </c>
      <c r="Q642" t="s">
        <v>153</v>
      </c>
    </row>
    <row r="643" spans="9:17" ht="14.25">
      <c r="I643" t="s">
        <v>171</v>
      </c>
      <c r="J643" t="s">
        <v>155</v>
      </c>
      <c r="K643">
        <v>0.013220261689327256</v>
      </c>
      <c r="L643" t="s">
        <v>153</v>
      </c>
      <c r="N643" t="s">
        <v>181</v>
      </c>
      <c r="O643" t="s">
        <v>155</v>
      </c>
      <c r="P643">
        <v>0.0032689456370908741</v>
      </c>
      <c r="Q643" t="s">
        <v>153</v>
      </c>
    </row>
    <row r="644" spans="9:17" ht="14.25">
      <c r="I644" t="s">
        <v>171</v>
      </c>
      <c r="J644" t="s">
        <v>200</v>
      </c>
      <c r="K644">
        <v>0.0012360067675097218</v>
      </c>
      <c r="L644" t="s">
        <v>153</v>
      </c>
      <c r="N644" t="s">
        <v>181</v>
      </c>
      <c r="O644" t="s">
        <v>200</v>
      </c>
      <c r="P644">
        <v>0.00095388068196308111</v>
      </c>
      <c r="Q644" t="s">
        <v>153</v>
      </c>
    </row>
    <row r="645" spans="9:17" ht="14.25">
      <c r="I645" t="s">
        <v>171</v>
      </c>
      <c r="J645" t="s">
        <v>201</v>
      </c>
      <c r="K645">
        <v>0.00080995094833558338</v>
      </c>
      <c r="L645" t="s">
        <v>153</v>
      </c>
      <c r="N645" t="s">
        <v>181</v>
      </c>
      <c r="O645" t="s">
        <v>201</v>
      </c>
      <c r="P645">
        <v>0.0011854130292643726</v>
      </c>
      <c r="Q645" t="s">
        <v>153</v>
      </c>
    </row>
    <row r="646" spans="9:17" ht="14.25">
      <c r="I646" t="s">
        <v>171</v>
      </c>
      <c r="J646" t="s">
        <v>218</v>
      </c>
      <c r="K646">
        <v>0</v>
      </c>
      <c r="L646" t="s">
        <v>153</v>
      </c>
      <c r="N646" t="s">
        <v>181</v>
      </c>
      <c r="O646" t="s">
        <v>218</v>
      </c>
      <c r="P646">
        <v>0.0048826724293326114</v>
      </c>
      <c r="Q646" t="s">
        <v>153</v>
      </c>
    </row>
    <row r="647" spans="9:17" ht="14.25">
      <c r="I647" t="s">
        <v>171</v>
      </c>
      <c r="J647" t="s">
        <v>156</v>
      </c>
      <c r="K647">
        <v>0</v>
      </c>
      <c r="L647" t="s">
        <v>153</v>
      </c>
      <c r="N647" t="s">
        <v>181</v>
      </c>
      <c r="O647" t="s">
        <v>156</v>
      </c>
      <c r="P647">
        <v>0.038937633437681751</v>
      </c>
      <c r="Q647" t="s">
        <v>153</v>
      </c>
    </row>
    <row r="648" spans="9:17" ht="14.25">
      <c r="I648" t="s">
        <v>171</v>
      </c>
      <c r="J648" t="s">
        <v>157</v>
      </c>
      <c r="K648">
        <v>0.00360234567344831</v>
      </c>
      <c r="L648" t="s">
        <v>153</v>
      </c>
      <c r="N648" t="s">
        <v>181</v>
      </c>
      <c r="O648" t="s">
        <v>157</v>
      </c>
      <c r="P648">
        <v>0.0050279832842722964</v>
      </c>
      <c r="Q648" t="s">
        <v>153</v>
      </c>
    </row>
    <row r="649" spans="9:17" ht="14.25">
      <c r="I649" t="s">
        <v>171</v>
      </c>
      <c r="J649" t="s">
        <v>158</v>
      </c>
      <c r="K649">
        <v>0.062162023227905497</v>
      </c>
      <c r="L649" t="s">
        <v>153</v>
      </c>
      <c r="N649" t="s">
        <v>181</v>
      </c>
      <c r="O649" t="s">
        <v>158</v>
      </c>
      <c r="P649">
        <v>0.056088185943035919</v>
      </c>
      <c r="Q649" t="s">
        <v>153</v>
      </c>
    </row>
    <row r="650" spans="9:17" ht="14.25">
      <c r="I650" t="s">
        <v>171</v>
      </c>
      <c r="J650" t="s">
        <v>202</v>
      </c>
      <c r="K650">
        <v>0.0061513225432074806</v>
      </c>
      <c r="L650" t="s">
        <v>153</v>
      </c>
      <c r="N650" t="s">
        <v>181</v>
      </c>
      <c r="O650" t="s">
        <v>202</v>
      </c>
      <c r="P650">
        <v>0.0061953978427934965</v>
      </c>
      <c r="Q650" t="s">
        <v>153</v>
      </c>
    </row>
    <row r="651" spans="9:17" ht="14.25">
      <c r="I651" t="s">
        <v>171</v>
      </c>
      <c r="J651" t="s">
        <v>203</v>
      </c>
      <c r="K651">
        <v>0.0036049838047762595</v>
      </c>
      <c r="L651" t="s">
        <v>153</v>
      </c>
      <c r="N651" t="s">
        <v>181</v>
      </c>
      <c r="O651" t="s">
        <v>203</v>
      </c>
      <c r="P651">
        <v>0.0055088955621244683</v>
      </c>
      <c r="Q651" t="s">
        <v>153</v>
      </c>
    </row>
    <row r="652" spans="9:17" ht="14.25">
      <c r="I652" t="s">
        <v>171</v>
      </c>
      <c r="J652" t="s">
        <v>219</v>
      </c>
      <c r="K652">
        <v>0</v>
      </c>
      <c r="L652" t="s">
        <v>153</v>
      </c>
      <c r="N652" t="s">
        <v>181</v>
      </c>
      <c r="O652" t="s">
        <v>219</v>
      </c>
      <c r="P652">
        <v>0.027966457260309253</v>
      </c>
      <c r="Q652" t="s">
        <v>153</v>
      </c>
    </row>
    <row r="653" spans="9:17" ht="14.25">
      <c r="I653" t="s">
        <v>171</v>
      </c>
      <c r="J653" t="s">
        <v>159</v>
      </c>
      <c r="K653">
        <v>0</v>
      </c>
      <c r="L653" t="s">
        <v>153</v>
      </c>
      <c r="N653" t="s">
        <v>181</v>
      </c>
      <c r="O653" t="s">
        <v>159</v>
      </c>
      <c r="P653">
        <v>0.0057694483700978516</v>
      </c>
      <c r="Q653" t="s">
        <v>153</v>
      </c>
    </row>
    <row r="654" spans="9:17" ht="14.25">
      <c r="I654" t="s">
        <v>171</v>
      </c>
      <c r="J654" t="s">
        <v>160</v>
      </c>
      <c r="K654">
        <v>0.0027052080957274071</v>
      </c>
      <c r="L654" t="s">
        <v>153</v>
      </c>
      <c r="N654" t="s">
        <v>181</v>
      </c>
      <c r="O654" t="s">
        <v>160</v>
      </c>
      <c r="P654">
        <v>0.0011018656330715612</v>
      </c>
      <c r="Q654" t="s">
        <v>153</v>
      </c>
    </row>
    <row r="655" spans="9:17" ht="14.25">
      <c r="I655" t="s">
        <v>171</v>
      </c>
      <c r="J655" t="s">
        <v>161</v>
      </c>
      <c r="K655">
        <v>0.043304128499753722</v>
      </c>
      <c r="L655" t="s">
        <v>153</v>
      </c>
      <c r="N655" t="s">
        <v>181</v>
      </c>
      <c r="O655" t="s">
        <v>161</v>
      </c>
      <c r="P655">
        <v>0.012525001821953052</v>
      </c>
      <c r="Q655" t="s">
        <v>153</v>
      </c>
    </row>
    <row r="656" spans="9:17" ht="14.25">
      <c r="I656" t="s">
        <v>171</v>
      </c>
      <c r="J656" t="s">
        <v>204</v>
      </c>
      <c r="K656">
        <v>0.0045000756552351293</v>
      </c>
      <c r="L656" t="s">
        <v>153</v>
      </c>
      <c r="N656" t="s">
        <v>181</v>
      </c>
      <c r="O656" t="s">
        <v>204</v>
      </c>
      <c r="P656">
        <v>0.0022585403575319267</v>
      </c>
      <c r="Q656" t="s">
        <v>153</v>
      </c>
    </row>
    <row r="657" spans="9:17" ht="14.25">
      <c r="I657" t="s">
        <v>171</v>
      </c>
      <c r="J657" t="s">
        <v>205</v>
      </c>
      <c r="K657">
        <v>0.0027734255637823502</v>
      </c>
      <c r="L657" t="s">
        <v>153</v>
      </c>
      <c r="N657" t="s">
        <v>181</v>
      </c>
      <c r="O657" t="s">
        <v>205</v>
      </c>
      <c r="P657">
        <v>0.0025352736784459051</v>
      </c>
      <c r="Q657" t="s">
        <v>153</v>
      </c>
    </row>
    <row r="658" spans="9:17" ht="14.25">
      <c r="I658" t="s">
        <v>171</v>
      </c>
      <c r="J658" t="s">
        <v>220</v>
      </c>
      <c r="K658">
        <v>0</v>
      </c>
      <c r="L658" t="s">
        <v>153</v>
      </c>
      <c r="N658" t="s">
        <v>181</v>
      </c>
      <c r="O658" t="s">
        <v>220</v>
      </c>
      <c r="P658">
        <v>0.010931981149280495</v>
      </c>
      <c r="Q658" t="s">
        <v>153</v>
      </c>
    </row>
    <row r="659" spans="9:17" ht="14.25">
      <c r="I659" t="s">
        <v>171</v>
      </c>
      <c r="J659" t="s">
        <v>162</v>
      </c>
      <c r="K659">
        <v>0</v>
      </c>
      <c r="L659" t="s">
        <v>153</v>
      </c>
      <c r="N659" t="s">
        <v>181</v>
      </c>
      <c r="O659" t="s">
        <v>162</v>
      </c>
      <c r="P659">
        <v>0.0062884125842718984</v>
      </c>
      <c r="Q659" t="s">
        <v>153</v>
      </c>
    </row>
    <row r="660" spans="9:17" ht="14.25">
      <c r="I660" t="s">
        <v>171</v>
      </c>
      <c r="J660" t="s">
        <v>163</v>
      </c>
      <c r="K660">
        <v>0.0016024273547127264</v>
      </c>
      <c r="L660" t="s">
        <v>153</v>
      </c>
      <c r="N660" t="s">
        <v>181</v>
      </c>
      <c r="O660" t="s">
        <v>163</v>
      </c>
      <c r="P660">
        <v>0.0010570169443620732</v>
      </c>
      <c r="Q660" t="s">
        <v>153</v>
      </c>
    </row>
    <row r="661" spans="9:17" ht="14.25">
      <c r="I661" t="s">
        <v>171</v>
      </c>
      <c r="J661" t="s">
        <v>164</v>
      </c>
      <c r="K661">
        <v>0.026811265480867916</v>
      </c>
      <c r="L661" t="s">
        <v>153</v>
      </c>
      <c r="N661" t="s">
        <v>181</v>
      </c>
      <c r="O661" t="s">
        <v>164</v>
      </c>
      <c r="P661">
        <v>0.0068950732775401131</v>
      </c>
      <c r="Q661" t="s">
        <v>153</v>
      </c>
    </row>
    <row r="662" spans="9:17" ht="14.25">
      <c r="I662" t="s">
        <v>171</v>
      </c>
      <c r="J662" t="s">
        <v>206</v>
      </c>
      <c r="K662">
        <v>0.0028388320254412393</v>
      </c>
      <c r="L662" t="s">
        <v>153</v>
      </c>
      <c r="N662" t="s">
        <v>181</v>
      </c>
      <c r="O662" t="s">
        <v>206</v>
      </c>
      <c r="P662">
        <v>0.0010846912328135775</v>
      </c>
      <c r="Q662" t="s">
        <v>153</v>
      </c>
    </row>
    <row r="663" spans="9:17" ht="14.25">
      <c r="I663" t="s">
        <v>171</v>
      </c>
      <c r="J663" t="s">
        <v>207</v>
      </c>
      <c r="K663">
        <v>0.0017912430418901169</v>
      </c>
      <c r="L663" t="s">
        <v>153</v>
      </c>
      <c r="N663" t="s">
        <v>181</v>
      </c>
      <c r="O663" t="s">
        <v>207</v>
      </c>
      <c r="P663">
        <v>0.0011642591732416155</v>
      </c>
      <c r="Q663" t="s">
        <v>153</v>
      </c>
    </row>
    <row r="664" spans="9:17" ht="14.25">
      <c r="I664" t="s">
        <v>171</v>
      </c>
      <c r="J664" t="s">
        <v>221</v>
      </c>
      <c r="K664">
        <v>0</v>
      </c>
      <c r="L664" t="s">
        <v>153</v>
      </c>
      <c r="N664" t="s">
        <v>181</v>
      </c>
      <c r="O664" t="s">
        <v>221</v>
      </c>
      <c r="P664">
        <v>0.0051514785140200341</v>
      </c>
      <c r="Q664" t="s">
        <v>153</v>
      </c>
    </row>
    <row r="665" spans="9:17" ht="14.25">
      <c r="I665" t="s">
        <v>171</v>
      </c>
      <c r="J665" t="s">
        <v>208</v>
      </c>
      <c r="K665">
        <v>0.00011263612236980594</v>
      </c>
      <c r="L665" t="s">
        <v>153</v>
      </c>
      <c r="N665" t="s">
        <v>181</v>
      </c>
      <c r="O665" t="s">
        <v>208</v>
      </c>
      <c r="P665">
        <v>0.0095886519096571327</v>
      </c>
      <c r="Q665" t="s">
        <v>153</v>
      </c>
    </row>
    <row r="666" spans="9:17" ht="14.25">
      <c r="I666" t="s">
        <v>171</v>
      </c>
      <c r="J666" t="s">
        <v>209</v>
      </c>
      <c r="K666">
        <v>0.0027528224563219137</v>
      </c>
      <c r="L666" t="s">
        <v>153</v>
      </c>
      <c r="N666" t="s">
        <v>181</v>
      </c>
      <c r="O666" t="s">
        <v>209</v>
      </c>
      <c r="P666">
        <v>0.0017958783464256977</v>
      </c>
      <c r="Q666" t="s">
        <v>153</v>
      </c>
    </row>
    <row r="667" spans="9:17" ht="14.25">
      <c r="I667" t="s">
        <v>171</v>
      </c>
      <c r="J667" t="s">
        <v>210</v>
      </c>
      <c r="K667">
        <v>0.036676284990388691</v>
      </c>
      <c r="L667" t="s">
        <v>153</v>
      </c>
      <c r="N667" t="s">
        <v>181</v>
      </c>
      <c r="O667" t="s">
        <v>210</v>
      </c>
      <c r="P667">
        <v>0.020836508872837535</v>
      </c>
      <c r="Q667" t="s">
        <v>153</v>
      </c>
    </row>
    <row r="668" spans="9:17" ht="14.25">
      <c r="I668" t="s">
        <v>171</v>
      </c>
      <c r="J668" t="s">
        <v>211</v>
      </c>
      <c r="K668">
        <v>0.0035886872112752227</v>
      </c>
      <c r="L668" t="s">
        <v>153</v>
      </c>
      <c r="N668" t="s">
        <v>181</v>
      </c>
      <c r="O668" t="s">
        <v>211</v>
      </c>
      <c r="P668">
        <v>0.0027498721793960666</v>
      </c>
      <c r="Q668" t="s">
        <v>153</v>
      </c>
    </row>
    <row r="669" spans="9:17" ht="14.25">
      <c r="I669" t="s">
        <v>171</v>
      </c>
      <c r="J669" t="s">
        <v>212</v>
      </c>
      <c r="K669">
        <v>0.0023130151682500301</v>
      </c>
      <c r="L669" t="s">
        <v>153</v>
      </c>
      <c r="N669" t="s">
        <v>181</v>
      </c>
      <c r="O669" t="s">
        <v>212</v>
      </c>
      <c r="P669">
        <v>0.0022832063827517438</v>
      </c>
      <c r="Q669" t="s">
        <v>153</v>
      </c>
    </row>
    <row r="670" spans="9:17" ht="14.25">
      <c r="I670" t="s">
        <v>171</v>
      </c>
      <c r="J670" t="s">
        <v>222</v>
      </c>
      <c r="K670">
        <v>0</v>
      </c>
      <c r="L670" t="s">
        <v>153</v>
      </c>
      <c r="N670" t="s">
        <v>181</v>
      </c>
      <c r="O670" t="s">
        <v>222</v>
      </c>
      <c r="P670">
        <v>0.0083291215510314428</v>
      </c>
      <c r="Q670" t="s">
        <v>153</v>
      </c>
    </row>
    <row r="671" spans="9:17" ht="14.25">
      <c r="I671" t="s">
        <v>171</v>
      </c>
      <c r="J671" t="s">
        <v>223</v>
      </c>
      <c r="K671">
        <v>0.0002696748486867787</v>
      </c>
      <c r="L671" t="s">
        <v>153</v>
      </c>
      <c r="N671" t="s">
        <v>181</v>
      </c>
      <c r="O671" t="s">
        <v>223</v>
      </c>
      <c r="P671">
        <v>0.0038482006710615904</v>
      </c>
      <c r="Q671" t="s">
        <v>153</v>
      </c>
    </row>
    <row r="672" spans="9:17" ht="14.25">
      <c r="I672" t="s">
        <v>171</v>
      </c>
      <c r="J672" t="s">
        <v>224</v>
      </c>
      <c r="K672">
        <v>0.0006361864654919273</v>
      </c>
      <c r="L672" t="s">
        <v>153</v>
      </c>
      <c r="N672" t="s">
        <v>181</v>
      </c>
      <c r="O672" t="s">
        <v>224</v>
      </c>
      <c r="P672">
        <v>0.00034171240531631142</v>
      </c>
      <c r="Q672" t="s">
        <v>153</v>
      </c>
    </row>
    <row r="673" spans="9:17" ht="14.25">
      <c r="I673" t="s">
        <v>171</v>
      </c>
      <c r="J673" t="s">
        <v>225</v>
      </c>
      <c r="K673">
        <v>0.0095322624148526467</v>
      </c>
      <c r="L673" t="s">
        <v>153</v>
      </c>
      <c r="N673" t="s">
        <v>181</v>
      </c>
      <c r="O673" t="s">
        <v>225</v>
      </c>
      <c r="P673">
        <v>0.0092389844749202719</v>
      </c>
      <c r="Q673" t="s">
        <v>153</v>
      </c>
    </row>
    <row r="674" spans="9:17" ht="14.25">
      <c r="I674" t="s">
        <v>171</v>
      </c>
      <c r="J674" t="s">
        <v>226</v>
      </c>
      <c r="K674">
        <v>0.00072733616484280887</v>
      </c>
      <c r="L674" t="s">
        <v>153</v>
      </c>
      <c r="N674" t="s">
        <v>181</v>
      </c>
      <c r="O674" t="s">
        <v>226</v>
      </c>
      <c r="P674">
        <v>0.0013838789842699746</v>
      </c>
      <c r="Q674" t="s">
        <v>153</v>
      </c>
    </row>
    <row r="675" spans="9:17" ht="14.25">
      <c r="I675" t="s">
        <v>171</v>
      </c>
      <c r="J675" t="s">
        <v>227</v>
      </c>
      <c r="K675">
        <v>0.00044185007540333574</v>
      </c>
      <c r="L675" t="s">
        <v>153</v>
      </c>
      <c r="N675" t="s">
        <v>181</v>
      </c>
      <c r="O675" t="s">
        <v>227</v>
      </c>
      <c r="P675">
        <v>0.0011675511638556042</v>
      </c>
      <c r="Q675" t="s">
        <v>153</v>
      </c>
    </row>
    <row r="676" spans="9:17" ht="14.25">
      <c r="I676" t="s">
        <v>171</v>
      </c>
      <c r="J676" t="s">
        <v>228</v>
      </c>
      <c r="K676">
        <v>0</v>
      </c>
      <c r="L676" t="s">
        <v>153</v>
      </c>
      <c r="N676" t="s">
        <v>181</v>
      </c>
      <c r="O676" t="s">
        <v>228</v>
      </c>
      <c r="P676">
        <v>0.0027524954870229339</v>
      </c>
      <c r="Q676" t="s">
        <v>153</v>
      </c>
    </row>
    <row r="677" spans="9:17" ht="14.25">
      <c r="I677" t="s">
        <v>171</v>
      </c>
      <c r="J677" t="s">
        <v>235</v>
      </c>
      <c r="K677">
        <v>0.0030257994235474337</v>
      </c>
      <c r="L677" t="s">
        <v>153</v>
      </c>
      <c r="N677" t="s">
        <v>181</v>
      </c>
      <c r="O677" t="s">
        <v>235</v>
      </c>
      <c r="P677">
        <v>0.015167818802407564</v>
      </c>
      <c r="Q677" t="s">
        <v>153</v>
      </c>
    </row>
    <row r="678" spans="9:17" ht="14.25">
      <c r="I678" t="s">
        <v>171</v>
      </c>
      <c r="J678" t="s">
        <v>236</v>
      </c>
      <c r="K678">
        <v>0.0059919204967493816</v>
      </c>
      <c r="L678" t="s">
        <v>153</v>
      </c>
      <c r="N678" t="s">
        <v>181</v>
      </c>
      <c r="O678" t="s">
        <v>236</v>
      </c>
      <c r="P678">
        <v>0.0022263373510341676</v>
      </c>
      <c r="Q678" t="s">
        <v>153</v>
      </c>
    </row>
    <row r="679" spans="9:17" ht="14.25">
      <c r="I679" t="s">
        <v>171</v>
      </c>
      <c r="J679" t="s">
        <v>237</v>
      </c>
      <c r="K679">
        <v>0.068856978663768706</v>
      </c>
      <c r="L679" t="s">
        <v>153</v>
      </c>
      <c r="N679" t="s">
        <v>181</v>
      </c>
      <c r="O679" t="s">
        <v>237</v>
      </c>
      <c r="P679">
        <v>0.039442892070397598</v>
      </c>
      <c r="Q679" t="s">
        <v>153</v>
      </c>
    </row>
    <row r="680" spans="9:17" ht="14.25">
      <c r="I680" t="s">
        <v>171</v>
      </c>
      <c r="J680" t="s">
        <v>238</v>
      </c>
      <c r="K680">
        <v>0.0062851646195252586</v>
      </c>
      <c r="L680" t="s">
        <v>153</v>
      </c>
      <c r="N680" t="s">
        <v>181</v>
      </c>
      <c r="O680" t="s">
        <v>238</v>
      </c>
      <c r="P680">
        <v>0.0061774200695020069</v>
      </c>
      <c r="Q680" t="s">
        <v>153</v>
      </c>
    </row>
    <row r="681" spans="9:17" ht="14.25">
      <c r="I681" t="s">
        <v>171</v>
      </c>
      <c r="J681" t="s">
        <v>239</v>
      </c>
      <c r="K681">
        <v>0.0042275129494318085</v>
      </c>
      <c r="L681" t="s">
        <v>153</v>
      </c>
      <c r="N681" t="s">
        <v>181</v>
      </c>
      <c r="O681" t="s">
        <v>239</v>
      </c>
      <c r="P681">
        <v>0.006084008129084063</v>
      </c>
      <c r="Q681" t="s">
        <v>153</v>
      </c>
    </row>
    <row r="682" spans="9:17" ht="14.25">
      <c r="I682" t="s">
        <v>171</v>
      </c>
      <c r="J682" t="s">
        <v>240</v>
      </c>
      <c r="K682">
        <v>0.00074034548637185284</v>
      </c>
      <c r="L682" t="s">
        <v>153</v>
      </c>
      <c r="N682" t="s">
        <v>181</v>
      </c>
      <c r="O682" t="s">
        <v>240</v>
      </c>
      <c r="P682">
        <v>0.021967065203957838</v>
      </c>
      <c r="Q682" t="s">
        <v>153</v>
      </c>
    </row>
    <row r="683" spans="9:17" ht="14.25">
      <c r="I683" t="s">
        <v>171</v>
      </c>
      <c r="J683" t="s">
        <v>241</v>
      </c>
      <c r="K683">
        <v>0.002596241838856584</v>
      </c>
      <c r="L683" t="s">
        <v>153</v>
      </c>
      <c r="N683" t="s">
        <v>181</v>
      </c>
      <c r="O683" t="s">
        <v>241</v>
      </c>
      <c r="P683">
        <v>0.0068523859602685174</v>
      </c>
      <c r="Q683" t="s">
        <v>153</v>
      </c>
    </row>
    <row r="684" spans="9:17" ht="14.25">
      <c r="I684" t="s">
        <v>171</v>
      </c>
      <c r="J684" t="s">
        <v>242</v>
      </c>
      <c r="K684">
        <v>0.004567083375478404</v>
      </c>
      <c r="L684" t="s">
        <v>153</v>
      </c>
      <c r="N684" t="s">
        <v>181</v>
      </c>
      <c r="O684" t="s">
        <v>242</v>
      </c>
      <c r="P684">
        <v>0.00098340609247964377</v>
      </c>
      <c r="Q684" t="s">
        <v>153</v>
      </c>
    </row>
    <row r="685" spans="9:17" ht="14.25">
      <c r="I685" t="s">
        <v>171</v>
      </c>
      <c r="J685" t="s">
        <v>243</v>
      </c>
      <c r="K685">
        <v>0.05054633695558608</v>
      </c>
      <c r="L685" t="s">
        <v>153</v>
      </c>
      <c r="N685" t="s">
        <v>181</v>
      </c>
      <c r="O685" t="s">
        <v>243</v>
      </c>
      <c r="P685">
        <v>0.048419320975443832</v>
      </c>
      <c r="Q685" t="s">
        <v>153</v>
      </c>
    </row>
    <row r="686" spans="9:17" ht="14.25">
      <c r="I686" t="s">
        <v>171</v>
      </c>
      <c r="J686" t="s">
        <v>244</v>
      </c>
      <c r="K686">
        <v>0.0042483965072714763</v>
      </c>
      <c r="L686" t="s">
        <v>153</v>
      </c>
      <c r="N686" t="s">
        <v>181</v>
      </c>
      <c r="O686" t="s">
        <v>244</v>
      </c>
      <c r="P686">
        <v>0.0094022858176103456</v>
      </c>
      <c r="Q686" t="s">
        <v>153</v>
      </c>
    </row>
    <row r="687" spans="9:17" ht="14.25">
      <c r="I687" t="s">
        <v>171</v>
      </c>
      <c r="J687" t="s">
        <v>245</v>
      </c>
      <c r="K687">
        <v>0.0029013289013765167</v>
      </c>
      <c r="L687" t="s">
        <v>153</v>
      </c>
      <c r="N687" t="s">
        <v>181</v>
      </c>
      <c r="O687" t="s">
        <v>245</v>
      </c>
      <c r="P687">
        <v>0.0086352088341588775</v>
      </c>
      <c r="Q687" t="s">
        <v>153</v>
      </c>
    </row>
    <row r="688" spans="9:17" ht="14.25">
      <c r="I688" t="s">
        <v>171</v>
      </c>
      <c r="J688" t="s">
        <v>246</v>
      </c>
      <c r="K688">
        <v>0.0012183992937000261</v>
      </c>
      <c r="L688" t="s">
        <v>153</v>
      </c>
      <c r="N688" t="s">
        <v>181</v>
      </c>
      <c r="O688" t="s">
        <v>246</v>
      </c>
      <c r="P688">
        <v>0.020907600273841576</v>
      </c>
      <c r="Q688" t="s">
        <v>153</v>
      </c>
    </row>
    <row r="689" spans="9:17" ht="14.25">
      <c r="I689" t="s">
        <v>171</v>
      </c>
      <c r="J689" t="s">
        <v>247</v>
      </c>
      <c r="K689">
        <v>0.0023500204814888366</v>
      </c>
      <c r="L689" t="s">
        <v>153</v>
      </c>
      <c r="N689" t="s">
        <v>181</v>
      </c>
      <c r="O689" t="s">
        <v>247</v>
      </c>
      <c r="P689">
        <v>0.012557632550328825</v>
      </c>
      <c r="Q689" t="s">
        <v>153</v>
      </c>
    </row>
    <row r="690" spans="9:17" ht="14.25">
      <c r="I690" t="s">
        <v>171</v>
      </c>
      <c r="J690" t="s">
        <v>248</v>
      </c>
      <c r="K690">
        <v>0.0041089864327084275</v>
      </c>
      <c r="L690" t="s">
        <v>153</v>
      </c>
      <c r="N690" t="s">
        <v>181</v>
      </c>
      <c r="O690" t="s">
        <v>248</v>
      </c>
      <c r="P690">
        <v>0.001281766918413612</v>
      </c>
      <c r="Q690" t="s">
        <v>153</v>
      </c>
    </row>
    <row r="691" spans="9:17" ht="14.25">
      <c r="I691" t="s">
        <v>171</v>
      </c>
      <c r="J691" t="s">
        <v>249</v>
      </c>
      <c r="K691">
        <v>0.048312831442432688</v>
      </c>
      <c r="L691" t="s">
        <v>153</v>
      </c>
      <c r="N691" t="s">
        <v>181</v>
      </c>
      <c r="O691" t="s">
        <v>249</v>
      </c>
      <c r="P691">
        <v>0.024236324354419539</v>
      </c>
      <c r="Q691" t="s">
        <v>153</v>
      </c>
    </row>
    <row r="692" spans="9:17" ht="14.25">
      <c r="I692" t="s">
        <v>171</v>
      </c>
      <c r="J692" t="s">
        <v>250</v>
      </c>
      <c r="K692">
        <v>0.0044435501212439022</v>
      </c>
      <c r="L692" t="s">
        <v>153</v>
      </c>
      <c r="N692" t="s">
        <v>181</v>
      </c>
      <c r="O692" t="s">
        <v>250</v>
      </c>
      <c r="P692">
        <v>0.0051782630322334744</v>
      </c>
      <c r="Q692" t="s">
        <v>153</v>
      </c>
    </row>
    <row r="693" spans="9:17" ht="14.25">
      <c r="I693" t="s">
        <v>171</v>
      </c>
      <c r="J693" t="s">
        <v>251</v>
      </c>
      <c r="K693">
        <v>0.0031381369734450695</v>
      </c>
      <c r="L693" t="s">
        <v>153</v>
      </c>
      <c r="N693" t="s">
        <v>181</v>
      </c>
      <c r="O693" t="s">
        <v>251</v>
      </c>
      <c r="P693">
        <v>0.0054802333619763475</v>
      </c>
      <c r="Q693" t="s">
        <v>153</v>
      </c>
    </row>
    <row r="694" spans="9:17" ht="14.25">
      <c r="I694" t="s">
        <v>171</v>
      </c>
      <c r="J694" t="s">
        <v>252</v>
      </c>
      <c r="K694">
        <v>0.0012599880841026962</v>
      </c>
      <c r="L694" t="s">
        <v>153</v>
      </c>
      <c r="N694" t="s">
        <v>181</v>
      </c>
      <c r="O694" t="s">
        <v>252</v>
      </c>
      <c r="P694">
        <v>0.02160219762925359</v>
      </c>
      <c r="Q694" t="s">
        <v>153</v>
      </c>
    </row>
    <row r="695" spans="9:17" ht="14.25">
      <c r="I695" t="s">
        <v>171</v>
      </c>
      <c r="J695" t="s">
        <v>262</v>
      </c>
      <c r="K695">
        <v>0.00059737618175184084</v>
      </c>
      <c r="L695" t="s">
        <v>153</v>
      </c>
      <c r="N695" t="s">
        <v>181</v>
      </c>
      <c r="O695" t="s">
        <v>262</v>
      </c>
      <c r="P695">
        <v>0.0015959289296523398</v>
      </c>
      <c r="Q695" t="s">
        <v>153</v>
      </c>
    </row>
    <row r="696" spans="9:17" ht="14.25">
      <c r="I696" t="s">
        <v>171</v>
      </c>
      <c r="J696" t="s">
        <v>263</v>
      </c>
      <c r="K696">
        <v>0.001122579507449132</v>
      </c>
      <c r="L696" t="s">
        <v>153</v>
      </c>
      <c r="N696" t="s">
        <v>181</v>
      </c>
      <c r="O696" t="s">
        <v>263</v>
      </c>
      <c r="P696">
        <v>9.0791062435944671E-05</v>
      </c>
      <c r="Q696" t="s">
        <v>153</v>
      </c>
    </row>
    <row r="697" spans="9:17" ht="14.25">
      <c r="I697" t="s">
        <v>171</v>
      </c>
      <c r="J697" t="s">
        <v>264</v>
      </c>
      <c r="K697">
        <v>0.013541555941932648</v>
      </c>
      <c r="L697" t="s">
        <v>153</v>
      </c>
      <c r="N697" t="s">
        <v>181</v>
      </c>
      <c r="O697" t="s">
        <v>264</v>
      </c>
      <c r="P697">
        <v>0.0049381192316469485</v>
      </c>
      <c r="Q697" t="s">
        <v>153</v>
      </c>
    </row>
    <row r="698" spans="9:17" ht="14.25">
      <c r="I698" t="s">
        <v>171</v>
      </c>
      <c r="J698" t="s">
        <v>265</v>
      </c>
      <c r="K698">
        <v>0.0012437571075387876</v>
      </c>
      <c r="L698" t="s">
        <v>153</v>
      </c>
      <c r="N698" t="s">
        <v>181</v>
      </c>
      <c r="O698" t="s">
        <v>265</v>
      </c>
      <c r="P698">
        <v>0.0018283688152782279</v>
      </c>
      <c r="Q698" t="s">
        <v>153</v>
      </c>
    </row>
    <row r="699" spans="9:17" ht="14.25">
      <c r="I699" t="s">
        <v>171</v>
      </c>
      <c r="J699" t="s">
        <v>266</v>
      </c>
      <c r="K699">
        <v>0.00086070992389707048</v>
      </c>
      <c r="L699" t="s">
        <v>153</v>
      </c>
      <c r="N699" t="s">
        <v>181</v>
      </c>
      <c r="O699" t="s">
        <v>266</v>
      </c>
      <c r="P699">
        <v>0.002332760417212218</v>
      </c>
      <c r="Q699" t="s">
        <v>153</v>
      </c>
    </row>
    <row r="700" spans="9:17" ht="14.25">
      <c r="I700" t="s">
        <v>171</v>
      </c>
      <c r="J700" t="s">
        <v>267</v>
      </c>
      <c r="K700">
        <v>0.00032159163985781238</v>
      </c>
      <c r="L700" t="s">
        <v>153</v>
      </c>
      <c r="N700" t="s">
        <v>181</v>
      </c>
      <c r="O700" t="s">
        <v>267</v>
      </c>
      <c r="P700">
        <v>0.0079949176957120338</v>
      </c>
      <c r="Q700" t="s">
        <v>153</v>
      </c>
    </row>
    <row r="701" spans="9:17" ht="14.25">
      <c r="I701" t="s">
        <v>171</v>
      </c>
      <c r="J701" t="s">
        <v>268</v>
      </c>
      <c r="K701">
        <v>0.00073368533773454279</v>
      </c>
      <c r="L701" t="s">
        <v>153</v>
      </c>
      <c r="N701" t="s">
        <v>181</v>
      </c>
      <c r="O701" t="s">
        <v>268</v>
      </c>
      <c r="P701">
        <v>0.001435120613138479</v>
      </c>
      <c r="Q701" t="s">
        <v>153</v>
      </c>
    </row>
    <row r="702" spans="9:17" ht="14.25">
      <c r="I702" t="s">
        <v>171</v>
      </c>
      <c r="J702" t="s">
        <v>269</v>
      </c>
      <c r="K702">
        <v>0.0014481552503899939</v>
      </c>
      <c r="L702" t="s">
        <v>153</v>
      </c>
      <c r="N702" t="s">
        <v>181</v>
      </c>
      <c r="O702" t="s">
        <v>269</v>
      </c>
      <c r="P702">
        <v>4.5800609052132067E-05</v>
      </c>
      <c r="Q702" t="s">
        <v>153</v>
      </c>
    </row>
    <row r="703" spans="9:17" ht="14.25">
      <c r="I703" t="s">
        <v>171</v>
      </c>
      <c r="J703" t="s">
        <v>270</v>
      </c>
      <c r="K703">
        <v>0.019406885949714497</v>
      </c>
      <c r="L703" t="s">
        <v>153</v>
      </c>
      <c r="N703" t="s">
        <v>181</v>
      </c>
      <c r="O703" t="s">
        <v>270</v>
      </c>
      <c r="P703">
        <v>0.0042739084959897205</v>
      </c>
      <c r="Q703" t="s">
        <v>153</v>
      </c>
    </row>
    <row r="704" spans="9:17" ht="14.25">
      <c r="I704" t="s">
        <v>171</v>
      </c>
      <c r="J704" t="s">
        <v>271</v>
      </c>
      <c r="K704">
        <v>0.0017230853736596794</v>
      </c>
      <c r="L704" t="s">
        <v>153</v>
      </c>
      <c r="N704" t="s">
        <v>181</v>
      </c>
      <c r="O704" t="s">
        <v>271</v>
      </c>
      <c r="P704">
        <v>0.0013131045693313651</v>
      </c>
      <c r="Q704" t="s">
        <v>153</v>
      </c>
    </row>
    <row r="705" spans="9:17" ht="14.25">
      <c r="I705" t="s">
        <v>171</v>
      </c>
      <c r="J705" t="s">
        <v>272</v>
      </c>
      <c r="K705">
        <v>0.001174450508950496</v>
      </c>
      <c r="L705" t="s">
        <v>153</v>
      </c>
      <c r="N705" t="s">
        <v>181</v>
      </c>
      <c r="O705" t="s">
        <v>272</v>
      </c>
      <c r="P705">
        <v>0.0011178614174005156</v>
      </c>
      <c r="Q705" t="s">
        <v>153</v>
      </c>
    </row>
    <row r="706" spans="9:17" ht="14.25">
      <c r="I706" t="s">
        <v>171</v>
      </c>
      <c r="J706" t="s">
        <v>273</v>
      </c>
      <c r="K706">
        <v>0.00043527403581808014</v>
      </c>
      <c r="L706" t="s">
        <v>153</v>
      </c>
      <c r="N706" t="s">
        <v>181</v>
      </c>
      <c r="O706" t="s">
        <v>273</v>
      </c>
      <c r="P706">
        <v>0.0058506141126210033</v>
      </c>
      <c r="Q706" t="s">
        <v>153</v>
      </c>
    </row>
    <row r="707" spans="9:17" ht="14.25">
      <c r="I707" t="s">
        <v>171</v>
      </c>
      <c r="J707" t="s">
        <v>274</v>
      </c>
      <c r="K707">
        <v>0.0027368301108543804</v>
      </c>
      <c r="L707" t="s">
        <v>153</v>
      </c>
      <c r="N707" t="s">
        <v>181</v>
      </c>
      <c r="O707" t="s">
        <v>274</v>
      </c>
      <c r="P707">
        <v>0.016260878493356813</v>
      </c>
      <c r="Q707" t="s">
        <v>153</v>
      </c>
    </row>
    <row r="708" spans="9:17" ht="14.25">
      <c r="I708" t="s">
        <v>171</v>
      </c>
      <c r="J708" t="s">
        <v>275</v>
      </c>
      <c r="K708">
        <v>0.0062798540914572425</v>
      </c>
      <c r="L708" t="s">
        <v>153</v>
      </c>
      <c r="N708" t="s">
        <v>181</v>
      </c>
      <c r="O708" t="s">
        <v>275</v>
      </c>
      <c r="P708">
        <v>0.0024771016777120625</v>
      </c>
      <c r="Q708" t="s">
        <v>153</v>
      </c>
    </row>
    <row r="709" spans="9:17" ht="14.25">
      <c r="I709" t="s">
        <v>171</v>
      </c>
      <c r="J709" t="s">
        <v>276</v>
      </c>
      <c r="K709">
        <v>0.08530943607241441</v>
      </c>
      <c r="L709" t="s">
        <v>153</v>
      </c>
      <c r="N709" t="s">
        <v>181</v>
      </c>
      <c r="O709" t="s">
        <v>276</v>
      </c>
      <c r="P709">
        <v>0.028888498874159101</v>
      </c>
      <c r="Q709" t="s">
        <v>153</v>
      </c>
    </row>
    <row r="710" spans="9:17" ht="14.25">
      <c r="I710" t="s">
        <v>171</v>
      </c>
      <c r="J710" t="s">
        <v>277</v>
      </c>
      <c r="K710">
        <v>0.0073388148553847786</v>
      </c>
      <c r="L710" t="s">
        <v>153</v>
      </c>
      <c r="N710" t="s">
        <v>181</v>
      </c>
      <c r="O710" t="s">
        <v>277</v>
      </c>
      <c r="P710">
        <v>0.0053225814087933228</v>
      </c>
      <c r="Q710" t="s">
        <v>153</v>
      </c>
    </row>
    <row r="711" spans="9:17" ht="14.25">
      <c r="I711" t="s">
        <v>171</v>
      </c>
      <c r="J711" t="s">
        <v>278</v>
      </c>
      <c r="K711">
        <v>0.0048931812604728047</v>
      </c>
      <c r="L711" t="s">
        <v>153</v>
      </c>
      <c r="N711" t="s">
        <v>181</v>
      </c>
      <c r="O711" t="s">
        <v>278</v>
      </c>
      <c r="P711">
        <v>0.0058155748535237166</v>
      </c>
      <c r="Q711" t="s">
        <v>153</v>
      </c>
    </row>
    <row r="712" spans="9:17" ht="14.25">
      <c r="I712" t="s">
        <v>171</v>
      </c>
      <c r="J712" t="s">
        <v>279</v>
      </c>
      <c r="K712">
        <v>0.0017343117239834299</v>
      </c>
      <c r="L712" t="s">
        <v>153</v>
      </c>
      <c r="N712" t="s">
        <v>181</v>
      </c>
      <c r="O712" t="s">
        <v>279</v>
      </c>
      <c r="P712">
        <v>0.0279656860521286</v>
      </c>
      <c r="Q712" t="s">
        <v>153</v>
      </c>
    </row>
    <row r="713" spans="9:17" ht="14.25">
      <c r="I713" t="s">
        <v>171</v>
      </c>
      <c r="J713" t="s">
        <v>280</v>
      </c>
      <c r="K713">
        <v>0.0033456969542240943</v>
      </c>
      <c r="L713" t="s">
        <v>153</v>
      </c>
      <c r="N713" t="s">
        <v>181</v>
      </c>
      <c r="O713" t="s">
        <v>280</v>
      </c>
      <c r="P713">
        <v>0.048431395444815617</v>
      </c>
      <c r="Q713" t="s">
        <v>153</v>
      </c>
    </row>
    <row r="714" spans="9:17" ht="14.25">
      <c r="I714" t="s">
        <v>171</v>
      </c>
      <c r="J714" t="s">
        <v>281</v>
      </c>
      <c r="K714">
        <v>0.0086398348540711618</v>
      </c>
      <c r="L714" t="s">
        <v>153</v>
      </c>
      <c r="N714" t="s">
        <v>181</v>
      </c>
      <c r="O714" t="s">
        <v>281</v>
      </c>
      <c r="P714">
        <v>0.0068714971883026658</v>
      </c>
      <c r="Q714" t="s">
        <v>153</v>
      </c>
    </row>
    <row r="715" spans="9:17" ht="14.25">
      <c r="I715" t="s">
        <v>171</v>
      </c>
      <c r="J715" t="s">
        <v>282</v>
      </c>
      <c r="K715">
        <v>0.11567951992043025</v>
      </c>
      <c r="L715" t="s">
        <v>153</v>
      </c>
      <c r="N715" t="s">
        <v>181</v>
      </c>
      <c r="O715" t="s">
        <v>282</v>
      </c>
      <c r="P715">
        <v>0.042090408872548821</v>
      </c>
      <c r="Q715" t="s">
        <v>153</v>
      </c>
    </row>
    <row r="716" spans="9:17" ht="14.25">
      <c r="I716" t="s">
        <v>171</v>
      </c>
      <c r="J716" t="s">
        <v>283</v>
      </c>
      <c r="K716">
        <v>0.0091057720011913697</v>
      </c>
      <c r="L716" t="s">
        <v>153</v>
      </c>
      <c r="N716" t="s">
        <v>181</v>
      </c>
      <c r="O716" t="s">
        <v>283</v>
      </c>
      <c r="P716">
        <v>0.0031306733309213537</v>
      </c>
      <c r="Q716" t="s">
        <v>153</v>
      </c>
    </row>
    <row r="717" spans="9:17" ht="14.25">
      <c r="I717" t="s">
        <v>171</v>
      </c>
      <c r="J717" t="s">
        <v>284</v>
      </c>
      <c r="K717">
        <v>0.0050039749753333918</v>
      </c>
      <c r="L717" t="s">
        <v>153</v>
      </c>
      <c r="N717" t="s">
        <v>181</v>
      </c>
      <c r="O717" t="s">
        <v>284</v>
      </c>
      <c r="P717">
        <v>0.0036498768939796909</v>
      </c>
      <c r="Q717" t="s">
        <v>153</v>
      </c>
    </row>
    <row r="718" spans="9:17" ht="14.25">
      <c r="I718" t="s">
        <v>171</v>
      </c>
      <c r="J718" t="s">
        <v>285</v>
      </c>
      <c r="K718">
        <v>0.00079366850318992265</v>
      </c>
      <c r="L718" t="s">
        <v>153</v>
      </c>
      <c r="N718" t="s">
        <v>181</v>
      </c>
      <c r="O718" t="s">
        <v>285</v>
      </c>
      <c r="P718">
        <v>0.024355697054564078</v>
      </c>
      <c r="Q718" t="s">
        <v>153</v>
      </c>
    </row>
    <row r="719" spans="9:17" ht="14.25">
      <c r="I719" t="s">
        <v>171</v>
      </c>
      <c r="J719" t="s">
        <v>286</v>
      </c>
      <c r="K719">
        <v>0.0031820080311197999</v>
      </c>
      <c r="L719" t="s">
        <v>153</v>
      </c>
      <c r="N719" t="s">
        <v>181</v>
      </c>
      <c r="O719" t="s">
        <v>286</v>
      </c>
      <c r="P719">
        <v>0.025779886147800812</v>
      </c>
      <c r="Q719" t="s">
        <v>153</v>
      </c>
    </row>
    <row r="720" spans="9:17" ht="14.25">
      <c r="I720" t="s">
        <v>171</v>
      </c>
      <c r="J720" t="s">
        <v>287</v>
      </c>
      <c r="K720">
        <v>0.013953807947475489</v>
      </c>
      <c r="L720" t="s">
        <v>153</v>
      </c>
      <c r="N720" t="s">
        <v>181</v>
      </c>
      <c r="O720" t="s">
        <v>287</v>
      </c>
      <c r="P720">
        <v>0.0034251498361952846</v>
      </c>
      <c r="Q720" t="s">
        <v>153</v>
      </c>
    </row>
    <row r="721" spans="9:17" ht="14.25">
      <c r="I721" t="s">
        <v>171</v>
      </c>
      <c r="J721" t="s">
        <v>288</v>
      </c>
      <c r="K721">
        <v>0.17386591812611954</v>
      </c>
      <c r="L721" t="s">
        <v>153</v>
      </c>
      <c r="N721" t="s">
        <v>181</v>
      </c>
      <c r="O721" t="s">
        <v>288</v>
      </c>
      <c r="P721">
        <v>0.046950105215812742</v>
      </c>
      <c r="Q721" t="s">
        <v>153</v>
      </c>
    </row>
    <row r="722" spans="9:17" ht="14.25">
      <c r="I722" t="s">
        <v>171</v>
      </c>
      <c r="J722" t="s">
        <v>289</v>
      </c>
      <c r="K722">
        <v>0.014231728977776631</v>
      </c>
      <c r="L722" t="s">
        <v>153</v>
      </c>
      <c r="N722" t="s">
        <v>181</v>
      </c>
      <c r="O722" t="s">
        <v>289</v>
      </c>
      <c r="P722">
        <v>0.0099902675319680084</v>
      </c>
      <c r="Q722" t="s">
        <v>153</v>
      </c>
    </row>
    <row r="723" spans="9:17" ht="14.25">
      <c r="I723" t="s">
        <v>171</v>
      </c>
      <c r="J723" t="s">
        <v>290</v>
      </c>
      <c r="K723">
        <v>0.0034993209099904365</v>
      </c>
      <c r="L723" t="s">
        <v>153</v>
      </c>
      <c r="N723" t="s">
        <v>181</v>
      </c>
      <c r="O723" t="s">
        <v>290</v>
      </c>
      <c r="P723">
        <v>0.010965515950824255</v>
      </c>
      <c r="Q723" t="s">
        <v>153</v>
      </c>
    </row>
    <row r="724" spans="9:17" ht="14.25">
      <c r="I724" t="s">
        <v>171</v>
      </c>
      <c r="J724" t="s">
        <v>291</v>
      </c>
      <c r="K724">
        <v>0</v>
      </c>
      <c r="L724" t="s">
        <v>153</v>
      </c>
      <c r="N724" t="s">
        <v>181</v>
      </c>
      <c r="O724" t="s">
        <v>291</v>
      </c>
      <c r="P724">
        <v>0.049586605550952248</v>
      </c>
      <c r="Q724" t="s">
        <v>153</v>
      </c>
    </row>
    <row r="725" spans="9:17" ht="14.25">
      <c r="I725" t="s">
        <v>171</v>
      </c>
      <c r="J725" t="s">
        <v>292</v>
      </c>
      <c r="K725">
        <v>0</v>
      </c>
      <c r="L725" t="s">
        <v>153</v>
      </c>
      <c r="N725" t="s">
        <v>181</v>
      </c>
      <c r="O725" t="s">
        <v>292</v>
      </c>
      <c r="P725">
        <v>0.021955545950245885</v>
      </c>
      <c r="Q725" t="s">
        <v>153</v>
      </c>
    </row>
    <row r="726" spans="9:17" ht="14.25">
      <c r="I726" t="s">
        <v>171</v>
      </c>
      <c r="J726" t="s">
        <v>293</v>
      </c>
      <c r="K726">
        <v>0.0025161809158256278</v>
      </c>
      <c r="L726" t="s">
        <v>153</v>
      </c>
      <c r="N726" t="s">
        <v>181</v>
      </c>
      <c r="O726" t="s">
        <v>293</v>
      </c>
      <c r="P726">
        <v>0.0030630611273530549</v>
      </c>
      <c r="Q726" t="s">
        <v>153</v>
      </c>
    </row>
    <row r="727" spans="9:17" ht="14.25">
      <c r="I727" t="s">
        <v>171</v>
      </c>
      <c r="J727" t="s">
        <v>294</v>
      </c>
      <c r="K727">
        <v>0.037673777133374935</v>
      </c>
      <c r="L727" t="s">
        <v>153</v>
      </c>
      <c r="N727" t="s">
        <v>181</v>
      </c>
      <c r="O727" t="s">
        <v>294</v>
      </c>
      <c r="P727">
        <v>0.021090223045118432</v>
      </c>
      <c r="Q727" t="s">
        <v>153</v>
      </c>
    </row>
    <row r="728" spans="9:17" ht="14.25">
      <c r="I728" t="s">
        <v>171</v>
      </c>
      <c r="J728" t="s">
        <v>295</v>
      </c>
      <c r="K728">
        <v>0.0032915301315061133</v>
      </c>
      <c r="L728" t="s">
        <v>153</v>
      </c>
      <c r="N728" t="s">
        <v>181</v>
      </c>
      <c r="O728" t="s">
        <v>295</v>
      </c>
      <c r="P728">
        <v>0.0034351581486744909</v>
      </c>
      <c r="Q728" t="s">
        <v>153</v>
      </c>
    </row>
    <row r="729" spans="9:17" ht="14.25">
      <c r="I729" t="s">
        <v>171</v>
      </c>
      <c r="J729" t="s">
        <v>296</v>
      </c>
      <c r="K729">
        <v>0.00055786507796553404</v>
      </c>
      <c r="L729" t="s">
        <v>153</v>
      </c>
      <c r="N729" t="s">
        <v>181</v>
      </c>
      <c r="O729" t="s">
        <v>296</v>
      </c>
      <c r="P729">
        <v>0.0039202962096071018</v>
      </c>
      <c r="Q729" t="s">
        <v>153</v>
      </c>
    </row>
    <row r="730" spans="9:17" ht="14.25">
      <c r="I730" t="s">
        <v>171</v>
      </c>
      <c r="J730" t="s">
        <v>297</v>
      </c>
      <c r="K730">
        <v>0</v>
      </c>
      <c r="L730" t="s">
        <v>153</v>
      </c>
      <c r="N730" t="s">
        <v>181</v>
      </c>
      <c r="O730" t="s">
        <v>297</v>
      </c>
      <c r="P730">
        <v>0.021896523500954349</v>
      </c>
      <c r="Q730" t="s">
        <v>153</v>
      </c>
    </row>
    <row r="731" spans="9:17" ht="14.25">
      <c r="I731" t="s">
        <v>172</v>
      </c>
      <c r="J731" t="s">
        <v>152</v>
      </c>
      <c r="K731">
        <v>0</v>
      </c>
      <c r="L731" t="s">
        <v>153</v>
      </c>
      <c r="N731" t="s">
        <v>182</v>
      </c>
      <c r="O731" t="s">
        <v>152</v>
      </c>
      <c r="P731">
        <v>0.002947832662585614</v>
      </c>
      <c r="Q731" t="s">
        <v>153</v>
      </c>
    </row>
    <row r="732" spans="9:17" ht="14.25">
      <c r="I732" t="s">
        <v>172</v>
      </c>
      <c r="J732" t="s">
        <v>154</v>
      </c>
      <c r="K732">
        <v>0.00059831871429741183</v>
      </c>
      <c r="L732" t="s">
        <v>153</v>
      </c>
      <c r="N732" t="s">
        <v>182</v>
      </c>
      <c r="O732" t="s">
        <v>154</v>
      </c>
      <c r="P732">
        <v>0.00024923074309064389</v>
      </c>
      <c r="Q732" t="s">
        <v>153</v>
      </c>
    </row>
    <row r="733" spans="9:17" ht="14.25">
      <c r="I733" t="s">
        <v>172</v>
      </c>
      <c r="J733" t="s">
        <v>155</v>
      </c>
      <c r="K733">
        <v>0.012449753240855456</v>
      </c>
      <c r="L733" t="s">
        <v>153</v>
      </c>
      <c r="N733" t="s">
        <v>182</v>
      </c>
      <c r="O733" t="s">
        <v>155</v>
      </c>
      <c r="P733">
        <v>0.0012604713632935758</v>
      </c>
      <c r="Q733" t="s">
        <v>153</v>
      </c>
    </row>
    <row r="734" spans="9:17" ht="14.25">
      <c r="I734" t="s">
        <v>172</v>
      </c>
      <c r="J734" t="s">
        <v>200</v>
      </c>
      <c r="K734">
        <v>0.0012433674586067491</v>
      </c>
      <c r="L734" t="s">
        <v>153</v>
      </c>
      <c r="N734" t="s">
        <v>182</v>
      </c>
      <c r="O734" t="s">
        <v>200</v>
      </c>
      <c r="P734">
        <v>0.00032840096180888716</v>
      </c>
      <c r="Q734" t="s">
        <v>153</v>
      </c>
    </row>
    <row r="735" spans="9:17" ht="14.25">
      <c r="I735" t="s">
        <v>172</v>
      </c>
      <c r="J735" t="s">
        <v>201</v>
      </c>
      <c r="K735">
        <v>0.00071048276880384808</v>
      </c>
      <c r="L735" t="s">
        <v>153</v>
      </c>
      <c r="N735" t="s">
        <v>182</v>
      </c>
      <c r="O735" t="s">
        <v>201</v>
      </c>
      <c r="P735">
        <v>0.00044823104368651263</v>
      </c>
      <c r="Q735" t="s">
        <v>153</v>
      </c>
    </row>
    <row r="736" spans="9:17" ht="14.25">
      <c r="I736" t="s">
        <v>172</v>
      </c>
      <c r="J736" t="s">
        <v>218</v>
      </c>
      <c r="K736">
        <v>0</v>
      </c>
      <c r="L736" t="s">
        <v>153</v>
      </c>
      <c r="N736" t="s">
        <v>182</v>
      </c>
      <c r="O736" t="s">
        <v>218</v>
      </c>
      <c r="P736">
        <v>0.0042313216218757234</v>
      </c>
      <c r="Q736" t="s">
        <v>153</v>
      </c>
    </row>
    <row r="737" spans="9:17" ht="14.25">
      <c r="I737" t="s">
        <v>172</v>
      </c>
      <c r="J737" t="s">
        <v>156</v>
      </c>
      <c r="K737">
        <v>0</v>
      </c>
      <c r="L737" t="s">
        <v>153</v>
      </c>
      <c r="N737" t="s">
        <v>182</v>
      </c>
      <c r="O737" t="s">
        <v>156</v>
      </c>
      <c r="P737">
        <v>0.033292359337980151</v>
      </c>
      <c r="Q737" t="s">
        <v>153</v>
      </c>
    </row>
    <row r="738" spans="9:17" ht="14.25">
      <c r="I738" t="s">
        <v>172</v>
      </c>
      <c r="J738" t="s">
        <v>157</v>
      </c>
      <c r="K738">
        <v>0.0030088850164237311</v>
      </c>
      <c r="L738" t="s">
        <v>153</v>
      </c>
      <c r="N738" t="s">
        <v>182</v>
      </c>
      <c r="O738" t="s">
        <v>157</v>
      </c>
      <c r="P738">
        <v>0.0044502902653758645</v>
      </c>
      <c r="Q738" t="s">
        <v>153</v>
      </c>
    </row>
    <row r="739" spans="9:17" ht="14.25">
      <c r="I739" t="s">
        <v>172</v>
      </c>
      <c r="J739" t="s">
        <v>158</v>
      </c>
      <c r="K739">
        <v>0.060372772547935431</v>
      </c>
      <c r="L739" t="s">
        <v>153</v>
      </c>
      <c r="N739" t="s">
        <v>182</v>
      </c>
      <c r="O739" t="s">
        <v>158</v>
      </c>
      <c r="P739">
        <v>0.035772694561147581</v>
      </c>
      <c r="Q739" t="s">
        <v>153</v>
      </c>
    </row>
    <row r="740" spans="9:17" ht="14.25">
      <c r="I740" t="s">
        <v>172</v>
      </c>
      <c r="J740" t="s">
        <v>202</v>
      </c>
      <c r="K740">
        <v>0.0062719274995032435</v>
      </c>
      <c r="L740" t="s">
        <v>153</v>
      </c>
      <c r="N740" t="s">
        <v>182</v>
      </c>
      <c r="O740" t="s">
        <v>202</v>
      </c>
      <c r="P740">
        <v>0.0044353035361227302</v>
      </c>
      <c r="Q740" t="s">
        <v>153</v>
      </c>
    </row>
    <row r="741" spans="9:17" ht="14.25">
      <c r="I741" t="s">
        <v>172</v>
      </c>
      <c r="J741" t="s">
        <v>203</v>
      </c>
      <c r="K741">
        <v>0.0035114499670739294</v>
      </c>
      <c r="L741" t="s">
        <v>153</v>
      </c>
      <c r="N741" t="s">
        <v>182</v>
      </c>
      <c r="O741" t="s">
        <v>203</v>
      </c>
      <c r="P741">
        <v>0.0044167136701404952</v>
      </c>
      <c r="Q741" t="s">
        <v>153</v>
      </c>
    </row>
    <row r="742" spans="9:17" ht="14.25">
      <c r="I742" t="s">
        <v>172</v>
      </c>
      <c r="J742" t="s">
        <v>219</v>
      </c>
      <c r="K742">
        <v>0</v>
      </c>
      <c r="L742" t="s">
        <v>153</v>
      </c>
      <c r="N742" t="s">
        <v>182</v>
      </c>
      <c r="O742" t="s">
        <v>219</v>
      </c>
      <c r="P742">
        <v>0.031673353951863201</v>
      </c>
      <c r="Q742" t="s">
        <v>153</v>
      </c>
    </row>
    <row r="743" spans="9:17" ht="14.25">
      <c r="I743" t="s">
        <v>172</v>
      </c>
      <c r="J743" t="s">
        <v>159</v>
      </c>
      <c r="K743">
        <v>0</v>
      </c>
      <c r="L743" t="s">
        <v>153</v>
      </c>
      <c r="N743" t="s">
        <v>182</v>
      </c>
      <c r="O743" t="s">
        <v>159</v>
      </c>
      <c r="P743">
        <v>0.015331445743618095</v>
      </c>
      <c r="Q743" t="s">
        <v>153</v>
      </c>
    </row>
    <row r="744" spans="9:17" ht="14.25">
      <c r="I744" t="s">
        <v>172</v>
      </c>
      <c r="J744" t="s">
        <v>160</v>
      </c>
      <c r="K744">
        <v>0.0020231552474372213</v>
      </c>
      <c r="L744" t="s">
        <v>153</v>
      </c>
      <c r="N744" t="s">
        <v>182</v>
      </c>
      <c r="O744" t="s">
        <v>160</v>
      </c>
      <c r="P744">
        <v>0.0019954148511045658</v>
      </c>
      <c r="Q744" t="s">
        <v>153</v>
      </c>
    </row>
    <row r="745" spans="9:17" ht="14.25">
      <c r="I745" t="s">
        <v>172</v>
      </c>
      <c r="J745" t="s">
        <v>161</v>
      </c>
      <c r="K745">
        <v>0.041560534599971943</v>
      </c>
      <c r="L745" t="s">
        <v>153</v>
      </c>
      <c r="N745" t="s">
        <v>182</v>
      </c>
      <c r="O745" t="s">
        <v>161</v>
      </c>
      <c r="P745">
        <v>0.007923105309813834</v>
      </c>
      <c r="Q745" t="s">
        <v>153</v>
      </c>
    </row>
    <row r="746" spans="9:17" ht="14.25">
      <c r="I746" t="s">
        <v>172</v>
      </c>
      <c r="J746" t="s">
        <v>204</v>
      </c>
      <c r="K746">
        <v>0.0045885278362380599</v>
      </c>
      <c r="L746" t="s">
        <v>153</v>
      </c>
      <c r="N746" t="s">
        <v>182</v>
      </c>
      <c r="O746" t="s">
        <v>204</v>
      </c>
      <c r="P746">
        <v>0.0012574831878975103</v>
      </c>
      <c r="Q746" t="s">
        <v>153</v>
      </c>
    </row>
    <row r="747" spans="9:17" ht="14.25">
      <c r="I747" t="s">
        <v>172</v>
      </c>
      <c r="J747" t="s">
        <v>205</v>
      </c>
      <c r="K747">
        <v>0.0028992494570587832</v>
      </c>
      <c r="L747" t="s">
        <v>153</v>
      </c>
      <c r="N747" t="s">
        <v>182</v>
      </c>
      <c r="O747" t="s">
        <v>205</v>
      </c>
      <c r="P747">
        <v>0.001591623942141555</v>
      </c>
      <c r="Q747" t="s">
        <v>153</v>
      </c>
    </row>
    <row r="748" spans="9:17" ht="14.25">
      <c r="I748" t="s">
        <v>172</v>
      </c>
      <c r="J748" t="s">
        <v>220</v>
      </c>
      <c r="K748">
        <v>0</v>
      </c>
      <c r="L748" t="s">
        <v>153</v>
      </c>
      <c r="N748" t="s">
        <v>182</v>
      </c>
      <c r="O748" t="s">
        <v>220</v>
      </c>
      <c r="P748">
        <v>0.016462036764553354</v>
      </c>
      <c r="Q748" t="s">
        <v>153</v>
      </c>
    </row>
    <row r="749" spans="9:17" ht="14.25">
      <c r="I749" t="s">
        <v>172</v>
      </c>
      <c r="J749" t="s">
        <v>162</v>
      </c>
      <c r="K749">
        <v>0</v>
      </c>
      <c r="L749" t="s">
        <v>153</v>
      </c>
      <c r="N749" t="s">
        <v>182</v>
      </c>
      <c r="O749" t="s">
        <v>162</v>
      </c>
      <c r="P749">
        <v>0.0094373086003493208</v>
      </c>
      <c r="Q749" t="s">
        <v>153</v>
      </c>
    </row>
    <row r="750" spans="9:17" ht="14.25">
      <c r="I750" t="s">
        <v>172</v>
      </c>
      <c r="J750" t="s">
        <v>163</v>
      </c>
      <c r="K750">
        <v>0.0015267698031206636</v>
      </c>
      <c r="L750" t="s">
        <v>153</v>
      </c>
      <c r="N750" t="s">
        <v>182</v>
      </c>
      <c r="O750" t="s">
        <v>163</v>
      </c>
      <c r="P750">
        <v>0.0014195678884996895</v>
      </c>
      <c r="Q750" t="s">
        <v>153</v>
      </c>
    </row>
    <row r="751" spans="9:17" ht="14.25">
      <c r="I751" t="s">
        <v>172</v>
      </c>
      <c r="J751" t="s">
        <v>164</v>
      </c>
      <c r="K751">
        <v>0.026489007788576043</v>
      </c>
      <c r="L751" t="s">
        <v>153</v>
      </c>
      <c r="N751" t="s">
        <v>182</v>
      </c>
      <c r="O751" t="s">
        <v>164</v>
      </c>
      <c r="P751">
        <v>0.0054936259756936806</v>
      </c>
      <c r="Q751" t="s">
        <v>153</v>
      </c>
    </row>
    <row r="752" spans="9:17" ht="14.25">
      <c r="I752" t="s">
        <v>172</v>
      </c>
      <c r="J752" t="s">
        <v>206</v>
      </c>
      <c r="K752">
        <v>0.0028840637424264858</v>
      </c>
      <c r="L752" t="s">
        <v>153</v>
      </c>
      <c r="N752" t="s">
        <v>182</v>
      </c>
      <c r="O752" t="s">
        <v>206</v>
      </c>
      <c r="P752">
        <v>0.00061625967208145415</v>
      </c>
      <c r="Q752" t="s">
        <v>153</v>
      </c>
    </row>
    <row r="753" spans="9:17" ht="14.25">
      <c r="I753" t="s">
        <v>172</v>
      </c>
      <c r="J753" t="s">
        <v>207</v>
      </c>
      <c r="K753">
        <v>0.0018282118024766196</v>
      </c>
      <c r="L753" t="s">
        <v>153</v>
      </c>
      <c r="N753" t="s">
        <v>182</v>
      </c>
      <c r="O753" t="s">
        <v>207</v>
      </c>
      <c r="P753">
        <v>0.00071345250827255756</v>
      </c>
      <c r="Q753" t="s">
        <v>153</v>
      </c>
    </row>
    <row r="754" spans="9:17" ht="14.25">
      <c r="I754" t="s">
        <v>172</v>
      </c>
      <c r="J754" t="s">
        <v>221</v>
      </c>
      <c r="K754">
        <v>0</v>
      </c>
      <c r="L754" t="s">
        <v>153</v>
      </c>
      <c r="N754" t="s">
        <v>182</v>
      </c>
      <c r="O754" t="s">
        <v>221</v>
      </c>
      <c r="P754">
        <v>0.0066512922883792212</v>
      </c>
      <c r="Q754" t="s">
        <v>153</v>
      </c>
    </row>
    <row r="755" spans="9:17" ht="14.25">
      <c r="I755" t="s">
        <v>172</v>
      </c>
      <c r="J755" t="s">
        <v>208</v>
      </c>
      <c r="K755">
        <v>0</v>
      </c>
      <c r="L755" t="s">
        <v>153</v>
      </c>
      <c r="N755" t="s">
        <v>182</v>
      </c>
      <c r="O755" t="s">
        <v>208</v>
      </c>
      <c r="P755">
        <v>0.017695210410515274</v>
      </c>
      <c r="Q755" t="s">
        <v>153</v>
      </c>
    </row>
    <row r="756" spans="9:17" ht="14.25">
      <c r="I756" t="s">
        <v>172</v>
      </c>
      <c r="J756" t="s">
        <v>209</v>
      </c>
      <c r="K756">
        <v>0.0024154973143232857</v>
      </c>
      <c r="L756" t="s">
        <v>153</v>
      </c>
      <c r="N756" t="s">
        <v>182</v>
      </c>
      <c r="O756" t="s">
        <v>209</v>
      </c>
      <c r="P756">
        <v>0.0027806060227922309</v>
      </c>
      <c r="Q756" t="s">
        <v>153</v>
      </c>
    </row>
    <row r="757" spans="9:17" ht="14.25">
      <c r="I757" t="s">
        <v>172</v>
      </c>
      <c r="J757" t="s">
        <v>210</v>
      </c>
      <c r="K757">
        <v>0.036345868199035132</v>
      </c>
      <c r="L757" t="s">
        <v>153</v>
      </c>
      <c r="N757" t="s">
        <v>182</v>
      </c>
      <c r="O757" t="s">
        <v>210</v>
      </c>
      <c r="P757">
        <v>0.015969794143260822</v>
      </c>
      <c r="Q757" t="s">
        <v>153</v>
      </c>
    </row>
    <row r="758" spans="9:17" ht="14.25">
      <c r="I758" t="s">
        <v>172</v>
      </c>
      <c r="J758" t="s">
        <v>211</v>
      </c>
      <c r="K758">
        <v>0.0037220698110465235</v>
      </c>
      <c r="L758" t="s">
        <v>153</v>
      </c>
      <c r="N758" t="s">
        <v>182</v>
      </c>
      <c r="O758" t="s">
        <v>211</v>
      </c>
      <c r="P758">
        <v>0.0018440021276191073</v>
      </c>
      <c r="Q758" t="s">
        <v>153</v>
      </c>
    </row>
    <row r="759" spans="9:17" ht="14.25">
      <c r="I759" t="s">
        <v>172</v>
      </c>
      <c r="J759" t="s">
        <v>212</v>
      </c>
      <c r="K759">
        <v>0.0024095872118917627</v>
      </c>
      <c r="L759" t="s">
        <v>153</v>
      </c>
      <c r="N759" t="s">
        <v>182</v>
      </c>
      <c r="O759" t="s">
        <v>212</v>
      </c>
      <c r="P759">
        <v>0.0017741404160516144</v>
      </c>
      <c r="Q759" t="s">
        <v>153</v>
      </c>
    </row>
    <row r="760" spans="9:17" ht="14.25">
      <c r="I760" t="s">
        <v>172</v>
      </c>
      <c r="J760" t="s">
        <v>222</v>
      </c>
      <c r="K760">
        <v>0</v>
      </c>
      <c r="L760" t="s">
        <v>153</v>
      </c>
      <c r="N760" t="s">
        <v>182</v>
      </c>
      <c r="O760" t="s">
        <v>222</v>
      </c>
      <c r="P760">
        <v>0.014861170496359448</v>
      </c>
      <c r="Q760" t="s">
        <v>153</v>
      </c>
    </row>
    <row r="761" spans="9:17" ht="14.25">
      <c r="I761" t="s">
        <v>172</v>
      </c>
      <c r="J761" t="s">
        <v>223</v>
      </c>
      <c r="K761">
        <v>0.00010680746829390533</v>
      </c>
      <c r="L761" t="s">
        <v>153</v>
      </c>
      <c r="N761" t="s">
        <v>182</v>
      </c>
      <c r="O761" t="s">
        <v>223</v>
      </c>
      <c r="P761">
        <v>0.0044497291068316906</v>
      </c>
      <c r="Q761" t="s">
        <v>153</v>
      </c>
    </row>
    <row r="762" spans="9:17" ht="14.25">
      <c r="I762" t="s">
        <v>172</v>
      </c>
      <c r="J762" t="s">
        <v>224</v>
      </c>
      <c r="K762">
        <v>0.00056119417393966139</v>
      </c>
      <c r="L762" t="s">
        <v>153</v>
      </c>
      <c r="N762" t="s">
        <v>182</v>
      </c>
      <c r="O762" t="s">
        <v>224</v>
      </c>
      <c r="P762">
        <v>0.00036645892936220683</v>
      </c>
      <c r="Q762" t="s">
        <v>153</v>
      </c>
    </row>
    <row r="763" spans="9:17" ht="14.25">
      <c r="I763" t="s">
        <v>172</v>
      </c>
      <c r="J763" t="s">
        <v>225</v>
      </c>
      <c r="K763">
        <v>0.0089734418206282428</v>
      </c>
      <c r="L763" t="s">
        <v>153</v>
      </c>
      <c r="N763" t="s">
        <v>182</v>
      </c>
      <c r="O763" t="s">
        <v>225</v>
      </c>
      <c r="P763">
        <v>0.0040389888012903824</v>
      </c>
      <c r="Q763" t="s">
        <v>153</v>
      </c>
    </row>
    <row r="764" spans="9:17" ht="14.25">
      <c r="I764" t="s">
        <v>172</v>
      </c>
      <c r="J764" t="s">
        <v>226</v>
      </c>
      <c r="K764">
        <v>0.00078698610487131686</v>
      </c>
      <c r="L764" t="s">
        <v>153</v>
      </c>
      <c r="N764" t="s">
        <v>182</v>
      </c>
      <c r="O764" t="s">
        <v>226</v>
      </c>
      <c r="P764">
        <v>0.00088978810015478645</v>
      </c>
      <c r="Q764" t="s">
        <v>153</v>
      </c>
    </row>
    <row r="765" spans="9:17" ht="14.25">
      <c r="I765" t="s">
        <v>172</v>
      </c>
      <c r="J765" t="s">
        <v>227</v>
      </c>
      <c r="K765">
        <v>0.00050893866381087542</v>
      </c>
      <c r="L765" t="s">
        <v>153</v>
      </c>
      <c r="N765" t="s">
        <v>182</v>
      </c>
      <c r="O765" t="s">
        <v>227</v>
      </c>
      <c r="P765">
        <v>0.00081183957129773911</v>
      </c>
      <c r="Q765" t="s">
        <v>153</v>
      </c>
    </row>
    <row r="766" spans="9:17" ht="14.25">
      <c r="I766" t="s">
        <v>172</v>
      </c>
      <c r="J766" t="s">
        <v>228</v>
      </c>
      <c r="K766">
        <v>0</v>
      </c>
      <c r="L766" t="s">
        <v>153</v>
      </c>
      <c r="N766" t="s">
        <v>182</v>
      </c>
      <c r="O766" t="s">
        <v>228</v>
      </c>
      <c r="P766">
        <v>0.0034939440614465038</v>
      </c>
      <c r="Q766" t="s">
        <v>153</v>
      </c>
    </row>
    <row r="767" spans="9:17" ht="14.25">
      <c r="I767" t="s">
        <v>172</v>
      </c>
      <c r="J767" t="s">
        <v>235</v>
      </c>
      <c r="K767">
        <v>0.0028942990373541843</v>
      </c>
      <c r="L767" t="s">
        <v>153</v>
      </c>
      <c r="N767" t="s">
        <v>182</v>
      </c>
      <c r="O767" t="s">
        <v>235</v>
      </c>
      <c r="P767">
        <v>0.02121823304871125</v>
      </c>
      <c r="Q767" t="s">
        <v>153</v>
      </c>
    </row>
    <row r="768" spans="9:17" ht="14.25">
      <c r="I768" t="s">
        <v>172</v>
      </c>
      <c r="J768" t="s">
        <v>236</v>
      </c>
      <c r="K768">
        <v>0.0057649504067106439</v>
      </c>
      <c r="L768" t="s">
        <v>153</v>
      </c>
      <c r="N768" t="s">
        <v>182</v>
      </c>
      <c r="O768" t="s">
        <v>236</v>
      </c>
      <c r="P768">
        <v>0.0024367248760741415</v>
      </c>
      <c r="Q768" t="s">
        <v>153</v>
      </c>
    </row>
    <row r="769" spans="9:17" ht="14.25">
      <c r="I769" t="s">
        <v>172</v>
      </c>
      <c r="J769" t="s">
        <v>237</v>
      </c>
      <c r="K769">
        <v>0.069475067778040883</v>
      </c>
      <c r="L769" t="s">
        <v>153</v>
      </c>
      <c r="N769" t="s">
        <v>182</v>
      </c>
      <c r="O769" t="s">
        <v>237</v>
      </c>
      <c r="P769">
        <v>0.020135691161632087</v>
      </c>
      <c r="Q769" t="s">
        <v>153</v>
      </c>
    </row>
    <row r="770" spans="9:17" ht="14.25">
      <c r="I770" t="s">
        <v>172</v>
      </c>
      <c r="J770" t="s">
        <v>238</v>
      </c>
      <c r="K770">
        <v>0.0066966469724511566</v>
      </c>
      <c r="L770" t="s">
        <v>153</v>
      </c>
      <c r="N770" t="s">
        <v>182</v>
      </c>
      <c r="O770" t="s">
        <v>238</v>
      </c>
      <c r="P770">
        <v>0.003344265603209553</v>
      </c>
      <c r="Q770" t="s">
        <v>153</v>
      </c>
    </row>
    <row r="771" spans="9:17" ht="14.25">
      <c r="I771" t="s">
        <v>172</v>
      </c>
      <c r="J771" t="s">
        <v>239</v>
      </c>
      <c r="K771">
        <v>0.0045887164252372391</v>
      </c>
      <c r="L771" t="s">
        <v>153</v>
      </c>
      <c r="N771" t="s">
        <v>182</v>
      </c>
      <c r="O771" t="s">
        <v>239</v>
      </c>
      <c r="P771">
        <v>0.0034214794916277757</v>
      </c>
      <c r="Q771" t="s">
        <v>153</v>
      </c>
    </row>
    <row r="772" spans="9:17" ht="14.25">
      <c r="I772" t="s">
        <v>172</v>
      </c>
      <c r="J772" t="s">
        <v>240</v>
      </c>
      <c r="K772">
        <v>0.001540314916182832</v>
      </c>
      <c r="L772" t="s">
        <v>153</v>
      </c>
      <c r="N772" t="s">
        <v>182</v>
      </c>
      <c r="O772" t="s">
        <v>240</v>
      </c>
      <c r="P772">
        <v>0.027629523305455657</v>
      </c>
      <c r="Q772" t="s">
        <v>153</v>
      </c>
    </row>
    <row r="773" spans="9:17" ht="14.25">
      <c r="I773" t="s">
        <v>172</v>
      </c>
      <c r="J773" t="s">
        <v>241</v>
      </c>
      <c r="K773">
        <v>0.0023438573484017059</v>
      </c>
      <c r="L773" t="s">
        <v>153</v>
      </c>
      <c r="N773" t="s">
        <v>182</v>
      </c>
      <c r="O773" t="s">
        <v>241</v>
      </c>
      <c r="P773">
        <v>0.012683179784881711</v>
      </c>
      <c r="Q773" t="s">
        <v>153</v>
      </c>
    </row>
    <row r="774" spans="9:17" ht="14.25">
      <c r="I774" t="s">
        <v>172</v>
      </c>
      <c r="J774" t="s">
        <v>242</v>
      </c>
      <c r="K774">
        <v>0.0043453590348939324</v>
      </c>
      <c r="L774" t="s">
        <v>153</v>
      </c>
      <c r="N774" t="s">
        <v>182</v>
      </c>
      <c r="O774" t="s">
        <v>242</v>
      </c>
      <c r="P774">
        <v>0.00092366952940752325</v>
      </c>
      <c r="Q774" t="s">
        <v>153</v>
      </c>
    </row>
    <row r="775" spans="9:17" ht="14.25">
      <c r="I775" t="s">
        <v>172</v>
      </c>
      <c r="J775" t="s">
        <v>243</v>
      </c>
      <c r="K775">
        <v>0.049903852286365832</v>
      </c>
      <c r="L775" t="s">
        <v>153</v>
      </c>
      <c r="N775" t="s">
        <v>182</v>
      </c>
      <c r="O775" t="s">
        <v>243</v>
      </c>
      <c r="P775">
        <v>0.015175076854692113</v>
      </c>
      <c r="Q775" t="s">
        <v>153</v>
      </c>
    </row>
    <row r="776" spans="9:17" ht="14.25">
      <c r="I776" t="s">
        <v>172</v>
      </c>
      <c r="J776" t="s">
        <v>244</v>
      </c>
      <c r="K776">
        <v>0.0045071327168087639</v>
      </c>
      <c r="L776" t="s">
        <v>153</v>
      </c>
      <c r="N776" t="s">
        <v>182</v>
      </c>
      <c r="O776" t="s">
        <v>244</v>
      </c>
      <c r="P776">
        <v>0.0040650917409911268</v>
      </c>
      <c r="Q776" t="s">
        <v>153</v>
      </c>
    </row>
    <row r="777" spans="9:17" ht="14.25">
      <c r="I777" t="s">
        <v>172</v>
      </c>
      <c r="J777" t="s">
        <v>245</v>
      </c>
      <c r="K777">
        <v>0.0032219403358052733</v>
      </c>
      <c r="L777" t="s">
        <v>153</v>
      </c>
      <c r="N777" t="s">
        <v>182</v>
      </c>
      <c r="O777" t="s">
        <v>245</v>
      </c>
      <c r="P777">
        <v>0.0043126938349806396</v>
      </c>
      <c r="Q777" t="s">
        <v>153</v>
      </c>
    </row>
    <row r="778" spans="9:17" ht="14.25">
      <c r="I778" t="s">
        <v>172</v>
      </c>
      <c r="J778" t="s">
        <v>246</v>
      </c>
      <c r="K778">
        <v>0.0013443290224200708</v>
      </c>
      <c r="L778" t="s">
        <v>153</v>
      </c>
      <c r="N778" t="s">
        <v>182</v>
      </c>
      <c r="O778" t="s">
        <v>246</v>
      </c>
      <c r="P778">
        <v>0.025094800715671571</v>
      </c>
      <c r="Q778" t="s">
        <v>153</v>
      </c>
    </row>
    <row r="779" spans="9:17" ht="14.25">
      <c r="I779" t="s">
        <v>172</v>
      </c>
      <c r="J779" t="s">
        <v>247</v>
      </c>
      <c r="K779">
        <v>0.002196468469914128</v>
      </c>
      <c r="L779" t="s">
        <v>153</v>
      </c>
      <c r="N779" t="s">
        <v>182</v>
      </c>
      <c r="O779" t="s">
        <v>247</v>
      </c>
      <c r="P779">
        <v>0.017540189318346742</v>
      </c>
      <c r="Q779" t="s">
        <v>153</v>
      </c>
    </row>
    <row r="780" spans="9:17" ht="14.25">
      <c r="I780" t="s">
        <v>172</v>
      </c>
      <c r="J780" t="s">
        <v>248</v>
      </c>
      <c r="K780">
        <v>0.0040123628728802692</v>
      </c>
      <c r="L780" t="s">
        <v>153</v>
      </c>
      <c r="N780" t="s">
        <v>182</v>
      </c>
      <c r="O780" t="s">
        <v>248</v>
      </c>
      <c r="P780">
        <v>0.0018887660706267066</v>
      </c>
      <c r="Q780" t="s">
        <v>153</v>
      </c>
    </row>
    <row r="781" spans="9:17" ht="14.25">
      <c r="I781" t="s">
        <v>172</v>
      </c>
      <c r="J781" t="s">
        <v>249</v>
      </c>
      <c r="K781">
        <v>0.048696228562865339</v>
      </c>
      <c r="L781" t="s">
        <v>153</v>
      </c>
      <c r="N781" t="s">
        <v>182</v>
      </c>
      <c r="O781" t="s">
        <v>249</v>
      </c>
      <c r="P781">
        <v>0.010943601328501147</v>
      </c>
      <c r="Q781" t="s">
        <v>153</v>
      </c>
    </row>
    <row r="782" spans="9:17" ht="14.25">
      <c r="I782" t="s">
        <v>172</v>
      </c>
      <c r="J782" t="s">
        <v>250</v>
      </c>
      <c r="K782">
        <v>0.0046754714870133962</v>
      </c>
      <c r="L782" t="s">
        <v>153</v>
      </c>
      <c r="N782" t="s">
        <v>182</v>
      </c>
      <c r="O782" t="s">
        <v>250</v>
      </c>
      <c r="P782">
        <v>0.0020526943122949016</v>
      </c>
      <c r="Q782" t="s">
        <v>153</v>
      </c>
    </row>
    <row r="783" spans="9:17" ht="14.25">
      <c r="I783" t="s">
        <v>172</v>
      </c>
      <c r="J783" t="s">
        <v>251</v>
      </c>
      <c r="K783">
        <v>0.0033464834490621194</v>
      </c>
      <c r="L783" t="s">
        <v>153</v>
      </c>
      <c r="N783" t="s">
        <v>182</v>
      </c>
      <c r="O783" t="s">
        <v>251</v>
      </c>
      <c r="P783">
        <v>0.0025579407131493428</v>
      </c>
      <c r="Q783" t="s">
        <v>153</v>
      </c>
    </row>
    <row r="784" spans="9:17" ht="14.25">
      <c r="I784" t="s">
        <v>172</v>
      </c>
      <c r="J784" t="s">
        <v>252</v>
      </c>
      <c r="K784">
        <v>0.001388435108215514</v>
      </c>
      <c r="L784" t="s">
        <v>153</v>
      </c>
      <c r="N784" t="s">
        <v>182</v>
      </c>
      <c r="O784" t="s">
        <v>252</v>
      </c>
      <c r="P784">
        <v>0.023265687979417849</v>
      </c>
      <c r="Q784" t="s">
        <v>153</v>
      </c>
    </row>
    <row r="785" spans="9:17" ht="14.25">
      <c r="I785" t="s">
        <v>172</v>
      </c>
      <c r="J785" t="s">
        <v>262</v>
      </c>
      <c r="K785">
        <v>0.00056157686997158809</v>
      </c>
      <c r="L785" t="s">
        <v>153</v>
      </c>
      <c r="N785" t="s">
        <v>182</v>
      </c>
      <c r="O785" t="s">
        <v>262</v>
      </c>
      <c r="P785">
        <v>0.0048165539763149034</v>
      </c>
      <c r="Q785" t="s">
        <v>153</v>
      </c>
    </row>
    <row r="786" spans="9:17" ht="14.25">
      <c r="I786" t="s">
        <v>172</v>
      </c>
      <c r="J786" t="s">
        <v>263</v>
      </c>
      <c r="K786">
        <v>0.0010963707117187897</v>
      </c>
      <c r="L786" t="s">
        <v>153</v>
      </c>
      <c r="N786" t="s">
        <v>182</v>
      </c>
      <c r="O786" t="s">
        <v>263</v>
      </c>
      <c r="P786">
        <v>0.00035302482381054036</v>
      </c>
      <c r="Q786" t="s">
        <v>153</v>
      </c>
    </row>
    <row r="787" spans="9:17" ht="14.25">
      <c r="I787" t="s">
        <v>172</v>
      </c>
      <c r="J787" t="s">
        <v>264</v>
      </c>
      <c r="K787">
        <v>0.013659547191617672</v>
      </c>
      <c r="L787" t="s">
        <v>153</v>
      </c>
      <c r="N787" t="s">
        <v>182</v>
      </c>
      <c r="O787" t="s">
        <v>264</v>
      </c>
      <c r="P787">
        <v>0.010403122709816354</v>
      </c>
      <c r="Q787" t="s">
        <v>153</v>
      </c>
    </row>
    <row r="788" spans="9:17" ht="14.25">
      <c r="I788" t="s">
        <v>172</v>
      </c>
      <c r="J788" t="s">
        <v>265</v>
      </c>
      <c r="K788">
        <v>0.0013053159797839129</v>
      </c>
      <c r="L788" t="s">
        <v>153</v>
      </c>
      <c r="N788" t="s">
        <v>182</v>
      </c>
      <c r="O788" t="s">
        <v>265</v>
      </c>
      <c r="P788">
        <v>0.0021602092071494575</v>
      </c>
      <c r="Q788" t="s">
        <v>153</v>
      </c>
    </row>
    <row r="789" spans="9:17" ht="14.25">
      <c r="I789" t="s">
        <v>172</v>
      </c>
      <c r="J789" t="s">
        <v>266</v>
      </c>
      <c r="K789">
        <v>0.00091758467382900631</v>
      </c>
      <c r="L789" t="s">
        <v>153</v>
      </c>
      <c r="N789" t="s">
        <v>182</v>
      </c>
      <c r="O789" t="s">
        <v>266</v>
      </c>
      <c r="P789">
        <v>0.0023603941031002272</v>
      </c>
      <c r="Q789" t="s">
        <v>153</v>
      </c>
    </row>
    <row r="790" spans="9:17" ht="14.25">
      <c r="I790" t="s">
        <v>172</v>
      </c>
      <c r="J790" t="s">
        <v>267</v>
      </c>
      <c r="K790">
        <v>0.00035891098700013705</v>
      </c>
      <c r="L790" t="s">
        <v>153</v>
      </c>
      <c r="N790" t="s">
        <v>182</v>
      </c>
      <c r="O790" t="s">
        <v>267</v>
      </c>
      <c r="P790">
        <v>0.012358312929701938</v>
      </c>
      <c r="Q790" t="s">
        <v>153</v>
      </c>
    </row>
    <row r="791" spans="9:17" ht="14.25">
      <c r="I791" t="s">
        <v>172</v>
      </c>
      <c r="J791" t="s">
        <v>268</v>
      </c>
      <c r="K791">
        <v>0.00063611680406973337</v>
      </c>
      <c r="L791" t="s">
        <v>153</v>
      </c>
      <c r="N791" t="s">
        <v>182</v>
      </c>
      <c r="O791" t="s">
        <v>268</v>
      </c>
      <c r="P791">
        <v>0.0057159664425128626</v>
      </c>
      <c r="Q791" t="s">
        <v>153</v>
      </c>
    </row>
    <row r="792" spans="9:17" ht="14.25">
      <c r="I792" t="s">
        <v>172</v>
      </c>
      <c r="J792" t="s">
        <v>269</v>
      </c>
      <c r="K792">
        <v>0.0013985364279232547</v>
      </c>
      <c r="L792" t="s">
        <v>153</v>
      </c>
      <c r="N792" t="s">
        <v>182</v>
      </c>
      <c r="O792" t="s">
        <v>269</v>
      </c>
      <c r="P792">
        <v>0.00011489369494569542</v>
      </c>
      <c r="Q792" t="s">
        <v>153</v>
      </c>
    </row>
    <row r="793" spans="9:17" ht="14.25">
      <c r="I793" t="s">
        <v>172</v>
      </c>
      <c r="J793" t="s">
        <v>270</v>
      </c>
      <c r="K793">
        <v>0.019841534148240213</v>
      </c>
      <c r="L793" t="s">
        <v>153</v>
      </c>
      <c r="N793" t="s">
        <v>182</v>
      </c>
      <c r="O793" t="s">
        <v>270</v>
      </c>
      <c r="P793">
        <v>0.0056978599468626269</v>
      </c>
      <c r="Q793" t="s">
        <v>153</v>
      </c>
    </row>
    <row r="794" spans="9:17" ht="14.25">
      <c r="I794" t="s">
        <v>172</v>
      </c>
      <c r="J794" t="s">
        <v>271</v>
      </c>
      <c r="K794">
        <v>0.0018711511721197784</v>
      </c>
      <c r="L794" t="s">
        <v>153</v>
      </c>
      <c r="N794" t="s">
        <v>182</v>
      </c>
      <c r="O794" t="s">
        <v>271</v>
      </c>
      <c r="P794">
        <v>0.0019926105593025636</v>
      </c>
      <c r="Q794" t="s">
        <v>153</v>
      </c>
    </row>
    <row r="795" spans="9:17" ht="14.25">
      <c r="I795" t="s">
        <v>172</v>
      </c>
      <c r="J795" t="s">
        <v>272</v>
      </c>
      <c r="K795">
        <v>0.001304179881532413</v>
      </c>
      <c r="L795" t="s">
        <v>153</v>
      </c>
      <c r="N795" t="s">
        <v>182</v>
      </c>
      <c r="O795" t="s">
        <v>272</v>
      </c>
      <c r="P795">
        <v>0.0021374154041980038</v>
      </c>
      <c r="Q795" t="s">
        <v>153</v>
      </c>
    </row>
    <row r="796" spans="9:17" ht="14.25">
      <c r="I796" t="s">
        <v>172</v>
      </c>
      <c r="J796" t="s">
        <v>273</v>
      </c>
      <c r="K796">
        <v>0.00050131104227293998</v>
      </c>
      <c r="L796" t="s">
        <v>153</v>
      </c>
      <c r="N796" t="s">
        <v>182</v>
      </c>
      <c r="O796" t="s">
        <v>273</v>
      </c>
      <c r="P796">
        <v>0.015116025564849376</v>
      </c>
      <c r="Q796" t="s">
        <v>153</v>
      </c>
    </row>
    <row r="797" spans="9:17" ht="14.25">
      <c r="I797" t="s">
        <v>172</v>
      </c>
      <c r="J797" t="s">
        <v>274</v>
      </c>
      <c r="K797">
        <v>0.0025667475874070313</v>
      </c>
      <c r="L797" t="s">
        <v>153</v>
      </c>
      <c r="N797" t="s">
        <v>182</v>
      </c>
      <c r="O797" t="s">
        <v>274</v>
      </c>
      <c r="P797">
        <v>0.026786393230418547</v>
      </c>
      <c r="Q797" t="s">
        <v>153</v>
      </c>
    </row>
    <row r="798" spans="9:17" ht="14.25">
      <c r="I798" t="s">
        <v>172</v>
      </c>
      <c r="J798" t="s">
        <v>275</v>
      </c>
      <c r="K798">
        <v>0.0061465216550807052</v>
      </c>
      <c r="L798" t="s">
        <v>153</v>
      </c>
      <c r="N798" t="s">
        <v>182</v>
      </c>
      <c r="O798" t="s">
        <v>275</v>
      </c>
      <c r="P798">
        <v>0.0036509274121724888</v>
      </c>
      <c r="Q798" t="s">
        <v>153</v>
      </c>
    </row>
    <row r="799" spans="9:17" ht="14.25">
      <c r="I799" t="s">
        <v>172</v>
      </c>
      <c r="J799" t="s">
        <v>276</v>
      </c>
      <c r="K799">
        <v>0.086752875894279199</v>
      </c>
      <c r="L799" t="s">
        <v>153</v>
      </c>
      <c r="N799" t="s">
        <v>182</v>
      </c>
      <c r="O799" t="s">
        <v>276</v>
      </c>
      <c r="P799">
        <v>0.026635542724048628</v>
      </c>
      <c r="Q799" t="s">
        <v>153</v>
      </c>
    </row>
    <row r="800" spans="9:17" ht="14.25">
      <c r="I800" t="s">
        <v>172</v>
      </c>
      <c r="J800" t="s">
        <v>277</v>
      </c>
      <c r="K800">
        <v>0.0078410705971103355</v>
      </c>
      <c r="L800" t="s">
        <v>153</v>
      </c>
      <c r="N800" t="s">
        <v>182</v>
      </c>
      <c r="O800" t="s">
        <v>277</v>
      </c>
      <c r="P800">
        <v>0.0039218063208218724</v>
      </c>
      <c r="Q800" t="s">
        <v>153</v>
      </c>
    </row>
    <row r="801" spans="9:17" ht="14.25">
      <c r="I801" t="s">
        <v>172</v>
      </c>
      <c r="J801" t="s">
        <v>278</v>
      </c>
      <c r="K801">
        <v>0.0053578904640595639</v>
      </c>
      <c r="L801" t="s">
        <v>153</v>
      </c>
      <c r="N801" t="s">
        <v>182</v>
      </c>
      <c r="O801" t="s">
        <v>278</v>
      </c>
      <c r="P801">
        <v>0.0043373820020081366</v>
      </c>
      <c r="Q801" t="s">
        <v>153</v>
      </c>
    </row>
    <row r="802" spans="9:17" ht="14.25">
      <c r="I802" t="s">
        <v>172</v>
      </c>
      <c r="J802" t="s">
        <v>279</v>
      </c>
      <c r="K802">
        <v>0.001976798483113662</v>
      </c>
      <c r="L802" t="s">
        <v>153</v>
      </c>
      <c r="N802" t="s">
        <v>182</v>
      </c>
      <c r="O802" t="s">
        <v>279</v>
      </c>
      <c r="P802">
        <v>0.039048220837539852</v>
      </c>
      <c r="Q802" t="s">
        <v>153</v>
      </c>
    </row>
    <row r="803" spans="9:17" ht="14.25">
      <c r="I803" t="s">
        <v>172</v>
      </c>
      <c r="J803" t="s">
        <v>280</v>
      </c>
      <c r="K803">
        <v>0.0031107674583290513</v>
      </c>
      <c r="L803" t="s">
        <v>153</v>
      </c>
      <c r="N803" t="s">
        <v>182</v>
      </c>
      <c r="O803" t="s">
        <v>280</v>
      </c>
      <c r="P803">
        <v>0.053877579760576409</v>
      </c>
      <c r="Q803" t="s">
        <v>153</v>
      </c>
    </row>
    <row r="804" spans="9:17" ht="14.25">
      <c r="I804" t="s">
        <v>172</v>
      </c>
      <c r="J804" t="s">
        <v>281</v>
      </c>
      <c r="K804">
        <v>0.0082331836604839451</v>
      </c>
      <c r="L804" t="s">
        <v>153</v>
      </c>
      <c r="N804" t="s">
        <v>182</v>
      </c>
      <c r="O804" t="s">
        <v>281</v>
      </c>
      <c r="P804">
        <v>0.0075961906793988619</v>
      </c>
      <c r="Q804" t="s">
        <v>153</v>
      </c>
    </row>
    <row r="805" spans="9:17" ht="14.25">
      <c r="I805" t="s">
        <v>172</v>
      </c>
      <c r="J805" t="s">
        <v>282</v>
      </c>
      <c r="K805">
        <v>0.11794127606309845</v>
      </c>
      <c r="L805" t="s">
        <v>153</v>
      </c>
      <c r="N805" t="s">
        <v>182</v>
      </c>
      <c r="O805" t="s">
        <v>282</v>
      </c>
      <c r="P805">
        <v>0.03315113183307071</v>
      </c>
      <c r="Q805" t="s">
        <v>153</v>
      </c>
    </row>
    <row r="806" spans="9:17" ht="14.25">
      <c r="I806" t="s">
        <v>172</v>
      </c>
      <c r="J806" t="s">
        <v>283</v>
      </c>
      <c r="K806">
        <v>0.010246170676076628</v>
      </c>
      <c r="L806" t="s">
        <v>153</v>
      </c>
      <c r="N806" t="s">
        <v>182</v>
      </c>
      <c r="O806" t="s">
        <v>283</v>
      </c>
      <c r="P806">
        <v>0.0016682372867560704</v>
      </c>
      <c r="Q806" t="s">
        <v>153</v>
      </c>
    </row>
    <row r="807" spans="9:17" ht="14.25">
      <c r="I807" t="s">
        <v>172</v>
      </c>
      <c r="J807" t="s">
        <v>284</v>
      </c>
      <c r="K807">
        <v>0.0059686716299039043</v>
      </c>
      <c r="L807" t="s">
        <v>153</v>
      </c>
      <c r="N807" t="s">
        <v>182</v>
      </c>
      <c r="O807" t="s">
        <v>284</v>
      </c>
      <c r="P807">
        <v>0.0019975306497493238</v>
      </c>
      <c r="Q807" t="s">
        <v>153</v>
      </c>
    </row>
    <row r="808" spans="9:17" ht="14.25">
      <c r="I808" t="s">
        <v>172</v>
      </c>
      <c r="J808" t="s">
        <v>285</v>
      </c>
      <c r="K808">
        <v>0.0011209101144067117</v>
      </c>
      <c r="L808" t="s">
        <v>153</v>
      </c>
      <c r="N808" t="s">
        <v>182</v>
      </c>
      <c r="O808" t="s">
        <v>285</v>
      </c>
      <c r="P808">
        <v>0.037253627838321431</v>
      </c>
      <c r="Q808" t="s">
        <v>153</v>
      </c>
    </row>
    <row r="809" spans="9:17" ht="14.25">
      <c r="I809" t="s">
        <v>172</v>
      </c>
      <c r="J809" t="s">
        <v>286</v>
      </c>
      <c r="K809">
        <v>0.0023398060860350513</v>
      </c>
      <c r="L809" t="s">
        <v>153</v>
      </c>
      <c r="N809" t="s">
        <v>182</v>
      </c>
      <c r="O809" t="s">
        <v>286</v>
      </c>
      <c r="P809">
        <v>0.051435610690611616</v>
      </c>
      <c r="Q809" t="s">
        <v>153</v>
      </c>
    </row>
    <row r="810" spans="9:17" ht="14.25">
      <c r="I810" t="s">
        <v>172</v>
      </c>
      <c r="J810" t="s">
        <v>287</v>
      </c>
      <c r="K810">
        <v>0.012747180382492975</v>
      </c>
      <c r="L810" t="s">
        <v>153</v>
      </c>
      <c r="N810" t="s">
        <v>182</v>
      </c>
      <c r="O810" t="s">
        <v>287</v>
      </c>
      <c r="P810">
        <v>0.0057776584031326763</v>
      </c>
      <c r="Q810" t="s">
        <v>153</v>
      </c>
    </row>
    <row r="811" spans="9:17" ht="14.25">
      <c r="I811" t="s">
        <v>172</v>
      </c>
      <c r="J811" t="s">
        <v>288</v>
      </c>
      <c r="K811">
        <v>0.17246554959001917</v>
      </c>
      <c r="L811" t="s">
        <v>153</v>
      </c>
      <c r="N811" t="s">
        <v>182</v>
      </c>
      <c r="O811" t="s">
        <v>288</v>
      </c>
      <c r="P811">
        <v>0.028011566631813124</v>
      </c>
      <c r="Q811" t="s">
        <v>153</v>
      </c>
    </row>
    <row r="812" spans="9:17" ht="14.25">
      <c r="I812" t="s">
        <v>172</v>
      </c>
      <c r="J812" t="s">
        <v>289</v>
      </c>
      <c r="K812">
        <v>0.014885208766999947</v>
      </c>
      <c r="L812" t="s">
        <v>153</v>
      </c>
      <c r="N812" t="s">
        <v>182</v>
      </c>
      <c r="O812" t="s">
        <v>289</v>
      </c>
      <c r="P812">
        <v>0.0050846801959819731</v>
      </c>
      <c r="Q812" t="s">
        <v>153</v>
      </c>
    </row>
    <row r="813" spans="9:17" ht="14.25">
      <c r="I813" t="s">
        <v>172</v>
      </c>
      <c r="J813" t="s">
        <v>290</v>
      </c>
      <c r="K813">
        <v>0.0042945583058858934</v>
      </c>
      <c r="L813" t="s">
        <v>153</v>
      </c>
      <c r="N813" t="s">
        <v>182</v>
      </c>
      <c r="O813" t="s">
        <v>290</v>
      </c>
      <c r="P813">
        <v>0.0067355377174247973</v>
      </c>
      <c r="Q813" t="s">
        <v>153</v>
      </c>
    </row>
    <row r="814" spans="9:17" ht="14.25">
      <c r="I814" t="s">
        <v>172</v>
      </c>
      <c r="J814" t="s">
        <v>291</v>
      </c>
      <c r="K814">
        <v>0</v>
      </c>
      <c r="L814" t="s">
        <v>153</v>
      </c>
      <c r="N814" t="s">
        <v>182</v>
      </c>
      <c r="O814" t="s">
        <v>291</v>
      </c>
      <c r="P814">
        <v>0.062906692462454991</v>
      </c>
      <c r="Q814" t="s">
        <v>153</v>
      </c>
    </row>
    <row r="815" spans="9:17" ht="14.25">
      <c r="I815" t="s">
        <v>172</v>
      </c>
      <c r="J815" t="s">
        <v>292</v>
      </c>
      <c r="K815">
        <v>0</v>
      </c>
      <c r="L815" t="s">
        <v>153</v>
      </c>
      <c r="N815" t="s">
        <v>182</v>
      </c>
      <c r="O815" t="s">
        <v>292</v>
      </c>
      <c r="P815">
        <v>0.023295521384966402</v>
      </c>
      <c r="Q815" t="s">
        <v>153</v>
      </c>
    </row>
    <row r="816" spans="9:17" ht="14.25">
      <c r="I816" t="s">
        <v>172</v>
      </c>
      <c r="J816" t="s">
        <v>293</v>
      </c>
      <c r="K816">
        <v>0.0022836032663289584</v>
      </c>
      <c r="L816" t="s">
        <v>153</v>
      </c>
      <c r="N816" t="s">
        <v>182</v>
      </c>
      <c r="O816" t="s">
        <v>293</v>
      </c>
      <c r="P816">
        <v>0.0028545683863662771</v>
      </c>
      <c r="Q816" t="s">
        <v>153</v>
      </c>
    </row>
    <row r="817" spans="9:17" ht="14.25">
      <c r="I817" t="s">
        <v>172</v>
      </c>
      <c r="J817" t="s">
        <v>294</v>
      </c>
      <c r="K817">
        <v>0.036951884151956049</v>
      </c>
      <c r="L817" t="s">
        <v>153</v>
      </c>
      <c r="N817" t="s">
        <v>182</v>
      </c>
      <c r="O817" t="s">
        <v>294</v>
      </c>
      <c r="P817">
        <v>0.017561913282594436</v>
      </c>
      <c r="Q817" t="s">
        <v>153</v>
      </c>
    </row>
    <row r="818" spans="9:17" ht="14.25">
      <c r="I818" t="s">
        <v>172</v>
      </c>
      <c r="J818" t="s">
        <v>295</v>
      </c>
      <c r="K818">
        <v>0.0033618491374884439</v>
      </c>
      <c r="L818" t="s">
        <v>153</v>
      </c>
      <c r="N818" t="s">
        <v>182</v>
      </c>
      <c r="O818" t="s">
        <v>295</v>
      </c>
      <c r="P818">
        <v>0.0029520808573270082</v>
      </c>
      <c r="Q818" t="s">
        <v>153</v>
      </c>
    </row>
    <row r="819" spans="9:17" ht="14.25">
      <c r="I819" t="s">
        <v>172</v>
      </c>
      <c r="J819" t="s">
        <v>296</v>
      </c>
      <c r="K819">
        <v>0.0012165556500950132</v>
      </c>
      <c r="L819" t="s">
        <v>153</v>
      </c>
      <c r="N819" t="s">
        <v>182</v>
      </c>
      <c r="O819" t="s">
        <v>296</v>
      </c>
      <c r="P819">
        <v>0.0036057706589691127</v>
      </c>
      <c r="Q819" t="s">
        <v>153</v>
      </c>
    </row>
    <row r="820" spans="9:17" ht="14.25">
      <c r="I820" t="s">
        <v>172</v>
      </c>
      <c r="J820" t="s">
        <v>297</v>
      </c>
      <c r="K820">
        <v>0</v>
      </c>
      <c r="L820" t="s">
        <v>153</v>
      </c>
      <c r="N820" t="s">
        <v>182</v>
      </c>
      <c r="O820" t="s">
        <v>297</v>
      </c>
      <c r="P820">
        <v>0.026563637082881723</v>
      </c>
      <c r="Q820" t="s">
        <v>153</v>
      </c>
    </row>
    <row r="821" spans="9:17" ht="14.25">
      <c r="I821" t="s">
        <v>173</v>
      </c>
      <c r="J821" t="s">
        <v>152</v>
      </c>
      <c r="K821">
        <v>0</v>
      </c>
      <c r="L821" t="s">
        <v>153</v>
      </c>
      <c r="N821" t="s">
        <v>183</v>
      </c>
      <c r="O821" t="s">
        <v>152</v>
      </c>
      <c r="P821">
        <v>0.0019836254093080208</v>
      </c>
      <c r="Q821" t="s">
        <v>153</v>
      </c>
    </row>
    <row r="822" spans="9:17" ht="14.25">
      <c r="I822" t="s">
        <v>173</v>
      </c>
      <c r="J822" t="s">
        <v>154</v>
      </c>
      <c r="K822">
        <v>0.00076166079687715101</v>
      </c>
      <c r="L822" t="s">
        <v>153</v>
      </c>
      <c r="N822" t="s">
        <v>183</v>
      </c>
      <c r="O822" t="s">
        <v>154</v>
      </c>
      <c r="P822">
        <v>7.5196875974232268E-05</v>
      </c>
      <c r="Q822" t="s">
        <v>153</v>
      </c>
    </row>
    <row r="823" spans="9:17" ht="14.25">
      <c r="I823" t="s">
        <v>173</v>
      </c>
      <c r="J823" t="s">
        <v>155</v>
      </c>
      <c r="K823">
        <v>0.012988583695746982</v>
      </c>
      <c r="L823" t="s">
        <v>153</v>
      </c>
      <c r="N823" t="s">
        <v>183</v>
      </c>
      <c r="O823" t="s">
        <v>155</v>
      </c>
      <c r="P823">
        <v>0.0011663800506238932</v>
      </c>
      <c r="Q823" t="s">
        <v>153</v>
      </c>
    </row>
    <row r="824" spans="9:17" ht="14.25">
      <c r="I824" t="s">
        <v>173</v>
      </c>
      <c r="J824" t="s">
        <v>200</v>
      </c>
      <c r="K824">
        <v>0.0013072272535466424</v>
      </c>
      <c r="L824" t="s">
        <v>153</v>
      </c>
      <c r="N824" t="s">
        <v>183</v>
      </c>
      <c r="O824" t="s">
        <v>200</v>
      </c>
      <c r="P824">
        <v>0.00047905381133473828</v>
      </c>
      <c r="Q824" t="s">
        <v>153</v>
      </c>
    </row>
    <row r="825" spans="9:17" ht="14.25">
      <c r="I825" t="s">
        <v>173</v>
      </c>
      <c r="J825" t="s">
        <v>201</v>
      </c>
      <c r="K825">
        <v>0.00074667407794944563</v>
      </c>
      <c r="L825" t="s">
        <v>153</v>
      </c>
      <c r="N825" t="s">
        <v>183</v>
      </c>
      <c r="O825" t="s">
        <v>201</v>
      </c>
      <c r="P825">
        <v>0.00061531772403169321</v>
      </c>
      <c r="Q825" t="s">
        <v>153</v>
      </c>
    </row>
    <row r="826" spans="9:17" ht="14.25">
      <c r="I826" t="s">
        <v>173</v>
      </c>
      <c r="J826" t="s">
        <v>218</v>
      </c>
      <c r="K826">
        <v>0</v>
      </c>
      <c r="L826" t="s">
        <v>153</v>
      </c>
      <c r="N826" t="s">
        <v>183</v>
      </c>
      <c r="O826" t="s">
        <v>218</v>
      </c>
      <c r="P826">
        <v>0.0042467224982594412</v>
      </c>
      <c r="Q826" t="s">
        <v>153</v>
      </c>
    </row>
    <row r="827" spans="9:17" ht="14.25">
      <c r="I827" t="s">
        <v>173</v>
      </c>
      <c r="J827" t="s">
        <v>156</v>
      </c>
      <c r="K827">
        <v>0</v>
      </c>
      <c r="L827" t="s">
        <v>153</v>
      </c>
      <c r="N827" t="s">
        <v>183</v>
      </c>
      <c r="O827" t="s">
        <v>156</v>
      </c>
      <c r="P827">
        <v>0.035404958793734183</v>
      </c>
      <c r="Q827" t="s">
        <v>153</v>
      </c>
    </row>
    <row r="828" spans="9:17" ht="14.25">
      <c r="I828" t="s">
        <v>173</v>
      </c>
      <c r="J828" t="s">
        <v>157</v>
      </c>
      <c r="K828">
        <v>0.0033455274932593132</v>
      </c>
      <c r="L828" t="s">
        <v>153</v>
      </c>
      <c r="N828" t="s">
        <v>183</v>
      </c>
      <c r="O828" t="s">
        <v>157</v>
      </c>
      <c r="P828">
        <v>0.0054916019906803932</v>
      </c>
      <c r="Q828" t="s">
        <v>153</v>
      </c>
    </row>
    <row r="829" spans="9:17" ht="14.25">
      <c r="I829" t="s">
        <v>173</v>
      </c>
      <c r="J829" t="s">
        <v>158</v>
      </c>
      <c r="K829">
        <v>0.062582804246961929</v>
      </c>
      <c r="L829" t="s">
        <v>153</v>
      </c>
      <c r="N829" t="s">
        <v>183</v>
      </c>
      <c r="O829" t="s">
        <v>158</v>
      </c>
      <c r="P829">
        <v>0.04533598730350219</v>
      </c>
      <c r="Q829" t="s">
        <v>153</v>
      </c>
    </row>
    <row r="830" spans="9:17" ht="14.25">
      <c r="I830" t="s">
        <v>173</v>
      </c>
      <c r="J830" t="s">
        <v>202</v>
      </c>
      <c r="K830">
        <v>0.0064602540321784911</v>
      </c>
      <c r="L830" t="s">
        <v>153</v>
      </c>
      <c r="N830" t="s">
        <v>183</v>
      </c>
      <c r="O830" t="s">
        <v>202</v>
      </c>
      <c r="P830">
        <v>0.0047820469254199289</v>
      </c>
      <c r="Q830" t="s">
        <v>153</v>
      </c>
    </row>
    <row r="831" spans="9:17" ht="14.25">
      <c r="I831" t="s">
        <v>173</v>
      </c>
      <c r="J831" t="s">
        <v>203</v>
      </c>
      <c r="K831">
        <v>0.0037015382031841365</v>
      </c>
      <c r="L831" t="s">
        <v>153</v>
      </c>
      <c r="N831" t="s">
        <v>183</v>
      </c>
      <c r="O831" t="s">
        <v>203</v>
      </c>
      <c r="P831">
        <v>0.0046411850597186813</v>
      </c>
      <c r="Q831" t="s">
        <v>153</v>
      </c>
    </row>
    <row r="832" spans="9:17" ht="14.25">
      <c r="I832" t="s">
        <v>173</v>
      </c>
      <c r="J832" t="s">
        <v>219</v>
      </c>
      <c r="K832">
        <v>0</v>
      </c>
      <c r="L832" t="s">
        <v>153</v>
      </c>
      <c r="N832" t="s">
        <v>183</v>
      </c>
      <c r="O832" t="s">
        <v>219</v>
      </c>
      <c r="P832">
        <v>0.030573348168154296</v>
      </c>
      <c r="Q832" t="s">
        <v>153</v>
      </c>
    </row>
    <row r="833" spans="9:17" ht="14.25">
      <c r="I833" t="s">
        <v>173</v>
      </c>
      <c r="J833" t="s">
        <v>159</v>
      </c>
      <c r="K833">
        <v>0</v>
      </c>
      <c r="L833" t="s">
        <v>153</v>
      </c>
      <c r="N833" t="s">
        <v>183</v>
      </c>
      <c r="O833" t="s">
        <v>159</v>
      </c>
      <c r="P833">
        <v>0.010033744518695147</v>
      </c>
      <c r="Q833" t="s">
        <v>153</v>
      </c>
    </row>
    <row r="834" spans="9:17" ht="14.25">
      <c r="I834" t="s">
        <v>173</v>
      </c>
      <c r="J834" t="s">
        <v>160</v>
      </c>
      <c r="K834">
        <v>0.0022270202323225168</v>
      </c>
      <c r="L834" t="s">
        <v>153</v>
      </c>
      <c r="N834" t="s">
        <v>183</v>
      </c>
      <c r="O834" t="s">
        <v>160</v>
      </c>
      <c r="P834">
        <v>0.0014591804734116953</v>
      </c>
      <c r="Q834" t="s">
        <v>153</v>
      </c>
    </row>
    <row r="835" spans="9:17" ht="14.25">
      <c r="I835" t="s">
        <v>173</v>
      </c>
      <c r="J835" t="s">
        <v>161</v>
      </c>
      <c r="K835">
        <v>0.042078233847986916</v>
      </c>
      <c r="L835" t="s">
        <v>153</v>
      </c>
      <c r="N835" t="s">
        <v>183</v>
      </c>
      <c r="O835" t="s">
        <v>161</v>
      </c>
      <c r="P835">
        <v>0.010700701560933347</v>
      </c>
      <c r="Q835" t="s">
        <v>153</v>
      </c>
    </row>
    <row r="836" spans="9:17" ht="14.25">
      <c r="I836" t="s">
        <v>173</v>
      </c>
      <c r="J836" t="s">
        <v>204</v>
      </c>
      <c r="K836">
        <v>0.0046415404690334991</v>
      </c>
      <c r="L836" t="s">
        <v>153</v>
      </c>
      <c r="N836" t="s">
        <v>183</v>
      </c>
      <c r="O836" t="s">
        <v>204</v>
      </c>
      <c r="P836">
        <v>0.0015859735308543432</v>
      </c>
      <c r="Q836" t="s">
        <v>153</v>
      </c>
    </row>
    <row r="837" spans="9:17" ht="14.25">
      <c r="I837" t="s">
        <v>173</v>
      </c>
      <c r="J837" t="s">
        <v>205</v>
      </c>
      <c r="K837">
        <v>0.0029247046654837087</v>
      </c>
      <c r="L837" t="s">
        <v>153</v>
      </c>
      <c r="N837" t="s">
        <v>183</v>
      </c>
      <c r="O837" t="s">
        <v>205</v>
      </c>
      <c r="P837">
        <v>0.0019911586930078363</v>
      </c>
      <c r="Q837" t="s">
        <v>153</v>
      </c>
    </row>
    <row r="838" spans="9:17" ht="14.25">
      <c r="I838" t="s">
        <v>173</v>
      </c>
      <c r="J838" t="s">
        <v>220</v>
      </c>
      <c r="K838">
        <v>0</v>
      </c>
      <c r="L838" t="s">
        <v>153</v>
      </c>
      <c r="N838" t="s">
        <v>183</v>
      </c>
      <c r="O838" t="s">
        <v>220</v>
      </c>
      <c r="P838">
        <v>0.015589424139242804</v>
      </c>
      <c r="Q838" t="s">
        <v>153</v>
      </c>
    </row>
    <row r="839" spans="9:17" ht="14.25">
      <c r="I839" t="s">
        <v>173</v>
      </c>
      <c r="J839" t="s">
        <v>162</v>
      </c>
      <c r="K839">
        <v>0</v>
      </c>
      <c r="L839" t="s">
        <v>153</v>
      </c>
      <c r="N839" t="s">
        <v>183</v>
      </c>
      <c r="O839" t="s">
        <v>162</v>
      </c>
      <c r="P839">
        <v>0.0072375249271406927</v>
      </c>
      <c r="Q839" t="s">
        <v>153</v>
      </c>
    </row>
    <row r="840" spans="9:17" ht="14.25">
      <c r="I840" t="s">
        <v>173</v>
      </c>
      <c r="J840" t="s">
        <v>163</v>
      </c>
      <c r="K840">
        <v>0.0015252509963798008</v>
      </c>
      <c r="L840" t="s">
        <v>153</v>
      </c>
      <c r="N840" t="s">
        <v>183</v>
      </c>
      <c r="O840" t="s">
        <v>163</v>
      </c>
      <c r="P840">
        <v>0.0014134504709090371</v>
      </c>
      <c r="Q840" t="s">
        <v>153</v>
      </c>
    </row>
    <row r="841" spans="9:17" ht="14.25">
      <c r="I841" t="s">
        <v>173</v>
      </c>
      <c r="J841" t="s">
        <v>164</v>
      </c>
      <c r="K841">
        <v>0.026397585838932595</v>
      </c>
      <c r="L841" t="s">
        <v>153</v>
      </c>
      <c r="N841" t="s">
        <v>183</v>
      </c>
      <c r="O841" t="s">
        <v>164</v>
      </c>
      <c r="P841">
        <v>0.0067119852946584445</v>
      </c>
      <c r="Q841" t="s">
        <v>153</v>
      </c>
    </row>
    <row r="842" spans="9:17" ht="14.25">
      <c r="I842" t="s">
        <v>173</v>
      </c>
      <c r="J842" t="s">
        <v>206</v>
      </c>
      <c r="K842">
        <v>0.0028438543622141144</v>
      </c>
      <c r="L842" t="s">
        <v>153</v>
      </c>
      <c r="N842" t="s">
        <v>183</v>
      </c>
      <c r="O842" t="s">
        <v>206</v>
      </c>
      <c r="P842">
        <v>0.00079090536778519949</v>
      </c>
      <c r="Q842" t="s">
        <v>153</v>
      </c>
    </row>
    <row r="843" spans="9:17" ht="14.25">
      <c r="I843" t="s">
        <v>173</v>
      </c>
      <c r="J843" t="s">
        <v>207</v>
      </c>
      <c r="K843">
        <v>0.001805830141592391</v>
      </c>
      <c r="L843" t="s">
        <v>153</v>
      </c>
      <c r="N843" t="s">
        <v>183</v>
      </c>
      <c r="O843" t="s">
        <v>207</v>
      </c>
      <c r="P843">
        <v>0.00090848415698809482</v>
      </c>
      <c r="Q843" t="s">
        <v>153</v>
      </c>
    </row>
    <row r="844" spans="9:17" ht="14.25">
      <c r="I844" t="s">
        <v>173</v>
      </c>
      <c r="J844" t="s">
        <v>221</v>
      </c>
      <c r="K844">
        <v>0</v>
      </c>
      <c r="L844" t="s">
        <v>153</v>
      </c>
      <c r="N844" t="s">
        <v>183</v>
      </c>
      <c r="O844" t="s">
        <v>221</v>
      </c>
      <c r="P844">
        <v>0.0082014463274571268</v>
      </c>
      <c r="Q844" t="s">
        <v>153</v>
      </c>
    </row>
    <row r="845" spans="9:17" ht="14.25">
      <c r="I845" t="s">
        <v>173</v>
      </c>
      <c r="J845" t="s">
        <v>208</v>
      </c>
      <c r="K845">
        <v>0</v>
      </c>
      <c r="L845" t="s">
        <v>153</v>
      </c>
      <c r="N845" t="s">
        <v>183</v>
      </c>
      <c r="O845" t="s">
        <v>208</v>
      </c>
      <c r="P845">
        <v>0.015354712178037569</v>
      </c>
      <c r="Q845" t="s">
        <v>153</v>
      </c>
    </row>
    <row r="846" spans="9:17" ht="14.25">
      <c r="I846" t="s">
        <v>173</v>
      </c>
      <c r="J846" t="s">
        <v>209</v>
      </c>
      <c r="K846">
        <v>0.0025368307794807286</v>
      </c>
      <c r="L846" t="s">
        <v>153</v>
      </c>
      <c r="N846" t="s">
        <v>183</v>
      </c>
      <c r="O846" t="s">
        <v>209</v>
      </c>
      <c r="P846">
        <v>0.0036005560630679272</v>
      </c>
      <c r="Q846" t="s">
        <v>153</v>
      </c>
    </row>
    <row r="847" spans="9:17" ht="14.25">
      <c r="I847" t="s">
        <v>173</v>
      </c>
      <c r="J847" t="s">
        <v>210</v>
      </c>
      <c r="K847">
        <v>0.036530271401500475</v>
      </c>
      <c r="L847" t="s">
        <v>153</v>
      </c>
      <c r="N847" t="s">
        <v>183</v>
      </c>
      <c r="O847" t="s">
        <v>210</v>
      </c>
      <c r="P847">
        <v>0.019307113048638566</v>
      </c>
      <c r="Q847" t="s">
        <v>153</v>
      </c>
    </row>
    <row r="848" spans="9:17" ht="14.25">
      <c r="I848" t="s">
        <v>173</v>
      </c>
      <c r="J848" t="s">
        <v>211</v>
      </c>
      <c r="K848">
        <v>0.0037608695326791469</v>
      </c>
      <c r="L848" t="s">
        <v>153</v>
      </c>
      <c r="N848" t="s">
        <v>183</v>
      </c>
      <c r="O848" t="s">
        <v>211</v>
      </c>
      <c r="P848">
        <v>0.0019665679390343869</v>
      </c>
      <c r="Q848" t="s">
        <v>153</v>
      </c>
    </row>
    <row r="849" spans="9:17" ht="14.25">
      <c r="I849" t="s">
        <v>173</v>
      </c>
      <c r="J849" t="s">
        <v>212</v>
      </c>
      <c r="K849">
        <v>0.00247956275884318</v>
      </c>
      <c r="L849" t="s">
        <v>153</v>
      </c>
      <c r="N849" t="s">
        <v>183</v>
      </c>
      <c r="O849" t="s">
        <v>212</v>
      </c>
      <c r="P849">
        <v>0.0019677425005843038</v>
      </c>
      <c r="Q849" t="s">
        <v>153</v>
      </c>
    </row>
    <row r="850" spans="9:17" ht="14.25">
      <c r="I850" t="s">
        <v>173</v>
      </c>
      <c r="J850" t="s">
        <v>222</v>
      </c>
      <c r="K850">
        <v>0</v>
      </c>
      <c r="L850" t="s">
        <v>153</v>
      </c>
      <c r="N850" t="s">
        <v>183</v>
      </c>
      <c r="O850" t="s">
        <v>222</v>
      </c>
      <c r="P850">
        <v>0.014250957674951261</v>
      </c>
      <c r="Q850" t="s">
        <v>153</v>
      </c>
    </row>
    <row r="851" spans="9:17" ht="14.25">
      <c r="I851" t="s">
        <v>173</v>
      </c>
      <c r="J851" t="s">
        <v>223</v>
      </c>
      <c r="K851">
        <v>0.00014127909523310148</v>
      </c>
      <c r="L851" t="s">
        <v>153</v>
      </c>
      <c r="N851" t="s">
        <v>183</v>
      </c>
      <c r="O851" t="s">
        <v>223</v>
      </c>
      <c r="P851">
        <v>0.0042357794316220448</v>
      </c>
      <c r="Q851" t="s">
        <v>153</v>
      </c>
    </row>
    <row r="852" spans="9:17" ht="14.25">
      <c r="I852" t="s">
        <v>173</v>
      </c>
      <c r="J852" t="s">
        <v>224</v>
      </c>
      <c r="K852">
        <v>0.00063391755050245873</v>
      </c>
      <c r="L852" t="s">
        <v>153</v>
      </c>
      <c r="N852" t="s">
        <v>183</v>
      </c>
      <c r="O852" t="s">
        <v>224</v>
      </c>
      <c r="P852">
        <v>0.00040580354702017492</v>
      </c>
      <c r="Q852" t="s">
        <v>153</v>
      </c>
    </row>
    <row r="853" spans="9:17" ht="14.25">
      <c r="I853" t="s">
        <v>173</v>
      </c>
      <c r="J853" t="s">
        <v>225</v>
      </c>
      <c r="K853">
        <v>0.0094776589836207178</v>
      </c>
      <c r="L853" t="s">
        <v>153</v>
      </c>
      <c r="N853" t="s">
        <v>183</v>
      </c>
      <c r="O853" t="s">
        <v>225</v>
      </c>
      <c r="P853">
        <v>0.0054250711517820323</v>
      </c>
      <c r="Q853" t="s">
        <v>153</v>
      </c>
    </row>
    <row r="854" spans="9:17" ht="14.25">
      <c r="I854" t="s">
        <v>173</v>
      </c>
      <c r="J854" t="s">
        <v>226</v>
      </c>
      <c r="K854">
        <v>0.00082567219303447768</v>
      </c>
      <c r="L854" t="s">
        <v>153</v>
      </c>
      <c r="N854" t="s">
        <v>183</v>
      </c>
      <c r="O854" t="s">
        <v>226</v>
      </c>
      <c r="P854">
        <v>0.00081626735533526324</v>
      </c>
      <c r="Q854" t="s">
        <v>153</v>
      </c>
    </row>
    <row r="855" spans="9:17" ht="14.25">
      <c r="I855" t="s">
        <v>173</v>
      </c>
      <c r="J855" t="s">
        <v>227</v>
      </c>
      <c r="K855">
        <v>0.00053660836125694715</v>
      </c>
      <c r="L855" t="s">
        <v>153</v>
      </c>
      <c r="N855" t="s">
        <v>183</v>
      </c>
      <c r="O855" t="s">
        <v>227</v>
      </c>
      <c r="P855">
        <v>0.00072132122537884127</v>
      </c>
      <c r="Q855" t="s">
        <v>153</v>
      </c>
    </row>
    <row r="856" spans="9:17" ht="14.25">
      <c r="I856" t="s">
        <v>173</v>
      </c>
      <c r="J856" t="s">
        <v>228</v>
      </c>
      <c r="K856">
        <v>0</v>
      </c>
      <c r="L856" t="s">
        <v>153</v>
      </c>
      <c r="N856" t="s">
        <v>183</v>
      </c>
      <c r="O856" t="s">
        <v>228</v>
      </c>
      <c r="P856">
        <v>0.003297541257909908</v>
      </c>
      <c r="Q856" t="s">
        <v>153</v>
      </c>
    </row>
    <row r="857" spans="9:17" ht="14.25">
      <c r="I857" t="s">
        <v>173</v>
      </c>
      <c r="J857" t="s">
        <v>235</v>
      </c>
      <c r="K857">
        <v>0.0028898634179207695</v>
      </c>
      <c r="L857" t="s">
        <v>153</v>
      </c>
      <c r="N857" t="s">
        <v>183</v>
      </c>
      <c r="O857" t="s">
        <v>235</v>
      </c>
      <c r="P857">
        <v>0.018357664677431502</v>
      </c>
      <c r="Q857" t="s">
        <v>153</v>
      </c>
    </row>
    <row r="858" spans="9:17" ht="14.25">
      <c r="I858" t="s">
        <v>173</v>
      </c>
      <c r="J858" t="s">
        <v>236</v>
      </c>
      <c r="K858">
        <v>0.0058223528010806023</v>
      </c>
      <c r="L858" t="s">
        <v>153</v>
      </c>
      <c r="N858" t="s">
        <v>183</v>
      </c>
      <c r="O858" t="s">
        <v>236</v>
      </c>
      <c r="P858">
        <v>0.0030163098847203291</v>
      </c>
      <c r="Q858" t="s">
        <v>153</v>
      </c>
    </row>
    <row r="859" spans="9:17" ht="14.25">
      <c r="I859" t="s">
        <v>173</v>
      </c>
      <c r="J859" t="s">
        <v>237</v>
      </c>
      <c r="K859">
        <v>0.068348633254025515</v>
      </c>
      <c r="L859" t="s">
        <v>153</v>
      </c>
      <c r="N859" t="s">
        <v>183</v>
      </c>
      <c r="O859" t="s">
        <v>237</v>
      </c>
      <c r="P859">
        <v>0.024116130917349633</v>
      </c>
      <c r="Q859" t="s">
        <v>153</v>
      </c>
    </row>
    <row r="860" spans="9:17" ht="14.25">
      <c r="I860" t="s">
        <v>173</v>
      </c>
      <c r="J860" t="s">
        <v>238</v>
      </c>
      <c r="K860">
        <v>0.0064695611710503349</v>
      </c>
      <c r="L860" t="s">
        <v>153</v>
      </c>
      <c r="N860" t="s">
        <v>183</v>
      </c>
      <c r="O860" t="s">
        <v>238</v>
      </c>
      <c r="P860">
        <v>0.0039553068645243744</v>
      </c>
      <c r="Q860" t="s">
        <v>153</v>
      </c>
    </row>
    <row r="861" spans="9:17" ht="14.25">
      <c r="I861" t="s">
        <v>173</v>
      </c>
      <c r="J861" t="s">
        <v>239</v>
      </c>
      <c r="K861">
        <v>0.004462903560843925</v>
      </c>
      <c r="L861" t="s">
        <v>153</v>
      </c>
      <c r="N861" t="s">
        <v>183</v>
      </c>
      <c r="O861" t="s">
        <v>239</v>
      </c>
      <c r="P861">
        <v>0.004460345781830452</v>
      </c>
      <c r="Q861" t="s">
        <v>153</v>
      </c>
    </row>
    <row r="862" spans="9:17" ht="14.25">
      <c r="I862" t="s">
        <v>173</v>
      </c>
      <c r="J862" t="s">
        <v>240</v>
      </c>
      <c r="K862">
        <v>0.0013543322767905371</v>
      </c>
      <c r="L862" t="s">
        <v>153</v>
      </c>
      <c r="N862" t="s">
        <v>183</v>
      </c>
      <c r="O862" t="s">
        <v>240</v>
      </c>
      <c r="P862">
        <v>0.027452447725870639</v>
      </c>
      <c r="Q862" t="s">
        <v>153</v>
      </c>
    </row>
    <row r="863" spans="9:17" ht="14.25">
      <c r="I863" t="s">
        <v>173</v>
      </c>
      <c r="J863" t="s">
        <v>241</v>
      </c>
      <c r="K863">
        <v>0.002372843273710195</v>
      </c>
      <c r="L863" t="s">
        <v>153</v>
      </c>
      <c r="N863" t="s">
        <v>183</v>
      </c>
      <c r="O863" t="s">
        <v>241</v>
      </c>
      <c r="P863">
        <v>0.0054432607863221984</v>
      </c>
      <c r="Q863" t="s">
        <v>153</v>
      </c>
    </row>
    <row r="864" spans="9:17" ht="14.25">
      <c r="I864" t="s">
        <v>173</v>
      </c>
      <c r="J864" t="s">
        <v>242</v>
      </c>
      <c r="K864">
        <v>0.0043951986300375789</v>
      </c>
      <c r="L864" t="s">
        <v>153</v>
      </c>
      <c r="N864" t="s">
        <v>183</v>
      </c>
      <c r="O864" t="s">
        <v>242</v>
      </c>
      <c r="P864">
        <v>0.0006694426001974304</v>
      </c>
      <c r="Q864" t="s">
        <v>153</v>
      </c>
    </row>
    <row r="865" spans="9:17" ht="14.25">
      <c r="I865" t="s">
        <v>173</v>
      </c>
      <c r="J865" t="s">
        <v>243</v>
      </c>
      <c r="K865">
        <v>0.04947288373404081</v>
      </c>
      <c r="L865" t="s">
        <v>153</v>
      </c>
      <c r="N865" t="s">
        <v>183</v>
      </c>
      <c r="O865" t="s">
        <v>243</v>
      </c>
      <c r="P865">
        <v>0.021950059662089218</v>
      </c>
      <c r="Q865" t="s">
        <v>153</v>
      </c>
    </row>
    <row r="866" spans="9:17" ht="14.25">
      <c r="I866" t="s">
        <v>173</v>
      </c>
      <c r="J866" t="s">
        <v>244</v>
      </c>
      <c r="K866">
        <v>0.0043321404918489756</v>
      </c>
      <c r="L866" t="s">
        <v>153</v>
      </c>
      <c r="N866" t="s">
        <v>183</v>
      </c>
      <c r="O866" t="s">
        <v>244</v>
      </c>
      <c r="P866">
        <v>0.0049326975032420138</v>
      </c>
      <c r="Q866" t="s">
        <v>153</v>
      </c>
    </row>
    <row r="867" spans="9:17" ht="14.25">
      <c r="I867" t="s">
        <v>173</v>
      </c>
      <c r="J867" t="s">
        <v>245</v>
      </c>
      <c r="K867">
        <v>0.0030181451802441918</v>
      </c>
      <c r="L867" t="s">
        <v>153</v>
      </c>
      <c r="N867" t="s">
        <v>183</v>
      </c>
      <c r="O867" t="s">
        <v>245</v>
      </c>
      <c r="P867">
        <v>0.0048467408574426</v>
      </c>
      <c r="Q867" t="s">
        <v>153</v>
      </c>
    </row>
    <row r="868" spans="9:17" ht="14.25">
      <c r="I868" t="s">
        <v>173</v>
      </c>
      <c r="J868" t="s">
        <v>246</v>
      </c>
      <c r="K868">
        <v>0.0012835549279550502</v>
      </c>
      <c r="L868" t="s">
        <v>153</v>
      </c>
      <c r="N868" t="s">
        <v>183</v>
      </c>
      <c r="O868" t="s">
        <v>246</v>
      </c>
      <c r="P868">
        <v>0.01744634845804913</v>
      </c>
      <c r="Q868" t="s">
        <v>153</v>
      </c>
    </row>
    <row r="869" spans="9:17" ht="14.25">
      <c r="I869" t="s">
        <v>173</v>
      </c>
      <c r="J869" t="s">
        <v>247</v>
      </c>
      <c r="K869">
        <v>0.0021734348844486056</v>
      </c>
      <c r="L869" t="s">
        <v>153</v>
      </c>
      <c r="N869" t="s">
        <v>183</v>
      </c>
      <c r="O869" t="s">
        <v>247</v>
      </c>
      <c r="P869">
        <v>0.01443013690686833</v>
      </c>
      <c r="Q869" t="s">
        <v>153</v>
      </c>
    </row>
    <row r="870" spans="9:17" ht="14.25">
      <c r="I870" t="s">
        <v>173</v>
      </c>
      <c r="J870" t="s">
        <v>248</v>
      </c>
      <c r="K870">
        <v>0.0040429872735379176</v>
      </c>
      <c r="L870" t="s">
        <v>153</v>
      </c>
      <c r="N870" t="s">
        <v>183</v>
      </c>
      <c r="O870" t="s">
        <v>248</v>
      </c>
      <c r="P870">
        <v>0.0021758393728698996</v>
      </c>
      <c r="Q870" t="s">
        <v>153</v>
      </c>
    </row>
    <row r="871" spans="9:17" ht="14.25">
      <c r="I871" t="s">
        <v>173</v>
      </c>
      <c r="J871" t="s">
        <v>249</v>
      </c>
      <c r="K871">
        <v>0.047671679654792611</v>
      </c>
      <c r="L871" t="s">
        <v>153</v>
      </c>
      <c r="N871" t="s">
        <v>183</v>
      </c>
      <c r="O871" t="s">
        <v>249</v>
      </c>
      <c r="P871">
        <v>0.016580534664432288</v>
      </c>
      <c r="Q871" t="s">
        <v>153</v>
      </c>
    </row>
    <row r="872" spans="9:17" ht="14.25">
      <c r="I872" t="s">
        <v>173</v>
      </c>
      <c r="J872" t="s">
        <v>250</v>
      </c>
      <c r="K872">
        <v>0.004485554066860708</v>
      </c>
      <c r="L872" t="s">
        <v>153</v>
      </c>
      <c r="N872" t="s">
        <v>183</v>
      </c>
      <c r="O872" t="s">
        <v>250</v>
      </c>
      <c r="P872">
        <v>0.0035075850607250362</v>
      </c>
      <c r="Q872" t="s">
        <v>153</v>
      </c>
    </row>
    <row r="873" spans="9:17" ht="14.25">
      <c r="I873" t="s">
        <v>173</v>
      </c>
      <c r="J873" t="s">
        <v>251</v>
      </c>
      <c r="K873">
        <v>0.0031544632186411479</v>
      </c>
      <c r="L873" t="s">
        <v>153</v>
      </c>
      <c r="N873" t="s">
        <v>183</v>
      </c>
      <c r="O873" t="s">
        <v>251</v>
      </c>
      <c r="P873">
        <v>0.0043300805623331133</v>
      </c>
      <c r="Q873" t="s">
        <v>153</v>
      </c>
    </row>
    <row r="874" spans="9:17" ht="14.25">
      <c r="I874" t="s">
        <v>173</v>
      </c>
      <c r="J874" t="s">
        <v>252</v>
      </c>
      <c r="K874">
        <v>0.0012708837097045659</v>
      </c>
      <c r="L874" t="s">
        <v>153</v>
      </c>
      <c r="N874" t="s">
        <v>183</v>
      </c>
      <c r="O874" t="s">
        <v>252</v>
      </c>
      <c r="P874">
        <v>0.022346909147382264</v>
      </c>
      <c r="Q874" t="s">
        <v>153</v>
      </c>
    </row>
    <row r="875" spans="9:17" ht="14.25">
      <c r="I875" t="s">
        <v>173</v>
      </c>
      <c r="J875" t="s">
        <v>262</v>
      </c>
      <c r="K875">
        <v>0.00053905384893902721</v>
      </c>
      <c r="L875" t="s">
        <v>153</v>
      </c>
      <c r="N875" t="s">
        <v>183</v>
      </c>
      <c r="O875" t="s">
        <v>262</v>
      </c>
      <c r="P875">
        <v>0.0033868130708688826</v>
      </c>
      <c r="Q875" t="s">
        <v>153</v>
      </c>
    </row>
    <row r="876" spans="9:17" ht="14.25">
      <c r="I876" t="s">
        <v>173</v>
      </c>
      <c r="J876" t="s">
        <v>263</v>
      </c>
      <c r="K876">
        <v>0.0010828165686090809</v>
      </c>
      <c r="L876" t="s">
        <v>153</v>
      </c>
      <c r="N876" t="s">
        <v>183</v>
      </c>
      <c r="O876" t="s">
        <v>263</v>
      </c>
      <c r="P876">
        <v>0.00023575151938864415</v>
      </c>
      <c r="Q876" t="s">
        <v>153</v>
      </c>
    </row>
    <row r="877" spans="9:17" ht="14.25">
      <c r="I877" t="s">
        <v>173</v>
      </c>
      <c r="J877" t="s">
        <v>264</v>
      </c>
      <c r="K877">
        <v>0.013385768797497635</v>
      </c>
      <c r="L877" t="s">
        <v>153</v>
      </c>
      <c r="N877" t="s">
        <v>183</v>
      </c>
      <c r="O877" t="s">
        <v>264</v>
      </c>
      <c r="P877">
        <v>0.0081090033252146556</v>
      </c>
      <c r="Q877" t="s">
        <v>153</v>
      </c>
    </row>
    <row r="878" spans="9:17" ht="14.25">
      <c r="I878" t="s">
        <v>173</v>
      </c>
      <c r="J878" t="s">
        <v>265</v>
      </c>
      <c r="K878">
        <v>0.0012626386132461081</v>
      </c>
      <c r="L878" t="s">
        <v>153</v>
      </c>
      <c r="N878" t="s">
        <v>183</v>
      </c>
      <c r="O878" t="s">
        <v>265</v>
      </c>
      <c r="P878">
        <v>0.0020735025839991581</v>
      </c>
      <c r="Q878" t="s">
        <v>153</v>
      </c>
    </row>
    <row r="879" spans="9:17" ht="14.25">
      <c r="I879" t="s">
        <v>173</v>
      </c>
      <c r="J879" t="s">
        <v>266</v>
      </c>
      <c r="K879">
        <v>0.00088273652870280838</v>
      </c>
      <c r="L879" t="s">
        <v>153</v>
      </c>
      <c r="N879" t="s">
        <v>183</v>
      </c>
      <c r="O879" t="s">
        <v>266</v>
      </c>
      <c r="P879">
        <v>0.0023889862026622321</v>
      </c>
      <c r="Q879" t="s">
        <v>153</v>
      </c>
    </row>
    <row r="880" spans="9:17" ht="14.25">
      <c r="I880" t="s">
        <v>173</v>
      </c>
      <c r="J880" t="s">
        <v>267</v>
      </c>
      <c r="K880">
        <v>0.0003346956086589147</v>
      </c>
      <c r="L880" t="s">
        <v>153</v>
      </c>
      <c r="N880" t="s">
        <v>183</v>
      </c>
      <c r="O880" t="s">
        <v>267</v>
      </c>
      <c r="P880">
        <v>0.0092705577769918602</v>
      </c>
      <c r="Q880" t="s">
        <v>153</v>
      </c>
    </row>
    <row r="881" spans="9:17" ht="14.25">
      <c r="I881" t="s">
        <v>173</v>
      </c>
      <c r="J881" t="s">
        <v>268</v>
      </c>
      <c r="K881">
        <v>0.00061188942621966461</v>
      </c>
      <c r="L881" t="s">
        <v>153</v>
      </c>
      <c r="N881" t="s">
        <v>183</v>
      </c>
      <c r="O881" t="s">
        <v>268</v>
      </c>
      <c r="P881">
        <v>0.0022154020921152083</v>
      </c>
      <c r="Q881" t="s">
        <v>153</v>
      </c>
    </row>
    <row r="882" spans="9:17" ht="14.25">
      <c r="I882" t="s">
        <v>173</v>
      </c>
      <c r="J882" t="s">
        <v>269</v>
      </c>
      <c r="K882">
        <v>0.0013735025060464083</v>
      </c>
      <c r="L882" t="s">
        <v>153</v>
      </c>
      <c r="N882" t="s">
        <v>183</v>
      </c>
      <c r="O882" t="s">
        <v>269</v>
      </c>
      <c r="P882">
        <v>3.6923057386705575E-05</v>
      </c>
      <c r="Q882" t="s">
        <v>153</v>
      </c>
    </row>
    <row r="883" spans="9:17" ht="14.25">
      <c r="I883" t="s">
        <v>173</v>
      </c>
      <c r="J883" t="s">
        <v>270</v>
      </c>
      <c r="K883">
        <v>0.019276205633490476</v>
      </c>
      <c r="L883" t="s">
        <v>153</v>
      </c>
      <c r="N883" t="s">
        <v>183</v>
      </c>
      <c r="O883" t="s">
        <v>270</v>
      </c>
      <c r="P883">
        <v>0.0053559113348221879</v>
      </c>
      <c r="Q883" t="s">
        <v>153</v>
      </c>
    </row>
    <row r="884" spans="9:17" ht="14.25">
      <c r="I884" t="s">
        <v>173</v>
      </c>
      <c r="J884" t="s">
        <v>271</v>
      </c>
      <c r="K884">
        <v>0.0018029620023809851</v>
      </c>
      <c r="L884" t="s">
        <v>153</v>
      </c>
      <c r="N884" t="s">
        <v>183</v>
      </c>
      <c r="O884" t="s">
        <v>271</v>
      </c>
      <c r="P884">
        <v>0.0020541331416780821</v>
      </c>
      <c r="Q884" t="s">
        <v>153</v>
      </c>
    </row>
    <row r="885" spans="9:17" ht="14.25">
      <c r="I885" t="s">
        <v>173</v>
      </c>
      <c r="J885" t="s">
        <v>272</v>
      </c>
      <c r="K885">
        <v>0.0012215579875053512</v>
      </c>
      <c r="L885" t="s">
        <v>153</v>
      </c>
      <c r="N885" t="s">
        <v>183</v>
      </c>
      <c r="O885" t="s">
        <v>272</v>
      </c>
      <c r="P885">
        <v>0.0023254443071630913</v>
      </c>
      <c r="Q885" t="s">
        <v>153</v>
      </c>
    </row>
    <row r="886" spans="9:17" ht="14.25">
      <c r="I886" t="s">
        <v>173</v>
      </c>
      <c r="J886" t="s">
        <v>273</v>
      </c>
      <c r="K886">
        <v>0.00044711169774651246</v>
      </c>
      <c r="L886" t="s">
        <v>153</v>
      </c>
      <c r="N886" t="s">
        <v>183</v>
      </c>
      <c r="O886" t="s">
        <v>273</v>
      </c>
      <c r="P886">
        <v>0.011397275225947153</v>
      </c>
      <c r="Q886" t="s">
        <v>153</v>
      </c>
    </row>
    <row r="887" spans="9:17" ht="14.25">
      <c r="I887" t="s">
        <v>173</v>
      </c>
      <c r="J887" t="s">
        <v>274</v>
      </c>
      <c r="K887">
        <v>0.0023884133788028288</v>
      </c>
      <c r="L887" t="s">
        <v>153</v>
      </c>
      <c r="N887" t="s">
        <v>183</v>
      </c>
      <c r="O887" t="s">
        <v>274</v>
      </c>
      <c r="P887">
        <v>0.024222766429988777</v>
      </c>
      <c r="Q887" t="s">
        <v>153</v>
      </c>
    </row>
    <row r="888" spans="9:17" ht="14.25">
      <c r="I888" t="s">
        <v>173</v>
      </c>
      <c r="J888" t="s">
        <v>275</v>
      </c>
      <c r="K888">
        <v>0.0059358157589012297</v>
      </c>
      <c r="L888" t="s">
        <v>153</v>
      </c>
      <c r="N888" t="s">
        <v>183</v>
      </c>
      <c r="O888" t="s">
        <v>275</v>
      </c>
      <c r="P888">
        <v>0.0043473711271300114</v>
      </c>
      <c r="Q888" t="s">
        <v>153</v>
      </c>
    </row>
    <row r="889" spans="9:17" ht="14.25">
      <c r="I889" t="s">
        <v>173</v>
      </c>
      <c r="J889" t="s">
        <v>276</v>
      </c>
      <c r="K889">
        <v>0.084539230178628452</v>
      </c>
      <c r="L889" t="s">
        <v>153</v>
      </c>
      <c r="N889" t="s">
        <v>183</v>
      </c>
      <c r="O889" t="s">
        <v>276</v>
      </c>
      <c r="P889">
        <v>0.029162908650017468</v>
      </c>
      <c r="Q889" t="s">
        <v>153</v>
      </c>
    </row>
    <row r="890" spans="9:17" ht="14.25">
      <c r="I890" t="s">
        <v>173</v>
      </c>
      <c r="J890" t="s">
        <v>277</v>
      </c>
      <c r="K890">
        <v>0.0073804384090083918</v>
      </c>
      <c r="L890" t="s">
        <v>153</v>
      </c>
      <c r="N890" t="s">
        <v>183</v>
      </c>
      <c r="O890" t="s">
        <v>277</v>
      </c>
      <c r="P890">
        <v>0.0043773550166902753</v>
      </c>
      <c r="Q890" t="s">
        <v>153</v>
      </c>
    </row>
    <row r="891" spans="9:17" ht="14.25">
      <c r="I891" t="s">
        <v>173</v>
      </c>
      <c r="J891" t="s">
        <v>278</v>
      </c>
      <c r="K891">
        <v>0.004905363374784746</v>
      </c>
      <c r="L891" t="s">
        <v>153</v>
      </c>
      <c r="N891" t="s">
        <v>183</v>
      </c>
      <c r="O891" t="s">
        <v>278</v>
      </c>
      <c r="P891">
        <v>0.0056278923912503522</v>
      </c>
      <c r="Q891" t="s">
        <v>153</v>
      </c>
    </row>
    <row r="892" spans="9:17" ht="14.25">
      <c r="I892" t="s">
        <v>173</v>
      </c>
      <c r="J892" t="s">
        <v>279</v>
      </c>
      <c r="K892">
        <v>0.0017265231085656517</v>
      </c>
      <c r="L892" t="s">
        <v>153</v>
      </c>
      <c r="N892" t="s">
        <v>183</v>
      </c>
      <c r="O892" t="s">
        <v>279</v>
      </c>
      <c r="P892">
        <v>0.037407547721880249</v>
      </c>
      <c r="Q892" t="s">
        <v>153</v>
      </c>
    </row>
    <row r="893" spans="9:17" ht="14.25">
      <c r="I893" t="s">
        <v>173</v>
      </c>
      <c r="J893" t="s">
        <v>280</v>
      </c>
      <c r="K893">
        <v>0.0029580122847196987</v>
      </c>
      <c r="L893" t="s">
        <v>153</v>
      </c>
      <c r="N893" t="s">
        <v>183</v>
      </c>
      <c r="O893" t="s">
        <v>280</v>
      </c>
      <c r="P893">
        <v>0.056364407547218609</v>
      </c>
      <c r="Q893" t="s">
        <v>153</v>
      </c>
    </row>
    <row r="894" spans="9:17" ht="14.25">
      <c r="I894" t="s">
        <v>173</v>
      </c>
      <c r="J894" t="s">
        <v>281</v>
      </c>
      <c r="K894">
        <v>0.0081409549711373274</v>
      </c>
      <c r="L894" t="s">
        <v>153</v>
      </c>
      <c r="N894" t="s">
        <v>183</v>
      </c>
      <c r="O894" t="s">
        <v>281</v>
      </c>
      <c r="P894">
        <v>0.010449485133158118</v>
      </c>
      <c r="Q894" t="s">
        <v>153</v>
      </c>
    </row>
    <row r="895" spans="9:17" ht="14.25">
      <c r="I895" t="s">
        <v>173</v>
      </c>
      <c r="J895" t="s">
        <v>282</v>
      </c>
      <c r="K895">
        <v>0.11607787371288529</v>
      </c>
      <c r="L895" t="s">
        <v>153</v>
      </c>
      <c r="N895" t="s">
        <v>183</v>
      </c>
      <c r="O895" t="s">
        <v>282</v>
      </c>
      <c r="P895">
        <v>0.045244073410511093</v>
      </c>
      <c r="Q895" t="s">
        <v>153</v>
      </c>
    </row>
    <row r="896" spans="9:17" ht="14.25">
      <c r="I896" t="s">
        <v>173</v>
      </c>
      <c r="J896" t="s">
        <v>283</v>
      </c>
      <c r="K896">
        <v>0.0100302553454573</v>
      </c>
      <c r="L896" t="s">
        <v>153</v>
      </c>
      <c r="N896" t="s">
        <v>183</v>
      </c>
      <c r="O896" t="s">
        <v>283</v>
      </c>
      <c r="P896">
        <v>0.002886726954225476</v>
      </c>
      <c r="Q896" t="s">
        <v>153</v>
      </c>
    </row>
    <row r="897" spans="9:17" ht="14.25">
      <c r="I897" t="s">
        <v>173</v>
      </c>
      <c r="J897" t="s">
        <v>284</v>
      </c>
      <c r="K897">
        <v>0.0056888667000586438</v>
      </c>
      <c r="L897" t="s">
        <v>153</v>
      </c>
      <c r="N897" t="s">
        <v>183</v>
      </c>
      <c r="O897" t="s">
        <v>284</v>
      </c>
      <c r="P897">
        <v>0.0040468113311817626</v>
      </c>
      <c r="Q897" t="s">
        <v>153</v>
      </c>
    </row>
    <row r="898" spans="9:17" ht="14.25">
      <c r="I898" t="s">
        <v>173</v>
      </c>
      <c r="J898" t="s">
        <v>285</v>
      </c>
      <c r="K898">
        <v>0.0009152554928318036</v>
      </c>
      <c r="L898" t="s">
        <v>153</v>
      </c>
      <c r="N898" t="s">
        <v>183</v>
      </c>
      <c r="O898" t="s">
        <v>285</v>
      </c>
      <c r="P898">
        <v>0.035858107484988855</v>
      </c>
      <c r="Q898" t="s">
        <v>153</v>
      </c>
    </row>
    <row r="899" spans="9:17" ht="14.25">
      <c r="I899" t="s">
        <v>173</v>
      </c>
      <c r="J899" t="s">
        <v>286</v>
      </c>
      <c r="K899">
        <v>0.0027116002355813728</v>
      </c>
      <c r="L899" t="s">
        <v>153</v>
      </c>
      <c r="N899" t="s">
        <v>183</v>
      </c>
      <c r="O899" t="s">
        <v>286</v>
      </c>
      <c r="P899">
        <v>0.03666855275936487</v>
      </c>
      <c r="Q899" t="s">
        <v>153</v>
      </c>
    </row>
    <row r="900" spans="9:17" ht="14.25">
      <c r="I900" t="s">
        <v>173</v>
      </c>
      <c r="J900" t="s">
        <v>287</v>
      </c>
      <c r="K900">
        <v>0.013517035644577681</v>
      </c>
      <c r="L900" t="s">
        <v>153</v>
      </c>
      <c r="N900" t="s">
        <v>183</v>
      </c>
      <c r="O900" t="s">
        <v>287</v>
      </c>
      <c r="P900">
        <v>0.0053433190888022087</v>
      </c>
      <c r="Q900" t="s">
        <v>153</v>
      </c>
    </row>
    <row r="901" spans="9:17" ht="14.25">
      <c r="I901" t="s">
        <v>173</v>
      </c>
      <c r="J901" t="s">
        <v>288</v>
      </c>
      <c r="K901">
        <v>0.17501117719809423</v>
      </c>
      <c r="L901" t="s">
        <v>153</v>
      </c>
      <c r="N901" t="s">
        <v>183</v>
      </c>
      <c r="O901" t="s">
        <v>288</v>
      </c>
      <c r="P901">
        <v>0.03102389332196338</v>
      </c>
      <c r="Q901" t="s">
        <v>153</v>
      </c>
    </row>
    <row r="902" spans="9:17" ht="14.25">
      <c r="I902" t="s">
        <v>173</v>
      </c>
      <c r="J902" t="s">
        <v>289</v>
      </c>
      <c r="K902">
        <v>0.015221932349979735</v>
      </c>
      <c r="L902" t="s">
        <v>153</v>
      </c>
      <c r="N902" t="s">
        <v>183</v>
      </c>
      <c r="O902" t="s">
        <v>289</v>
      </c>
      <c r="P902">
        <v>0.0060498942698063683</v>
      </c>
      <c r="Q902" t="s">
        <v>153</v>
      </c>
    </row>
    <row r="903" spans="9:17" ht="14.25">
      <c r="I903" t="s">
        <v>173</v>
      </c>
      <c r="J903" t="s">
        <v>290</v>
      </c>
      <c r="K903">
        <v>0.0046433404173539163</v>
      </c>
      <c r="L903" t="s">
        <v>153</v>
      </c>
      <c r="N903" t="s">
        <v>183</v>
      </c>
      <c r="O903" t="s">
        <v>290</v>
      </c>
      <c r="P903">
        <v>0.008743199046942764</v>
      </c>
      <c r="Q903" t="s">
        <v>153</v>
      </c>
    </row>
    <row r="904" spans="9:17" ht="14.25">
      <c r="I904" t="s">
        <v>173</v>
      </c>
      <c r="J904" t="s">
        <v>291</v>
      </c>
      <c r="K904">
        <v>0</v>
      </c>
      <c r="L904" t="s">
        <v>153</v>
      </c>
      <c r="N904" t="s">
        <v>183</v>
      </c>
      <c r="O904" t="s">
        <v>291</v>
      </c>
      <c r="P904">
        <v>0.060550356946181529</v>
      </c>
      <c r="Q904" t="s">
        <v>153</v>
      </c>
    </row>
    <row r="905" spans="9:17" ht="14.25">
      <c r="I905" t="s">
        <v>173</v>
      </c>
      <c r="J905" t="s">
        <v>292</v>
      </c>
      <c r="K905">
        <v>0</v>
      </c>
      <c r="L905" t="s">
        <v>153</v>
      </c>
      <c r="N905" t="s">
        <v>183</v>
      </c>
      <c r="O905" t="s">
        <v>292</v>
      </c>
      <c r="P905">
        <v>0.019269810615662773</v>
      </c>
      <c r="Q905" t="s">
        <v>153</v>
      </c>
    </row>
    <row r="906" spans="9:17" ht="14.25">
      <c r="I906" t="s">
        <v>173</v>
      </c>
      <c r="J906" t="s">
        <v>293</v>
      </c>
      <c r="K906">
        <v>0.0024500068593796432</v>
      </c>
      <c r="L906" t="s">
        <v>153</v>
      </c>
      <c r="N906" t="s">
        <v>183</v>
      </c>
      <c r="O906" t="s">
        <v>293</v>
      </c>
      <c r="P906">
        <v>0.0025705883680363938</v>
      </c>
      <c r="Q906" t="s">
        <v>153</v>
      </c>
    </row>
    <row r="907" spans="9:17" ht="14.25">
      <c r="I907" t="s">
        <v>173</v>
      </c>
      <c r="J907" t="s">
        <v>294</v>
      </c>
      <c r="K907">
        <v>0.037894751045647622</v>
      </c>
      <c r="L907" t="s">
        <v>153</v>
      </c>
      <c r="N907" t="s">
        <v>183</v>
      </c>
      <c r="O907" t="s">
        <v>294</v>
      </c>
      <c r="P907">
        <v>0.018405962608258584</v>
      </c>
      <c r="Q907" t="s">
        <v>153</v>
      </c>
    </row>
    <row r="908" spans="9:17" ht="14.25">
      <c r="I908" t="s">
        <v>173</v>
      </c>
      <c r="J908" t="s">
        <v>295</v>
      </c>
      <c r="K908">
        <v>0.0035526748680395287</v>
      </c>
      <c r="L908" t="s">
        <v>153</v>
      </c>
      <c r="N908" t="s">
        <v>183</v>
      </c>
      <c r="O908" t="s">
        <v>295</v>
      </c>
      <c r="P908">
        <v>0.0031394176266305034</v>
      </c>
      <c r="Q908" t="s">
        <v>153</v>
      </c>
    </row>
    <row r="909" spans="9:17" ht="14.25">
      <c r="I909" t="s">
        <v>173</v>
      </c>
      <c r="J909" t="s">
        <v>296</v>
      </c>
      <c r="K909">
        <v>0.00180716290918655</v>
      </c>
      <c r="L909" t="s">
        <v>153</v>
      </c>
      <c r="N909" t="s">
        <v>183</v>
      </c>
      <c r="O909" t="s">
        <v>296</v>
      </c>
      <c r="P909">
        <v>0.0038374558803548021</v>
      </c>
      <c r="Q909" t="s">
        <v>153</v>
      </c>
    </row>
    <row r="910" spans="9:17" ht="14.25">
      <c r="I910" t="s">
        <v>173</v>
      </c>
      <c r="J910" t="s">
        <v>297</v>
      </c>
      <c r="K910">
        <v>0</v>
      </c>
      <c r="L910" t="s">
        <v>153</v>
      </c>
      <c r="N910" t="s">
        <v>183</v>
      </c>
      <c r="O910" t="s">
        <v>297</v>
      </c>
      <c r="P910">
        <v>0.022765713752646889</v>
      </c>
      <c r="Q910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170769-2A2F-44E9-A706-8410FC5DA8CB}">
  <dimension ref="A9:AN169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130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300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174</v>
      </c>
      <c r="O11" t="s">
        <v>152</v>
      </c>
      <c r="P11">
        <v>0.0085595481613885329</v>
      </c>
      <c r="Q11" t="s">
        <v>153</v>
      </c>
      <c r="S11" t="s">
        <v>184</v>
      </c>
      <c r="T11" t="s">
        <v>152</v>
      </c>
      <c r="U11">
        <v>0.0072997717188533423</v>
      </c>
      <c r="V11" t="s">
        <v>153</v>
      </c>
      <c r="X11">
        <v>0.0068493150684931503</v>
      </c>
      <c r="Y11">
        <v>0.0014651650382451168</v>
      </c>
      <c r="Z11" t="s">
        <v>152</v>
      </c>
      <c r="AA11" t="s">
        <v>25</v>
      </c>
      <c r="AC11" t="s">
        <v>22</v>
      </c>
      <c r="AD11" t="s">
        <v>152</v>
      </c>
      <c r="AE11">
        <v>0.0040970327584663084</v>
      </c>
      <c r="AG11" t="s">
        <v>96</v>
      </c>
      <c r="AH11" t="s">
        <v>152</v>
      </c>
      <c r="AI11">
        <v>0.10416734877953715</v>
      </c>
      <c r="AK11">
        <v>2025</v>
      </c>
      <c r="AL11" t="s">
        <v>141</v>
      </c>
      <c r="AM11">
        <v>0.34429999999999999</v>
      </c>
      <c r="AN11" t="s">
        <v>195</v>
      </c>
    </row>
    <row r="12" spans="3:40" ht="14.2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</v>
      </c>
      <c r="L12" t="s">
        <v>153</v>
      </c>
      <c r="N12" t="s">
        <v>174</v>
      </c>
      <c r="O12" t="s">
        <v>154</v>
      </c>
      <c r="P12">
        <v>0.001395324008066392</v>
      </c>
      <c r="Q12" t="s">
        <v>153</v>
      </c>
      <c r="S12" t="s">
        <v>184</v>
      </c>
      <c r="T12" t="s">
        <v>154</v>
      </c>
      <c r="U12">
        <v>0.0014390460907155278</v>
      </c>
      <c r="V12" t="s">
        <v>153</v>
      </c>
      <c r="X12">
        <v>0.0011415525114155251</v>
      </c>
      <c r="Y12">
        <v>0.0016905750441289812</v>
      </c>
      <c r="Z12" t="s">
        <v>154</v>
      </c>
      <c r="AA12" t="s">
        <v>25</v>
      </c>
      <c r="AC12" t="s">
        <v>22</v>
      </c>
      <c r="AD12" t="s">
        <v>154</v>
      </c>
      <c r="AE12">
        <v>0.00077492832304473206</v>
      </c>
      <c r="AG12" t="s">
        <v>96</v>
      </c>
      <c r="AH12" t="s">
        <v>154</v>
      </c>
      <c r="AI12">
        <v>0.035503810769239585</v>
      </c>
      <c r="AK12">
        <v>2025</v>
      </c>
      <c r="AL12" t="s">
        <v>145</v>
      </c>
      <c r="AM12">
        <v>0.34429999999999999</v>
      </c>
      <c r="AN12" t="s">
        <v>195</v>
      </c>
    </row>
    <row r="13" spans="3:40" ht="14.2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0.0010636890911101043</v>
      </c>
      <c r="L13" t="s">
        <v>153</v>
      </c>
      <c r="N13" t="s">
        <v>174</v>
      </c>
      <c r="O13" t="s">
        <v>155</v>
      </c>
      <c r="P13">
        <v>0.0013419452455413054</v>
      </c>
      <c r="Q13" t="s">
        <v>153</v>
      </c>
      <c r="S13" t="s">
        <v>184</v>
      </c>
      <c r="T13" t="s">
        <v>155</v>
      </c>
      <c r="U13">
        <v>0.0013577688692046907</v>
      </c>
      <c r="V13" t="s">
        <v>153</v>
      </c>
      <c r="X13">
        <v>0.0011415525114155251</v>
      </c>
      <c r="Y13">
        <v>0.0019060404909297334</v>
      </c>
      <c r="Z13" t="s">
        <v>155</v>
      </c>
      <c r="AA13" t="s">
        <v>25</v>
      </c>
      <c r="AC13" t="s">
        <v>22</v>
      </c>
      <c r="AD13" t="s">
        <v>155</v>
      </c>
      <c r="AE13">
        <v>0.00086041467910001656</v>
      </c>
      <c r="AG13" t="s">
        <v>96</v>
      </c>
      <c r="AH13" t="s">
        <v>155</v>
      </c>
      <c r="AI13">
        <v>0.08101359966000854</v>
      </c>
      <c r="AK13">
        <v>2025</v>
      </c>
      <c r="AL13" t="s">
        <v>147</v>
      </c>
      <c r="AM13">
        <v>0.35325000000000001</v>
      </c>
      <c r="AN13" t="s">
        <v>195</v>
      </c>
    </row>
    <row r="14" spans="3:40" ht="14.25">
      <c r="C14" t="s">
        <v>149</v>
      </c>
      <c r="E14" t="s">
        <v>197</v>
      </c>
      <c r="G14" t="s">
        <v>142</v>
      </c>
      <c r="I14" t="s">
        <v>151</v>
      </c>
      <c r="J14" t="s">
        <v>200</v>
      </c>
      <c r="K14">
        <v>0.0018562285891079921</v>
      </c>
      <c r="L14" t="s">
        <v>153</v>
      </c>
      <c r="N14" t="s">
        <v>174</v>
      </c>
      <c r="O14" t="s">
        <v>200</v>
      </c>
      <c r="P14">
        <v>0.0011831395202108375</v>
      </c>
      <c r="Q14" t="s">
        <v>153</v>
      </c>
      <c r="S14" t="s">
        <v>184</v>
      </c>
      <c r="T14" t="s">
        <v>200</v>
      </c>
      <c r="U14">
        <v>0.0012148013843027098</v>
      </c>
      <c r="V14" t="s">
        <v>153</v>
      </c>
      <c r="X14">
        <v>0.0011415525114155251</v>
      </c>
      <c r="Y14">
        <v>0.0014585353321897095</v>
      </c>
      <c r="Z14" t="s">
        <v>200</v>
      </c>
      <c r="AA14" t="s">
        <v>25</v>
      </c>
      <c r="AC14" t="s">
        <v>22</v>
      </c>
      <c r="AD14" t="s">
        <v>200</v>
      </c>
      <c r="AE14">
        <v>0.00094248811505072579</v>
      </c>
      <c r="AG14" t="s">
        <v>96</v>
      </c>
      <c r="AH14" t="s">
        <v>200</v>
      </c>
      <c r="AI14">
        <v>0.070941336971350744</v>
      </c>
      <c r="AK14">
        <v>2025</v>
      </c>
      <c r="AL14" t="s">
        <v>149</v>
      </c>
      <c r="AM14">
        <v>0.36220000000000002</v>
      </c>
      <c r="AN14" t="s">
        <v>195</v>
      </c>
    </row>
    <row r="15" spans="3:40" ht="14.25">
      <c r="C15" t="s">
        <v>198</v>
      </c>
      <c r="E15" t="s">
        <v>199</v>
      </c>
      <c r="G15" t="s">
        <v>142</v>
      </c>
      <c r="I15" t="s">
        <v>151</v>
      </c>
      <c r="J15" t="s">
        <v>201</v>
      </c>
      <c r="K15">
        <v>0.018466944716103197</v>
      </c>
      <c r="L15" t="s">
        <v>153</v>
      </c>
      <c r="N15" t="s">
        <v>174</v>
      </c>
      <c r="O15" t="s">
        <v>201</v>
      </c>
      <c r="P15">
        <v>0.006357335585491731</v>
      </c>
      <c r="Q15" t="s">
        <v>153</v>
      </c>
      <c r="S15" t="s">
        <v>184</v>
      </c>
      <c r="T15" t="s">
        <v>201</v>
      </c>
      <c r="U15">
        <v>0.0068407664596186737</v>
      </c>
      <c r="V15" t="s">
        <v>153</v>
      </c>
      <c r="X15">
        <v>0.0079908675799086754</v>
      </c>
      <c r="Y15">
        <v>0.01040200880093479</v>
      </c>
      <c r="Z15" t="s">
        <v>201</v>
      </c>
      <c r="AA15" t="s">
        <v>25</v>
      </c>
      <c r="AC15" t="s">
        <v>22</v>
      </c>
      <c r="AD15" t="s">
        <v>201</v>
      </c>
      <c r="AE15">
        <v>0.0070375609837646132</v>
      </c>
      <c r="AG15" t="s">
        <v>96</v>
      </c>
      <c r="AH15" t="s">
        <v>201</v>
      </c>
      <c r="AI15">
        <v>0.061732367927058274</v>
      </c>
      <c r="AK15">
        <v>2025</v>
      </c>
      <c r="AL15" t="s">
        <v>198</v>
      </c>
      <c r="AM15">
        <v>0.37814999999999999</v>
      </c>
      <c r="AN15" t="s">
        <v>195</v>
      </c>
    </row>
    <row r="16" spans="3:40" ht="14.25">
      <c r="C16" t="s">
        <v>216</v>
      </c>
      <c r="E16" t="s">
        <v>217</v>
      </c>
      <c r="G16" t="s">
        <v>142</v>
      </c>
      <c r="I16" t="s">
        <v>151</v>
      </c>
      <c r="J16" t="s">
        <v>218</v>
      </c>
      <c r="K16">
        <v>0.0021713396253191146</v>
      </c>
      <c r="L16" t="s">
        <v>153</v>
      </c>
      <c r="N16" t="s">
        <v>174</v>
      </c>
      <c r="O16" t="s">
        <v>218</v>
      </c>
      <c r="P16">
        <v>0.00093624582898777474</v>
      </c>
      <c r="Q16" t="s">
        <v>153</v>
      </c>
      <c r="S16" t="s">
        <v>184</v>
      </c>
      <c r="T16" t="s">
        <v>218</v>
      </c>
      <c r="U16">
        <v>0.00072058310083840491</v>
      </c>
      <c r="V16" t="s">
        <v>153</v>
      </c>
      <c r="X16">
        <v>0.0011415525114155251</v>
      </c>
      <c r="Y16">
        <v>0.002220951528561603</v>
      </c>
      <c r="Z16" t="s">
        <v>218</v>
      </c>
      <c r="AA16" t="s">
        <v>25</v>
      </c>
      <c r="AC16" t="s">
        <v>22</v>
      </c>
      <c r="AD16" t="s">
        <v>218</v>
      </c>
      <c r="AE16">
        <v>0.0010307164752925921</v>
      </c>
      <c r="AG16" t="s">
        <v>96</v>
      </c>
      <c r="AH16" t="s">
        <v>218</v>
      </c>
      <c r="AI16">
        <v>0.051551986607245581</v>
      </c>
      <c r="AK16">
        <v>2025</v>
      </c>
      <c r="AL16" t="s">
        <v>216</v>
      </c>
      <c r="AM16">
        <v>0.39410000000000001</v>
      </c>
      <c r="AN16" t="s">
        <v>195</v>
      </c>
    </row>
    <row r="17" spans="3:40" ht="14.25">
      <c r="C17" t="s">
        <v>232</v>
      </c>
      <c r="E17" t="s">
        <v>301</v>
      </c>
      <c r="G17" t="s">
        <v>142</v>
      </c>
      <c r="I17" t="s">
        <v>151</v>
      </c>
      <c r="J17" t="s">
        <v>309</v>
      </c>
      <c r="K17">
        <v>0.001206676752657088</v>
      </c>
      <c r="L17" t="s">
        <v>153</v>
      </c>
      <c r="N17" t="s">
        <v>174</v>
      </c>
      <c r="O17" t="s">
        <v>309</v>
      </c>
      <c r="P17">
        <v>0.00088642436170890385</v>
      </c>
      <c r="Q17" t="s">
        <v>153</v>
      </c>
      <c r="S17" t="s">
        <v>184</v>
      </c>
      <c r="T17" t="s">
        <v>309</v>
      </c>
      <c r="U17">
        <v>0.00073586552578689074</v>
      </c>
      <c r="V17" t="s">
        <v>153</v>
      </c>
      <c r="X17">
        <v>0.0011415525114155251</v>
      </c>
      <c r="Y17">
        <v>0.002220951528561603</v>
      </c>
      <c r="Z17" t="s">
        <v>309</v>
      </c>
      <c r="AA17" t="s">
        <v>25</v>
      </c>
      <c r="AC17" t="s">
        <v>22</v>
      </c>
      <c r="AD17" t="s">
        <v>309</v>
      </c>
      <c r="AE17">
        <v>0.001053364263063466</v>
      </c>
      <c r="AG17" t="s">
        <v>96</v>
      </c>
      <c r="AH17" t="s">
        <v>309</v>
      </c>
      <c r="AI17">
        <v>0.047159452901546661</v>
      </c>
      <c r="AK17">
        <v>2025</v>
      </c>
      <c r="AL17" t="s">
        <v>232</v>
      </c>
      <c r="AM17">
        <v>0.39410000000000001</v>
      </c>
      <c r="AN17" t="s">
        <v>195</v>
      </c>
    </row>
    <row r="18" spans="3:40" ht="14.25">
      <c r="C18" t="s">
        <v>233</v>
      </c>
      <c r="E18" t="s">
        <v>302</v>
      </c>
      <c r="G18" t="s">
        <v>142</v>
      </c>
      <c r="I18" t="s">
        <v>151</v>
      </c>
      <c r="J18" t="s">
        <v>310</v>
      </c>
      <c r="K18">
        <v>0</v>
      </c>
      <c r="L18" t="s">
        <v>153</v>
      </c>
      <c r="N18" t="s">
        <v>174</v>
      </c>
      <c r="O18" t="s">
        <v>310</v>
      </c>
      <c r="P18">
        <v>0.0081074983410937065</v>
      </c>
      <c r="Q18" t="s">
        <v>153</v>
      </c>
      <c r="S18" t="s">
        <v>184</v>
      </c>
      <c r="T18" t="s">
        <v>310</v>
      </c>
      <c r="U18">
        <v>0.0063334396865355998</v>
      </c>
      <c r="V18" t="s">
        <v>153</v>
      </c>
      <c r="X18">
        <v>0.0068493150684931503</v>
      </c>
      <c r="Y18">
        <v>0.0060330325104210707</v>
      </c>
      <c r="Z18" t="s">
        <v>310</v>
      </c>
      <c r="AA18" t="s">
        <v>25</v>
      </c>
      <c r="AC18" t="s">
        <v>22</v>
      </c>
      <c r="AD18" t="s">
        <v>310</v>
      </c>
      <c r="AE18">
        <v>0.0059992135691612778</v>
      </c>
      <c r="AG18" t="s">
        <v>96</v>
      </c>
      <c r="AH18" t="s">
        <v>310</v>
      </c>
      <c r="AI18">
        <v>0.099255928180689068</v>
      </c>
      <c r="AK18">
        <v>2025</v>
      </c>
      <c r="AL18" t="s">
        <v>233</v>
      </c>
      <c r="AM18">
        <v>0.39410000000000001</v>
      </c>
      <c r="AN18" t="s">
        <v>195</v>
      </c>
    </row>
    <row r="19" spans="3:40" ht="14.25">
      <c r="C19" t="s">
        <v>234</v>
      </c>
      <c r="I19" t="s">
        <v>151</v>
      </c>
      <c r="J19" t="s">
        <v>156</v>
      </c>
      <c r="K19">
        <v>0</v>
      </c>
      <c r="L19" t="s">
        <v>153</v>
      </c>
      <c r="N19" t="s">
        <v>174</v>
      </c>
      <c r="O19" t="s">
        <v>156</v>
      </c>
      <c r="P19">
        <v>0.011683891692151007</v>
      </c>
      <c r="Q19" t="s">
        <v>153</v>
      </c>
      <c r="S19" t="s">
        <v>184</v>
      </c>
      <c r="T19" t="s">
        <v>156</v>
      </c>
      <c r="U19">
        <v>0.014188653246428068</v>
      </c>
      <c r="V19" t="s">
        <v>153</v>
      </c>
      <c r="X19">
        <v>0.00410958904109589</v>
      </c>
      <c r="Y19">
        <v>0.0008790990229470704</v>
      </c>
      <c r="Z19" t="s">
        <v>156</v>
      </c>
      <c r="AA19" t="s">
        <v>25</v>
      </c>
      <c r="AC19" t="s">
        <v>22</v>
      </c>
      <c r="AD19" t="s">
        <v>156</v>
      </c>
      <c r="AE19">
        <v>0.0024485888029282758</v>
      </c>
      <c r="AG19" t="s">
        <v>96</v>
      </c>
      <c r="AH19" t="s">
        <v>156</v>
      </c>
      <c r="AI19">
        <v>0.1073852873311596</v>
      </c>
      <c r="AK19">
        <v>2025</v>
      </c>
      <c r="AL19" t="s">
        <v>234</v>
      </c>
      <c r="AM19">
        <v>0.40339999999999998</v>
      </c>
      <c r="AN19" t="s">
        <v>195</v>
      </c>
    </row>
    <row r="20" spans="3:40" ht="14.25">
      <c r="C20" t="s">
        <v>256</v>
      </c>
      <c r="I20" t="s">
        <v>151</v>
      </c>
      <c r="J20" t="s">
        <v>157</v>
      </c>
      <c r="K20">
        <v>0</v>
      </c>
      <c r="L20" t="s">
        <v>153</v>
      </c>
      <c r="N20" t="s">
        <v>174</v>
      </c>
      <c r="O20" t="s">
        <v>157</v>
      </c>
      <c r="P20">
        <v>0.0020939759143615284</v>
      </c>
      <c r="Q20" t="s">
        <v>153</v>
      </c>
      <c r="S20" t="s">
        <v>184</v>
      </c>
      <c r="T20" t="s">
        <v>157</v>
      </c>
      <c r="U20">
        <v>0.0024087479185350112</v>
      </c>
      <c r="V20" t="s">
        <v>153</v>
      </c>
      <c r="X20">
        <v>0.00068493150684931507</v>
      </c>
      <c r="Y20">
        <v>0.0010143450264773887</v>
      </c>
      <c r="Z20" t="s">
        <v>157</v>
      </c>
      <c r="AA20" t="s">
        <v>25</v>
      </c>
      <c r="AC20" t="s">
        <v>22</v>
      </c>
      <c r="AD20" t="s">
        <v>157</v>
      </c>
      <c r="AE20">
        <v>0.00045916844796742117</v>
      </c>
      <c r="AG20" t="s">
        <v>96</v>
      </c>
      <c r="AH20" t="s">
        <v>157</v>
      </c>
      <c r="AI20">
        <v>0.038251260178363777</v>
      </c>
      <c r="AK20">
        <v>2025</v>
      </c>
      <c r="AL20" t="s">
        <v>256</v>
      </c>
      <c r="AM20">
        <v>0.41270000000000001</v>
      </c>
      <c r="AN20" t="s">
        <v>195</v>
      </c>
    </row>
    <row r="21" spans="3:40" ht="14.25">
      <c r="C21" t="s">
        <v>257</v>
      </c>
      <c r="I21" t="s">
        <v>151</v>
      </c>
      <c r="J21" t="s">
        <v>158</v>
      </c>
      <c r="K21">
        <v>0.00064172429998297182</v>
      </c>
      <c r="L21" t="s">
        <v>153</v>
      </c>
      <c r="N21" t="s">
        <v>174</v>
      </c>
      <c r="O21" t="s">
        <v>158</v>
      </c>
      <c r="P21">
        <v>0.0020893026049787298</v>
      </c>
      <c r="Q21" t="s">
        <v>153</v>
      </c>
      <c r="S21" t="s">
        <v>184</v>
      </c>
      <c r="T21" t="s">
        <v>158</v>
      </c>
      <c r="U21">
        <v>0.0024007576390046941</v>
      </c>
      <c r="V21" t="s">
        <v>153</v>
      </c>
      <c r="X21">
        <v>0.00068493150684931507</v>
      </c>
      <c r="Y21">
        <v>0.0011436242945578401</v>
      </c>
      <c r="Z21" t="s">
        <v>158</v>
      </c>
      <c r="AA21" t="s">
        <v>25</v>
      </c>
      <c r="AC21" t="s">
        <v>22</v>
      </c>
      <c r="AD21" t="s">
        <v>158</v>
      </c>
      <c r="AE21">
        <v>0.00050038602153806085</v>
      </c>
      <c r="AG21" t="s">
        <v>96</v>
      </c>
      <c r="AH21" t="s">
        <v>158</v>
      </c>
      <c r="AI21">
        <v>0.059178952143343233</v>
      </c>
      <c r="AK21">
        <v>2025</v>
      </c>
      <c r="AL21" t="s">
        <v>257</v>
      </c>
      <c r="AM21">
        <v>0.45894999999999997</v>
      </c>
      <c r="AN21" t="s">
        <v>195</v>
      </c>
    </row>
    <row r="22" spans="3:40" ht="14.25">
      <c r="C22" t="s">
        <v>258</v>
      </c>
      <c r="I22" t="s">
        <v>151</v>
      </c>
      <c r="J22" t="s">
        <v>202</v>
      </c>
      <c r="K22">
        <v>0.0010548282190428529</v>
      </c>
      <c r="L22" t="s">
        <v>153</v>
      </c>
      <c r="N22" t="s">
        <v>174</v>
      </c>
      <c r="O22" t="s">
        <v>202</v>
      </c>
      <c r="P22">
        <v>0.0018547237640821551</v>
      </c>
      <c r="Q22" t="s">
        <v>153</v>
      </c>
      <c r="S22" t="s">
        <v>184</v>
      </c>
      <c r="T22" t="s">
        <v>202</v>
      </c>
      <c r="U22">
        <v>0.0023981988016855238</v>
      </c>
      <c r="V22" t="s">
        <v>153</v>
      </c>
      <c r="X22">
        <v>0.00068493150684931507</v>
      </c>
      <c r="Y22">
        <v>0.00087512119931382572</v>
      </c>
      <c r="Z22" t="s">
        <v>202</v>
      </c>
      <c r="AA22" t="s">
        <v>25</v>
      </c>
      <c r="AC22" t="s">
        <v>22</v>
      </c>
      <c r="AD22" t="s">
        <v>202</v>
      </c>
      <c r="AE22">
        <v>0.00054609581473352622</v>
      </c>
      <c r="AG22" t="s">
        <v>96</v>
      </c>
      <c r="AH22" t="s">
        <v>202</v>
      </c>
      <c r="AI22">
        <v>0.068422835846179808</v>
      </c>
      <c r="AK22">
        <v>2025</v>
      </c>
      <c r="AL22" t="s">
        <v>258</v>
      </c>
      <c r="AM22">
        <v>0.50519999999999998</v>
      </c>
      <c r="AN22" t="s">
        <v>195</v>
      </c>
    </row>
    <row r="23" spans="3:40" ht="14.25">
      <c r="C23" t="s">
        <v>259</v>
      </c>
      <c r="I23" t="s">
        <v>151</v>
      </c>
      <c r="J23" t="s">
        <v>203</v>
      </c>
      <c r="K23">
        <v>0.010539612983464806</v>
      </c>
      <c r="L23" t="s">
        <v>153</v>
      </c>
      <c r="N23" t="s">
        <v>174</v>
      </c>
      <c r="O23" t="s">
        <v>203</v>
      </c>
      <c r="P23">
        <v>0.013190031915807886</v>
      </c>
      <c r="Q23" t="s">
        <v>153</v>
      </c>
      <c r="S23" t="s">
        <v>184</v>
      </c>
      <c r="T23" t="s">
        <v>203</v>
      </c>
      <c r="U23">
        <v>0.01691504683035111</v>
      </c>
      <c r="V23" t="s">
        <v>153</v>
      </c>
      <c r="X23">
        <v>0.0047945205479452057</v>
      </c>
      <c r="Y23">
        <v>0.0062412052805608737</v>
      </c>
      <c r="Z23" t="s">
        <v>203</v>
      </c>
      <c r="AA23" t="s">
        <v>25</v>
      </c>
      <c r="AC23" t="s">
        <v>22</v>
      </c>
      <c r="AD23" t="s">
        <v>203</v>
      </c>
      <c r="AE23">
        <v>0.0040712246315711366</v>
      </c>
      <c r="AG23" t="s">
        <v>96</v>
      </c>
      <c r="AH23" t="s">
        <v>203</v>
      </c>
      <c r="AI23">
        <v>0.080128972272342391</v>
      </c>
      <c r="AK23">
        <v>2025</v>
      </c>
      <c r="AL23" t="s">
        <v>259</v>
      </c>
      <c r="AM23">
        <v>0.50519999999999998</v>
      </c>
      <c r="AN23" t="s">
        <v>195</v>
      </c>
    </row>
    <row r="24" spans="3:40" ht="14.25">
      <c r="C24" t="s">
        <v>260</v>
      </c>
      <c r="I24" t="s">
        <v>151</v>
      </c>
      <c r="J24" t="s">
        <v>219</v>
      </c>
      <c r="K24">
        <v>0.0013462483891311546</v>
      </c>
      <c r="L24" t="s">
        <v>153</v>
      </c>
      <c r="N24" t="s">
        <v>174</v>
      </c>
      <c r="O24" t="s">
        <v>219</v>
      </c>
      <c r="P24">
        <v>0.0018154779998617427</v>
      </c>
      <c r="Q24" t="s">
        <v>153</v>
      </c>
      <c r="S24" t="s">
        <v>184</v>
      </c>
      <c r="T24" t="s">
        <v>219</v>
      </c>
      <c r="U24">
        <v>0.0021691512070093634</v>
      </c>
      <c r="V24" t="s">
        <v>153</v>
      </c>
      <c r="X24">
        <v>0.00068493150684931507</v>
      </c>
      <c r="Y24">
        <v>0.0013325709171369616</v>
      </c>
      <c r="Z24" t="s">
        <v>219</v>
      </c>
      <c r="AA24" t="s">
        <v>25</v>
      </c>
      <c r="AC24" t="s">
        <v>22</v>
      </c>
      <c r="AD24" t="s">
        <v>219</v>
      </c>
      <c r="AE24">
        <v>0.00059492682546052628</v>
      </c>
      <c r="AG24" t="s">
        <v>96</v>
      </c>
      <c r="AH24" t="s">
        <v>219</v>
      </c>
      <c r="AI24">
        <v>0.063608320809934282</v>
      </c>
      <c r="AK24">
        <v>2025</v>
      </c>
      <c r="AL24" t="s">
        <v>260</v>
      </c>
      <c r="AM24">
        <v>0.50614999999999999</v>
      </c>
      <c r="AN24" t="s">
        <v>195</v>
      </c>
    </row>
    <row r="25" spans="3:40" ht="14.25">
      <c r="C25" t="s">
        <v>261</v>
      </c>
      <c r="I25" t="s">
        <v>151</v>
      </c>
      <c r="J25" t="s">
        <v>311</v>
      </c>
      <c r="K25">
        <v>0.00077746220778977739</v>
      </c>
      <c r="L25" t="s">
        <v>153</v>
      </c>
      <c r="N25" t="s">
        <v>174</v>
      </c>
      <c r="O25" t="s">
        <v>311</v>
      </c>
      <c r="P25">
        <v>0.0017036810257224943</v>
      </c>
      <c r="Q25" t="s">
        <v>153</v>
      </c>
      <c r="S25" t="s">
        <v>184</v>
      </c>
      <c r="T25" t="s">
        <v>311</v>
      </c>
      <c r="U25">
        <v>0.0020527733948070091</v>
      </c>
      <c r="V25" t="s">
        <v>153</v>
      </c>
      <c r="X25">
        <v>0.00068493150684931507</v>
      </c>
      <c r="Y25">
        <v>0.0013325709171369616</v>
      </c>
      <c r="Z25" t="s">
        <v>311</v>
      </c>
      <c r="AA25" t="s">
        <v>25</v>
      </c>
      <c r="AC25" t="s">
        <v>22</v>
      </c>
      <c r="AD25" t="s">
        <v>311</v>
      </c>
      <c r="AE25">
        <v>0.00061419669743558965</v>
      </c>
      <c r="AG25" t="s">
        <v>96</v>
      </c>
      <c r="AH25" t="s">
        <v>311</v>
      </c>
      <c r="AI25">
        <v>0.056184625345902628</v>
      </c>
      <c r="AK25">
        <v>2025</v>
      </c>
      <c r="AL25" t="s">
        <v>261</v>
      </c>
      <c r="AM25">
        <v>0.5071</v>
      </c>
      <c r="AN25" t="s">
        <v>195</v>
      </c>
    </row>
    <row r="26" spans="3:40" ht="14.25">
      <c r="C26" t="s">
        <v>303</v>
      </c>
      <c r="I26" t="s">
        <v>151</v>
      </c>
      <c r="J26" t="s">
        <v>312</v>
      </c>
      <c r="K26">
        <v>0</v>
      </c>
      <c r="L26" t="s">
        <v>153</v>
      </c>
      <c r="N26" t="s">
        <v>174</v>
      </c>
      <c r="O26" t="s">
        <v>312</v>
      </c>
      <c r="P26">
        <v>0.009604045117233756</v>
      </c>
      <c r="Q26" t="s">
        <v>153</v>
      </c>
      <c r="S26" t="s">
        <v>184</v>
      </c>
      <c r="T26" t="s">
        <v>312</v>
      </c>
      <c r="U26">
        <v>0.011576830037026574</v>
      </c>
      <c r="V26" t="s">
        <v>153</v>
      </c>
      <c r="X26">
        <v>0.00410958904109589</v>
      </c>
      <c r="Y26">
        <v>0.0036198195062526421</v>
      </c>
      <c r="Z26" t="s">
        <v>312</v>
      </c>
      <c r="AA26" t="s">
        <v>25</v>
      </c>
      <c r="AC26" t="s">
        <v>22</v>
      </c>
      <c r="AD26" t="s">
        <v>312</v>
      </c>
      <c r="AE26">
        <v>0.0034894535921547423</v>
      </c>
      <c r="AG26" t="s">
        <v>96</v>
      </c>
      <c r="AH26" t="s">
        <v>312</v>
      </c>
      <c r="AI26">
        <v>0.10220997812979538</v>
      </c>
      <c r="AK26">
        <v>2025</v>
      </c>
      <c r="AL26" t="s">
        <v>303</v>
      </c>
      <c r="AM26">
        <v>0.5071</v>
      </c>
      <c r="AN26" t="s">
        <v>195</v>
      </c>
    </row>
    <row r="27" spans="3:40" ht="14.25">
      <c r="C27" t="s">
        <v>304</v>
      </c>
      <c r="I27" t="s">
        <v>151</v>
      </c>
      <c r="J27" t="s">
        <v>159</v>
      </c>
      <c r="K27">
        <v>0</v>
      </c>
      <c r="L27" t="s">
        <v>153</v>
      </c>
      <c r="N27" t="s">
        <v>174</v>
      </c>
      <c r="O27" t="s">
        <v>159</v>
      </c>
      <c r="P27">
        <v>0.0094805225645883204</v>
      </c>
      <c r="Q27" t="s">
        <v>153</v>
      </c>
      <c r="S27" t="s">
        <v>184</v>
      </c>
      <c r="T27" t="s">
        <v>159</v>
      </c>
      <c r="U27">
        <v>0.0062661704905292125</v>
      </c>
      <c r="V27" t="s">
        <v>153</v>
      </c>
      <c r="X27">
        <v>0.011643835616438357</v>
      </c>
      <c r="Y27">
        <v>0.002490780565016699</v>
      </c>
      <c r="Z27" t="s">
        <v>159</v>
      </c>
      <c r="AA27" t="s">
        <v>25</v>
      </c>
      <c r="AC27" t="s">
        <v>22</v>
      </c>
      <c r="AD27" t="s">
        <v>159</v>
      </c>
      <c r="AE27">
        <v>0.00696063850343062</v>
      </c>
      <c r="AG27" t="s">
        <v>96</v>
      </c>
      <c r="AH27" t="s">
        <v>159</v>
      </c>
      <c r="AI27">
        <v>0.1524245274047149</v>
      </c>
      <c r="AK27">
        <v>2025</v>
      </c>
      <c r="AL27" t="s">
        <v>304</v>
      </c>
      <c r="AM27">
        <v>0.44463333333333327</v>
      </c>
      <c r="AN27" t="s">
        <v>195</v>
      </c>
    </row>
    <row r="28" spans="3:40" ht="14.25">
      <c r="C28" t="s">
        <v>305</v>
      </c>
      <c r="I28" t="s">
        <v>151</v>
      </c>
      <c r="J28" t="s">
        <v>160</v>
      </c>
      <c r="K28">
        <v>0</v>
      </c>
      <c r="L28" t="s">
        <v>153</v>
      </c>
      <c r="N28" t="s">
        <v>174</v>
      </c>
      <c r="O28" t="s">
        <v>160</v>
      </c>
      <c r="P28">
        <v>0.0017115275109285872</v>
      </c>
      <c r="Q28" t="s">
        <v>153</v>
      </c>
      <c r="S28" t="s">
        <v>184</v>
      </c>
      <c r="T28" t="s">
        <v>160</v>
      </c>
      <c r="U28">
        <v>0.0012736133506401385</v>
      </c>
      <c r="V28" t="s">
        <v>153</v>
      </c>
      <c r="X28">
        <v>0.0019406392694063927</v>
      </c>
      <c r="Y28">
        <v>0.0028739775750192685</v>
      </c>
      <c r="Z28" t="s">
        <v>160</v>
      </c>
      <c r="AA28" t="s">
        <v>25</v>
      </c>
      <c r="AC28" t="s">
        <v>22</v>
      </c>
      <c r="AD28" t="s">
        <v>160</v>
      </c>
      <c r="AE28">
        <v>0.0013305005859124751</v>
      </c>
      <c r="AG28" t="s">
        <v>96</v>
      </c>
      <c r="AH28" t="s">
        <v>160</v>
      </c>
      <c r="AI28">
        <v>0.12635827069565675</v>
      </c>
      <c r="AK28">
        <v>2025</v>
      </c>
      <c r="AL28" t="s">
        <v>305</v>
      </c>
      <c r="AM28">
        <v>0.37385000000000002</v>
      </c>
      <c r="AN28" t="s">
        <v>195</v>
      </c>
    </row>
    <row r="29" spans="3:40" ht="14.25">
      <c r="C29" t="s">
        <v>306</v>
      </c>
      <c r="I29" t="s">
        <v>151</v>
      </c>
      <c r="J29" t="s">
        <v>161</v>
      </c>
      <c r="K29">
        <v>0.0017185408482475893</v>
      </c>
      <c r="L29" t="s">
        <v>153</v>
      </c>
      <c r="N29" t="s">
        <v>174</v>
      </c>
      <c r="O29" t="s">
        <v>161</v>
      </c>
      <c r="P29">
        <v>0.0016297190814087469</v>
      </c>
      <c r="Q29" t="s">
        <v>153</v>
      </c>
      <c r="S29" t="s">
        <v>184</v>
      </c>
      <c r="T29" t="s">
        <v>161</v>
      </c>
      <c r="U29">
        <v>0.0012356088916376552</v>
      </c>
      <c r="V29" t="s">
        <v>153</v>
      </c>
      <c r="X29">
        <v>0.0019406392694063927</v>
      </c>
      <c r="Y29">
        <v>0.0032402688345805472</v>
      </c>
      <c r="Z29" t="s">
        <v>161</v>
      </c>
      <c r="AA29" t="s">
        <v>25</v>
      </c>
      <c r="AC29" t="s">
        <v>22</v>
      </c>
      <c r="AD29" t="s">
        <v>161</v>
      </c>
      <c r="AE29">
        <v>0.0014754942668680465</v>
      </c>
      <c r="AG29" t="s">
        <v>96</v>
      </c>
      <c r="AH29" t="s">
        <v>161</v>
      </c>
      <c r="AI29">
        <v>0.19085158815386816</v>
      </c>
      <c r="AK29">
        <v>2025</v>
      </c>
      <c r="AL29" t="s">
        <v>306</v>
      </c>
      <c r="AM29">
        <v>0.35817500000000002</v>
      </c>
      <c r="AN29" t="s">
        <v>195</v>
      </c>
    </row>
    <row r="30" spans="3:40" ht="14.25">
      <c r="C30" t="s">
        <v>307</v>
      </c>
      <c r="I30" t="s">
        <v>151</v>
      </c>
      <c r="J30" t="s">
        <v>204</v>
      </c>
      <c r="K30">
        <v>0.0033086586948651566</v>
      </c>
      <c r="L30" t="s">
        <v>153</v>
      </c>
      <c r="N30" t="s">
        <v>174</v>
      </c>
      <c r="O30" t="s">
        <v>204</v>
      </c>
      <c r="P30">
        <v>0.001391753157826726</v>
      </c>
      <c r="Q30" t="s">
        <v>153</v>
      </c>
      <c r="S30" t="s">
        <v>184</v>
      </c>
      <c r="T30" t="s">
        <v>204</v>
      </c>
      <c r="U30">
        <v>0.0012337408968327219</v>
      </c>
      <c r="V30" t="s">
        <v>153</v>
      </c>
      <c r="X30">
        <v>0.0019406392694063927</v>
      </c>
      <c r="Y30">
        <v>0.0024795100647225059</v>
      </c>
      <c r="Z30" t="s">
        <v>204</v>
      </c>
      <c r="AA30" t="s">
        <v>25</v>
      </c>
      <c r="AC30" t="s">
        <v>22</v>
      </c>
      <c r="AD30" t="s">
        <v>204</v>
      </c>
      <c r="AE30">
        <v>0.0016135162563279469</v>
      </c>
      <c r="AG30" t="s">
        <v>96</v>
      </c>
      <c r="AH30" t="s">
        <v>204</v>
      </c>
      <c r="AI30">
        <v>0.17933764341228731</v>
      </c>
      <c r="AK30">
        <v>2025</v>
      </c>
      <c r="AL30" t="s">
        <v>307</v>
      </c>
      <c r="AM30">
        <v>0.37730000000000002</v>
      </c>
      <c r="AN30" t="s">
        <v>195</v>
      </c>
    </row>
    <row r="31" spans="3:40" ht="14.25">
      <c r="C31" t="s">
        <v>308</v>
      </c>
      <c r="I31" t="s">
        <v>151</v>
      </c>
      <c r="J31" t="s">
        <v>205</v>
      </c>
      <c r="K31">
        <v>0.032973576808973032</v>
      </c>
      <c r="L31" t="s">
        <v>153</v>
      </c>
      <c r="N31" t="s">
        <v>174</v>
      </c>
      <c r="O31" t="s">
        <v>205</v>
      </c>
      <c r="P31">
        <v>0.0062328433793693164</v>
      </c>
      <c r="Q31" t="s">
        <v>153</v>
      </c>
      <c r="S31" t="s">
        <v>184</v>
      </c>
      <c r="T31" t="s">
        <v>205</v>
      </c>
      <c r="U31">
        <v>0.0060037313694698679</v>
      </c>
      <c r="V31" t="s">
        <v>153</v>
      </c>
      <c r="X31">
        <v>0.013584474885844749</v>
      </c>
      <c r="Y31">
        <v>0.017683414961589143</v>
      </c>
      <c r="Z31" t="s">
        <v>205</v>
      </c>
      <c r="AA31" t="s">
        <v>25</v>
      </c>
      <c r="AC31" t="s">
        <v>22</v>
      </c>
      <c r="AD31" t="s">
        <v>205</v>
      </c>
      <c r="AE31">
        <v>0.011690401679448603</v>
      </c>
      <c r="AG31" t="s">
        <v>96</v>
      </c>
      <c r="AH31" t="s">
        <v>205</v>
      </c>
      <c r="AI31">
        <v>0.085081240886793141</v>
      </c>
      <c r="AK31">
        <v>2025</v>
      </c>
      <c r="AL31" t="s">
        <v>308</v>
      </c>
      <c r="AM31">
        <v>0.37730000000000002</v>
      </c>
      <c r="AN31" t="s">
        <v>195</v>
      </c>
    </row>
    <row r="32" spans="9:40" ht="14.25">
      <c r="I32" t="s">
        <v>151</v>
      </c>
      <c r="J32" t="s">
        <v>220</v>
      </c>
      <c r="K32">
        <v>0.0037937250968261417</v>
      </c>
      <c r="L32" t="s">
        <v>153</v>
      </c>
      <c r="N32" t="s">
        <v>174</v>
      </c>
      <c r="O32" t="s">
        <v>220</v>
      </c>
      <c r="P32">
        <v>0.00089001671743039947</v>
      </c>
      <c r="Q32" t="s">
        <v>153</v>
      </c>
      <c r="S32" t="s">
        <v>184</v>
      </c>
      <c r="T32" t="s">
        <v>220</v>
      </c>
      <c r="U32">
        <v>0.00064494386422772674</v>
      </c>
      <c r="V32" t="s">
        <v>153</v>
      </c>
      <c r="X32">
        <v>0.0019406392694063927</v>
      </c>
      <c r="Y32">
        <v>0.0037756175985547247</v>
      </c>
      <c r="Z32" t="s">
        <v>220</v>
      </c>
      <c r="AA32" t="s">
        <v>25</v>
      </c>
      <c r="AC32" t="s">
        <v>22</v>
      </c>
      <c r="AD32" t="s">
        <v>220</v>
      </c>
      <c r="AE32">
        <v>0.001709089687358976</v>
      </c>
      <c r="AG32" t="s">
        <v>96</v>
      </c>
      <c r="AH32" t="s">
        <v>220</v>
      </c>
      <c r="AI32">
        <v>0.068512966613110571</v>
      </c>
      <c r="AK32">
        <v>2026</v>
      </c>
      <c r="AL32" t="s">
        <v>141</v>
      </c>
      <c r="AM32">
        <v>0.38350000000000001</v>
      </c>
      <c r="AN32" t="s">
        <v>195</v>
      </c>
    </row>
    <row r="33" spans="9:40" ht="14.25">
      <c r="I33" t="s">
        <v>151</v>
      </c>
      <c r="J33" t="s">
        <v>313</v>
      </c>
      <c r="K33">
        <v>0.0021842509126285118</v>
      </c>
      <c r="L33" t="s">
        <v>153</v>
      </c>
      <c r="N33" t="s">
        <v>174</v>
      </c>
      <c r="O33" t="s">
        <v>313</v>
      </c>
      <c r="P33">
        <v>0.0010094157188276073</v>
      </c>
      <c r="Q33" t="s">
        <v>153</v>
      </c>
      <c r="S33" t="s">
        <v>184</v>
      </c>
      <c r="T33" t="s">
        <v>313</v>
      </c>
      <c r="U33">
        <v>0.00058915054962360822</v>
      </c>
      <c r="V33" t="s">
        <v>153</v>
      </c>
      <c r="X33">
        <v>0.0019406392694063927</v>
      </c>
      <c r="Y33">
        <v>0.0037756175985547247</v>
      </c>
      <c r="Z33" t="s">
        <v>313</v>
      </c>
      <c r="AA33" t="s">
        <v>25</v>
      </c>
      <c r="AC33" t="s">
        <v>22</v>
      </c>
      <c r="AD33" t="s">
        <v>313</v>
      </c>
      <c r="AE33">
        <v>0.0017625237646885568</v>
      </c>
      <c r="AG33" t="s">
        <v>96</v>
      </c>
      <c r="AH33" t="s">
        <v>313</v>
      </c>
      <c r="AI33">
        <v>0.056809828835451048</v>
      </c>
      <c r="AK33">
        <v>2026</v>
      </c>
      <c r="AL33" t="s">
        <v>145</v>
      </c>
      <c r="AM33">
        <v>0.38350000000000001</v>
      </c>
      <c r="AN33" t="s">
        <v>195</v>
      </c>
    </row>
    <row r="34" spans="9:40" ht="14.25">
      <c r="I34" t="s">
        <v>151</v>
      </c>
      <c r="J34" t="s">
        <v>314</v>
      </c>
      <c r="K34">
        <v>0</v>
      </c>
      <c r="L34" t="s">
        <v>153</v>
      </c>
      <c r="N34" t="s">
        <v>174</v>
      </c>
      <c r="O34" t="s">
        <v>314</v>
      </c>
      <c r="P34">
        <v>0.0077155326452682553</v>
      </c>
      <c r="Q34" t="s">
        <v>153</v>
      </c>
      <c r="S34" t="s">
        <v>184</v>
      </c>
      <c r="T34" t="s">
        <v>314</v>
      </c>
      <c r="U34">
        <v>0.0035490120818540203</v>
      </c>
      <c r="V34" t="s">
        <v>153</v>
      </c>
      <c r="X34">
        <v>0.011643835616438357</v>
      </c>
      <c r="Y34">
        <v>0.010256155267715819</v>
      </c>
      <c r="Z34" t="s">
        <v>314</v>
      </c>
      <c r="AA34" t="s">
        <v>25</v>
      </c>
      <c r="AC34" t="s">
        <v>22</v>
      </c>
      <c r="AD34" t="s">
        <v>314</v>
      </c>
      <c r="AE34">
        <v>0.010027307653806671</v>
      </c>
      <c r="AG34" t="s">
        <v>96</v>
      </c>
      <c r="AH34" t="s">
        <v>314</v>
      </c>
      <c r="AI34">
        <v>0.11553592234920096</v>
      </c>
      <c r="AK34">
        <v>2026</v>
      </c>
      <c r="AL34" t="s">
        <v>147</v>
      </c>
      <c r="AM34">
        <v>0.38345000000000001</v>
      </c>
      <c r="AN34" t="s">
        <v>195</v>
      </c>
    </row>
    <row r="35" spans="9:40" ht="14.25">
      <c r="I35" t="s">
        <v>151</v>
      </c>
      <c r="J35" t="s">
        <v>162</v>
      </c>
      <c r="K35">
        <v>0</v>
      </c>
      <c r="L35" t="s">
        <v>153</v>
      </c>
      <c r="N35" t="s">
        <v>174</v>
      </c>
      <c r="O35" t="s">
        <v>162</v>
      </c>
      <c r="P35">
        <v>0.016638289764654174</v>
      </c>
      <c r="Q35" t="s">
        <v>153</v>
      </c>
      <c r="S35" t="s">
        <v>184</v>
      </c>
      <c r="T35" t="s">
        <v>162</v>
      </c>
      <c r="U35">
        <v>0.021109318179888432</v>
      </c>
      <c r="V35" t="s">
        <v>153</v>
      </c>
      <c r="X35">
        <v>0.01643835616438356</v>
      </c>
      <c r="Y35">
        <v>0.0035163960917882816</v>
      </c>
      <c r="Z35" t="s">
        <v>162</v>
      </c>
      <c r="AA35" t="s">
        <v>25</v>
      </c>
      <c r="AC35" t="s">
        <v>22</v>
      </c>
      <c r="AD35" t="s">
        <v>162</v>
      </c>
      <c r="AE35">
        <v>0.0098747380849772415</v>
      </c>
      <c r="AG35" t="s">
        <v>96</v>
      </c>
      <c r="AH35" t="s">
        <v>162</v>
      </c>
      <c r="AI35">
        <v>0.13273454188417944</v>
      </c>
      <c r="AK35">
        <v>2026</v>
      </c>
      <c r="AL35" t="s">
        <v>149</v>
      </c>
      <c r="AM35">
        <v>0.38340000000000002</v>
      </c>
      <c r="AN35" t="s">
        <v>195</v>
      </c>
    </row>
    <row r="36" spans="9:40" ht="14.25">
      <c r="I36" t="s">
        <v>151</v>
      </c>
      <c r="J36" t="s">
        <v>163</v>
      </c>
      <c r="K36">
        <v>0</v>
      </c>
      <c r="L36" t="s">
        <v>153</v>
      </c>
      <c r="N36" t="s">
        <v>174</v>
      </c>
      <c r="O36" t="s">
        <v>163</v>
      </c>
      <c r="P36">
        <v>0.0031191758140995465</v>
      </c>
      <c r="Q36" t="s">
        <v>153</v>
      </c>
      <c r="S36" t="s">
        <v>184</v>
      </c>
      <c r="T36" t="s">
        <v>163</v>
      </c>
      <c r="U36">
        <v>0.0037819128808608236</v>
      </c>
      <c r="V36" t="s">
        <v>153</v>
      </c>
      <c r="X36">
        <v>0.0027397260273972603</v>
      </c>
      <c r="Y36">
        <v>0.0040573801059095556</v>
      </c>
      <c r="Z36" t="s">
        <v>163</v>
      </c>
      <c r="AA36" t="s">
        <v>25</v>
      </c>
      <c r="AC36" t="s">
        <v>22</v>
      </c>
      <c r="AD36" t="s">
        <v>163</v>
      </c>
      <c r="AE36">
        <v>0.0018770057806663687</v>
      </c>
      <c r="AG36" t="s">
        <v>96</v>
      </c>
      <c r="AH36" t="s">
        <v>163</v>
      </c>
      <c r="AI36">
        <v>0.072693771795379059</v>
      </c>
      <c r="AK36">
        <v>2026</v>
      </c>
      <c r="AL36" t="s">
        <v>198</v>
      </c>
      <c r="AM36">
        <v>0.40485000000000004</v>
      </c>
      <c r="AN36" t="s">
        <v>195</v>
      </c>
    </row>
    <row r="37" spans="9:40" ht="14.25">
      <c r="I37" t="s">
        <v>151</v>
      </c>
      <c r="J37" t="s">
        <v>164</v>
      </c>
      <c r="K37">
        <v>0.002737404315001084</v>
      </c>
      <c r="L37" t="s">
        <v>153</v>
      </c>
      <c r="N37" t="s">
        <v>174</v>
      </c>
      <c r="O37" t="s">
        <v>164</v>
      </c>
      <c r="P37">
        <v>0.0030990611930141574</v>
      </c>
      <c r="Q37" t="s">
        <v>153</v>
      </c>
      <c r="S37" t="s">
        <v>184</v>
      </c>
      <c r="T37" t="s">
        <v>164</v>
      </c>
      <c r="U37">
        <v>0.003847648780535643</v>
      </c>
      <c r="V37" t="s">
        <v>153</v>
      </c>
      <c r="X37">
        <v>0.0027397260273972603</v>
      </c>
      <c r="Y37">
        <v>0.0045744971782313605</v>
      </c>
      <c r="Z37" t="s">
        <v>164</v>
      </c>
      <c r="AA37" t="s">
        <v>25</v>
      </c>
      <c r="AC37" t="s">
        <v>22</v>
      </c>
      <c r="AD37" t="s">
        <v>164</v>
      </c>
      <c r="AE37">
        <v>0.0020682868259120253</v>
      </c>
      <c r="AG37" t="s">
        <v>96</v>
      </c>
      <c r="AH37" t="s">
        <v>164</v>
      </c>
      <c r="AI37">
        <v>0.10456010647470548</v>
      </c>
      <c r="AK37">
        <v>2026</v>
      </c>
      <c r="AL37" t="s">
        <v>216</v>
      </c>
      <c r="AM37">
        <v>0.42630000000000001</v>
      </c>
      <c r="AN37" t="s">
        <v>195</v>
      </c>
    </row>
    <row r="38" spans="9:40" ht="14.25">
      <c r="I38" t="s">
        <v>151</v>
      </c>
      <c r="J38" t="s">
        <v>206</v>
      </c>
      <c r="K38">
        <v>0.0052068763746884504</v>
      </c>
      <c r="L38" t="s">
        <v>153</v>
      </c>
      <c r="N38" t="s">
        <v>174</v>
      </c>
      <c r="O38" t="s">
        <v>206</v>
      </c>
      <c r="P38">
        <v>0.0025551280346237911</v>
      </c>
      <c r="Q38" t="s">
        <v>153</v>
      </c>
      <c r="S38" t="s">
        <v>184</v>
      </c>
      <c r="T38" t="s">
        <v>206</v>
      </c>
      <c r="U38">
        <v>0.003635840360613873</v>
      </c>
      <c r="V38" t="s">
        <v>153</v>
      </c>
      <c r="X38">
        <v>0.0027397260273972603</v>
      </c>
      <c r="Y38">
        <v>0.0035004847972553029</v>
      </c>
      <c r="Z38" t="s">
        <v>206</v>
      </c>
      <c r="AA38" t="s">
        <v>25</v>
      </c>
      <c r="AC38" t="s">
        <v>22</v>
      </c>
      <c r="AD38" t="s">
        <v>206</v>
      </c>
      <c r="AE38">
        <v>0.0022453736239535262</v>
      </c>
      <c r="AG38" t="s">
        <v>96</v>
      </c>
      <c r="AH38" t="s">
        <v>206</v>
      </c>
      <c r="AI38">
        <v>0.11584774627694383</v>
      </c>
      <c r="AK38">
        <v>2026</v>
      </c>
      <c r="AL38" t="s">
        <v>232</v>
      </c>
      <c r="AM38">
        <v>0.42630000000000001</v>
      </c>
      <c r="AN38" t="s">
        <v>195</v>
      </c>
    </row>
    <row r="39" spans="9:40" ht="14.25">
      <c r="I39" t="s">
        <v>151</v>
      </c>
      <c r="J39" t="s">
        <v>207</v>
      </c>
      <c r="K39">
        <v>0.051168255943041481</v>
      </c>
      <c r="L39" t="s">
        <v>153</v>
      </c>
      <c r="N39" t="s">
        <v>174</v>
      </c>
      <c r="O39" t="s">
        <v>207</v>
      </c>
      <c r="P39">
        <v>0.017471578811106454</v>
      </c>
      <c r="Q39" t="s">
        <v>153</v>
      </c>
      <c r="S39" t="s">
        <v>184</v>
      </c>
      <c r="T39" t="s">
        <v>207</v>
      </c>
      <c r="U39">
        <v>0.021306823894546644</v>
      </c>
      <c r="V39" t="s">
        <v>153</v>
      </c>
      <c r="X39">
        <v>0.019178082191780823</v>
      </c>
      <c r="Y39">
        <v>0.024964821122243495</v>
      </c>
      <c r="Z39" t="s">
        <v>207</v>
      </c>
      <c r="AA39" t="s">
        <v>25</v>
      </c>
      <c r="AC39" t="s">
        <v>22</v>
      </c>
      <c r="AD39" t="s">
        <v>207</v>
      </c>
      <c r="AE39">
        <v>0.016657836935150674</v>
      </c>
      <c r="AG39" t="s">
        <v>96</v>
      </c>
      <c r="AH39" t="s">
        <v>207</v>
      </c>
      <c r="AI39">
        <v>0.078903915632273502</v>
      </c>
      <c r="AK39">
        <v>2026</v>
      </c>
      <c r="AL39" t="s">
        <v>233</v>
      </c>
      <c r="AM39">
        <v>0.42630000000000001</v>
      </c>
      <c r="AN39" t="s">
        <v>195</v>
      </c>
    </row>
    <row r="40" spans="9:40" ht="14.25">
      <c r="I40" t="s">
        <v>151</v>
      </c>
      <c r="J40" t="s">
        <v>221</v>
      </c>
      <c r="K40">
        <v>0.0064835899290583594</v>
      </c>
      <c r="L40" t="s">
        <v>153</v>
      </c>
      <c r="N40" t="s">
        <v>174</v>
      </c>
      <c r="O40" t="s">
        <v>221</v>
      </c>
      <c r="P40">
        <v>0.0023252071770490301</v>
      </c>
      <c r="Q40" t="s">
        <v>153</v>
      </c>
      <c r="S40" t="s">
        <v>184</v>
      </c>
      <c r="T40" t="s">
        <v>221</v>
      </c>
      <c r="U40">
        <v>0.0028895688142959427</v>
      </c>
      <c r="V40" t="s">
        <v>153</v>
      </c>
      <c r="X40">
        <v>0.0027397260273972603</v>
      </c>
      <c r="Y40">
        <v>0.0053302836685478472</v>
      </c>
      <c r="Z40" t="s">
        <v>221</v>
      </c>
      <c r="AA40" t="s">
        <v>25</v>
      </c>
      <c r="AC40" t="s">
        <v>22</v>
      </c>
      <c r="AD40" t="s">
        <v>221</v>
      </c>
      <c r="AE40">
        <v>0.0024417769663817764</v>
      </c>
      <c r="AG40" t="s">
        <v>96</v>
      </c>
      <c r="AH40" t="s">
        <v>221</v>
      </c>
      <c r="AI40">
        <v>0.063639163098233142</v>
      </c>
      <c r="AK40">
        <v>2026</v>
      </c>
      <c r="AL40" t="s">
        <v>234</v>
      </c>
      <c r="AM40">
        <v>0.43569999999999998</v>
      </c>
      <c r="AN40" t="s">
        <v>195</v>
      </c>
    </row>
    <row r="41" spans="9:40" ht="14.25">
      <c r="I41" t="s">
        <v>151</v>
      </c>
      <c r="J41" t="s">
        <v>315</v>
      </c>
      <c r="K41">
        <v>0.0043624595137463787</v>
      </c>
      <c r="L41" t="s">
        <v>153</v>
      </c>
      <c r="N41" t="s">
        <v>174</v>
      </c>
      <c r="O41" t="s">
        <v>315</v>
      </c>
      <c r="P41">
        <v>0.002221656642915119</v>
      </c>
      <c r="Q41" t="s">
        <v>153</v>
      </c>
      <c r="S41" t="s">
        <v>184</v>
      </c>
      <c r="T41" t="s">
        <v>315</v>
      </c>
      <c r="U41">
        <v>0.0029408980941794914</v>
      </c>
      <c r="V41" t="s">
        <v>153</v>
      </c>
      <c r="X41">
        <v>0.0027397260273972603</v>
      </c>
      <c r="Y41">
        <v>0.0053302836685478472</v>
      </c>
      <c r="Z41" t="s">
        <v>315</v>
      </c>
      <c r="AA41" t="s">
        <v>25</v>
      </c>
      <c r="AC41" t="s">
        <v>22</v>
      </c>
      <c r="AD41" t="s">
        <v>315</v>
      </c>
      <c r="AE41">
        <v>0.0025125323424985092</v>
      </c>
      <c r="AG41" t="s">
        <v>96</v>
      </c>
      <c r="AH41" t="s">
        <v>315</v>
      </c>
      <c r="AI41">
        <v>0.061209814915386351</v>
      </c>
      <c r="AK41">
        <v>2026</v>
      </c>
      <c r="AL41" t="s">
        <v>256</v>
      </c>
      <c r="AM41">
        <v>0.4451</v>
      </c>
      <c r="AN41" t="s">
        <v>195</v>
      </c>
    </row>
    <row r="42" spans="9:40" ht="14.25">
      <c r="I42" t="s">
        <v>151</v>
      </c>
      <c r="J42" t="s">
        <v>316</v>
      </c>
      <c r="K42">
        <v>0</v>
      </c>
      <c r="L42" t="s">
        <v>153</v>
      </c>
      <c r="N42" t="s">
        <v>174</v>
      </c>
      <c r="O42" t="s">
        <v>316</v>
      </c>
      <c r="P42">
        <v>0.015958558504627424</v>
      </c>
      <c r="Q42" t="s">
        <v>153</v>
      </c>
      <c r="S42" t="s">
        <v>184</v>
      </c>
      <c r="T42" t="s">
        <v>316</v>
      </c>
      <c r="U42">
        <v>0.017661226270320716</v>
      </c>
      <c r="V42" t="s">
        <v>153</v>
      </c>
      <c r="X42">
        <v>0.01643835616438356</v>
      </c>
      <c r="Y42">
        <v>0.014479278025010568</v>
      </c>
      <c r="Z42" t="s">
        <v>316</v>
      </c>
      <c r="AA42" t="s">
        <v>25</v>
      </c>
      <c r="AC42" t="s">
        <v>22</v>
      </c>
      <c r="AD42" t="s">
        <v>316</v>
      </c>
      <c r="AE42">
        <v>0.014294102075160187</v>
      </c>
      <c r="AG42" t="s">
        <v>96</v>
      </c>
      <c r="AH42" t="s">
        <v>316</v>
      </c>
      <c r="AI42">
        <v>0.11505982618350852</v>
      </c>
      <c r="AK42">
        <v>2026</v>
      </c>
      <c r="AL42" t="s">
        <v>257</v>
      </c>
      <c r="AM42">
        <v>0.47504999999999997</v>
      </c>
      <c r="AN42" t="s">
        <v>195</v>
      </c>
    </row>
    <row r="43" spans="9:40" ht="14.25">
      <c r="I43" t="s">
        <v>151</v>
      </c>
      <c r="J43" t="s">
        <v>208</v>
      </c>
      <c r="K43">
        <v>0</v>
      </c>
      <c r="L43" t="s">
        <v>153</v>
      </c>
      <c r="N43" t="s">
        <v>174</v>
      </c>
      <c r="O43" t="s">
        <v>208</v>
      </c>
      <c r="P43">
        <v>0.0034808371050548004</v>
      </c>
      <c r="Q43" t="s">
        <v>153</v>
      </c>
      <c r="S43" t="s">
        <v>184</v>
      </c>
      <c r="T43" t="s">
        <v>208</v>
      </c>
      <c r="U43">
        <v>0.0027376827136421575</v>
      </c>
      <c r="V43" t="s">
        <v>153</v>
      </c>
      <c r="X43">
        <v>0.0047945205479452057</v>
      </c>
      <c r="Y43">
        <v>0.001025615526771582</v>
      </c>
      <c r="Z43" t="s">
        <v>208</v>
      </c>
      <c r="AA43" t="s">
        <v>25</v>
      </c>
      <c r="AC43" t="s">
        <v>22</v>
      </c>
      <c r="AD43" t="s">
        <v>208</v>
      </c>
      <c r="AE43">
        <v>0.0028622732533648727</v>
      </c>
      <c r="AG43" t="s">
        <v>96</v>
      </c>
      <c r="AH43" t="s">
        <v>208</v>
      </c>
      <c r="AI43">
        <v>0.11382000809848725</v>
      </c>
      <c r="AK43">
        <v>2026</v>
      </c>
      <c r="AL43" t="s">
        <v>258</v>
      </c>
      <c r="AM43">
        <v>0.505</v>
      </c>
      <c r="AN43" t="s">
        <v>195</v>
      </c>
    </row>
    <row r="44" spans="9:40" ht="14.25">
      <c r="I44" t="s">
        <v>151</v>
      </c>
      <c r="J44" t="s">
        <v>209</v>
      </c>
      <c r="K44">
        <v>0</v>
      </c>
      <c r="L44" t="s">
        <v>153</v>
      </c>
      <c r="N44" t="s">
        <v>174</v>
      </c>
      <c r="O44" t="s">
        <v>209</v>
      </c>
      <c r="P44">
        <v>0.00057877462437173996</v>
      </c>
      <c r="Q44" t="s">
        <v>153</v>
      </c>
      <c r="S44" t="s">
        <v>184</v>
      </c>
      <c r="T44" t="s">
        <v>209</v>
      </c>
      <c r="U44">
        <v>0.00051227125978367896</v>
      </c>
      <c r="V44" t="s">
        <v>153</v>
      </c>
      <c r="X44">
        <v>0.00079908675799086762</v>
      </c>
      <c r="Y44">
        <v>0.0011834025308902867</v>
      </c>
      <c r="Z44" t="s">
        <v>209</v>
      </c>
      <c r="AA44" t="s">
        <v>25</v>
      </c>
      <c r="AC44" t="s">
        <v>22</v>
      </c>
      <c r="AD44" t="s">
        <v>209</v>
      </c>
      <c r="AE44">
        <v>0.00053568553814392476</v>
      </c>
      <c r="AG44" t="s">
        <v>96</v>
      </c>
      <c r="AH44" t="s">
        <v>209</v>
      </c>
      <c r="AI44">
        <v>0.045638085742771617</v>
      </c>
      <c r="AK44">
        <v>2026</v>
      </c>
      <c r="AL44" t="s">
        <v>259</v>
      </c>
      <c r="AM44">
        <v>0.505</v>
      </c>
      <c r="AN44" t="s">
        <v>195</v>
      </c>
    </row>
    <row r="45" spans="9:40" ht="14.25">
      <c r="I45" t="s">
        <v>151</v>
      </c>
      <c r="J45" t="s">
        <v>210</v>
      </c>
      <c r="K45">
        <v>0.0008142757158227761</v>
      </c>
      <c r="L45" t="s">
        <v>153</v>
      </c>
      <c r="N45" t="s">
        <v>174</v>
      </c>
      <c r="O45" t="s">
        <v>210</v>
      </c>
      <c r="P45">
        <v>0.00056414338064214391</v>
      </c>
      <c r="Q45" t="s">
        <v>153</v>
      </c>
      <c r="S45" t="s">
        <v>184</v>
      </c>
      <c r="T45" t="s">
        <v>210</v>
      </c>
      <c r="U45">
        <v>0.00051512547596131112</v>
      </c>
      <c r="V45" t="s">
        <v>153</v>
      </c>
      <c r="X45">
        <v>0.00079908675799086762</v>
      </c>
      <c r="Y45">
        <v>0.0013342283436508136</v>
      </c>
      <c r="Z45" t="s">
        <v>210</v>
      </c>
      <c r="AA45" t="s">
        <v>25</v>
      </c>
      <c r="AC45" t="s">
        <v>22</v>
      </c>
      <c r="AD45" t="s">
        <v>210</v>
      </c>
      <c r="AE45">
        <v>0.00058612674707410892</v>
      </c>
      <c r="AG45" t="s">
        <v>96</v>
      </c>
      <c r="AH45" t="s">
        <v>210</v>
      </c>
      <c r="AI45">
        <v>0.062756771002899114</v>
      </c>
      <c r="AK45">
        <v>2026</v>
      </c>
      <c r="AL45" t="s">
        <v>260</v>
      </c>
      <c r="AM45">
        <v>0.47299999999999998</v>
      </c>
      <c r="AN45" t="s">
        <v>195</v>
      </c>
    </row>
    <row r="46" spans="9:40" ht="14.25">
      <c r="I46" t="s">
        <v>151</v>
      </c>
      <c r="J46" t="s">
        <v>211</v>
      </c>
      <c r="K46">
        <v>0.0015607567802586315</v>
      </c>
      <c r="L46" t="s">
        <v>153</v>
      </c>
      <c r="N46" t="s">
        <v>174</v>
      </c>
      <c r="O46" t="s">
        <v>211</v>
      </c>
      <c r="P46">
        <v>0.00047489838296554439</v>
      </c>
      <c r="Q46" t="s">
        <v>153</v>
      </c>
      <c r="S46" t="s">
        <v>184</v>
      </c>
      <c r="T46" t="s">
        <v>211</v>
      </c>
      <c r="U46">
        <v>0.00049424732476895073</v>
      </c>
      <c r="V46" t="s">
        <v>153</v>
      </c>
      <c r="X46">
        <v>0.00079908675799086762</v>
      </c>
      <c r="Y46">
        <v>0.0010209747325327968</v>
      </c>
      <c r="Z46" t="s">
        <v>211</v>
      </c>
      <c r="AA46" t="s">
        <v>25</v>
      </c>
      <c r="AC46" t="s">
        <v>22</v>
      </c>
      <c r="AD46" t="s">
        <v>211</v>
      </c>
      <c r="AE46">
        <v>0.0006397941864621225</v>
      </c>
      <c r="AG46" t="s">
        <v>96</v>
      </c>
      <c r="AH46" t="s">
        <v>211</v>
      </c>
      <c r="AI46">
        <v>0.077565934662277014</v>
      </c>
      <c r="AK46">
        <v>2026</v>
      </c>
      <c r="AL46" t="s">
        <v>261</v>
      </c>
      <c r="AM46">
        <v>0.441</v>
      </c>
      <c r="AN46" t="s">
        <v>195</v>
      </c>
    </row>
    <row r="47" spans="9:40" ht="14.25">
      <c r="I47" t="s">
        <v>151</v>
      </c>
      <c r="J47" t="s">
        <v>212</v>
      </c>
      <c r="K47">
        <v>0.01480089669509994</v>
      </c>
      <c r="L47" t="s">
        <v>153</v>
      </c>
      <c r="N47" t="s">
        <v>174</v>
      </c>
      <c r="O47" t="s">
        <v>212</v>
      </c>
      <c r="P47">
        <v>0.0019595411222468641</v>
      </c>
      <c r="Q47" t="s">
        <v>153</v>
      </c>
      <c r="S47" t="s">
        <v>184</v>
      </c>
      <c r="T47" t="s">
        <v>212</v>
      </c>
      <c r="U47">
        <v>0.0020519195538545925</v>
      </c>
      <c r="V47" t="s">
        <v>153</v>
      </c>
      <c r="X47">
        <v>0.0055936073059360729</v>
      </c>
      <c r="Y47">
        <v>0.0072814061606543534</v>
      </c>
      <c r="Z47" t="s">
        <v>212</v>
      </c>
      <c r="AA47" t="s">
        <v>25</v>
      </c>
      <c r="AC47" t="s">
        <v>22</v>
      </c>
      <c r="AD47" t="s">
        <v>212</v>
      </c>
      <c r="AE47">
        <v>0.0048518977603666273</v>
      </c>
      <c r="AG47" t="s">
        <v>96</v>
      </c>
      <c r="AH47" t="s">
        <v>212</v>
      </c>
      <c r="AI47">
        <v>0.076269986853178429</v>
      </c>
      <c r="AK47">
        <v>2026</v>
      </c>
      <c r="AL47" t="s">
        <v>303</v>
      </c>
      <c r="AM47">
        <v>0.441</v>
      </c>
      <c r="AN47" t="s">
        <v>195</v>
      </c>
    </row>
    <row r="48" spans="9:40" ht="14.25">
      <c r="I48" t="s">
        <v>151</v>
      </c>
      <c r="J48" t="s">
        <v>222</v>
      </c>
      <c r="K48">
        <v>0.0017076453945303193</v>
      </c>
      <c r="L48" t="s">
        <v>153</v>
      </c>
      <c r="N48" t="s">
        <v>174</v>
      </c>
      <c r="O48" t="s">
        <v>222</v>
      </c>
      <c r="P48">
        <v>0.00016433764728913597</v>
      </c>
      <c r="Q48" t="s">
        <v>153</v>
      </c>
      <c r="S48" t="s">
        <v>184</v>
      </c>
      <c r="T48" t="s">
        <v>222</v>
      </c>
      <c r="U48">
        <v>0.00014936167748640133</v>
      </c>
      <c r="V48" t="s">
        <v>153</v>
      </c>
      <c r="X48">
        <v>0.00079908675799086762</v>
      </c>
      <c r="Y48">
        <v>0.0015546660699931219</v>
      </c>
      <c r="Z48" t="s">
        <v>222</v>
      </c>
      <c r="AA48" t="s">
        <v>25</v>
      </c>
      <c r="AC48" t="s">
        <v>22</v>
      </c>
      <c r="AD48" t="s">
        <v>222</v>
      </c>
      <c r="AE48">
        <v>0.00070906187945634844</v>
      </c>
      <c r="AG48" t="s">
        <v>96</v>
      </c>
      <c r="AH48" t="s">
        <v>222</v>
      </c>
      <c r="AI48">
        <v>0.069930302909153808</v>
      </c>
      <c r="AK48">
        <v>2026</v>
      </c>
      <c r="AL48" t="s">
        <v>304</v>
      </c>
      <c r="AM48">
        <v>0.42040000000000005</v>
      </c>
      <c r="AN48" t="s">
        <v>195</v>
      </c>
    </row>
    <row r="49" spans="9:40" ht="14.25">
      <c r="I49" t="s">
        <v>151</v>
      </c>
      <c r="J49" t="s">
        <v>317</v>
      </c>
      <c r="K49">
        <v>0.0010756309415023316</v>
      </c>
      <c r="L49" t="s">
        <v>153</v>
      </c>
      <c r="N49" t="s">
        <v>174</v>
      </c>
      <c r="O49" t="s">
        <v>317</v>
      </c>
      <c r="P49">
        <v>0.00015436997074547035</v>
      </c>
      <c r="Q49" t="s">
        <v>153</v>
      </c>
      <c r="S49" t="s">
        <v>184</v>
      </c>
      <c r="T49" t="s">
        <v>317</v>
      </c>
      <c r="U49">
        <v>0.00016174868218393849</v>
      </c>
      <c r="V49" t="s">
        <v>153</v>
      </c>
      <c r="X49">
        <v>0.00079908675799086762</v>
      </c>
      <c r="Y49">
        <v>0.0015546660699931219</v>
      </c>
      <c r="Z49" t="s">
        <v>317</v>
      </c>
      <c r="AA49" t="s">
        <v>25</v>
      </c>
      <c r="AC49" t="s">
        <v>22</v>
      </c>
      <c r="AD49" t="s">
        <v>317</v>
      </c>
      <c r="AE49">
        <v>0.00072337280768972132</v>
      </c>
      <c r="AG49" t="s">
        <v>96</v>
      </c>
      <c r="AH49" t="s">
        <v>317</v>
      </c>
      <c r="AI49">
        <v>0.072365617481036537</v>
      </c>
      <c r="AK49">
        <v>2026</v>
      </c>
      <c r="AL49" t="s">
        <v>305</v>
      </c>
      <c r="AM49">
        <v>0.36375</v>
      </c>
      <c r="AN49" t="s">
        <v>195</v>
      </c>
    </row>
    <row r="50" spans="9:40" ht="14.25">
      <c r="I50" t="s">
        <v>151</v>
      </c>
      <c r="J50" t="s">
        <v>318</v>
      </c>
      <c r="K50">
        <v>6.6718376137141555E-05</v>
      </c>
      <c r="L50" t="s">
        <v>153</v>
      </c>
      <c r="N50" t="s">
        <v>174</v>
      </c>
      <c r="O50" t="s">
        <v>318</v>
      </c>
      <c r="P50">
        <v>0.0025029942085041113</v>
      </c>
      <c r="Q50" t="s">
        <v>153</v>
      </c>
      <c r="S50" t="s">
        <v>184</v>
      </c>
      <c r="T50" t="s">
        <v>318</v>
      </c>
      <c r="U50">
        <v>0.0014754634910377532</v>
      </c>
      <c r="V50" t="s">
        <v>153</v>
      </c>
      <c r="X50">
        <v>0.0047945205479452057</v>
      </c>
      <c r="Y50">
        <v>0.0042231227572947496</v>
      </c>
      <c r="Z50" t="s">
        <v>318</v>
      </c>
      <c r="AA50" t="s">
        <v>25</v>
      </c>
      <c r="AC50" t="s">
        <v>22</v>
      </c>
      <c r="AD50" t="s">
        <v>318</v>
      </c>
      <c r="AE50">
        <v>0.0041755649096054366</v>
      </c>
      <c r="AG50" t="s">
        <v>96</v>
      </c>
      <c r="AH50" t="s">
        <v>318</v>
      </c>
      <c r="AI50">
        <v>0.1457946243348065</v>
      </c>
      <c r="AK50">
        <v>2026</v>
      </c>
      <c r="AL50" t="s">
        <v>306</v>
      </c>
      <c r="AM50">
        <v>0.383575</v>
      </c>
      <c r="AN50" t="s">
        <v>195</v>
      </c>
    </row>
    <row r="51" spans="9:40" ht="14.25">
      <c r="I51" t="s">
        <v>151</v>
      </c>
      <c r="J51" t="s">
        <v>223</v>
      </c>
      <c r="K51">
        <v>0</v>
      </c>
      <c r="L51" t="s">
        <v>153</v>
      </c>
      <c r="N51" t="s">
        <v>174</v>
      </c>
      <c r="O51" t="s">
        <v>223</v>
      </c>
      <c r="P51">
        <v>0.012857708529156934</v>
      </c>
      <c r="Q51" t="s">
        <v>153</v>
      </c>
      <c r="S51" t="s">
        <v>184</v>
      </c>
      <c r="T51" t="s">
        <v>223</v>
      </c>
      <c r="U51">
        <v>0.012258192797879852</v>
      </c>
      <c r="V51" t="s">
        <v>153</v>
      </c>
      <c r="X51">
        <v>0.0054794520547945206</v>
      </c>
      <c r="Y51">
        <v>0.0011721320305960938</v>
      </c>
      <c r="Z51" t="s">
        <v>223</v>
      </c>
      <c r="AA51" t="s">
        <v>25</v>
      </c>
      <c r="AC51" t="s">
        <v>22</v>
      </c>
      <c r="AD51" t="s">
        <v>223</v>
      </c>
      <c r="AE51">
        <v>0.0032862522111076816</v>
      </c>
      <c r="AG51" t="s">
        <v>96</v>
      </c>
      <c r="AH51" t="s">
        <v>223</v>
      </c>
      <c r="AI51">
        <v>0.11780267498603481</v>
      </c>
      <c r="AK51">
        <v>2026</v>
      </c>
      <c r="AL51" t="s">
        <v>307</v>
      </c>
      <c r="AM51">
        <v>0.38779999999999998</v>
      </c>
      <c r="AN51" t="s">
        <v>195</v>
      </c>
    </row>
    <row r="52" spans="9:40" ht="14.25">
      <c r="I52" t="s">
        <v>151</v>
      </c>
      <c r="J52" t="s">
        <v>224</v>
      </c>
      <c r="K52">
        <v>0</v>
      </c>
      <c r="L52" t="s">
        <v>153</v>
      </c>
      <c r="N52" t="s">
        <v>174</v>
      </c>
      <c r="O52" t="s">
        <v>224</v>
      </c>
      <c r="P52">
        <v>0.0021004178162764169</v>
      </c>
      <c r="Q52" t="s">
        <v>153</v>
      </c>
      <c r="S52" t="s">
        <v>184</v>
      </c>
      <c r="T52" t="s">
        <v>224</v>
      </c>
      <c r="U52">
        <v>0.0021363710101511462</v>
      </c>
      <c r="V52" t="s">
        <v>153</v>
      </c>
      <c r="X52">
        <v>0.00091324200913242006</v>
      </c>
      <c r="Y52">
        <v>0.0013524600353031851</v>
      </c>
      <c r="Z52" t="s">
        <v>224</v>
      </c>
      <c r="AA52" t="s">
        <v>25</v>
      </c>
      <c r="AC52" t="s">
        <v>22</v>
      </c>
      <c r="AD52" t="s">
        <v>224</v>
      </c>
      <c r="AE52">
        <v>0.00060349779128720919</v>
      </c>
      <c r="AG52" t="s">
        <v>96</v>
      </c>
      <c r="AH52" t="s">
        <v>224</v>
      </c>
      <c r="AI52">
        <v>0.037187288708586896</v>
      </c>
      <c r="AK52">
        <v>2026</v>
      </c>
      <c r="AL52" t="s">
        <v>308</v>
      </c>
      <c r="AM52">
        <v>0.38779999999999998</v>
      </c>
      <c r="AN52" t="s">
        <v>195</v>
      </c>
    </row>
    <row r="53" spans="9:40" ht="14.25">
      <c r="I53" t="s">
        <v>151</v>
      </c>
      <c r="J53" t="s">
        <v>225</v>
      </c>
      <c r="K53">
        <v>0.0010407039942388744</v>
      </c>
      <c r="L53" t="s">
        <v>153</v>
      </c>
      <c r="N53" t="s">
        <v>174</v>
      </c>
      <c r="O53" t="s">
        <v>225</v>
      </c>
      <c r="P53">
        <v>0.0020229884269065187</v>
      </c>
      <c r="Q53" t="s">
        <v>153</v>
      </c>
      <c r="S53" t="s">
        <v>184</v>
      </c>
      <c r="T53" t="s">
        <v>225</v>
      </c>
      <c r="U53">
        <v>0.0021843023126235823</v>
      </c>
      <c r="V53" t="s">
        <v>153</v>
      </c>
      <c r="X53">
        <v>0.00091324200913242006</v>
      </c>
      <c r="Y53">
        <v>0.001524832392743787</v>
      </c>
      <c r="Z53" t="s">
        <v>225</v>
      </c>
      <c r="AA53" t="s">
        <v>25</v>
      </c>
      <c r="AC53" t="s">
        <v>22</v>
      </c>
      <c r="AD53" t="s">
        <v>225</v>
      </c>
      <c r="AE53">
        <v>0.00066295844377580945</v>
      </c>
      <c r="AG53" t="s">
        <v>96</v>
      </c>
      <c r="AH53" t="s">
        <v>225</v>
      </c>
      <c r="AI53">
        <v>0.050458088335840312</v>
      </c>
      <c r="AK53">
        <v>2027</v>
      </c>
      <c r="AL53" t="s">
        <v>141</v>
      </c>
      <c r="AM53">
        <v>0.3599</v>
      </c>
      <c r="AN53" t="s">
        <v>195</v>
      </c>
    </row>
    <row r="54" spans="9:40" ht="14.25">
      <c r="I54" t="s">
        <v>151</v>
      </c>
      <c r="J54" t="s">
        <v>226</v>
      </c>
      <c r="K54">
        <v>0.0018884204599572255</v>
      </c>
      <c r="L54" t="s">
        <v>153</v>
      </c>
      <c r="N54" t="s">
        <v>174</v>
      </c>
      <c r="O54" t="s">
        <v>226</v>
      </c>
      <c r="P54">
        <v>0.0017183565574452071</v>
      </c>
      <c r="Q54" t="s">
        <v>153</v>
      </c>
      <c r="S54" t="s">
        <v>184</v>
      </c>
      <c r="T54" t="s">
        <v>226</v>
      </c>
      <c r="U54">
        <v>0.0021579768015629469</v>
      </c>
      <c r="V54" t="s">
        <v>153</v>
      </c>
      <c r="X54">
        <v>0.00091324200913242006</v>
      </c>
      <c r="Y54">
        <v>0.0011668282657517676</v>
      </c>
      <c r="Z54" t="s">
        <v>226</v>
      </c>
      <c r="AA54" t="s">
        <v>25</v>
      </c>
      <c r="AC54" t="s">
        <v>22</v>
      </c>
      <c r="AD54" t="s">
        <v>226</v>
      </c>
      <c r="AE54">
        <v>0.00073699255681351913</v>
      </c>
      <c r="AG54" t="s">
        <v>96</v>
      </c>
      <c r="AH54" t="s">
        <v>226</v>
      </c>
      <c r="AI54">
        <v>0.059201006605850814</v>
      </c>
      <c r="AK54">
        <v>2027</v>
      </c>
      <c r="AL54" t="s">
        <v>145</v>
      </c>
      <c r="AM54">
        <v>0.3599</v>
      </c>
      <c r="AN54" t="s">
        <v>195</v>
      </c>
    </row>
    <row r="55" spans="9:40" ht="14.25">
      <c r="I55" t="s">
        <v>151</v>
      </c>
      <c r="J55" t="s">
        <v>227</v>
      </c>
      <c r="K55">
        <v>0.016931910847586617</v>
      </c>
      <c r="L55" t="s">
        <v>153</v>
      </c>
      <c r="N55" t="s">
        <v>174</v>
      </c>
      <c r="O55" t="s">
        <v>227</v>
      </c>
      <c r="P55">
        <v>0.013562331189207574</v>
      </c>
      <c r="Q55" t="s">
        <v>153</v>
      </c>
      <c r="S55" t="s">
        <v>184</v>
      </c>
      <c r="T55" t="s">
        <v>227</v>
      </c>
      <c r="U55">
        <v>0.014516551184806208</v>
      </c>
      <c r="V55" t="s">
        <v>153</v>
      </c>
      <c r="X55">
        <v>0.006392694063926941</v>
      </c>
      <c r="Y55">
        <v>0.0083216070407478322</v>
      </c>
      <c r="Z55" t="s">
        <v>227</v>
      </c>
      <c r="AA55" t="s">
        <v>25</v>
      </c>
      <c r="AC55" t="s">
        <v>22</v>
      </c>
      <c r="AD55" t="s">
        <v>227</v>
      </c>
      <c r="AE55">
        <v>0.0055951190870593536</v>
      </c>
      <c r="AG55" t="s">
        <v>96</v>
      </c>
      <c r="AH55" t="s">
        <v>227</v>
      </c>
      <c r="AI55">
        <v>0.073015033522455974</v>
      </c>
      <c r="AK55">
        <v>2027</v>
      </c>
      <c r="AL55" t="s">
        <v>147</v>
      </c>
      <c r="AM55">
        <v>0.37134999999999996</v>
      </c>
      <c r="AN55" t="s">
        <v>195</v>
      </c>
    </row>
    <row r="56" spans="9:40" ht="14.25">
      <c r="I56" t="s">
        <v>151</v>
      </c>
      <c r="J56" t="s">
        <v>228</v>
      </c>
      <c r="K56">
        <v>0.0020652910125792561</v>
      </c>
      <c r="L56" t="s">
        <v>153</v>
      </c>
      <c r="N56" t="s">
        <v>174</v>
      </c>
      <c r="O56" t="s">
        <v>228</v>
      </c>
      <c r="P56">
        <v>0.0019134328625480396</v>
      </c>
      <c r="Q56" t="s">
        <v>153</v>
      </c>
      <c r="S56" t="s">
        <v>184</v>
      </c>
      <c r="T56" t="s">
        <v>228</v>
      </c>
      <c r="U56">
        <v>0.0020578487951482208</v>
      </c>
      <c r="V56" t="s">
        <v>153</v>
      </c>
      <c r="X56">
        <v>0.00091324200913242006</v>
      </c>
      <c r="Y56">
        <v>0.0017767612228492822</v>
      </c>
      <c r="Z56" t="s">
        <v>228</v>
      </c>
      <c r="AA56" t="s">
        <v>25</v>
      </c>
      <c r="AC56" t="s">
        <v>22</v>
      </c>
      <c r="AD56" t="s">
        <v>228</v>
      </c>
      <c r="AE56">
        <v>0.00080949231431703516</v>
      </c>
      <c r="AG56" t="s">
        <v>96</v>
      </c>
      <c r="AH56" t="s">
        <v>228</v>
      </c>
      <c r="AI56">
        <v>0.050876138571686935</v>
      </c>
      <c r="AK56">
        <v>2027</v>
      </c>
      <c r="AL56" t="s">
        <v>149</v>
      </c>
      <c r="AM56">
        <v>0.38279999999999997</v>
      </c>
      <c r="AN56" t="s">
        <v>195</v>
      </c>
    </row>
    <row r="57" spans="9:40" ht="14.25">
      <c r="I57" t="s">
        <v>151</v>
      </c>
      <c r="J57" t="s">
        <v>319</v>
      </c>
      <c r="K57">
        <v>0.0014430557162640691</v>
      </c>
      <c r="L57" t="s">
        <v>153</v>
      </c>
      <c r="N57" t="s">
        <v>174</v>
      </c>
      <c r="O57" t="s">
        <v>319</v>
      </c>
      <c r="P57">
        <v>0.0017399403421071435</v>
      </c>
      <c r="Q57" t="s">
        <v>153</v>
      </c>
      <c r="S57" t="s">
        <v>184</v>
      </c>
      <c r="T57" t="s">
        <v>319</v>
      </c>
      <c r="U57">
        <v>0.0020431857341565531</v>
      </c>
      <c r="V57" t="s">
        <v>153</v>
      </c>
      <c r="X57">
        <v>0.00091324200913242006</v>
      </c>
      <c r="Y57">
        <v>0.0017767612228492822</v>
      </c>
      <c r="Z57" t="s">
        <v>319</v>
      </c>
      <c r="AA57" t="s">
        <v>25</v>
      </c>
      <c r="AC57" t="s">
        <v>22</v>
      </c>
      <c r="AD57" t="s">
        <v>319</v>
      </c>
      <c r="AE57">
        <v>0.00083196508054408469</v>
      </c>
      <c r="AG57" t="s">
        <v>96</v>
      </c>
      <c r="AH57" t="s">
        <v>319</v>
      </c>
      <c r="AI57">
        <v>0.045534700306456122</v>
      </c>
      <c r="AK57">
        <v>2027</v>
      </c>
      <c r="AL57" t="s">
        <v>198</v>
      </c>
      <c r="AM57">
        <v>0.41015000000000001</v>
      </c>
      <c r="AN57" t="s">
        <v>195</v>
      </c>
    </row>
    <row r="58" spans="9:40" ht="14.25">
      <c r="I58" t="s">
        <v>151</v>
      </c>
      <c r="J58" t="s">
        <v>320</v>
      </c>
      <c r="K58">
        <v>0.00053382657964964333</v>
      </c>
      <c r="L58" t="s">
        <v>153</v>
      </c>
      <c r="N58" t="s">
        <v>174</v>
      </c>
      <c r="O58" t="s">
        <v>320</v>
      </c>
      <c r="P58">
        <v>0.010207039741033354</v>
      </c>
      <c r="Q58" t="s">
        <v>153</v>
      </c>
      <c r="S58" t="s">
        <v>184</v>
      </c>
      <c r="T58" t="s">
        <v>320</v>
      </c>
      <c r="U58">
        <v>0.013054317218027982</v>
      </c>
      <c r="V58" t="s">
        <v>153</v>
      </c>
      <c r="X58">
        <v>0.0054794520547945206</v>
      </c>
      <c r="Y58">
        <v>0.0048264260083368555</v>
      </c>
      <c r="Z58" t="s">
        <v>320</v>
      </c>
      <c r="AA58" t="s">
        <v>25</v>
      </c>
      <c r="AC58" t="s">
        <v>22</v>
      </c>
      <c r="AD58" t="s">
        <v>320</v>
      </c>
      <c r="AE58">
        <v>0.0047632765215959464</v>
      </c>
      <c r="AG58" t="s">
        <v>96</v>
      </c>
      <c r="AH58" t="s">
        <v>320</v>
      </c>
      <c r="AI58">
        <v>0.1467400378381849</v>
      </c>
      <c r="AK58">
        <v>2027</v>
      </c>
      <c r="AL58" t="s">
        <v>216</v>
      </c>
      <c r="AM58">
        <v>0.4375</v>
      </c>
      <c r="AN58" t="s">
        <v>195</v>
      </c>
    </row>
    <row r="59" spans="9:40" ht="14.25">
      <c r="I59" t="s">
        <v>151</v>
      </c>
      <c r="J59" t="s">
        <v>235</v>
      </c>
      <c r="K59">
        <v>0</v>
      </c>
      <c r="L59" t="s">
        <v>153</v>
      </c>
      <c r="N59" t="s">
        <v>174</v>
      </c>
      <c r="O59" t="s">
        <v>235</v>
      </c>
      <c r="P59">
        <v>0.0045091000577207009</v>
      </c>
      <c r="Q59" t="s">
        <v>153</v>
      </c>
      <c r="S59" t="s">
        <v>184</v>
      </c>
      <c r="T59" t="s">
        <v>235</v>
      </c>
      <c r="U59">
        <v>0.0018293648445969616</v>
      </c>
      <c r="V59" t="s">
        <v>153</v>
      </c>
      <c r="X59">
        <v>0.0047945205479452057</v>
      </c>
      <c r="Y59">
        <v>0.001025615526771582</v>
      </c>
      <c r="Z59" t="s">
        <v>235</v>
      </c>
      <c r="AA59" t="s">
        <v>25</v>
      </c>
      <c r="AC59" t="s">
        <v>22</v>
      </c>
      <c r="AD59" t="s">
        <v>235</v>
      </c>
      <c r="AE59">
        <v>0.0028601562996345884</v>
      </c>
      <c r="AG59" t="s">
        <v>96</v>
      </c>
      <c r="AH59" t="s">
        <v>235</v>
      </c>
      <c r="AI59">
        <v>0.086874629645306012</v>
      </c>
      <c r="AK59">
        <v>2027</v>
      </c>
      <c r="AL59" t="s">
        <v>232</v>
      </c>
      <c r="AM59">
        <v>0.4375</v>
      </c>
      <c r="AN59" t="s">
        <v>195</v>
      </c>
    </row>
    <row r="60" spans="9:40" ht="14.25">
      <c r="I60" t="s">
        <v>151</v>
      </c>
      <c r="J60" t="s">
        <v>236</v>
      </c>
      <c r="K60">
        <v>0</v>
      </c>
      <c r="L60" t="s">
        <v>153</v>
      </c>
      <c r="N60" t="s">
        <v>174</v>
      </c>
      <c r="O60" t="s">
        <v>236</v>
      </c>
      <c r="P60">
        <v>0.00099582872391479967</v>
      </c>
      <c r="Q60" t="s">
        <v>153</v>
      </c>
      <c r="S60" t="s">
        <v>184</v>
      </c>
      <c r="T60" t="s">
        <v>236</v>
      </c>
      <c r="U60">
        <v>0.00024752331233258236</v>
      </c>
      <c r="V60" t="s">
        <v>153</v>
      </c>
      <c r="X60">
        <v>0.00079908675799086762</v>
      </c>
      <c r="Y60">
        <v>0.0011834025308902867</v>
      </c>
      <c r="Z60" t="s">
        <v>236</v>
      </c>
      <c r="AA60" t="s">
        <v>25</v>
      </c>
      <c r="AC60" t="s">
        <v>22</v>
      </c>
      <c r="AD60" t="s">
        <v>236</v>
      </c>
      <c r="AE60">
        <v>0.00052413133371745086</v>
      </c>
      <c r="AG60" t="s">
        <v>96</v>
      </c>
      <c r="AH60" t="s">
        <v>236</v>
      </c>
      <c r="AI60">
        <v>0.043738279864173224</v>
      </c>
      <c r="AK60">
        <v>2027</v>
      </c>
      <c r="AL60" t="s">
        <v>233</v>
      </c>
      <c r="AM60">
        <v>0.4375</v>
      </c>
      <c r="AN60" t="s">
        <v>195</v>
      </c>
    </row>
    <row r="61" spans="9:40" ht="14.25">
      <c r="I61" t="s">
        <v>151</v>
      </c>
      <c r="J61" t="s">
        <v>237</v>
      </c>
      <c r="K61">
        <v>0.00087144841102378373</v>
      </c>
      <c r="L61" t="s">
        <v>153</v>
      </c>
      <c r="N61" t="s">
        <v>174</v>
      </c>
      <c r="O61" t="s">
        <v>237</v>
      </c>
      <c r="P61">
        <v>0.0010728969022212121</v>
      </c>
      <c r="Q61" t="s">
        <v>153</v>
      </c>
      <c r="S61" t="s">
        <v>184</v>
      </c>
      <c r="T61" t="s">
        <v>237</v>
      </c>
      <c r="U61">
        <v>0.00021756570601668215</v>
      </c>
      <c r="V61" t="s">
        <v>153</v>
      </c>
      <c r="X61">
        <v>0.00079908675799086762</v>
      </c>
      <c r="Y61">
        <v>0.0013342283436508136</v>
      </c>
      <c r="Z61" t="s">
        <v>237</v>
      </c>
      <c r="AA61" t="s">
        <v>25</v>
      </c>
      <c r="AC61" t="s">
        <v>22</v>
      </c>
      <c r="AD61" t="s">
        <v>237</v>
      </c>
      <c r="AE61">
        <v>0.00057643360506363429</v>
      </c>
      <c r="AG61" t="s">
        <v>96</v>
      </c>
      <c r="AH61" t="s">
        <v>237</v>
      </c>
      <c r="AI61">
        <v>0.057714505579068875</v>
      </c>
      <c r="AK61">
        <v>2027</v>
      </c>
      <c r="AL61" t="s">
        <v>234</v>
      </c>
      <c r="AM61">
        <v>0.432</v>
      </c>
      <c r="AN61" t="s">
        <v>195</v>
      </c>
    </row>
    <row r="62" spans="9:40" ht="14.25">
      <c r="I62" t="s">
        <v>151</v>
      </c>
      <c r="J62" t="s">
        <v>238</v>
      </c>
      <c r="K62">
        <v>0.0015574284001215902</v>
      </c>
      <c r="L62" t="s">
        <v>153</v>
      </c>
      <c r="N62" t="s">
        <v>174</v>
      </c>
      <c r="O62" t="s">
        <v>238</v>
      </c>
      <c r="P62">
        <v>0.00076120286445561689</v>
      </c>
      <c r="Q62" t="s">
        <v>153</v>
      </c>
      <c r="S62" t="s">
        <v>184</v>
      </c>
      <c r="T62" t="s">
        <v>238</v>
      </c>
      <c r="U62">
        <v>0.00019445556394640743</v>
      </c>
      <c r="V62" t="s">
        <v>153</v>
      </c>
      <c r="X62">
        <v>0.00079908675799086762</v>
      </c>
      <c r="Y62">
        <v>0.0010209747325327968</v>
      </c>
      <c r="Z62" t="s">
        <v>238</v>
      </c>
      <c r="AA62" t="s">
        <v>25</v>
      </c>
      <c r="AC62" t="s">
        <v>22</v>
      </c>
      <c r="AD62" t="s">
        <v>238</v>
      </c>
      <c r="AE62">
        <v>0.00063842040183476631</v>
      </c>
      <c r="AG62" t="s">
        <v>96</v>
      </c>
      <c r="AH62" t="s">
        <v>238</v>
      </c>
      <c r="AI62">
        <v>0.063271873369281639</v>
      </c>
      <c r="AK62">
        <v>2027</v>
      </c>
      <c r="AL62" t="s">
        <v>256</v>
      </c>
      <c r="AM62">
        <v>0.42649999999999999</v>
      </c>
      <c r="AN62" t="s">
        <v>195</v>
      </c>
    </row>
    <row r="63" spans="9:40" ht="14.25">
      <c r="I63" t="s">
        <v>151</v>
      </c>
      <c r="J63" t="s">
        <v>239</v>
      </c>
      <c r="K63">
        <v>0.015004121476034114</v>
      </c>
      <c r="L63" t="s">
        <v>153</v>
      </c>
      <c r="N63" t="s">
        <v>174</v>
      </c>
      <c r="O63" t="s">
        <v>239</v>
      </c>
      <c r="P63">
        <v>0.0039682311911705568</v>
      </c>
      <c r="Q63" t="s">
        <v>153</v>
      </c>
      <c r="S63" t="s">
        <v>184</v>
      </c>
      <c r="T63" t="s">
        <v>239</v>
      </c>
      <c r="U63">
        <v>0.0016988984037736234</v>
      </c>
      <c r="V63" t="s">
        <v>153</v>
      </c>
      <c r="X63">
        <v>0.0055936073059360729</v>
      </c>
      <c r="Y63">
        <v>0.0072814061606543534</v>
      </c>
      <c r="Z63" t="s">
        <v>239</v>
      </c>
      <c r="AA63" t="s">
        <v>25</v>
      </c>
      <c r="AC63" t="s">
        <v>22</v>
      </c>
      <c r="AD63" t="s">
        <v>239</v>
      </c>
      <c r="AE63">
        <v>0.0049140284328402055</v>
      </c>
      <c r="AG63" t="s">
        <v>96</v>
      </c>
      <c r="AH63" t="s">
        <v>239</v>
      </c>
      <c r="AI63">
        <v>0.061227897282758237</v>
      </c>
      <c r="AK63">
        <v>2027</v>
      </c>
      <c r="AL63" t="s">
        <v>257</v>
      </c>
      <c r="AM63">
        <v>0.45655000000000001</v>
      </c>
      <c r="AN63" t="s">
        <v>195</v>
      </c>
    </row>
    <row r="64" spans="9:40" ht="14.25">
      <c r="I64" t="s">
        <v>151</v>
      </c>
      <c r="J64" t="s">
        <v>240</v>
      </c>
      <c r="K64">
        <v>0.0018420612347877943</v>
      </c>
      <c r="L64" t="s">
        <v>153</v>
      </c>
      <c r="N64" t="s">
        <v>174</v>
      </c>
      <c r="O64" t="s">
        <v>240</v>
      </c>
      <c r="P64">
        <v>0.00057953786199865939</v>
      </c>
      <c r="Q64" t="s">
        <v>153</v>
      </c>
      <c r="S64" t="s">
        <v>184</v>
      </c>
      <c r="T64" t="s">
        <v>240</v>
      </c>
      <c r="U64">
        <v>0.00019597978765484401</v>
      </c>
      <c r="V64" t="s">
        <v>153</v>
      </c>
      <c r="X64">
        <v>0.00079908675799086762</v>
      </c>
      <c r="Y64">
        <v>0.0015546660699931219</v>
      </c>
      <c r="Z64" t="s">
        <v>240</v>
      </c>
      <c r="AA64" t="s">
        <v>25</v>
      </c>
      <c r="AC64" t="s">
        <v>22</v>
      </c>
      <c r="AD64" t="s">
        <v>240</v>
      </c>
      <c r="AE64">
        <v>0.0007201321265949052</v>
      </c>
      <c r="AG64" t="s">
        <v>96</v>
      </c>
      <c r="AH64" t="s">
        <v>240</v>
      </c>
      <c r="AI64">
        <v>0.046071245279046158</v>
      </c>
      <c r="AK64">
        <v>2027</v>
      </c>
      <c r="AL64" t="s">
        <v>258</v>
      </c>
      <c r="AM64">
        <v>0.48659999999999998</v>
      </c>
      <c r="AN64" t="s">
        <v>195</v>
      </c>
    </row>
    <row r="65" spans="9:40" ht="14.25">
      <c r="I65" t="s">
        <v>151</v>
      </c>
      <c r="J65" t="s">
        <v>321</v>
      </c>
      <c r="K65">
        <v>0.0012846236012544856</v>
      </c>
      <c r="L65" t="s">
        <v>153</v>
      </c>
      <c r="N65" t="s">
        <v>174</v>
      </c>
      <c r="O65" t="s">
        <v>321</v>
      </c>
      <c r="P65">
        <v>0.00065537867359685437</v>
      </c>
      <c r="Q65" t="s">
        <v>153</v>
      </c>
      <c r="S65" t="s">
        <v>184</v>
      </c>
      <c r="T65" t="s">
        <v>321</v>
      </c>
      <c r="U65">
        <v>0.00024879289439655526</v>
      </c>
      <c r="V65" t="s">
        <v>153</v>
      </c>
      <c r="X65">
        <v>0.00079908675799086762</v>
      </c>
      <c r="Y65">
        <v>0.0015546660699931219</v>
      </c>
      <c r="Z65" t="s">
        <v>321</v>
      </c>
      <c r="AA65" t="s">
        <v>25</v>
      </c>
      <c r="AC65" t="s">
        <v>22</v>
      </c>
      <c r="AD65" t="s">
        <v>321</v>
      </c>
      <c r="AE65">
        <v>0.00073600658061977588</v>
      </c>
      <c r="AG65" t="s">
        <v>96</v>
      </c>
      <c r="AH65" t="s">
        <v>321</v>
      </c>
      <c r="AI65">
        <v>0.044911863376922101</v>
      </c>
      <c r="AK65">
        <v>2027</v>
      </c>
      <c r="AL65" t="s">
        <v>259</v>
      </c>
      <c r="AM65">
        <v>0.48659999999999998</v>
      </c>
      <c r="AN65" t="s">
        <v>195</v>
      </c>
    </row>
    <row r="66" spans="9:40" ht="14.25">
      <c r="I66" t="s">
        <v>151</v>
      </c>
      <c r="J66" t="s">
        <v>322</v>
      </c>
      <c r="K66">
        <v>0.00063560907824988019</v>
      </c>
      <c r="L66" t="s">
        <v>153</v>
      </c>
      <c r="N66" t="s">
        <v>174</v>
      </c>
      <c r="O66" t="s">
        <v>322</v>
      </c>
      <c r="P66">
        <v>0.0058719982616866504</v>
      </c>
      <c r="Q66" t="s">
        <v>153</v>
      </c>
      <c r="S66" t="s">
        <v>184</v>
      </c>
      <c r="T66" t="s">
        <v>322</v>
      </c>
      <c r="U66">
        <v>0.0028128977540261501</v>
      </c>
      <c r="V66" t="s">
        <v>153</v>
      </c>
      <c r="X66">
        <v>0.0047945205479452057</v>
      </c>
      <c r="Y66">
        <v>0.0042231227572947496</v>
      </c>
      <c r="Z66" t="s">
        <v>322</v>
      </c>
      <c r="AA66" t="s">
        <v>25</v>
      </c>
      <c r="AC66" t="s">
        <v>22</v>
      </c>
      <c r="AD66" t="s">
        <v>322</v>
      </c>
      <c r="AE66">
        <v>0.0041859561622071342</v>
      </c>
      <c r="AG66" t="s">
        <v>96</v>
      </c>
      <c r="AH66" t="s">
        <v>322</v>
      </c>
      <c r="AI66">
        <v>0.1429757645311549</v>
      </c>
      <c r="AK66">
        <v>2027</v>
      </c>
      <c r="AL66" t="s">
        <v>260</v>
      </c>
      <c r="AM66">
        <v>0.50419999999999998</v>
      </c>
      <c r="AN66" t="s">
        <v>195</v>
      </c>
    </row>
    <row r="67" spans="9:40" ht="14.25">
      <c r="I67" t="s">
        <v>151</v>
      </c>
      <c r="J67" t="s">
        <v>241</v>
      </c>
      <c r="K67">
        <v>0</v>
      </c>
      <c r="L67" t="s">
        <v>153</v>
      </c>
      <c r="N67" t="s">
        <v>174</v>
      </c>
      <c r="O67" t="s">
        <v>241</v>
      </c>
      <c r="P67">
        <v>0.0033967133104665643</v>
      </c>
      <c r="Q67" t="s">
        <v>153</v>
      </c>
      <c r="S67" t="s">
        <v>184</v>
      </c>
      <c r="T67" t="s">
        <v>241</v>
      </c>
      <c r="U67">
        <v>0.0039746949965216889</v>
      </c>
      <c r="V67" t="s">
        <v>153</v>
      </c>
      <c r="X67">
        <v>0.0034246575342465752</v>
      </c>
      <c r="Y67">
        <v>0.00073258251912255848</v>
      </c>
      <c r="Z67" t="s">
        <v>241</v>
      </c>
      <c r="AA67" t="s">
        <v>25</v>
      </c>
      <c r="AC67" t="s">
        <v>22</v>
      </c>
      <c r="AD67" t="s">
        <v>241</v>
      </c>
      <c r="AE67">
        <v>0.0020440364168706061</v>
      </c>
      <c r="AG67" t="s">
        <v>96</v>
      </c>
      <c r="AH67" t="s">
        <v>241</v>
      </c>
      <c r="AI67">
        <v>0.1213595005743564</v>
      </c>
      <c r="AK67">
        <v>2027</v>
      </c>
      <c r="AL67" t="s">
        <v>261</v>
      </c>
      <c r="AM67">
        <v>0.52180000000000004</v>
      </c>
      <c r="AN67" t="s">
        <v>195</v>
      </c>
    </row>
    <row r="68" spans="9:40" ht="14.25">
      <c r="I68" t="s">
        <v>151</v>
      </c>
      <c r="J68" t="s">
        <v>242</v>
      </c>
      <c r="K68">
        <v>0</v>
      </c>
      <c r="L68" t="s">
        <v>153</v>
      </c>
      <c r="N68" t="s">
        <v>174</v>
      </c>
      <c r="O68" t="s">
        <v>242</v>
      </c>
      <c r="P68">
        <v>0.00044012517290782465</v>
      </c>
      <c r="Q68" t="s">
        <v>153</v>
      </c>
      <c r="S68" t="s">
        <v>184</v>
      </c>
      <c r="T68" t="s">
        <v>242</v>
      </c>
      <c r="U68">
        <v>0.00072822719234631988</v>
      </c>
      <c r="V68" t="s">
        <v>153</v>
      </c>
      <c r="X68">
        <v>0.00057077625570776253</v>
      </c>
      <c r="Y68">
        <v>0.00084528752206449061</v>
      </c>
      <c r="Z68" t="s">
        <v>242</v>
      </c>
      <c r="AA68" t="s">
        <v>25</v>
      </c>
      <c r="AC68" t="s">
        <v>22</v>
      </c>
      <c r="AD68" t="s">
        <v>242</v>
      </c>
      <c r="AE68">
        <v>0.00036953476106365028</v>
      </c>
      <c r="AG68" t="s">
        <v>96</v>
      </c>
      <c r="AH68" t="s">
        <v>242</v>
      </c>
      <c r="AI68">
        <v>0.053433017639822777</v>
      </c>
      <c r="AK68">
        <v>2027</v>
      </c>
      <c r="AL68" t="s">
        <v>303</v>
      </c>
      <c r="AM68">
        <v>0.52180000000000004</v>
      </c>
      <c r="AN68" t="s">
        <v>195</v>
      </c>
    </row>
    <row r="69" spans="9:40" ht="14.25">
      <c r="I69" t="s">
        <v>151</v>
      </c>
      <c r="J69" t="s">
        <v>243</v>
      </c>
      <c r="K69">
        <v>0.00047003828137229215</v>
      </c>
      <c r="L69" t="s">
        <v>153</v>
      </c>
      <c r="N69" t="s">
        <v>174</v>
      </c>
      <c r="O69" t="s">
        <v>243</v>
      </c>
      <c r="P69">
        <v>0.00040174525491091612</v>
      </c>
      <c r="Q69" t="s">
        <v>153</v>
      </c>
      <c r="S69" t="s">
        <v>184</v>
      </c>
      <c r="T69" t="s">
        <v>243</v>
      </c>
      <c r="U69">
        <v>0.00088835351201007608</v>
      </c>
      <c r="V69" t="s">
        <v>153</v>
      </c>
      <c r="X69">
        <v>0.00057077625570776253</v>
      </c>
      <c r="Y69">
        <v>0.00095302024546486681</v>
      </c>
      <c r="Z69" t="s">
        <v>243</v>
      </c>
      <c r="AA69" t="s">
        <v>25</v>
      </c>
      <c r="AC69" t="s">
        <v>22</v>
      </c>
      <c r="AD69" t="s">
        <v>243</v>
      </c>
      <c r="AE69">
        <v>0.00040123699670170497</v>
      </c>
      <c r="AG69" t="s">
        <v>96</v>
      </c>
      <c r="AH69" t="s">
        <v>243</v>
      </c>
      <c r="AI69">
        <v>0.076936017495654152</v>
      </c>
      <c r="AK69">
        <v>2027</v>
      </c>
      <c r="AL69" t="s">
        <v>304</v>
      </c>
      <c r="AM69">
        <v>0.44350000000000001</v>
      </c>
      <c r="AN69" t="s">
        <v>195</v>
      </c>
    </row>
    <row r="70" spans="9:40" ht="14.25">
      <c r="I70" t="s">
        <v>151</v>
      </c>
      <c r="J70" t="s">
        <v>244</v>
      </c>
      <c r="K70">
        <v>0.00084532307435543905</v>
      </c>
      <c r="L70" t="s">
        <v>153</v>
      </c>
      <c r="N70" t="s">
        <v>174</v>
      </c>
      <c r="O70" t="s">
        <v>244</v>
      </c>
      <c r="P70">
        <v>0.00034221739458734578</v>
      </c>
      <c r="Q70" t="s">
        <v>153</v>
      </c>
      <c r="S70" t="s">
        <v>184</v>
      </c>
      <c r="T70" t="s">
        <v>244</v>
      </c>
      <c r="U70">
        <v>0.00090773931830836216</v>
      </c>
      <c r="V70" t="s">
        <v>153</v>
      </c>
      <c r="X70">
        <v>0.00057077625570776253</v>
      </c>
      <c r="Y70">
        <v>0.00072926766609485475</v>
      </c>
      <c r="Z70" t="s">
        <v>244</v>
      </c>
      <c r="AA70" t="s">
        <v>25</v>
      </c>
      <c r="AC70" t="s">
        <v>22</v>
      </c>
      <c r="AD70" t="s">
        <v>244</v>
      </c>
      <c r="AE70">
        <v>0.00044300880516112196</v>
      </c>
      <c r="AG70" t="s">
        <v>96</v>
      </c>
      <c r="AH70" t="s">
        <v>244</v>
      </c>
      <c r="AI70">
        <v>0.10630677394238264</v>
      </c>
      <c r="AK70">
        <v>2027</v>
      </c>
      <c r="AL70" t="s">
        <v>305</v>
      </c>
      <c r="AM70">
        <v>0.37875</v>
      </c>
      <c r="AN70" t="s">
        <v>195</v>
      </c>
    </row>
    <row r="71" spans="9:40" ht="14.25">
      <c r="I71" t="s">
        <v>151</v>
      </c>
      <c r="J71" t="s">
        <v>245</v>
      </c>
      <c r="K71">
        <v>0.0091791018258628784</v>
      </c>
      <c r="L71" t="s">
        <v>153</v>
      </c>
      <c r="N71" t="s">
        <v>174</v>
      </c>
      <c r="O71" t="s">
        <v>245</v>
      </c>
      <c r="P71">
        <v>0.0023549364289333239</v>
      </c>
      <c r="Q71" t="s">
        <v>153</v>
      </c>
      <c r="S71" t="s">
        <v>184</v>
      </c>
      <c r="T71" t="s">
        <v>245</v>
      </c>
      <c r="U71">
        <v>0.0047444030838124469</v>
      </c>
      <c r="V71" t="s">
        <v>153</v>
      </c>
      <c r="X71">
        <v>0.0039954337899543377</v>
      </c>
      <c r="Y71">
        <v>0.0052010044004673949</v>
      </c>
      <c r="Z71" t="s">
        <v>245</v>
      </c>
      <c r="AA71" t="s">
        <v>25</v>
      </c>
      <c r="AC71" t="s">
        <v>22</v>
      </c>
      <c r="AD71" t="s">
        <v>245</v>
      </c>
      <c r="AE71">
        <v>0.0033839256212053444</v>
      </c>
      <c r="AG71" t="s">
        <v>96</v>
      </c>
      <c r="AH71" t="s">
        <v>245</v>
      </c>
      <c r="AI71">
        <v>0.10177652332724563</v>
      </c>
      <c r="AK71">
        <v>2027</v>
      </c>
      <c r="AL71" t="s">
        <v>306</v>
      </c>
      <c r="AM71">
        <v>0.37157499999999999</v>
      </c>
      <c r="AN71" t="s">
        <v>195</v>
      </c>
    </row>
    <row r="72" spans="9:40" ht="14.25">
      <c r="I72" t="s">
        <v>151</v>
      </c>
      <c r="J72" t="s">
        <v>246</v>
      </c>
      <c r="K72">
        <v>0.0011343972323095189</v>
      </c>
      <c r="L72" t="s">
        <v>153</v>
      </c>
      <c r="N72" t="s">
        <v>174</v>
      </c>
      <c r="O72" t="s">
        <v>246</v>
      </c>
      <c r="P72">
        <v>0.00053026658080717519</v>
      </c>
      <c r="Q72" t="s">
        <v>153</v>
      </c>
      <c r="S72" t="s">
        <v>184</v>
      </c>
      <c r="T72" t="s">
        <v>246</v>
      </c>
      <c r="U72">
        <v>0.00058496006643132467</v>
      </c>
      <c r="V72" t="s">
        <v>153</v>
      </c>
      <c r="X72">
        <v>0.00057077625570776253</v>
      </c>
      <c r="Y72">
        <v>0.0011104757642808013</v>
      </c>
      <c r="Z72" t="s">
        <v>246</v>
      </c>
      <c r="AA72" t="s">
        <v>25</v>
      </c>
      <c r="AC72" t="s">
        <v>22</v>
      </c>
      <c r="AD72" t="s">
        <v>246</v>
      </c>
      <c r="AE72">
        <v>0.00049204400768925035</v>
      </c>
      <c r="AG72" t="s">
        <v>96</v>
      </c>
      <c r="AH72" t="s">
        <v>246</v>
      </c>
      <c r="AI72">
        <v>0.08182946624653864</v>
      </c>
      <c r="AK72">
        <v>2027</v>
      </c>
      <c r="AL72" t="s">
        <v>307</v>
      </c>
      <c r="AM72">
        <v>0.3735</v>
      </c>
      <c r="AN72" t="s">
        <v>195</v>
      </c>
    </row>
    <row r="73" spans="9:40" ht="14.25">
      <c r="I73" t="s">
        <v>151</v>
      </c>
      <c r="J73" t="s">
        <v>323</v>
      </c>
      <c r="K73">
        <v>0.0008415605585917823</v>
      </c>
      <c r="L73" t="s">
        <v>153</v>
      </c>
      <c r="N73" t="s">
        <v>174</v>
      </c>
      <c r="O73" t="s">
        <v>323</v>
      </c>
      <c r="P73">
        <v>0.00061662904755197272</v>
      </c>
      <c r="Q73" t="s">
        <v>153</v>
      </c>
      <c r="S73" t="s">
        <v>184</v>
      </c>
      <c r="T73" t="s">
        <v>323</v>
      </c>
      <c r="U73">
        <v>0.00061340110749854117</v>
      </c>
      <c r="V73" t="s">
        <v>153</v>
      </c>
      <c r="X73">
        <v>0.00057077625570776253</v>
      </c>
      <c r="Y73">
        <v>0.0011104757642808013</v>
      </c>
      <c r="Z73" t="s">
        <v>323</v>
      </c>
      <c r="AA73" t="s">
        <v>25</v>
      </c>
      <c r="AC73" t="s">
        <v>22</v>
      </c>
      <c r="AD73" t="s">
        <v>323</v>
      </c>
      <c r="AE73">
        <v>0.00049795390181905344</v>
      </c>
      <c r="AG73" t="s">
        <v>96</v>
      </c>
      <c r="AH73" t="s">
        <v>323</v>
      </c>
      <c r="AI73">
        <v>0.0801187785479891</v>
      </c>
      <c r="AK73">
        <v>2027</v>
      </c>
      <c r="AL73" t="s">
        <v>308</v>
      </c>
      <c r="AM73">
        <v>0.3735</v>
      </c>
      <c r="AN73" t="s">
        <v>195</v>
      </c>
    </row>
    <row r="74" spans="9:40" ht="14.25">
      <c r="I74" t="s">
        <v>151</v>
      </c>
      <c r="J74" t="s">
        <v>324</v>
      </c>
      <c r="K74">
        <v>0.0003920167186954337</v>
      </c>
      <c r="L74" t="s">
        <v>153</v>
      </c>
      <c r="N74" t="s">
        <v>174</v>
      </c>
      <c r="O74" t="s">
        <v>324</v>
      </c>
      <c r="P74">
        <v>0.0046325476012558878</v>
      </c>
      <c r="Q74" t="s">
        <v>153</v>
      </c>
      <c r="S74" t="s">
        <v>184</v>
      </c>
      <c r="T74" t="s">
        <v>324</v>
      </c>
      <c r="U74">
        <v>0.0045277210110695621</v>
      </c>
      <c r="V74" t="s">
        <v>153</v>
      </c>
      <c r="X74">
        <v>0.0034246575342465752</v>
      </c>
      <c r="Y74">
        <v>0.0030165162552105349</v>
      </c>
      <c r="Z74" t="s">
        <v>324</v>
      </c>
      <c r="AA74" t="s">
        <v>25</v>
      </c>
      <c r="AC74" t="s">
        <v>22</v>
      </c>
      <c r="AD74" t="s">
        <v>324</v>
      </c>
      <c r="AE74">
        <v>0.0029058074943530531</v>
      </c>
      <c r="AG74" t="s">
        <v>96</v>
      </c>
      <c r="AH74" t="s">
        <v>324</v>
      </c>
      <c r="AI74">
        <v>0.12385701874706845</v>
      </c>
      <c r="AK74">
        <v>2028</v>
      </c>
      <c r="AL74" t="s">
        <v>141</v>
      </c>
      <c r="AM74">
        <v>0.34389999999999998</v>
      </c>
      <c r="AN74" t="s">
        <v>195</v>
      </c>
    </row>
    <row r="75" spans="9:40" ht="14.25">
      <c r="I75" t="s">
        <v>151</v>
      </c>
      <c r="J75" t="s">
        <v>247</v>
      </c>
      <c r="K75">
        <v>0</v>
      </c>
      <c r="L75" t="s">
        <v>153</v>
      </c>
      <c r="N75" t="s">
        <v>174</v>
      </c>
      <c r="O75" t="s">
        <v>247</v>
      </c>
      <c r="P75">
        <v>0.0086668514845070176</v>
      </c>
      <c r="Q75" t="s">
        <v>153</v>
      </c>
      <c r="S75" t="s">
        <v>184</v>
      </c>
      <c r="T75" t="s">
        <v>247</v>
      </c>
      <c r="U75">
        <v>0.013163238551414706</v>
      </c>
      <c r="V75" t="s">
        <v>153</v>
      </c>
      <c r="X75">
        <v>0.00821917808219178</v>
      </c>
      <c r="Y75">
        <v>0.0017581980458941408</v>
      </c>
      <c r="Z75" t="s">
        <v>247</v>
      </c>
      <c r="AA75" t="s">
        <v>25</v>
      </c>
      <c r="AC75" t="s">
        <v>22</v>
      </c>
      <c r="AD75" t="s">
        <v>247</v>
      </c>
      <c r="AE75">
        <v>0.0052272706142796801</v>
      </c>
      <c r="AG75" t="s">
        <v>96</v>
      </c>
      <c r="AH75" t="s">
        <v>247</v>
      </c>
      <c r="AI75">
        <v>0.13526030439060865</v>
      </c>
      <c r="AK75">
        <v>2028</v>
      </c>
      <c r="AL75" t="s">
        <v>145</v>
      </c>
      <c r="AM75">
        <v>0.34389999999999998</v>
      </c>
      <c r="AN75" t="s">
        <v>195</v>
      </c>
    </row>
    <row r="76" spans="9:40" ht="14.25">
      <c r="I76" t="s">
        <v>151</v>
      </c>
      <c r="J76" t="s">
        <v>248</v>
      </c>
      <c r="K76">
        <v>0.00027823780938072973</v>
      </c>
      <c r="L76" t="s">
        <v>153</v>
      </c>
      <c r="N76" t="s">
        <v>174</v>
      </c>
      <c r="O76" t="s">
        <v>248</v>
      </c>
      <c r="P76">
        <v>0.0015314157433501847</v>
      </c>
      <c r="Q76" t="s">
        <v>153</v>
      </c>
      <c r="S76" t="s">
        <v>184</v>
      </c>
      <c r="T76" t="s">
        <v>248</v>
      </c>
      <c r="U76">
        <v>0.0019268558569560082</v>
      </c>
      <c r="V76" t="s">
        <v>153</v>
      </c>
      <c r="X76">
        <v>0.0013698630136986301</v>
      </c>
      <c r="Y76">
        <v>0.0020286900529547774</v>
      </c>
      <c r="Z76" t="s">
        <v>248</v>
      </c>
      <c r="AA76" t="s">
        <v>25</v>
      </c>
      <c r="AC76" t="s">
        <v>22</v>
      </c>
      <c r="AD76" t="s">
        <v>248</v>
      </c>
      <c r="AE76">
        <v>0.00094603250668962263</v>
      </c>
      <c r="AG76" t="s">
        <v>96</v>
      </c>
      <c r="AH76" t="s">
        <v>248</v>
      </c>
      <c r="AI76">
        <v>0.08270762283768196</v>
      </c>
      <c r="AK76">
        <v>2028</v>
      </c>
      <c r="AL76" t="s">
        <v>147</v>
      </c>
      <c r="AM76">
        <v>0.36244999999999999</v>
      </c>
      <c r="AN76" t="s">
        <v>195</v>
      </c>
    </row>
    <row r="77" spans="9:40" ht="14.25">
      <c r="I77" t="s">
        <v>151</v>
      </c>
      <c r="J77" t="s">
        <v>249</v>
      </c>
      <c r="K77">
        <v>0.0020559270159917252</v>
      </c>
      <c r="L77" t="s">
        <v>153</v>
      </c>
      <c r="N77" t="s">
        <v>174</v>
      </c>
      <c r="O77" t="s">
        <v>249</v>
      </c>
      <c r="P77">
        <v>0.0014069346554870658</v>
      </c>
      <c r="Q77" t="s">
        <v>153</v>
      </c>
      <c r="S77" t="s">
        <v>184</v>
      </c>
      <c r="T77" t="s">
        <v>249</v>
      </c>
      <c r="U77">
        <v>0.0019064760787383646</v>
      </c>
      <c r="V77" t="s">
        <v>153</v>
      </c>
      <c r="X77">
        <v>0.0013698630136986301</v>
      </c>
      <c r="Y77">
        <v>0.0022872485891156798</v>
      </c>
      <c r="Z77" t="s">
        <v>249</v>
      </c>
      <c r="AA77" t="s">
        <v>25</v>
      </c>
      <c r="AC77" t="s">
        <v>22</v>
      </c>
      <c r="AD77" t="s">
        <v>249</v>
      </c>
      <c r="AE77">
        <v>0.0010391614701585714</v>
      </c>
      <c r="AG77" t="s">
        <v>96</v>
      </c>
      <c r="AH77" t="s">
        <v>249</v>
      </c>
      <c r="AI77">
        <v>0.10978438202742624</v>
      </c>
      <c r="AK77">
        <v>2028</v>
      </c>
      <c r="AL77" t="s">
        <v>149</v>
      </c>
      <c r="AM77">
        <v>0.38100000000000001</v>
      </c>
      <c r="AN77" t="s">
        <v>195</v>
      </c>
    </row>
    <row r="78" spans="9:40" ht="14.25">
      <c r="I78" t="s">
        <v>151</v>
      </c>
      <c r="J78" t="s">
        <v>250</v>
      </c>
      <c r="K78">
        <v>0.00304401071556477</v>
      </c>
      <c r="L78" t="s">
        <v>153</v>
      </c>
      <c r="N78" t="s">
        <v>174</v>
      </c>
      <c r="O78" t="s">
        <v>250</v>
      </c>
      <c r="P78">
        <v>0.0011264651561282389</v>
      </c>
      <c r="Q78" t="s">
        <v>153</v>
      </c>
      <c r="S78" t="s">
        <v>184</v>
      </c>
      <c r="T78" t="s">
        <v>250</v>
      </c>
      <c r="U78">
        <v>0.0020735885373729932</v>
      </c>
      <c r="V78" t="s">
        <v>153</v>
      </c>
      <c r="X78">
        <v>0.0013698630136986301</v>
      </c>
      <c r="Y78">
        <v>0.0017502423986276512</v>
      </c>
      <c r="Z78" t="s">
        <v>250</v>
      </c>
      <c r="AA78" t="s">
        <v>25</v>
      </c>
      <c r="AC78" t="s">
        <v>22</v>
      </c>
      <c r="AD78" t="s">
        <v>250</v>
      </c>
      <c r="AE78">
        <v>0.0011588470358771385</v>
      </c>
      <c r="AG78" t="s">
        <v>96</v>
      </c>
      <c r="AH78" t="s">
        <v>250</v>
      </c>
      <c r="AI78">
        <v>0.090216534239097479</v>
      </c>
      <c r="AK78">
        <v>2028</v>
      </c>
      <c r="AL78" t="s">
        <v>198</v>
      </c>
      <c r="AM78">
        <v>0.37054999999999999</v>
      </c>
      <c r="AN78" t="s">
        <v>195</v>
      </c>
    </row>
    <row r="79" spans="9:40" ht="14.25">
      <c r="I79" t="s">
        <v>151</v>
      </c>
      <c r="J79" t="s">
        <v>251</v>
      </c>
      <c r="K79">
        <v>0.025514351219631446</v>
      </c>
      <c r="L79" t="s">
        <v>153</v>
      </c>
      <c r="N79" t="s">
        <v>174</v>
      </c>
      <c r="O79" t="s">
        <v>251</v>
      </c>
      <c r="P79">
        <v>0.0086748245952941085</v>
      </c>
      <c r="Q79" t="s">
        <v>153</v>
      </c>
      <c r="S79" t="s">
        <v>184</v>
      </c>
      <c r="T79" t="s">
        <v>251</v>
      </c>
      <c r="U79">
        <v>0.014915659212310459</v>
      </c>
      <c r="V79" t="s">
        <v>153</v>
      </c>
      <c r="X79">
        <v>0.0095890410958904115</v>
      </c>
      <c r="Y79">
        <v>0.012482410561121747</v>
      </c>
      <c r="Z79" t="s">
        <v>251</v>
      </c>
      <c r="AA79" t="s">
        <v>25</v>
      </c>
      <c r="AC79" t="s">
        <v>22</v>
      </c>
      <c r="AD79" t="s">
        <v>251</v>
      </c>
      <c r="AE79">
        <v>0.0091312838926304197</v>
      </c>
      <c r="AG79" t="s">
        <v>96</v>
      </c>
      <c r="AH79" t="s">
        <v>251</v>
      </c>
      <c r="AI79">
        <v>0.091463171481640959</v>
      </c>
      <c r="AK79">
        <v>2028</v>
      </c>
      <c r="AL79" t="s">
        <v>216</v>
      </c>
      <c r="AM79">
        <v>0.36009999999999998</v>
      </c>
      <c r="AN79" t="s">
        <v>195</v>
      </c>
    </row>
    <row r="80" spans="9:40" ht="14.25">
      <c r="I80" t="s">
        <v>151</v>
      </c>
      <c r="J80" t="s">
        <v>252</v>
      </c>
      <c r="K80">
        <v>0.0030085785548873904</v>
      </c>
      <c r="L80" t="s">
        <v>153</v>
      </c>
      <c r="N80" t="s">
        <v>174</v>
      </c>
      <c r="O80" t="s">
        <v>252</v>
      </c>
      <c r="P80">
        <v>0.0016890406074450868</v>
      </c>
      <c r="Q80" t="s">
        <v>153</v>
      </c>
      <c r="S80" t="s">
        <v>184</v>
      </c>
      <c r="T80" t="s">
        <v>252</v>
      </c>
      <c r="U80">
        <v>0.0019935363208772061</v>
      </c>
      <c r="V80" t="s">
        <v>153</v>
      </c>
      <c r="X80">
        <v>0.0013698630136986301</v>
      </c>
      <c r="Y80">
        <v>0.0026651418342739236</v>
      </c>
      <c r="Z80" t="s">
        <v>252</v>
      </c>
      <c r="AA80" t="s">
        <v>25</v>
      </c>
      <c r="AC80" t="s">
        <v>22</v>
      </c>
      <c r="AD80" t="s">
        <v>252</v>
      </c>
      <c r="AE80">
        <v>0.0013263426533170631</v>
      </c>
      <c r="AG80" t="s">
        <v>96</v>
      </c>
      <c r="AH80" t="s">
        <v>252</v>
      </c>
      <c r="AI80">
        <v>0.070246182272702518</v>
      </c>
      <c r="AK80">
        <v>2028</v>
      </c>
      <c r="AL80" t="s">
        <v>232</v>
      </c>
      <c r="AM80">
        <v>0.36009999999999998</v>
      </c>
      <c r="AN80" t="s">
        <v>195</v>
      </c>
    </row>
    <row r="81" spans="9:40" ht="14.25">
      <c r="I81" t="s">
        <v>151</v>
      </c>
      <c r="J81" t="s">
        <v>325</v>
      </c>
      <c r="K81">
        <v>0.002102602190562586</v>
      </c>
      <c r="L81" t="s">
        <v>153</v>
      </c>
      <c r="N81" t="s">
        <v>174</v>
      </c>
      <c r="O81" t="s">
        <v>325</v>
      </c>
      <c r="P81">
        <v>0.0017595572325473209</v>
      </c>
      <c r="Q81" t="s">
        <v>153</v>
      </c>
      <c r="S81" t="s">
        <v>184</v>
      </c>
      <c r="T81" t="s">
        <v>325</v>
      </c>
      <c r="U81">
        <v>0.0020778193431603238</v>
      </c>
      <c r="V81" t="s">
        <v>153</v>
      </c>
      <c r="X81">
        <v>0.0013698630136986301</v>
      </c>
      <c r="Y81">
        <v>0.0026651418342739236</v>
      </c>
      <c r="Z81" t="s">
        <v>325</v>
      </c>
      <c r="AA81" t="s">
        <v>25</v>
      </c>
      <c r="AC81" t="s">
        <v>22</v>
      </c>
      <c r="AD81" t="s">
        <v>325</v>
      </c>
      <c r="AE81">
        <v>0.0013390317152443302</v>
      </c>
      <c r="AG81" t="s">
        <v>96</v>
      </c>
      <c r="AH81" t="s">
        <v>325</v>
      </c>
      <c r="AI81">
        <v>0.072403752830799029</v>
      </c>
      <c r="AK81">
        <v>2028</v>
      </c>
      <c r="AL81" t="s">
        <v>233</v>
      </c>
      <c r="AM81">
        <v>0.36009999999999998</v>
      </c>
      <c r="AN81" t="s">
        <v>195</v>
      </c>
    </row>
    <row r="82" spans="9:40" ht="14.25">
      <c r="I82" t="s">
        <v>151</v>
      </c>
      <c r="J82" t="s">
        <v>326</v>
      </c>
      <c r="K82">
        <v>0.00095225848689906934</v>
      </c>
      <c r="L82" t="s">
        <v>153</v>
      </c>
      <c r="N82" t="s">
        <v>174</v>
      </c>
      <c r="O82" t="s">
        <v>326</v>
      </c>
      <c r="P82">
        <v>0.011450660894945506</v>
      </c>
      <c r="Q82" t="s">
        <v>153</v>
      </c>
      <c r="S82" t="s">
        <v>184</v>
      </c>
      <c r="T82" t="s">
        <v>326</v>
      </c>
      <c r="U82">
        <v>0.014206265013962324</v>
      </c>
      <c r="V82" t="s">
        <v>153</v>
      </c>
      <c r="X82">
        <v>0.00821917808219178</v>
      </c>
      <c r="Y82">
        <v>0.0072396390125052841</v>
      </c>
      <c r="Z82" t="s">
        <v>326</v>
      </c>
      <c r="AA82" t="s">
        <v>25</v>
      </c>
      <c r="AC82" t="s">
        <v>22</v>
      </c>
      <c r="AD82" t="s">
        <v>326</v>
      </c>
      <c r="AE82">
        <v>0.0077568161488131152</v>
      </c>
      <c r="AG82" t="s">
        <v>96</v>
      </c>
      <c r="AH82" t="s">
        <v>326</v>
      </c>
      <c r="AI82">
        <v>0.17648538846913775</v>
      </c>
      <c r="AK82">
        <v>2028</v>
      </c>
      <c r="AL82" t="s">
        <v>234</v>
      </c>
      <c r="AM82">
        <v>0.40610000000000002</v>
      </c>
      <c r="AN82" t="s">
        <v>195</v>
      </c>
    </row>
    <row r="83" spans="9:40" ht="14.25">
      <c r="I83" t="s">
        <v>151</v>
      </c>
      <c r="J83" t="s">
        <v>262</v>
      </c>
      <c r="K83">
        <v>0</v>
      </c>
      <c r="L83" t="s">
        <v>153</v>
      </c>
      <c r="N83" t="s">
        <v>174</v>
      </c>
      <c r="O83" t="s">
        <v>262</v>
      </c>
      <c r="P83">
        <v>0.022740184809848834</v>
      </c>
      <c r="Q83" t="s">
        <v>153</v>
      </c>
      <c r="S83" t="s">
        <v>184</v>
      </c>
      <c r="T83" t="s">
        <v>262</v>
      </c>
      <c r="U83">
        <v>0.013468184830588164</v>
      </c>
      <c r="V83" t="s">
        <v>153</v>
      </c>
      <c r="X83">
        <v>0.013013698630136987</v>
      </c>
      <c r="Y83">
        <v>0.0027838135726657217</v>
      </c>
      <c r="Z83" t="s">
        <v>262</v>
      </c>
      <c r="AA83" t="s">
        <v>25</v>
      </c>
      <c r="AC83" t="s">
        <v>22</v>
      </c>
      <c r="AD83" t="s">
        <v>262</v>
      </c>
      <c r="AE83">
        <v>0.009031737709415788</v>
      </c>
      <c r="AG83" t="s">
        <v>96</v>
      </c>
      <c r="AH83" t="s">
        <v>262</v>
      </c>
      <c r="AI83">
        <v>0.11510723650299193</v>
      </c>
      <c r="AK83">
        <v>2028</v>
      </c>
      <c r="AL83" t="s">
        <v>256</v>
      </c>
      <c r="AM83">
        <v>0.4521</v>
      </c>
      <c r="AN83" t="s">
        <v>195</v>
      </c>
    </row>
    <row r="84" spans="9:40" ht="14.25">
      <c r="I84" t="s">
        <v>151</v>
      </c>
      <c r="J84" t="s">
        <v>263</v>
      </c>
      <c r="K84">
        <v>0.0014585531862199397</v>
      </c>
      <c r="L84" t="s">
        <v>153</v>
      </c>
      <c r="N84" t="s">
        <v>174</v>
      </c>
      <c r="O84" t="s">
        <v>263</v>
      </c>
      <c r="P84">
        <v>0.0036139503829467515</v>
      </c>
      <c r="Q84" t="s">
        <v>153</v>
      </c>
      <c r="S84" t="s">
        <v>184</v>
      </c>
      <c r="T84" t="s">
        <v>263</v>
      </c>
      <c r="U84">
        <v>0.0020167552397175833</v>
      </c>
      <c r="V84" t="s">
        <v>153</v>
      </c>
      <c r="X84">
        <v>0.0021689497716894978</v>
      </c>
      <c r="Y84">
        <v>0.0032120925838450653</v>
      </c>
      <c r="Z84" t="s">
        <v>263</v>
      </c>
      <c r="AA84" t="s">
        <v>25</v>
      </c>
      <c r="AC84" t="s">
        <v>22</v>
      </c>
      <c r="AD84" t="s">
        <v>263</v>
      </c>
      <c r="AE84">
        <v>0.0015932408610334428</v>
      </c>
      <c r="AG84" t="s">
        <v>96</v>
      </c>
      <c r="AH84" t="s">
        <v>263</v>
      </c>
      <c r="AI84">
        <v>0.053023306350844734</v>
      </c>
      <c r="AK84">
        <v>2028</v>
      </c>
      <c r="AL84" t="s">
        <v>257</v>
      </c>
      <c r="AM84">
        <v>0.45269999999999999</v>
      </c>
      <c r="AN84" t="s">
        <v>195</v>
      </c>
    </row>
    <row r="85" spans="9:40" ht="14.25">
      <c r="I85" t="s">
        <v>151</v>
      </c>
      <c r="J85" t="s">
        <v>264</v>
      </c>
      <c r="K85">
        <v>0.0033046139271551123</v>
      </c>
      <c r="L85" t="s">
        <v>153</v>
      </c>
      <c r="N85" t="s">
        <v>174</v>
      </c>
      <c r="O85" t="s">
        <v>264</v>
      </c>
      <c r="P85">
        <v>0.0029954618575650988</v>
      </c>
      <c r="Q85" t="s">
        <v>153</v>
      </c>
      <c r="S85" t="s">
        <v>184</v>
      </c>
      <c r="T85" t="s">
        <v>264</v>
      </c>
      <c r="U85">
        <v>0.0018401659313499429</v>
      </c>
      <c r="V85" t="s">
        <v>153</v>
      </c>
      <c r="X85">
        <v>0.0021689497716894978</v>
      </c>
      <c r="Y85">
        <v>0.0036214769327664936</v>
      </c>
      <c r="Z85" t="s">
        <v>264</v>
      </c>
      <c r="AA85" t="s">
        <v>25</v>
      </c>
      <c r="AC85" t="s">
        <v>22</v>
      </c>
      <c r="AD85" t="s">
        <v>264</v>
      </c>
      <c r="AE85">
        <v>0.0017535547611251072</v>
      </c>
      <c r="AG85" t="s">
        <v>96</v>
      </c>
      <c r="AH85" t="s">
        <v>264</v>
      </c>
      <c r="AI85">
        <v>0.062293882485180863</v>
      </c>
      <c r="AK85">
        <v>2028</v>
      </c>
      <c r="AL85" t="s">
        <v>258</v>
      </c>
      <c r="AM85">
        <v>0.45329999999999998</v>
      </c>
      <c r="AN85" t="s">
        <v>195</v>
      </c>
    </row>
    <row r="86" spans="9:40" ht="14.25">
      <c r="I86" t="s">
        <v>151</v>
      </c>
      <c r="J86" t="s">
        <v>265</v>
      </c>
      <c r="K86">
        <v>0.0046390318095343424</v>
      </c>
      <c r="L86" t="s">
        <v>153</v>
      </c>
      <c r="N86" t="s">
        <v>174</v>
      </c>
      <c r="O86" t="s">
        <v>265</v>
      </c>
      <c r="P86">
        <v>0.0022490624158577593</v>
      </c>
      <c r="Q86" t="s">
        <v>153</v>
      </c>
      <c r="S86" t="s">
        <v>184</v>
      </c>
      <c r="T86" t="s">
        <v>265</v>
      </c>
      <c r="U86">
        <v>0.0017196234425253876</v>
      </c>
      <c r="V86" t="s">
        <v>153</v>
      </c>
      <c r="X86">
        <v>0.0021689497716894978</v>
      </c>
      <c r="Y86">
        <v>0.0027712171311604483</v>
      </c>
      <c r="Z86" t="s">
        <v>265</v>
      </c>
      <c r="AA86" t="s">
        <v>25</v>
      </c>
      <c r="AC86" t="s">
        <v>22</v>
      </c>
      <c r="AD86" t="s">
        <v>265</v>
      </c>
      <c r="AE86">
        <v>0.002018934093974543</v>
      </c>
      <c r="AG86" t="s">
        <v>96</v>
      </c>
      <c r="AH86" t="s">
        <v>265</v>
      </c>
      <c r="AI86">
        <v>0.040123018689377954</v>
      </c>
      <c r="AK86">
        <v>2028</v>
      </c>
      <c r="AL86" t="s">
        <v>259</v>
      </c>
      <c r="AM86">
        <v>0.45329999999999998</v>
      </c>
      <c r="AN86" t="s">
        <v>195</v>
      </c>
    </row>
    <row r="87" spans="9:40" ht="14.25">
      <c r="I87" t="s">
        <v>151</v>
      </c>
      <c r="J87" t="s">
        <v>266</v>
      </c>
      <c r="K87">
        <v>0.039026657880267886</v>
      </c>
      <c r="L87" t="s">
        <v>153</v>
      </c>
      <c r="N87" t="s">
        <v>174</v>
      </c>
      <c r="O87" t="s">
        <v>266</v>
      </c>
      <c r="P87">
        <v>0.014193523963734056</v>
      </c>
      <c r="Q87" t="s">
        <v>153</v>
      </c>
      <c r="S87" t="s">
        <v>184</v>
      </c>
      <c r="T87" t="s">
        <v>266</v>
      </c>
      <c r="U87">
        <v>0.0074287142658522329</v>
      </c>
      <c r="V87" t="s">
        <v>153</v>
      </c>
      <c r="X87">
        <v>0.015182648401826484</v>
      </c>
      <c r="Y87">
        <v>0.019763816721776104</v>
      </c>
      <c r="Z87" t="s">
        <v>266</v>
      </c>
      <c r="AA87" t="s">
        <v>25</v>
      </c>
      <c r="AC87" t="s">
        <v>22</v>
      </c>
      <c r="AD87" t="s">
        <v>266</v>
      </c>
      <c r="AE87">
        <v>0.015737894598293556</v>
      </c>
      <c r="AG87" t="s">
        <v>96</v>
      </c>
      <c r="AH87" t="s">
        <v>266</v>
      </c>
      <c r="AI87">
        <v>0.057767147897231697</v>
      </c>
      <c r="AK87">
        <v>2028</v>
      </c>
      <c r="AL87" t="s">
        <v>260</v>
      </c>
      <c r="AM87">
        <v>0.48419999999999996</v>
      </c>
      <c r="AN87" t="s">
        <v>195</v>
      </c>
    </row>
    <row r="88" spans="9:40" ht="14.25">
      <c r="I88" t="s">
        <v>151</v>
      </c>
      <c r="J88" t="s">
        <v>267</v>
      </c>
      <c r="K88">
        <v>0.0044229200379899804</v>
      </c>
      <c r="L88" t="s">
        <v>153</v>
      </c>
      <c r="N88" t="s">
        <v>174</v>
      </c>
      <c r="O88" t="s">
        <v>267</v>
      </c>
      <c r="P88">
        <v>0.0021963384498323536</v>
      </c>
      <c r="Q88" t="s">
        <v>153</v>
      </c>
      <c r="S88" t="s">
        <v>184</v>
      </c>
      <c r="T88" t="s">
        <v>267</v>
      </c>
      <c r="U88">
        <v>0.0008544234631381294</v>
      </c>
      <c r="V88" t="s">
        <v>153</v>
      </c>
      <c r="X88">
        <v>0.0021689497716894978</v>
      </c>
      <c r="Y88">
        <v>0.0042198079042670457</v>
      </c>
      <c r="Z88" t="s">
        <v>267</v>
      </c>
      <c r="AA88" t="s">
        <v>25</v>
      </c>
      <c r="AC88" t="s">
        <v>22</v>
      </c>
      <c r="AD88" t="s">
        <v>267</v>
      </c>
      <c r="AE88">
        <v>0.0022570742405534452</v>
      </c>
      <c r="AG88" t="s">
        <v>96</v>
      </c>
      <c r="AH88" t="s">
        <v>267</v>
      </c>
      <c r="AI88">
        <v>0.030139001853214165</v>
      </c>
      <c r="AK88">
        <v>2028</v>
      </c>
      <c r="AL88" t="s">
        <v>261</v>
      </c>
      <c r="AM88">
        <v>0.5151</v>
      </c>
      <c r="AN88" t="s">
        <v>195</v>
      </c>
    </row>
    <row r="89" spans="9:40" ht="14.25">
      <c r="I89" t="s">
        <v>151</v>
      </c>
      <c r="J89" t="s">
        <v>327</v>
      </c>
      <c r="K89">
        <v>0.0031547292140507006</v>
      </c>
      <c r="L89" t="s">
        <v>153</v>
      </c>
      <c r="N89" t="s">
        <v>174</v>
      </c>
      <c r="O89" t="s">
        <v>327</v>
      </c>
      <c r="P89">
        <v>0.0026456572476275617</v>
      </c>
      <c r="Q89" t="s">
        <v>153</v>
      </c>
      <c r="S89" t="s">
        <v>184</v>
      </c>
      <c r="T89" t="s">
        <v>327</v>
      </c>
      <c r="U89">
        <v>0.0010728215998144861</v>
      </c>
      <c r="V89" t="s">
        <v>153</v>
      </c>
      <c r="X89">
        <v>0.0021689497716894978</v>
      </c>
      <c r="Y89">
        <v>0.0042198079042670457</v>
      </c>
      <c r="Z89" t="s">
        <v>327</v>
      </c>
      <c r="AA89" t="s">
        <v>25</v>
      </c>
      <c r="AC89" t="s">
        <v>22</v>
      </c>
      <c r="AD89" t="s">
        <v>327</v>
      </c>
      <c r="AE89">
        <v>0.0022861044806224478</v>
      </c>
      <c r="AG89" t="s">
        <v>96</v>
      </c>
      <c r="AH89" t="s">
        <v>327</v>
      </c>
      <c r="AI89">
        <v>0.0082476867415872679</v>
      </c>
      <c r="AK89">
        <v>2028</v>
      </c>
      <c r="AL89" t="s">
        <v>303</v>
      </c>
      <c r="AM89">
        <v>0.5151</v>
      </c>
      <c r="AN89" t="s">
        <v>195</v>
      </c>
    </row>
    <row r="90" spans="9:40" ht="14.25">
      <c r="I90" t="s">
        <v>151</v>
      </c>
      <c r="J90" t="s">
        <v>328</v>
      </c>
      <c r="K90">
        <v>0.0013477778547246137</v>
      </c>
      <c r="L90" t="s">
        <v>153</v>
      </c>
      <c r="N90" t="s">
        <v>174</v>
      </c>
      <c r="O90" t="s">
        <v>328</v>
      </c>
      <c r="P90">
        <v>0.02231067878292483</v>
      </c>
      <c r="Q90" t="s">
        <v>153</v>
      </c>
      <c r="S90" t="s">
        <v>184</v>
      </c>
      <c r="T90" t="s">
        <v>328</v>
      </c>
      <c r="U90">
        <v>0.010519504838037467</v>
      </c>
      <c r="V90" t="s">
        <v>153</v>
      </c>
      <c r="X90">
        <v>0.013013698630136987</v>
      </c>
      <c r="Y90">
        <v>0.011462761769800033</v>
      </c>
      <c r="Z90" t="s">
        <v>328</v>
      </c>
      <c r="AA90" t="s">
        <v>25</v>
      </c>
      <c r="AC90" t="s">
        <v>22</v>
      </c>
      <c r="AD90" t="s">
        <v>328</v>
      </c>
      <c r="AE90">
        <v>0.013618206435590783</v>
      </c>
      <c r="AG90" t="s">
        <v>96</v>
      </c>
      <c r="AH90" t="s">
        <v>328</v>
      </c>
      <c r="AI90">
        <v>0.077575605740667797</v>
      </c>
      <c r="AK90">
        <v>2028</v>
      </c>
      <c r="AL90" t="s">
        <v>304</v>
      </c>
      <c r="AM90">
        <v>0.4632</v>
      </c>
      <c r="AN90" t="s">
        <v>195</v>
      </c>
    </row>
    <row r="91" spans="9:40" ht="14.25">
      <c r="I91" t="s">
        <v>151</v>
      </c>
      <c r="J91" t="s">
        <v>268</v>
      </c>
      <c r="K91">
        <v>0</v>
      </c>
      <c r="L91" t="s">
        <v>153</v>
      </c>
      <c r="N91" t="s">
        <v>174</v>
      </c>
      <c r="O91" t="s">
        <v>268</v>
      </c>
      <c r="P91">
        <v>0.0080083605403847135</v>
      </c>
      <c r="Q91" t="s">
        <v>153</v>
      </c>
      <c r="S91" t="s">
        <v>184</v>
      </c>
      <c r="T91" t="s">
        <v>268</v>
      </c>
      <c r="U91">
        <v>0.01054152576781108</v>
      </c>
      <c r="V91" t="s">
        <v>153</v>
      </c>
      <c r="X91">
        <v>0.014383561643835616</v>
      </c>
      <c r="Y91">
        <v>0.0030768465803147453</v>
      </c>
      <c r="Z91" t="s">
        <v>268</v>
      </c>
      <c r="AA91" t="s">
        <v>25</v>
      </c>
      <c r="AC91" t="s">
        <v>22</v>
      </c>
      <c r="AD91" t="s">
        <v>268</v>
      </c>
      <c r="AE91">
        <v>0.01107863616692344</v>
      </c>
      <c r="AG91" t="s">
        <v>96</v>
      </c>
      <c r="AH91" t="s">
        <v>268</v>
      </c>
      <c r="AI91">
        <v>0.22752499809762061</v>
      </c>
      <c r="AK91">
        <v>2028</v>
      </c>
      <c r="AL91" t="s">
        <v>305</v>
      </c>
      <c r="AM91">
        <v>0.3735</v>
      </c>
      <c r="AN91" t="s">
        <v>195</v>
      </c>
    </row>
    <row r="92" spans="9:40" ht="14.25">
      <c r="I92" t="s">
        <v>151</v>
      </c>
      <c r="J92" t="s">
        <v>269</v>
      </c>
      <c r="K92">
        <v>0.0013208967905617493</v>
      </c>
      <c r="L92" t="s">
        <v>153</v>
      </c>
      <c r="N92" t="s">
        <v>174</v>
      </c>
      <c r="O92" t="s">
        <v>269</v>
      </c>
      <c r="P92">
        <v>0.0012196069257963734</v>
      </c>
      <c r="Q92" t="s">
        <v>153</v>
      </c>
      <c r="S92" t="s">
        <v>184</v>
      </c>
      <c r="T92" t="s">
        <v>269</v>
      </c>
      <c r="U92">
        <v>0.0018888425024086344</v>
      </c>
      <c r="V92" t="s">
        <v>153</v>
      </c>
      <c r="X92">
        <v>0.0023972602739726029</v>
      </c>
      <c r="Y92">
        <v>0.0035502075926708621</v>
      </c>
      <c r="Z92" t="s">
        <v>269</v>
      </c>
      <c r="AA92" t="s">
        <v>25</v>
      </c>
      <c r="AC92" t="s">
        <v>22</v>
      </c>
      <c r="AD92" t="s">
        <v>269</v>
      </c>
      <c r="AE92">
        <v>0.0018470120705389764</v>
      </c>
      <c r="AG92" t="s">
        <v>96</v>
      </c>
      <c r="AH92" t="s">
        <v>269</v>
      </c>
      <c r="AI92">
        <v>0.06002564153729506</v>
      </c>
      <c r="AK92">
        <v>2028</v>
      </c>
      <c r="AL92" t="s">
        <v>306</v>
      </c>
      <c r="AM92">
        <v>0.3528</v>
      </c>
      <c r="AN92" t="s">
        <v>195</v>
      </c>
    </row>
    <row r="93" spans="9:40" ht="14.25">
      <c r="I93" t="s">
        <v>151</v>
      </c>
      <c r="J93" t="s">
        <v>270</v>
      </c>
      <c r="K93">
        <v>0.0028713885890381133</v>
      </c>
      <c r="L93" t="s">
        <v>153</v>
      </c>
      <c r="N93" t="s">
        <v>174</v>
      </c>
      <c r="O93" t="s">
        <v>270</v>
      </c>
      <c r="P93">
        <v>0.0010808823490981729</v>
      </c>
      <c r="Q93" t="s">
        <v>153</v>
      </c>
      <c r="S93" t="s">
        <v>184</v>
      </c>
      <c r="T93" t="s">
        <v>270</v>
      </c>
      <c r="U93">
        <v>0.0018754699101573022</v>
      </c>
      <c r="V93" t="s">
        <v>153</v>
      </c>
      <c r="X93">
        <v>0.0023972602739726029</v>
      </c>
      <c r="Y93">
        <v>0.00400268503095244</v>
      </c>
      <c r="Z93" t="s">
        <v>270</v>
      </c>
      <c r="AA93" t="s">
        <v>25</v>
      </c>
      <c r="AC93" t="s">
        <v>22</v>
      </c>
      <c r="AD93" t="s">
        <v>270</v>
      </c>
      <c r="AE93">
        <v>0.0019396043012735304</v>
      </c>
      <c r="AG93" t="s">
        <v>96</v>
      </c>
      <c r="AH93" t="s">
        <v>270</v>
      </c>
      <c r="AI93">
        <v>0.056844928895852354</v>
      </c>
      <c r="AK93">
        <v>2028</v>
      </c>
      <c r="AL93" t="s">
        <v>307</v>
      </c>
      <c r="AM93">
        <v>0.36930000000000002</v>
      </c>
      <c r="AN93" t="s">
        <v>195</v>
      </c>
    </row>
    <row r="94" spans="9:40" ht="14.25">
      <c r="I94" t="s">
        <v>151</v>
      </c>
      <c r="J94" t="s">
        <v>271</v>
      </c>
      <c r="K94">
        <v>0.0040756274837457761</v>
      </c>
      <c r="L94" t="s">
        <v>153</v>
      </c>
      <c r="N94" t="s">
        <v>174</v>
      </c>
      <c r="O94" t="s">
        <v>271</v>
      </c>
      <c r="P94">
        <v>0.00071672797606918783</v>
      </c>
      <c r="Q94" t="s">
        <v>153</v>
      </c>
      <c r="S94" t="s">
        <v>184</v>
      </c>
      <c r="T94" t="s">
        <v>271</v>
      </c>
      <c r="U94">
        <v>0.00201781506573278</v>
      </c>
      <c r="V94" t="s">
        <v>153</v>
      </c>
      <c r="X94">
        <v>0.0023972602739726029</v>
      </c>
      <c r="Y94">
        <v>0.0030629241975983898</v>
      </c>
      <c r="Z94" t="s">
        <v>271</v>
      </c>
      <c r="AA94" t="s">
        <v>25</v>
      </c>
      <c r="AC94" t="s">
        <v>22</v>
      </c>
      <c r="AD94" t="s">
        <v>271</v>
      </c>
      <c r="AE94">
        <v>0.002276859148120175</v>
      </c>
      <c r="AG94" t="s">
        <v>96</v>
      </c>
      <c r="AH94" t="s">
        <v>271</v>
      </c>
      <c r="AI94">
        <v>0.060020101518992286</v>
      </c>
      <c r="AK94">
        <v>2028</v>
      </c>
      <c r="AL94" t="s">
        <v>308</v>
      </c>
      <c r="AM94">
        <v>0.36930000000000002</v>
      </c>
      <c r="AN94" t="s">
        <v>195</v>
      </c>
    </row>
    <row r="95" spans="9:40" ht="14.25">
      <c r="I95" t="s">
        <v>151</v>
      </c>
      <c r="J95" t="s">
        <v>272</v>
      </c>
      <c r="K95">
        <v>0.039316058212263694</v>
      </c>
      <c r="L95" t="s">
        <v>153</v>
      </c>
      <c r="N95" t="s">
        <v>174</v>
      </c>
      <c r="O95" t="s">
        <v>272</v>
      </c>
      <c r="P95">
        <v>0.0069769164959520447</v>
      </c>
      <c r="Q95" t="s">
        <v>153</v>
      </c>
      <c r="S95" t="s">
        <v>184</v>
      </c>
      <c r="T95" t="s">
        <v>272</v>
      </c>
      <c r="U95">
        <v>0.01399241975154096</v>
      </c>
      <c r="V95" t="s">
        <v>153</v>
      </c>
      <c r="X95">
        <v>0.01678082191780822</v>
      </c>
      <c r="Y95">
        <v>0.021844218481963058</v>
      </c>
      <c r="Z95" t="s">
        <v>272</v>
      </c>
      <c r="AA95" t="s">
        <v>25</v>
      </c>
      <c r="AC95" t="s">
        <v>22</v>
      </c>
      <c r="AD95" t="s">
        <v>272</v>
      </c>
      <c r="AE95">
        <v>0.017804181247868603</v>
      </c>
      <c r="AG95" t="s">
        <v>96</v>
      </c>
      <c r="AH95" t="s">
        <v>272</v>
      </c>
      <c r="AI95">
        <v>0.07928804188454075</v>
      </c>
      <c r="AK95">
        <v>2029</v>
      </c>
      <c r="AL95" t="s">
        <v>141</v>
      </c>
      <c r="AM95">
        <v>0.4204</v>
      </c>
      <c r="AN95" t="s">
        <v>195</v>
      </c>
    </row>
    <row r="96" spans="9:40" ht="14.25">
      <c r="I96" t="s">
        <v>151</v>
      </c>
      <c r="J96" t="s">
        <v>273</v>
      </c>
      <c r="K96">
        <v>0.004539417409450938</v>
      </c>
      <c r="L96" t="s">
        <v>153</v>
      </c>
      <c r="N96" t="s">
        <v>174</v>
      </c>
      <c r="O96" t="s">
        <v>273</v>
      </c>
      <c r="P96">
        <v>0.0017209095446563281</v>
      </c>
      <c r="Q96" t="s">
        <v>153</v>
      </c>
      <c r="S96" t="s">
        <v>184</v>
      </c>
      <c r="T96" t="s">
        <v>273</v>
      </c>
      <c r="U96">
        <v>0.0017256900553025395</v>
      </c>
      <c r="V96" t="s">
        <v>153</v>
      </c>
      <c r="X96">
        <v>0.0023972602739726029</v>
      </c>
      <c r="Y96">
        <v>0.0046639982099793663</v>
      </c>
      <c r="Z96" t="s">
        <v>273</v>
      </c>
      <c r="AA96" t="s">
        <v>25</v>
      </c>
      <c r="AC96" t="s">
        <v>22</v>
      </c>
      <c r="AD96" t="s">
        <v>273</v>
      </c>
      <c r="AE96">
        <v>0.0025624884735900907</v>
      </c>
      <c r="AG96" t="s">
        <v>96</v>
      </c>
      <c r="AH96" t="s">
        <v>273</v>
      </c>
      <c r="AI96">
        <v>0.062053290039155717</v>
      </c>
      <c r="AK96">
        <v>2029</v>
      </c>
      <c r="AL96" t="s">
        <v>145</v>
      </c>
      <c r="AM96">
        <v>0.4204</v>
      </c>
      <c r="AN96" t="s">
        <v>195</v>
      </c>
    </row>
    <row r="97" spans="9:40" ht="14.25">
      <c r="I97" t="s">
        <v>151</v>
      </c>
      <c r="J97" t="s">
        <v>329</v>
      </c>
      <c r="K97">
        <v>0.0033606478820711297</v>
      </c>
      <c r="L97" t="s">
        <v>153</v>
      </c>
      <c r="N97" t="s">
        <v>174</v>
      </c>
      <c r="O97" t="s">
        <v>329</v>
      </c>
      <c r="P97">
        <v>0.0019040850678351711</v>
      </c>
      <c r="Q97" t="s">
        <v>153</v>
      </c>
      <c r="S97" t="s">
        <v>184</v>
      </c>
      <c r="T97" t="s">
        <v>329</v>
      </c>
      <c r="U97">
        <v>0.0016798946954301322</v>
      </c>
      <c r="V97" t="s">
        <v>153</v>
      </c>
      <c r="X97">
        <v>0.0023972602739726029</v>
      </c>
      <c r="Y97">
        <v>0.0046639982099793663</v>
      </c>
      <c r="Z97" t="s">
        <v>329</v>
      </c>
      <c r="AA97" t="s">
        <v>25</v>
      </c>
      <c r="AC97" t="s">
        <v>22</v>
      </c>
      <c r="AD97" t="s">
        <v>329</v>
      </c>
      <c r="AE97">
        <v>0.0025719338029051462</v>
      </c>
      <c r="AG97" t="s">
        <v>96</v>
      </c>
      <c r="AH97" t="s">
        <v>329</v>
      </c>
      <c r="AI97">
        <v>0.059259019477539532</v>
      </c>
      <c r="AK97">
        <v>2029</v>
      </c>
      <c r="AL97" t="s">
        <v>147</v>
      </c>
      <c r="AM97">
        <v>0.39860000000000001</v>
      </c>
      <c r="AN97" t="s">
        <v>195</v>
      </c>
    </row>
    <row r="98" spans="9:40" ht="14.25">
      <c r="I98" t="s">
        <v>151</v>
      </c>
      <c r="J98" t="s">
        <v>330</v>
      </c>
      <c r="K98">
        <v>0.0015575487269686476</v>
      </c>
      <c r="L98" t="s">
        <v>153</v>
      </c>
      <c r="N98" t="s">
        <v>174</v>
      </c>
      <c r="O98" t="s">
        <v>330</v>
      </c>
      <c r="P98">
        <v>0.012747848230691954</v>
      </c>
      <c r="Q98" t="s">
        <v>153</v>
      </c>
      <c r="S98" t="s">
        <v>184</v>
      </c>
      <c r="T98" t="s">
        <v>330</v>
      </c>
      <c r="U98">
        <v>0.0091398732925750195</v>
      </c>
      <c r="V98" t="s">
        <v>153</v>
      </c>
      <c r="X98">
        <v>0.014383561643835616</v>
      </c>
      <c r="Y98">
        <v>0.01266936827188425</v>
      </c>
      <c r="Z98" t="s">
        <v>330</v>
      </c>
      <c r="AA98" t="s">
        <v>25</v>
      </c>
      <c r="AC98" t="s">
        <v>22</v>
      </c>
      <c r="AD98" t="s">
        <v>330</v>
      </c>
      <c r="AE98">
        <v>0.014882192689211789</v>
      </c>
      <c r="AG98" t="s">
        <v>96</v>
      </c>
      <c r="AH98" t="s">
        <v>330</v>
      </c>
      <c r="AI98">
        <v>0.11311972065279141</v>
      </c>
      <c r="AK98">
        <v>2029</v>
      </c>
      <c r="AL98" t="s">
        <v>149</v>
      </c>
      <c r="AM98">
        <v>0.37680000000000002</v>
      </c>
      <c r="AN98" t="s">
        <v>195</v>
      </c>
    </row>
    <row r="99" spans="9:40" ht="14.25">
      <c r="I99" t="s">
        <v>151</v>
      </c>
      <c r="J99" t="s">
        <v>274</v>
      </c>
      <c r="K99">
        <v>0</v>
      </c>
      <c r="L99" t="s">
        <v>153</v>
      </c>
      <c r="N99" t="s">
        <v>174</v>
      </c>
      <c r="O99" t="s">
        <v>274</v>
      </c>
      <c r="P99">
        <v>0.0076300558191757205</v>
      </c>
      <c r="Q99" t="s">
        <v>153</v>
      </c>
      <c r="S99" t="s">
        <v>184</v>
      </c>
      <c r="T99" t="s">
        <v>274</v>
      </c>
      <c r="U99">
        <v>0.0090633183333327268</v>
      </c>
      <c r="V99" t="s">
        <v>153</v>
      </c>
      <c r="X99">
        <v>0.0047945205479452057</v>
      </c>
      <c r="Y99">
        <v>0.001025615526771582</v>
      </c>
      <c r="Z99" t="s">
        <v>274</v>
      </c>
      <c r="AA99" t="s">
        <v>25</v>
      </c>
      <c r="AC99" t="s">
        <v>22</v>
      </c>
      <c r="AD99" t="s">
        <v>274</v>
      </c>
      <c r="AE99">
        <v>0.0040227357811022353</v>
      </c>
      <c r="AG99" t="s">
        <v>96</v>
      </c>
      <c r="AH99" t="s">
        <v>274</v>
      </c>
      <c r="AI99">
        <v>0.21218147019673039</v>
      </c>
      <c r="AK99">
        <v>2029</v>
      </c>
      <c r="AL99" t="s">
        <v>198</v>
      </c>
      <c r="AM99">
        <v>0.43955</v>
      </c>
      <c r="AN99" t="s">
        <v>195</v>
      </c>
    </row>
    <row r="100" spans="9:40" ht="14.25">
      <c r="I100" t="s">
        <v>151</v>
      </c>
      <c r="J100" t="s">
        <v>275</v>
      </c>
      <c r="K100">
        <v>0.00067059075704438247</v>
      </c>
      <c r="L100" t="s">
        <v>153</v>
      </c>
      <c r="N100" t="s">
        <v>174</v>
      </c>
      <c r="O100" t="s">
        <v>275</v>
      </c>
      <c r="P100">
        <v>0.0013600364404262044</v>
      </c>
      <c r="Q100" t="s">
        <v>153</v>
      </c>
      <c r="S100" t="s">
        <v>184</v>
      </c>
      <c r="T100" t="s">
        <v>275</v>
      </c>
      <c r="U100">
        <v>0.0016027963242139307</v>
      </c>
      <c r="V100" t="s">
        <v>153</v>
      </c>
      <c r="X100">
        <v>0.00079908675799086762</v>
      </c>
      <c r="Y100">
        <v>0.0011834025308902867</v>
      </c>
      <c r="Z100" t="s">
        <v>275</v>
      </c>
      <c r="AA100" t="s">
        <v>25</v>
      </c>
      <c r="AC100" t="s">
        <v>22</v>
      </c>
      <c r="AD100" t="s">
        <v>275</v>
      </c>
      <c r="AE100">
        <v>0.00065150890905614066</v>
      </c>
      <c r="AG100" t="s">
        <v>96</v>
      </c>
      <c r="AH100" t="s">
        <v>275</v>
      </c>
      <c r="AI100">
        <v>0.071640188922284409</v>
      </c>
      <c r="AK100">
        <v>2029</v>
      </c>
      <c r="AL100" t="s">
        <v>216</v>
      </c>
      <c r="AM100">
        <v>0.50229999999999997</v>
      </c>
      <c r="AN100" t="s">
        <v>195</v>
      </c>
    </row>
    <row r="101" spans="9:40" ht="14.25">
      <c r="I101" t="s">
        <v>151</v>
      </c>
      <c r="J101" t="s">
        <v>276</v>
      </c>
      <c r="K101">
        <v>0.001330883134289062</v>
      </c>
      <c r="L101" t="s">
        <v>153</v>
      </c>
      <c r="N101" t="s">
        <v>174</v>
      </c>
      <c r="O101" t="s">
        <v>276</v>
      </c>
      <c r="P101">
        <v>0.0011789409629306908</v>
      </c>
      <c r="Q101" t="s">
        <v>153</v>
      </c>
      <c r="S101" t="s">
        <v>184</v>
      </c>
      <c r="T101" t="s">
        <v>276</v>
      </c>
      <c r="U101">
        <v>0.0016369231255857829</v>
      </c>
      <c r="V101" t="s">
        <v>153</v>
      </c>
      <c r="X101">
        <v>0.00079908675799086762</v>
      </c>
      <c r="Y101">
        <v>0.0013342283436508136</v>
      </c>
      <c r="Z101" t="s">
        <v>276</v>
      </c>
      <c r="AA101" t="s">
        <v>25</v>
      </c>
      <c r="AC101" t="s">
        <v>22</v>
      </c>
      <c r="AD101" t="s">
        <v>276</v>
      </c>
      <c r="AE101">
        <v>0.00067829887336419133</v>
      </c>
      <c r="AG101" t="s">
        <v>96</v>
      </c>
      <c r="AH101" t="s">
        <v>276</v>
      </c>
      <c r="AI101">
        <v>0.06067954438378198</v>
      </c>
      <c r="AK101">
        <v>2029</v>
      </c>
      <c r="AL101" t="s">
        <v>232</v>
      </c>
      <c r="AM101">
        <v>0.50229999999999997</v>
      </c>
      <c r="AN101" t="s">
        <v>195</v>
      </c>
    </row>
    <row r="102" spans="9:40" ht="14.25">
      <c r="I102" t="s">
        <v>151</v>
      </c>
      <c r="J102" t="s">
        <v>277</v>
      </c>
      <c r="K102">
        <v>0.0017301412752945037</v>
      </c>
      <c r="L102" t="s">
        <v>153</v>
      </c>
      <c r="N102" t="s">
        <v>174</v>
      </c>
      <c r="O102" t="s">
        <v>277</v>
      </c>
      <c r="P102">
        <v>0.00092091845455982561</v>
      </c>
      <c r="Q102" t="s">
        <v>153</v>
      </c>
      <c r="S102" t="s">
        <v>184</v>
      </c>
      <c r="T102" t="s">
        <v>277</v>
      </c>
      <c r="U102">
        <v>0.0016548188668595966</v>
      </c>
      <c r="V102" t="s">
        <v>153</v>
      </c>
      <c r="X102">
        <v>0.00079908675799086762</v>
      </c>
      <c r="Y102">
        <v>0.0010209747325327968</v>
      </c>
      <c r="Z102" t="s">
        <v>277</v>
      </c>
      <c r="AA102" t="s">
        <v>25</v>
      </c>
      <c r="AC102" t="s">
        <v>22</v>
      </c>
      <c r="AD102" t="s">
        <v>277</v>
      </c>
      <c r="AE102">
        <v>0.0007842219116867017</v>
      </c>
      <c r="AG102" t="s">
        <v>96</v>
      </c>
      <c r="AH102" t="s">
        <v>277</v>
      </c>
      <c r="AI102">
        <v>0.053911673477426092</v>
      </c>
      <c r="AK102">
        <v>2029</v>
      </c>
      <c r="AL102" t="s">
        <v>233</v>
      </c>
      <c r="AM102">
        <v>0.50229999999999997</v>
      </c>
      <c r="AN102" t="s">
        <v>195</v>
      </c>
    </row>
    <row r="103" spans="9:40" ht="14.25">
      <c r="I103" t="s">
        <v>151</v>
      </c>
      <c r="J103" t="s">
        <v>278</v>
      </c>
      <c r="K103">
        <v>0.014527023016668103</v>
      </c>
      <c r="L103" t="s">
        <v>153</v>
      </c>
      <c r="N103" t="s">
        <v>174</v>
      </c>
      <c r="O103" t="s">
        <v>278</v>
      </c>
      <c r="P103">
        <v>0.0090806240699537032</v>
      </c>
      <c r="Q103" t="s">
        <v>153</v>
      </c>
      <c r="S103" t="s">
        <v>184</v>
      </c>
      <c r="T103" t="s">
        <v>278</v>
      </c>
      <c r="U103">
        <v>0.013381710712847798</v>
      </c>
      <c r="V103" t="s">
        <v>153</v>
      </c>
      <c r="X103">
        <v>0.0055936073059360729</v>
      </c>
      <c r="Y103">
        <v>0.0072814061606543534</v>
      </c>
      <c r="Z103" t="s">
        <v>278</v>
      </c>
      <c r="AA103" t="s">
        <v>25</v>
      </c>
      <c r="AC103" t="s">
        <v>22</v>
      </c>
      <c r="AD103" t="s">
        <v>278</v>
      </c>
      <c r="AE103">
        <v>0.0061303889304683929</v>
      </c>
      <c r="AG103" t="s">
        <v>96</v>
      </c>
      <c r="AH103" t="s">
        <v>278</v>
      </c>
      <c r="AI103">
        <v>0.048624985969244694</v>
      </c>
      <c r="AK103">
        <v>2029</v>
      </c>
      <c r="AL103" t="s">
        <v>234</v>
      </c>
      <c r="AM103">
        <v>0.52594999999999992</v>
      </c>
      <c r="AN103" t="s">
        <v>195</v>
      </c>
    </row>
    <row r="104" spans="9:40" ht="14.25">
      <c r="I104" t="s">
        <v>151</v>
      </c>
      <c r="J104" t="s">
        <v>279</v>
      </c>
      <c r="K104">
        <v>0.001662937127965537</v>
      </c>
      <c r="L104" t="s">
        <v>153</v>
      </c>
      <c r="N104" t="s">
        <v>174</v>
      </c>
      <c r="O104" t="s">
        <v>279</v>
      </c>
      <c r="P104">
        <v>0.0015648348723273139</v>
      </c>
      <c r="Q104" t="s">
        <v>153</v>
      </c>
      <c r="S104" t="s">
        <v>184</v>
      </c>
      <c r="T104" t="s">
        <v>279</v>
      </c>
      <c r="U104">
        <v>0.001987724175291845</v>
      </c>
      <c r="V104" t="s">
        <v>153</v>
      </c>
      <c r="X104">
        <v>0.00079908675799086762</v>
      </c>
      <c r="Y104">
        <v>0.0015546660699931219</v>
      </c>
      <c r="Z104" t="s">
        <v>279</v>
      </c>
      <c r="AA104" t="s">
        <v>25</v>
      </c>
      <c r="AC104" t="s">
        <v>22</v>
      </c>
      <c r="AD104" t="s">
        <v>279</v>
      </c>
      <c r="AE104">
        <v>0.0008795619806592984</v>
      </c>
      <c r="AG104" t="s">
        <v>96</v>
      </c>
      <c r="AH104" t="s">
        <v>279</v>
      </c>
      <c r="AI104">
        <v>0.036201979533635242</v>
      </c>
      <c r="AK104">
        <v>2029</v>
      </c>
      <c r="AL104" t="s">
        <v>256</v>
      </c>
      <c r="AM104">
        <v>0.54959999999999998</v>
      </c>
      <c r="AN104" t="s">
        <v>195</v>
      </c>
    </row>
    <row r="105" spans="9:40" ht="14.25">
      <c r="I105" t="s">
        <v>151</v>
      </c>
      <c r="J105" t="s">
        <v>331</v>
      </c>
      <c r="K105">
        <v>0.0012597937672542223</v>
      </c>
      <c r="L105" t="s">
        <v>153</v>
      </c>
      <c r="N105" t="s">
        <v>174</v>
      </c>
      <c r="O105" t="s">
        <v>331</v>
      </c>
      <c r="P105">
        <v>0.0014181945353780329</v>
      </c>
      <c r="Q105" t="s">
        <v>153</v>
      </c>
      <c r="S105" t="s">
        <v>184</v>
      </c>
      <c r="T105" t="s">
        <v>331</v>
      </c>
      <c r="U105">
        <v>0.0019973904026480958</v>
      </c>
      <c r="V105" t="s">
        <v>153</v>
      </c>
      <c r="X105">
        <v>0.00079908675799086762</v>
      </c>
      <c r="Y105">
        <v>0.0015546660699931219</v>
      </c>
      <c r="Z105" t="s">
        <v>331</v>
      </c>
      <c r="AA105" t="s">
        <v>25</v>
      </c>
      <c r="AC105" t="s">
        <v>22</v>
      </c>
      <c r="AD105" t="s">
        <v>331</v>
      </c>
      <c r="AE105">
        <v>0.00088325493523399277</v>
      </c>
      <c r="AG105" t="s">
        <v>96</v>
      </c>
      <c r="AH105" t="s">
        <v>331</v>
      </c>
      <c r="AI105">
        <v>0.031025893916851954</v>
      </c>
      <c r="AK105">
        <v>2029</v>
      </c>
      <c r="AL105" t="s">
        <v>257</v>
      </c>
      <c r="AM105">
        <v>0.5242</v>
      </c>
      <c r="AN105" t="s">
        <v>195</v>
      </c>
    </row>
    <row r="106" spans="9:40" ht="14.25">
      <c r="I106" t="s">
        <v>151</v>
      </c>
      <c r="J106" t="s">
        <v>332</v>
      </c>
      <c r="K106">
        <v>0.00061072452242850518</v>
      </c>
      <c r="L106" t="s">
        <v>153</v>
      </c>
      <c r="N106" t="s">
        <v>174</v>
      </c>
      <c r="O106" t="s">
        <v>332</v>
      </c>
      <c r="P106">
        <v>0.0075414451303819491</v>
      </c>
      <c r="Q106" t="s">
        <v>153</v>
      </c>
      <c r="S106" t="s">
        <v>184</v>
      </c>
      <c r="T106" t="s">
        <v>332</v>
      </c>
      <c r="U106">
        <v>0.0116714039697298</v>
      </c>
      <c r="V106" t="s">
        <v>153</v>
      </c>
      <c r="X106">
        <v>0.0047945205479452057</v>
      </c>
      <c r="Y106">
        <v>0.0042231227572947496</v>
      </c>
      <c r="Z106" t="s">
        <v>332</v>
      </c>
      <c r="AA106" t="s">
        <v>25</v>
      </c>
      <c r="AC106" t="s">
        <v>22</v>
      </c>
      <c r="AD106" t="s">
        <v>332</v>
      </c>
      <c r="AE106">
        <v>0.0051291053001307034</v>
      </c>
      <c r="AG106" t="s">
        <v>96</v>
      </c>
      <c r="AH106" t="s">
        <v>332</v>
      </c>
      <c r="AI106">
        <v>0.057691830395411925</v>
      </c>
      <c r="AK106">
        <v>2029</v>
      </c>
      <c r="AL106" t="s">
        <v>258</v>
      </c>
      <c r="AM106">
        <v>0.49880000000000002</v>
      </c>
      <c r="AN106" t="s">
        <v>195</v>
      </c>
    </row>
    <row r="107" spans="9:40" ht="14.25">
      <c r="I107" t="s">
        <v>151</v>
      </c>
      <c r="J107" t="s">
        <v>280</v>
      </c>
      <c r="K107">
        <v>0</v>
      </c>
      <c r="L107" t="s">
        <v>153</v>
      </c>
      <c r="N107" t="s">
        <v>174</v>
      </c>
      <c r="O107" t="s">
        <v>280</v>
      </c>
      <c r="P107">
        <v>0.004369650614992838</v>
      </c>
      <c r="Q107" t="s">
        <v>153</v>
      </c>
      <c r="S107" t="s">
        <v>184</v>
      </c>
      <c r="T107" t="s">
        <v>280</v>
      </c>
      <c r="U107">
        <v>0.0066304586837832276</v>
      </c>
      <c r="V107" t="s">
        <v>153</v>
      </c>
      <c r="X107">
        <v>0.00410958904109589</v>
      </c>
      <c r="Y107">
        <v>0.0008790990229470704</v>
      </c>
      <c r="Z107" t="s">
        <v>280</v>
      </c>
      <c r="AA107" t="s">
        <v>25</v>
      </c>
      <c r="AC107" t="s">
        <v>22</v>
      </c>
      <c r="AD107" t="s">
        <v>280</v>
      </c>
      <c r="AE107">
        <v>0.0034385839079364901</v>
      </c>
      <c r="AG107" t="s">
        <v>96</v>
      </c>
      <c r="AH107" t="s">
        <v>280</v>
      </c>
      <c r="AI107">
        <v>0.2148646456992318</v>
      </c>
      <c r="AK107">
        <v>2029</v>
      </c>
      <c r="AL107" t="s">
        <v>259</v>
      </c>
      <c r="AM107">
        <v>0.49880000000000002</v>
      </c>
      <c r="AN107" t="s">
        <v>195</v>
      </c>
    </row>
    <row r="108" spans="9:40" ht="14.25">
      <c r="I108" t="s">
        <v>151</v>
      </c>
      <c r="J108" t="s">
        <v>281</v>
      </c>
      <c r="K108">
        <v>0.00049850538263486943</v>
      </c>
      <c r="L108" t="s">
        <v>153</v>
      </c>
      <c r="N108" t="s">
        <v>174</v>
      </c>
      <c r="O108" t="s">
        <v>281</v>
      </c>
      <c r="P108">
        <v>0.00070743583523412337</v>
      </c>
      <c r="Q108" t="s">
        <v>153</v>
      </c>
      <c r="S108" t="s">
        <v>184</v>
      </c>
      <c r="T108" t="s">
        <v>281</v>
      </c>
      <c r="U108">
        <v>0.0010248612498634515</v>
      </c>
      <c r="V108" t="s">
        <v>153</v>
      </c>
      <c r="X108">
        <v>0.00068493150684931507</v>
      </c>
      <c r="Y108">
        <v>0.0010143450264773887</v>
      </c>
      <c r="Z108" t="s">
        <v>281</v>
      </c>
      <c r="AA108" t="s">
        <v>25</v>
      </c>
      <c r="AC108" t="s">
        <v>22</v>
      </c>
      <c r="AD108" t="s">
        <v>281</v>
      </c>
      <c r="AE108">
        <v>0.00055183122807284362</v>
      </c>
      <c r="AG108" t="s">
        <v>96</v>
      </c>
      <c r="AH108" t="s">
        <v>281</v>
      </c>
      <c r="AI108">
        <v>0.07529183699270936</v>
      </c>
      <c r="AK108">
        <v>2029</v>
      </c>
      <c r="AL108" t="s">
        <v>260</v>
      </c>
      <c r="AM108">
        <v>0.51585000000000003</v>
      </c>
      <c r="AN108" t="s">
        <v>195</v>
      </c>
    </row>
    <row r="109" spans="9:40" ht="14.25">
      <c r="I109" t="s">
        <v>151</v>
      </c>
      <c r="J109" t="s">
        <v>282</v>
      </c>
      <c r="K109">
        <v>0.0010346267480487263</v>
      </c>
      <c r="L109" t="s">
        <v>153</v>
      </c>
      <c r="N109" t="s">
        <v>174</v>
      </c>
      <c r="O109" t="s">
        <v>282</v>
      </c>
      <c r="P109">
        <v>0.00058542001675986391</v>
      </c>
      <c r="Q109" t="s">
        <v>153</v>
      </c>
      <c r="S109" t="s">
        <v>184</v>
      </c>
      <c r="T109" t="s">
        <v>282</v>
      </c>
      <c r="U109">
        <v>0.00089325614934895501</v>
      </c>
      <c r="V109" t="s">
        <v>153</v>
      </c>
      <c r="X109">
        <v>0.00068493150684931507</v>
      </c>
      <c r="Y109">
        <v>0.0011436242945578401</v>
      </c>
      <c r="Z109" t="s">
        <v>282</v>
      </c>
      <c r="AA109" t="s">
        <v>25</v>
      </c>
      <c r="AC109" t="s">
        <v>22</v>
      </c>
      <c r="AD109" t="s">
        <v>282</v>
      </c>
      <c r="AE109">
        <v>0.00057841700057976585</v>
      </c>
      <c r="AG109" t="s">
        <v>96</v>
      </c>
      <c r="AH109" t="s">
        <v>282</v>
      </c>
      <c r="AI109">
        <v>0.080469472898167194</v>
      </c>
      <c r="AK109">
        <v>2029</v>
      </c>
      <c r="AL109" t="s">
        <v>261</v>
      </c>
      <c r="AM109">
        <v>0.53290000000000004</v>
      </c>
      <c r="AN109" t="s">
        <v>195</v>
      </c>
    </row>
    <row r="110" spans="9:40" ht="14.25">
      <c r="I110" t="s">
        <v>151</v>
      </c>
      <c r="J110" t="s">
        <v>283</v>
      </c>
      <c r="K110">
        <v>0.0013997507966367678</v>
      </c>
      <c r="L110" t="s">
        <v>153</v>
      </c>
      <c r="N110" t="s">
        <v>174</v>
      </c>
      <c r="O110" t="s">
        <v>283</v>
      </c>
      <c r="P110">
        <v>0.00037779639353496223</v>
      </c>
      <c r="Q110" t="s">
        <v>153</v>
      </c>
      <c r="S110" t="s">
        <v>184</v>
      </c>
      <c r="T110" t="s">
        <v>283</v>
      </c>
      <c r="U110">
        <v>0.00076041575188945669</v>
      </c>
      <c r="V110" t="s">
        <v>153</v>
      </c>
      <c r="X110">
        <v>0.00068493150684931507</v>
      </c>
      <c r="Y110">
        <v>0.00087512119931382572</v>
      </c>
      <c r="Z110" t="s">
        <v>283</v>
      </c>
      <c r="AA110" t="s">
        <v>25</v>
      </c>
      <c r="AC110" t="s">
        <v>22</v>
      </c>
      <c r="AD110" t="s">
        <v>283</v>
      </c>
      <c r="AE110">
        <v>0.00067821428486842324</v>
      </c>
      <c r="AG110" t="s">
        <v>96</v>
      </c>
      <c r="AH110" t="s">
        <v>283</v>
      </c>
      <c r="AI110">
        <v>0.041237848162613666</v>
      </c>
      <c r="AK110">
        <v>2029</v>
      </c>
      <c r="AL110" t="s">
        <v>303</v>
      </c>
      <c r="AM110">
        <v>0.53290000000000004</v>
      </c>
      <c r="AN110" t="s">
        <v>195</v>
      </c>
    </row>
    <row r="111" spans="9:40" ht="14.25">
      <c r="I111" t="s">
        <v>151</v>
      </c>
      <c r="J111" t="s">
        <v>284</v>
      </c>
      <c r="K111">
        <v>0.012336750085205898</v>
      </c>
      <c r="L111" t="s">
        <v>153</v>
      </c>
      <c r="N111" t="s">
        <v>174</v>
      </c>
      <c r="O111" t="s">
        <v>284</v>
      </c>
      <c r="P111">
        <v>0.0061988140680895986</v>
      </c>
      <c r="Q111" t="s">
        <v>153</v>
      </c>
      <c r="S111" t="s">
        <v>184</v>
      </c>
      <c r="T111" t="s">
        <v>284</v>
      </c>
      <c r="U111">
        <v>0.004172957652991827</v>
      </c>
      <c r="V111" t="s">
        <v>153</v>
      </c>
      <c r="X111">
        <v>0.0047945205479452057</v>
      </c>
      <c r="Y111">
        <v>0.0062412052805608737</v>
      </c>
      <c r="Z111" t="s">
        <v>284</v>
      </c>
      <c r="AA111" t="s">
        <v>25</v>
      </c>
      <c r="AC111" t="s">
        <v>22</v>
      </c>
      <c r="AD111" t="s">
        <v>284</v>
      </c>
      <c r="AE111">
        <v>0.0052943489737067549</v>
      </c>
      <c r="AG111" t="s">
        <v>96</v>
      </c>
      <c r="AH111" t="s">
        <v>284</v>
      </c>
      <c r="AI111">
        <v>0.043861361291581913</v>
      </c>
      <c r="AK111">
        <v>2029</v>
      </c>
      <c r="AL111" t="s">
        <v>304</v>
      </c>
      <c r="AM111">
        <v>0.50939999999999996</v>
      </c>
      <c r="AN111" t="s">
        <v>195</v>
      </c>
    </row>
    <row r="112" spans="9:40" ht="14.25">
      <c r="I112" t="s">
        <v>151</v>
      </c>
      <c r="J112" t="s">
        <v>285</v>
      </c>
      <c r="K112">
        <v>0.0014008162204029975</v>
      </c>
      <c r="L112" t="s">
        <v>153</v>
      </c>
      <c r="N112" t="s">
        <v>174</v>
      </c>
      <c r="O112" t="s">
        <v>285</v>
      </c>
      <c r="P112">
        <v>0.0013600602636090397</v>
      </c>
      <c r="Q112" t="s">
        <v>153</v>
      </c>
      <c r="S112" t="s">
        <v>184</v>
      </c>
      <c r="T112" t="s">
        <v>285</v>
      </c>
      <c r="U112">
        <v>0.00061073300642090257</v>
      </c>
      <c r="V112" t="s">
        <v>153</v>
      </c>
      <c r="X112">
        <v>0.00068493150684931507</v>
      </c>
      <c r="Y112">
        <v>0.0013325709171369616</v>
      </c>
      <c r="Z112" t="s">
        <v>285</v>
      </c>
      <c r="AA112" t="s">
        <v>25</v>
      </c>
      <c r="AC112" t="s">
        <v>22</v>
      </c>
      <c r="AD112" t="s">
        <v>285</v>
      </c>
      <c r="AE112">
        <v>0.00076178707204456128</v>
      </c>
      <c r="AG112" t="s">
        <v>96</v>
      </c>
      <c r="AH112" t="s">
        <v>285</v>
      </c>
      <c r="AI112">
        <v>0.027387427004585074</v>
      </c>
      <c r="AK112">
        <v>2029</v>
      </c>
      <c r="AL112" t="s">
        <v>305</v>
      </c>
      <c r="AM112">
        <v>0.45014999999999999</v>
      </c>
      <c r="AN112" t="s">
        <v>195</v>
      </c>
    </row>
    <row r="113" spans="9:40" ht="14.25">
      <c r="I113" t="s">
        <v>151</v>
      </c>
      <c r="J113" t="s">
        <v>333</v>
      </c>
      <c r="K113">
        <v>0.0010504077874034096</v>
      </c>
      <c r="L113" t="s">
        <v>153</v>
      </c>
      <c r="N113" t="s">
        <v>174</v>
      </c>
      <c r="O113" t="s">
        <v>333</v>
      </c>
      <c r="P113">
        <v>0.0013559654537980213</v>
      </c>
      <c r="Q113" t="s">
        <v>153</v>
      </c>
      <c r="S113" t="s">
        <v>184</v>
      </c>
      <c r="T113" t="s">
        <v>333</v>
      </c>
      <c r="U113">
        <v>0.00067470312178768597</v>
      </c>
      <c r="V113" t="s">
        <v>153</v>
      </c>
      <c r="X113">
        <v>0.00068493150684931507</v>
      </c>
      <c r="Y113">
        <v>0.0013325709171369616</v>
      </c>
      <c r="Z113" t="s">
        <v>333</v>
      </c>
      <c r="AA113" t="s">
        <v>25</v>
      </c>
      <c r="AC113" t="s">
        <v>22</v>
      </c>
      <c r="AD113" t="s">
        <v>333</v>
      </c>
      <c r="AE113">
        <v>0.00075931926827663761</v>
      </c>
      <c r="AG113" t="s">
        <v>96</v>
      </c>
      <c r="AH113" t="s">
        <v>333</v>
      </c>
      <c r="AI113">
        <v>0.030672459632967941</v>
      </c>
      <c r="AK113">
        <v>2029</v>
      </c>
      <c r="AL113" t="s">
        <v>306</v>
      </c>
      <c r="AM113">
        <v>0.39379999999999998</v>
      </c>
      <c r="AN113" t="s">
        <v>195</v>
      </c>
    </row>
    <row r="114" spans="9:40" ht="14.25">
      <c r="I114" t="s">
        <v>151</v>
      </c>
      <c r="J114" t="s">
        <v>334</v>
      </c>
      <c r="K114">
        <v>0.00049747500949504477</v>
      </c>
      <c r="L114" t="s">
        <v>153</v>
      </c>
      <c r="N114" t="s">
        <v>174</v>
      </c>
      <c r="O114" t="s">
        <v>334</v>
      </c>
      <c r="P114">
        <v>0.0068231166168349388</v>
      </c>
      <c r="Q114" t="s">
        <v>153</v>
      </c>
      <c r="S114" t="s">
        <v>184</v>
      </c>
      <c r="T114" t="s">
        <v>334</v>
      </c>
      <c r="U114">
        <v>0.0059612459696249953</v>
      </c>
      <c r="V114" t="s">
        <v>153</v>
      </c>
      <c r="X114">
        <v>0.00410958904109589</v>
      </c>
      <c r="Y114">
        <v>0.0036198195062526421</v>
      </c>
      <c r="Z114" t="s">
        <v>334</v>
      </c>
      <c r="AA114" t="s">
        <v>25</v>
      </c>
      <c r="AC114" t="s">
        <v>22</v>
      </c>
      <c r="AD114" t="s">
        <v>334</v>
      </c>
      <c r="AE114">
        <v>0.0044368659555504876</v>
      </c>
      <c r="AG114" t="s">
        <v>96</v>
      </c>
      <c r="AH114" t="s">
        <v>334</v>
      </c>
      <c r="AI114">
        <v>0.070705329257537697</v>
      </c>
      <c r="AK114">
        <v>2029</v>
      </c>
      <c r="AL114" t="s">
        <v>307</v>
      </c>
      <c r="AM114">
        <v>0.39279999999999998</v>
      </c>
      <c r="AN114" t="s">
        <v>195</v>
      </c>
    </row>
    <row r="115" spans="9:40" ht="14.25">
      <c r="I115" t="s">
        <v>151</v>
      </c>
      <c r="J115" t="s">
        <v>286</v>
      </c>
      <c r="K115">
        <v>0</v>
      </c>
      <c r="L115" t="s">
        <v>153</v>
      </c>
      <c r="N115" t="s">
        <v>174</v>
      </c>
      <c r="O115" t="s">
        <v>286</v>
      </c>
      <c r="P115">
        <v>0.0057365931134422555</v>
      </c>
      <c r="Q115" t="s">
        <v>153</v>
      </c>
      <c r="S115" t="s">
        <v>184</v>
      </c>
      <c r="T115" t="s">
        <v>286</v>
      </c>
      <c r="U115">
        <v>0.0083054688922666025</v>
      </c>
      <c r="V115" t="s">
        <v>153</v>
      </c>
      <c r="X115">
        <v>0.0061643835616438354</v>
      </c>
      <c r="Y115">
        <v>0.0013186485344206056</v>
      </c>
      <c r="Z115" t="s">
        <v>286</v>
      </c>
      <c r="AA115" t="s">
        <v>25</v>
      </c>
      <c r="AC115" t="s">
        <v>22</v>
      </c>
      <c r="AD115" t="s">
        <v>286</v>
      </c>
      <c r="AE115">
        <v>0.0062872792728415356</v>
      </c>
      <c r="AG115" t="s">
        <v>96</v>
      </c>
      <c r="AH115" t="s">
        <v>286</v>
      </c>
      <c r="AI115">
        <v>0.15746459914137967</v>
      </c>
      <c r="AK115">
        <v>2029</v>
      </c>
      <c r="AL115" t="s">
        <v>308</v>
      </c>
      <c r="AM115">
        <v>0.39279999999999998</v>
      </c>
      <c r="AN115" t="s">
        <v>195</v>
      </c>
    </row>
    <row r="116" spans="9:40" ht="14.25">
      <c r="I116" t="s">
        <v>151</v>
      </c>
      <c r="J116" t="s">
        <v>287</v>
      </c>
      <c r="K116">
        <v>0.00062935454922606843</v>
      </c>
      <c r="L116" t="s">
        <v>153</v>
      </c>
      <c r="N116" t="s">
        <v>174</v>
      </c>
      <c r="O116" t="s">
        <v>287</v>
      </c>
      <c r="P116">
        <v>0.0011122455096745406</v>
      </c>
      <c r="Q116" t="s">
        <v>153</v>
      </c>
      <c r="S116" t="s">
        <v>184</v>
      </c>
      <c r="T116" t="s">
        <v>287</v>
      </c>
      <c r="U116">
        <v>0.0015350964987033309</v>
      </c>
      <c r="V116" t="s">
        <v>153</v>
      </c>
      <c r="X116">
        <v>0.0010273972602739725</v>
      </c>
      <c r="Y116">
        <v>0.0015215175397160832</v>
      </c>
      <c r="Z116" t="s">
        <v>287</v>
      </c>
      <c r="AA116" t="s">
        <v>25</v>
      </c>
      <c r="AC116" t="s">
        <v>22</v>
      </c>
      <c r="AD116" t="s">
        <v>287</v>
      </c>
      <c r="AE116">
        <v>0.0010051678157204048</v>
      </c>
      <c r="AG116" t="s">
        <v>96</v>
      </c>
      <c r="AH116" t="s">
        <v>287</v>
      </c>
      <c r="AI116">
        <v>0.13146741457360167</v>
      </c>
      <c r="AK116">
        <v>2030</v>
      </c>
      <c r="AL116" t="s">
        <v>141</v>
      </c>
      <c r="AM116">
        <v>0.42020000000000002</v>
      </c>
      <c r="AN116" t="s">
        <v>195</v>
      </c>
    </row>
    <row r="117" spans="9:40" ht="14.25">
      <c r="I117" t="s">
        <v>151</v>
      </c>
      <c r="J117" t="s">
        <v>288</v>
      </c>
      <c r="K117">
        <v>0.0013863936074323189</v>
      </c>
      <c r="L117" t="s">
        <v>153</v>
      </c>
      <c r="N117" t="s">
        <v>174</v>
      </c>
      <c r="O117" t="s">
        <v>288</v>
      </c>
      <c r="P117">
        <v>0.00098215068674250292</v>
      </c>
      <c r="Q117" t="s">
        <v>153</v>
      </c>
      <c r="S117" t="s">
        <v>184</v>
      </c>
      <c r="T117" t="s">
        <v>288</v>
      </c>
      <c r="U117">
        <v>0.0015129366179558166</v>
      </c>
      <c r="V117" t="s">
        <v>153</v>
      </c>
      <c r="X117">
        <v>0.0010273972602739725</v>
      </c>
      <c r="Y117">
        <v>0.0017154364418367602</v>
      </c>
      <c r="Z117" t="s">
        <v>288</v>
      </c>
      <c r="AA117" t="s">
        <v>25</v>
      </c>
      <c r="AC117" t="s">
        <v>22</v>
      </c>
      <c r="AD117" t="s">
        <v>288</v>
      </c>
      <c r="AE117">
        <v>0.0010079856625759772</v>
      </c>
      <c r="AG117" t="s">
        <v>96</v>
      </c>
      <c r="AH117" t="s">
        <v>288</v>
      </c>
      <c r="AI117">
        <v>0.11869336507448924</v>
      </c>
      <c r="AK117">
        <v>2030</v>
      </c>
      <c r="AL117" t="s">
        <v>145</v>
      </c>
      <c r="AM117">
        <v>0.42020000000000002</v>
      </c>
      <c r="AN117" t="s">
        <v>195</v>
      </c>
    </row>
    <row r="118" spans="9:40" ht="14.25">
      <c r="I118" t="s">
        <v>151</v>
      </c>
      <c r="J118" t="s">
        <v>289</v>
      </c>
      <c r="K118">
        <v>0.0018833475182844016</v>
      </c>
      <c r="L118" t="s">
        <v>153</v>
      </c>
      <c r="N118" t="s">
        <v>174</v>
      </c>
      <c r="O118" t="s">
        <v>289</v>
      </c>
      <c r="P118">
        <v>0.0007574159249551717</v>
      </c>
      <c r="Q118" t="s">
        <v>153</v>
      </c>
      <c r="S118" t="s">
        <v>184</v>
      </c>
      <c r="T118" t="s">
        <v>289</v>
      </c>
      <c r="U118">
        <v>0.0014783759022621739</v>
      </c>
      <c r="V118" t="s">
        <v>153</v>
      </c>
      <c r="X118">
        <v>0.0010273972602739725</v>
      </c>
      <c r="Y118">
        <v>0.0013126817989707385</v>
      </c>
      <c r="Z118" t="s">
        <v>289</v>
      </c>
      <c r="AA118" t="s">
        <v>25</v>
      </c>
      <c r="AC118" t="s">
        <v>22</v>
      </c>
      <c r="AD118" t="s">
        <v>289</v>
      </c>
      <c r="AE118">
        <v>0.0011451967188828246</v>
      </c>
      <c r="AG118" t="s">
        <v>96</v>
      </c>
      <c r="AH118" t="s">
        <v>289</v>
      </c>
      <c r="AI118">
        <v>0.093293253576341995</v>
      </c>
      <c r="AK118">
        <v>2030</v>
      </c>
      <c r="AL118" t="s">
        <v>147</v>
      </c>
      <c r="AM118">
        <v>0.42715000000000003</v>
      </c>
      <c r="AN118" t="s">
        <v>195</v>
      </c>
    </row>
    <row r="119" spans="9:40" ht="14.25">
      <c r="I119" t="s">
        <v>151</v>
      </c>
      <c r="J119" t="s">
        <v>290</v>
      </c>
      <c r="K119">
        <v>0.017241803322131523</v>
      </c>
      <c r="L119" t="s">
        <v>153</v>
      </c>
      <c r="N119" t="s">
        <v>174</v>
      </c>
      <c r="O119" t="s">
        <v>290</v>
      </c>
      <c r="P119">
        <v>0.012303518298744261</v>
      </c>
      <c r="Q119" t="s">
        <v>153</v>
      </c>
      <c r="S119" t="s">
        <v>184</v>
      </c>
      <c r="T119" t="s">
        <v>290</v>
      </c>
      <c r="U119">
        <v>0.0098277945857726205</v>
      </c>
      <c r="V119" t="s">
        <v>153</v>
      </c>
      <c r="X119">
        <v>0.0071917808219178082</v>
      </c>
      <c r="Y119">
        <v>0.009361807920841311</v>
      </c>
      <c r="Z119" t="s">
        <v>290</v>
      </c>
      <c r="AA119" t="s">
        <v>25</v>
      </c>
      <c r="AC119" t="s">
        <v>22</v>
      </c>
      <c r="AD119" t="s">
        <v>290</v>
      </c>
      <c r="AE119">
        <v>0.0090316711738534991</v>
      </c>
      <c r="AG119" t="s">
        <v>96</v>
      </c>
      <c r="AH119" t="s">
        <v>290</v>
      </c>
      <c r="AI119">
        <v>0.076709145602478657</v>
      </c>
      <c r="AK119">
        <v>2030</v>
      </c>
      <c r="AL119" t="s">
        <v>149</v>
      </c>
      <c r="AM119">
        <v>0.43409999999999999</v>
      </c>
      <c r="AN119" t="s">
        <v>195</v>
      </c>
    </row>
    <row r="120" spans="9:40" ht="14.25">
      <c r="I120" t="s">
        <v>151</v>
      </c>
      <c r="J120" t="s">
        <v>291</v>
      </c>
      <c r="K120">
        <v>0.0019361351910794225</v>
      </c>
      <c r="L120" t="s">
        <v>153</v>
      </c>
      <c r="N120" t="s">
        <v>174</v>
      </c>
      <c r="O120" t="s">
        <v>291</v>
      </c>
      <c r="P120">
        <v>0.0022775354952325293</v>
      </c>
      <c r="Q120" t="s">
        <v>153</v>
      </c>
      <c r="S120" t="s">
        <v>184</v>
      </c>
      <c r="T120" t="s">
        <v>291</v>
      </c>
      <c r="U120">
        <v>0.0014409544571690844</v>
      </c>
      <c r="V120" t="s">
        <v>153</v>
      </c>
      <c r="X120">
        <v>0.0010273972602739725</v>
      </c>
      <c r="Y120">
        <v>0.0019988563757054427</v>
      </c>
      <c r="Z120" t="s">
        <v>291</v>
      </c>
      <c r="AA120" t="s">
        <v>25</v>
      </c>
      <c r="AC120" t="s">
        <v>22</v>
      </c>
      <c r="AD120" t="s">
        <v>291</v>
      </c>
      <c r="AE120">
        <v>0.0012948518069555851</v>
      </c>
      <c r="AG120" t="s">
        <v>96</v>
      </c>
      <c r="AH120" t="s">
        <v>291</v>
      </c>
      <c r="AI120">
        <v>0.066064002050302273</v>
      </c>
      <c r="AK120">
        <v>2030</v>
      </c>
      <c r="AL120" t="s">
        <v>198</v>
      </c>
      <c r="AM120">
        <v>0.46509999999999996</v>
      </c>
      <c r="AN120" t="s">
        <v>195</v>
      </c>
    </row>
    <row r="121" spans="9:40" ht="14.25">
      <c r="I121" t="s">
        <v>151</v>
      </c>
      <c r="J121" t="s">
        <v>335</v>
      </c>
      <c r="K121">
        <v>0.0014174993309196636</v>
      </c>
      <c r="L121" t="s">
        <v>153</v>
      </c>
      <c r="N121" t="s">
        <v>174</v>
      </c>
      <c r="O121" t="s">
        <v>335</v>
      </c>
      <c r="P121">
        <v>0.00214127205019828</v>
      </c>
      <c r="Q121" t="s">
        <v>153</v>
      </c>
      <c r="S121" t="s">
        <v>184</v>
      </c>
      <c r="T121" t="s">
        <v>335</v>
      </c>
      <c r="U121">
        <v>0.0014446847618210944</v>
      </c>
      <c r="V121" t="s">
        <v>153</v>
      </c>
      <c r="X121">
        <v>0.0010273972602739725</v>
      </c>
      <c r="Y121">
        <v>0.0019988563757054427</v>
      </c>
      <c r="Z121" t="s">
        <v>335</v>
      </c>
      <c r="AA121" t="s">
        <v>25</v>
      </c>
      <c r="AC121" t="s">
        <v>22</v>
      </c>
      <c r="AD121" t="s">
        <v>335</v>
      </c>
      <c r="AE121">
        <v>0.0012985272593758969</v>
      </c>
      <c r="AG121" t="s">
        <v>96</v>
      </c>
      <c r="AH121" t="s">
        <v>335</v>
      </c>
      <c r="AI121">
        <v>0.065414695936130807</v>
      </c>
      <c r="AK121">
        <v>2030</v>
      </c>
      <c r="AL121" t="s">
        <v>216</v>
      </c>
      <c r="AM121">
        <v>0.49609999999999999</v>
      </c>
      <c r="AN121" t="s">
        <v>195</v>
      </c>
    </row>
    <row r="122" spans="9:40" ht="14.25">
      <c r="I122" t="s">
        <v>151</v>
      </c>
      <c r="J122" t="s">
        <v>336</v>
      </c>
      <c r="K122">
        <v>0.00064070631450031934</v>
      </c>
      <c r="L122" t="s">
        <v>153</v>
      </c>
      <c r="N122" t="s">
        <v>174</v>
      </c>
      <c r="O122" t="s">
        <v>336</v>
      </c>
      <c r="P122">
        <v>0.0095798772047007846</v>
      </c>
      <c r="Q122" t="s">
        <v>153</v>
      </c>
      <c r="S122" t="s">
        <v>184</v>
      </c>
      <c r="T122" t="s">
        <v>336</v>
      </c>
      <c r="U122">
        <v>0.0089428197456441674</v>
      </c>
      <c r="V122" t="s">
        <v>153</v>
      </c>
      <c r="X122">
        <v>0.0061643835616438354</v>
      </c>
      <c r="Y122">
        <v>0.0054297292593789622</v>
      </c>
      <c r="Z122" t="s">
        <v>336</v>
      </c>
      <c r="AA122" t="s">
        <v>25</v>
      </c>
      <c r="AC122" t="s">
        <v>22</v>
      </c>
      <c r="AD122" t="s">
        <v>336</v>
      </c>
      <c r="AE122">
        <v>0.0075920998863610008</v>
      </c>
      <c r="AG122" t="s">
        <v>96</v>
      </c>
      <c r="AH122" t="s">
        <v>336</v>
      </c>
      <c r="AI122">
        <v>0.085991060188262969</v>
      </c>
      <c r="AK122">
        <v>2030</v>
      </c>
      <c r="AL122" t="s">
        <v>232</v>
      </c>
      <c r="AM122">
        <v>0.49609999999999999</v>
      </c>
      <c r="AN122" t="s">
        <v>195</v>
      </c>
    </row>
    <row r="123" spans="9:40" ht="14.25">
      <c r="I123" t="s">
        <v>151</v>
      </c>
      <c r="J123" t="s">
        <v>292</v>
      </c>
      <c r="K123">
        <v>0</v>
      </c>
      <c r="L123" t="s">
        <v>153</v>
      </c>
      <c r="N123" t="s">
        <v>174</v>
      </c>
      <c r="O123" t="s">
        <v>292</v>
      </c>
      <c r="P123">
        <v>0.010692322650293483</v>
      </c>
      <c r="Q123" t="s">
        <v>153</v>
      </c>
      <c r="S123" t="s">
        <v>184</v>
      </c>
      <c r="T123" t="s">
        <v>292</v>
      </c>
      <c r="U123">
        <v>0.015276927864961589</v>
      </c>
      <c r="V123" t="s">
        <v>153</v>
      </c>
      <c r="X123">
        <v>0.00410958904109589</v>
      </c>
      <c r="Y123">
        <v>0.0008790990229470704</v>
      </c>
      <c r="Z123" t="s">
        <v>292</v>
      </c>
      <c r="AA123" t="s">
        <v>25</v>
      </c>
      <c r="AC123" t="s">
        <v>22</v>
      </c>
      <c r="AD123" t="s">
        <v>292</v>
      </c>
      <c r="AE123">
        <v>0.0045192528357503496</v>
      </c>
      <c r="AG123" t="s">
        <v>96</v>
      </c>
      <c r="AH123" t="s">
        <v>292</v>
      </c>
      <c r="AI123">
        <v>0.037743055631338951</v>
      </c>
      <c r="AK123">
        <v>2030</v>
      </c>
      <c r="AL123" t="s">
        <v>233</v>
      </c>
      <c r="AM123">
        <v>0.49609999999999999</v>
      </c>
      <c r="AN123" t="s">
        <v>195</v>
      </c>
    </row>
    <row r="124" spans="9:40" ht="14.25">
      <c r="I124" t="s">
        <v>151</v>
      </c>
      <c r="J124" t="s">
        <v>293</v>
      </c>
      <c r="K124">
        <v>0.00043060880303891604</v>
      </c>
      <c r="L124" t="s">
        <v>153</v>
      </c>
      <c r="N124" t="s">
        <v>174</v>
      </c>
      <c r="O124" t="s">
        <v>293</v>
      </c>
      <c r="P124">
        <v>0.0022217992089684931</v>
      </c>
      <c r="Q124" t="s">
        <v>153</v>
      </c>
      <c r="S124" t="s">
        <v>184</v>
      </c>
      <c r="T124" t="s">
        <v>293</v>
      </c>
      <c r="U124">
        <v>0.0027413215881664644</v>
      </c>
      <c r="V124" t="s">
        <v>153</v>
      </c>
      <c r="X124">
        <v>0.00068493150684931507</v>
      </c>
      <c r="Y124">
        <v>0.0010143450264773887</v>
      </c>
      <c r="Z124" t="s">
        <v>293</v>
      </c>
      <c r="AA124" t="s">
        <v>25</v>
      </c>
      <c r="AC124" t="s">
        <v>22</v>
      </c>
      <c r="AD124" t="s">
        <v>293</v>
      </c>
      <c r="AE124">
        <v>0.00071840479962700487</v>
      </c>
      <c r="AG124" t="s">
        <v>96</v>
      </c>
      <c r="AH124" t="s">
        <v>293</v>
      </c>
      <c r="AI124">
        <v>0.050286181520850404</v>
      </c>
      <c r="AK124">
        <v>2030</v>
      </c>
      <c r="AL124" t="s">
        <v>234</v>
      </c>
      <c r="AM124">
        <v>0.47894999999999999</v>
      </c>
      <c r="AN124" t="s">
        <v>195</v>
      </c>
    </row>
    <row r="125" spans="9:40" ht="14.25">
      <c r="I125" t="s">
        <v>151</v>
      </c>
      <c r="J125" t="s">
        <v>294</v>
      </c>
      <c r="K125">
        <v>0.00099738545301397306</v>
      </c>
      <c r="L125" t="s">
        <v>153</v>
      </c>
      <c r="N125" t="s">
        <v>174</v>
      </c>
      <c r="O125" t="s">
        <v>294</v>
      </c>
      <c r="P125">
        <v>0.0021686005995659426</v>
      </c>
      <c r="Q125" t="s">
        <v>153</v>
      </c>
      <c r="S125" t="s">
        <v>184</v>
      </c>
      <c r="T125" t="s">
        <v>294</v>
      </c>
      <c r="U125">
        <v>0.0027391019538726248</v>
      </c>
      <c r="V125" t="s">
        <v>153</v>
      </c>
      <c r="X125">
        <v>0.00068493150684931507</v>
      </c>
      <c r="Y125">
        <v>0.0011436242945578401</v>
      </c>
      <c r="Z125" t="s">
        <v>294</v>
      </c>
      <c r="AA125" t="s">
        <v>25</v>
      </c>
      <c r="AC125" t="s">
        <v>22</v>
      </c>
      <c r="AD125" t="s">
        <v>294</v>
      </c>
      <c r="AE125">
        <v>0.00072752342206025479</v>
      </c>
      <c r="AG125" t="s">
        <v>96</v>
      </c>
      <c r="AH125" t="s">
        <v>294</v>
      </c>
      <c r="AI125">
        <v>0.017293339536012642</v>
      </c>
      <c r="AK125">
        <v>2030</v>
      </c>
      <c r="AL125" t="s">
        <v>256</v>
      </c>
      <c r="AM125">
        <v>0.46179999999999999</v>
      </c>
      <c r="AN125" t="s">
        <v>195</v>
      </c>
    </row>
    <row r="126" spans="9:40" ht="14.25">
      <c r="I126" t="s">
        <v>151</v>
      </c>
      <c r="J126" t="s">
        <v>295</v>
      </c>
      <c r="K126">
        <v>0.0013723219500666112</v>
      </c>
      <c r="L126" t="s">
        <v>153</v>
      </c>
      <c r="N126" t="s">
        <v>174</v>
      </c>
      <c r="O126" t="s">
        <v>295</v>
      </c>
      <c r="P126">
        <v>0.0018380406224352674</v>
      </c>
      <c r="Q126" t="s">
        <v>153</v>
      </c>
      <c r="S126" t="s">
        <v>184</v>
      </c>
      <c r="T126" t="s">
        <v>295</v>
      </c>
      <c r="U126">
        <v>0.0027188251093086639</v>
      </c>
      <c r="V126" t="s">
        <v>153</v>
      </c>
      <c r="X126">
        <v>0.00068493150684931507</v>
      </c>
      <c r="Y126">
        <v>0.00087512119931382572</v>
      </c>
      <c r="Z126" t="s">
        <v>295</v>
      </c>
      <c r="AA126" t="s">
        <v>25</v>
      </c>
      <c r="AC126" t="s">
        <v>22</v>
      </c>
      <c r="AD126" t="s">
        <v>295</v>
      </c>
      <c r="AE126">
        <v>0.00077445253201102987</v>
      </c>
      <c r="AG126" t="s">
        <v>96</v>
      </c>
      <c r="AH126" t="s">
        <v>295</v>
      </c>
      <c r="AI126">
        <v>0.038902070129886779</v>
      </c>
      <c r="AK126">
        <v>2030</v>
      </c>
      <c r="AL126" t="s">
        <v>257</v>
      </c>
      <c r="AM126">
        <v>0.53339999999999999</v>
      </c>
      <c r="AN126" t="s">
        <v>195</v>
      </c>
    </row>
    <row r="127" spans="9:40" ht="14.25">
      <c r="I127" t="s">
        <v>151</v>
      </c>
      <c r="J127" t="s">
        <v>296</v>
      </c>
      <c r="K127">
        <v>0.012104896166734564</v>
      </c>
      <c r="L127" t="s">
        <v>153</v>
      </c>
      <c r="N127" t="s">
        <v>174</v>
      </c>
      <c r="O127" t="s">
        <v>296</v>
      </c>
      <c r="P127">
        <v>0.015966304039273384</v>
      </c>
      <c r="Q127" t="s">
        <v>153</v>
      </c>
      <c r="S127" t="s">
        <v>184</v>
      </c>
      <c r="T127" t="s">
        <v>296</v>
      </c>
      <c r="U127">
        <v>0.017361870120169823</v>
      </c>
      <c r="V127" t="s">
        <v>153</v>
      </c>
      <c r="X127">
        <v>0.0047945205479452057</v>
      </c>
      <c r="Y127">
        <v>0.0062412052805608737</v>
      </c>
      <c r="Z127" t="s">
        <v>296</v>
      </c>
      <c r="AA127" t="s">
        <v>25</v>
      </c>
      <c r="AC127" t="s">
        <v>22</v>
      </c>
      <c r="AD127" t="s">
        <v>296</v>
      </c>
      <c r="AE127">
        <v>0.0061549105422521273</v>
      </c>
      <c r="AG127" t="s">
        <v>96</v>
      </c>
      <c r="AH127" t="s">
        <v>296</v>
      </c>
      <c r="AI127">
        <v>0.054871683091078038</v>
      </c>
      <c r="AK127">
        <v>2030</v>
      </c>
      <c r="AL127" t="s">
        <v>258</v>
      </c>
      <c r="AM127">
        <v>0.605</v>
      </c>
      <c r="AN127" t="s">
        <v>195</v>
      </c>
    </row>
    <row r="128" spans="9:40" ht="14.25">
      <c r="I128" t="s">
        <v>151</v>
      </c>
      <c r="J128" t="s">
        <v>297</v>
      </c>
      <c r="K128">
        <v>0.0013386799359184852</v>
      </c>
      <c r="L128" t="s">
        <v>153</v>
      </c>
      <c r="N128" t="s">
        <v>174</v>
      </c>
      <c r="O128" t="s">
        <v>297</v>
      </c>
      <c r="P128">
        <v>0.0022847411837343063</v>
      </c>
      <c r="Q128" t="s">
        <v>153</v>
      </c>
      <c r="S128" t="s">
        <v>184</v>
      </c>
      <c r="T128" t="s">
        <v>297</v>
      </c>
      <c r="U128">
        <v>0.0023506178649470178</v>
      </c>
      <c r="V128" t="s">
        <v>153</v>
      </c>
      <c r="X128">
        <v>0.00068493150684931507</v>
      </c>
      <c r="Y128">
        <v>0.0013325709171369616</v>
      </c>
      <c r="Z128" t="s">
        <v>297</v>
      </c>
      <c r="AA128" t="s">
        <v>25</v>
      </c>
      <c r="AC128" t="s">
        <v>22</v>
      </c>
      <c r="AD128" t="s">
        <v>297</v>
      </c>
      <c r="AE128">
        <v>0.00088469860246600238</v>
      </c>
      <c r="AG128" t="s">
        <v>96</v>
      </c>
      <c r="AH128" t="s">
        <v>297</v>
      </c>
      <c r="AI128">
        <v>0.033731970056600336</v>
      </c>
      <c r="AK128">
        <v>2030</v>
      </c>
      <c r="AL128" t="s">
        <v>259</v>
      </c>
      <c r="AM128">
        <v>0.605</v>
      </c>
      <c r="AN128" t="s">
        <v>195</v>
      </c>
    </row>
    <row r="129" spans="9:40" ht="14.25">
      <c r="I129" t="s">
        <v>151</v>
      </c>
      <c r="J129" t="s">
        <v>337</v>
      </c>
      <c r="K129">
        <v>0.00098144426931139409</v>
      </c>
      <c r="L129" t="s">
        <v>153</v>
      </c>
      <c r="N129" t="s">
        <v>174</v>
      </c>
      <c r="O129" t="s">
        <v>337</v>
      </c>
      <c r="P129">
        <v>0.0021389946983218877</v>
      </c>
      <c r="Q129" t="s">
        <v>153</v>
      </c>
      <c r="S129" t="s">
        <v>184</v>
      </c>
      <c r="T129" t="s">
        <v>337</v>
      </c>
      <c r="U129">
        <v>0.0023402295454474659</v>
      </c>
      <c r="V129" t="s">
        <v>153</v>
      </c>
      <c r="X129">
        <v>0.00068493150684931507</v>
      </c>
      <c r="Y129">
        <v>0.0013325709171369616</v>
      </c>
      <c r="Z129" t="s">
        <v>337</v>
      </c>
      <c r="AA129" t="s">
        <v>25</v>
      </c>
      <c r="AC129" t="s">
        <v>22</v>
      </c>
      <c r="AD129" t="s">
        <v>337</v>
      </c>
      <c r="AE129">
        <v>0.00088670551616852177</v>
      </c>
      <c r="AG129" t="s">
        <v>96</v>
      </c>
      <c r="AH129" t="s">
        <v>337</v>
      </c>
      <c r="AI129">
        <v>0.033073664069974029</v>
      </c>
      <c r="AK129">
        <v>2030</v>
      </c>
      <c r="AL129" t="s">
        <v>260</v>
      </c>
      <c r="AM129">
        <v>0.58810000000000007</v>
      </c>
      <c r="AN129" t="s">
        <v>195</v>
      </c>
    </row>
    <row r="130" spans="9:40" ht="14.25">
      <c r="I130" t="s">
        <v>151</v>
      </c>
      <c r="J130" t="s">
        <v>338</v>
      </c>
      <c r="K130">
        <v>0.00044063479376129483</v>
      </c>
      <c r="L130" t="s">
        <v>153</v>
      </c>
      <c r="N130" t="s">
        <v>174</v>
      </c>
      <c r="O130" t="s">
        <v>338</v>
      </c>
      <c r="P130">
        <v>0.0086864683739147543</v>
      </c>
      <c r="Q130" t="s">
        <v>153</v>
      </c>
      <c r="S130" t="s">
        <v>184</v>
      </c>
      <c r="T130" t="s">
        <v>338</v>
      </c>
      <c r="U130">
        <v>0.012789114987225588</v>
      </c>
      <c r="V130" t="s">
        <v>153</v>
      </c>
      <c r="X130">
        <v>0.00410958904109589</v>
      </c>
      <c r="Y130">
        <v>0.0036198195062526421</v>
      </c>
      <c r="Z130" t="s">
        <v>338</v>
      </c>
      <c r="AA130" t="s">
        <v>25</v>
      </c>
      <c r="AC130" t="s">
        <v>22</v>
      </c>
      <c r="AD130" t="s">
        <v>338</v>
      </c>
      <c r="AE130">
        <v>0.0050879445040474232</v>
      </c>
      <c r="AG130" t="s">
        <v>96</v>
      </c>
      <c r="AH130" t="s">
        <v>338</v>
      </c>
      <c r="AI130">
        <v>0.08024998224557911</v>
      </c>
      <c r="AK130">
        <v>2030</v>
      </c>
      <c r="AL130" t="s">
        <v>261</v>
      </c>
      <c r="AM130">
        <v>0.57120000000000004</v>
      </c>
      <c r="AN130" t="s">
        <v>195</v>
      </c>
    </row>
    <row r="131" spans="9:40" ht="14.25">
      <c r="I131" t="s">
        <v>151</v>
      </c>
      <c r="J131" t="s">
        <v>339</v>
      </c>
      <c r="K131">
        <v>0</v>
      </c>
      <c r="L131" t="s">
        <v>153</v>
      </c>
      <c r="N131" t="s">
        <v>174</v>
      </c>
      <c r="O131" t="s">
        <v>339</v>
      </c>
      <c r="P131">
        <v>0.0084662377648970898</v>
      </c>
      <c r="Q131" t="s">
        <v>153</v>
      </c>
      <c r="S131" t="s">
        <v>184</v>
      </c>
      <c r="T131" t="s">
        <v>339</v>
      </c>
      <c r="U131">
        <v>0.013015220321041424</v>
      </c>
      <c r="V131" t="s">
        <v>153</v>
      </c>
      <c r="X131">
        <v>0.0061643835616438354</v>
      </c>
      <c r="Y131">
        <v>0.0013186485344206056</v>
      </c>
      <c r="Z131" t="s">
        <v>339</v>
      </c>
      <c r="AA131" t="s">
        <v>25</v>
      </c>
      <c r="AC131" t="s">
        <v>22</v>
      </c>
      <c r="AD131" t="s">
        <v>339</v>
      </c>
      <c r="AE131">
        <v>0.006831694921500259</v>
      </c>
      <c r="AG131" t="s">
        <v>96</v>
      </c>
      <c r="AH131" t="s">
        <v>339</v>
      </c>
      <c r="AI131">
        <v>0.076695018155746197</v>
      </c>
      <c r="AK131">
        <v>2030</v>
      </c>
      <c r="AL131" t="s">
        <v>303</v>
      </c>
      <c r="AM131">
        <v>0.57120000000000004</v>
      </c>
      <c r="AN131" t="s">
        <v>195</v>
      </c>
    </row>
    <row r="132" spans="9:40" ht="14.25">
      <c r="I132" t="s">
        <v>151</v>
      </c>
      <c r="J132" t="s">
        <v>340</v>
      </c>
      <c r="K132">
        <v>0.00053008379650729273</v>
      </c>
      <c r="L132" t="s">
        <v>153</v>
      </c>
      <c r="N132" t="s">
        <v>174</v>
      </c>
      <c r="O132" t="s">
        <v>340</v>
      </c>
      <c r="P132">
        <v>0.0015783238334143611</v>
      </c>
      <c r="Q132" t="s">
        <v>153</v>
      </c>
      <c r="S132" t="s">
        <v>184</v>
      </c>
      <c r="T132" t="s">
        <v>340</v>
      </c>
      <c r="U132">
        <v>0.0020719425888630267</v>
      </c>
      <c r="V132" t="s">
        <v>153</v>
      </c>
      <c r="X132">
        <v>0.0010273972602739725</v>
      </c>
      <c r="Y132">
        <v>0.0015215175397160832</v>
      </c>
      <c r="Z132" t="s">
        <v>340</v>
      </c>
      <c r="AA132" t="s">
        <v>25</v>
      </c>
      <c r="AC132" t="s">
        <v>22</v>
      </c>
      <c r="AD132" t="s">
        <v>340</v>
      </c>
      <c r="AE132">
        <v>0.0011095369630855338</v>
      </c>
      <c r="AG132" t="s">
        <v>96</v>
      </c>
      <c r="AH132" t="s">
        <v>340</v>
      </c>
      <c r="AI132">
        <v>0.02748068595338049</v>
      </c>
      <c r="AK132">
        <v>2030</v>
      </c>
      <c r="AL132" t="s">
        <v>304</v>
      </c>
      <c r="AM132">
        <v>0.51719999999999999</v>
      </c>
      <c r="AN132" t="s">
        <v>195</v>
      </c>
    </row>
    <row r="133" spans="9:40" ht="14.25">
      <c r="I133" t="s">
        <v>151</v>
      </c>
      <c r="J133" t="s">
        <v>341</v>
      </c>
      <c r="K133">
        <v>0.001354825069188925</v>
      </c>
      <c r="L133" t="s">
        <v>153</v>
      </c>
      <c r="N133" t="s">
        <v>174</v>
      </c>
      <c r="O133" t="s">
        <v>341</v>
      </c>
      <c r="P133">
        <v>0.0014719141585128022</v>
      </c>
      <c r="Q133" t="s">
        <v>153</v>
      </c>
      <c r="S133" t="s">
        <v>184</v>
      </c>
      <c r="T133" t="s">
        <v>341</v>
      </c>
      <c r="U133">
        <v>0.0018827446219754664</v>
      </c>
      <c r="V133" t="s">
        <v>153</v>
      </c>
      <c r="X133">
        <v>0.0010273972602739725</v>
      </c>
      <c r="Y133">
        <v>0.0017154364418367602</v>
      </c>
      <c r="Z133" t="s">
        <v>341</v>
      </c>
      <c r="AA133" t="s">
        <v>25</v>
      </c>
      <c r="AC133" t="s">
        <v>22</v>
      </c>
      <c r="AD133" t="s">
        <v>341</v>
      </c>
      <c r="AE133">
        <v>0.0010977871834434577</v>
      </c>
      <c r="AG133" t="s">
        <v>96</v>
      </c>
      <c r="AH133" t="s">
        <v>341</v>
      </c>
      <c r="AI133">
        <v>0.015764829001918557</v>
      </c>
      <c r="AK133">
        <v>2030</v>
      </c>
      <c r="AL133" t="s">
        <v>305</v>
      </c>
      <c r="AM133">
        <v>0.47094999999999998</v>
      </c>
      <c r="AN133" t="s">
        <v>195</v>
      </c>
    </row>
    <row r="134" spans="9:40" ht="14.25">
      <c r="I134" t="s">
        <v>151</v>
      </c>
      <c r="J134" t="s">
        <v>342</v>
      </c>
      <c r="K134">
        <v>0.0019145558917984891</v>
      </c>
      <c r="L134" t="s">
        <v>153</v>
      </c>
      <c r="N134" t="s">
        <v>174</v>
      </c>
      <c r="O134" t="s">
        <v>342</v>
      </c>
      <c r="P134">
        <v>0.0011754640504308578</v>
      </c>
      <c r="Q134" t="s">
        <v>153</v>
      </c>
      <c r="S134" t="s">
        <v>184</v>
      </c>
      <c r="T134" t="s">
        <v>342</v>
      </c>
      <c r="U134">
        <v>0.0017189370047998127</v>
      </c>
      <c r="V134" t="s">
        <v>153</v>
      </c>
      <c r="X134">
        <v>0.0010273972602739725</v>
      </c>
      <c r="Y134">
        <v>0.0013126817989707385</v>
      </c>
      <c r="Z134" t="s">
        <v>342</v>
      </c>
      <c r="AA134" t="s">
        <v>25</v>
      </c>
      <c r="AC134" t="s">
        <v>22</v>
      </c>
      <c r="AD134" t="s">
        <v>342</v>
      </c>
      <c r="AE134">
        <v>0.0011740732403450408</v>
      </c>
      <c r="AG134" t="s">
        <v>96</v>
      </c>
      <c r="AH134" t="s">
        <v>342</v>
      </c>
      <c r="AI134">
        <v>0.052696736030421354</v>
      </c>
      <c r="AK134">
        <v>2030</v>
      </c>
      <c r="AL134" t="s">
        <v>306</v>
      </c>
      <c r="AM134">
        <v>0.4118</v>
      </c>
      <c r="AN134" t="s">
        <v>195</v>
      </c>
    </row>
    <row r="135" spans="9:40" ht="14.25">
      <c r="I135" t="s">
        <v>151</v>
      </c>
      <c r="J135" t="s">
        <v>343</v>
      </c>
      <c r="K135">
        <v>0.017375522373857141</v>
      </c>
      <c r="L135" t="s">
        <v>153</v>
      </c>
      <c r="N135" t="s">
        <v>174</v>
      </c>
      <c r="O135" t="s">
        <v>343</v>
      </c>
      <c r="P135">
        <v>0.015810795998820695</v>
      </c>
      <c r="Q135" t="s">
        <v>153</v>
      </c>
      <c r="S135" t="s">
        <v>184</v>
      </c>
      <c r="T135" t="s">
        <v>343</v>
      </c>
      <c r="U135">
        <v>0.010288937843145085</v>
      </c>
      <c r="V135" t="s">
        <v>153</v>
      </c>
      <c r="X135">
        <v>0.0071917808219178082</v>
      </c>
      <c r="Y135">
        <v>0.009361807920841311</v>
      </c>
      <c r="Z135" t="s">
        <v>343</v>
      </c>
      <c r="AA135" t="s">
        <v>25</v>
      </c>
      <c r="AC135" t="s">
        <v>22</v>
      </c>
      <c r="AD135" t="s">
        <v>343</v>
      </c>
      <c r="AE135">
        <v>0.0093020302218717529</v>
      </c>
      <c r="AG135" t="s">
        <v>96</v>
      </c>
      <c r="AH135" t="s">
        <v>343</v>
      </c>
      <c r="AI135">
        <v>0.050223398435125466</v>
      </c>
      <c r="AK135">
        <v>2030</v>
      </c>
      <c r="AL135" t="s">
        <v>307</v>
      </c>
      <c r="AM135">
        <v>0.41639999999999999</v>
      </c>
      <c r="AN135" t="s">
        <v>195</v>
      </c>
    </row>
    <row r="136" spans="9:40" ht="14.25">
      <c r="I136" t="s">
        <v>151</v>
      </c>
      <c r="J136" t="s">
        <v>344</v>
      </c>
      <c r="K136">
        <v>0.0019028321612631967</v>
      </c>
      <c r="L136" t="s">
        <v>153</v>
      </c>
      <c r="N136" t="s">
        <v>174</v>
      </c>
      <c r="O136" t="s">
        <v>344</v>
      </c>
      <c r="P136">
        <v>0.0027996403329442299</v>
      </c>
      <c r="Q136" t="s">
        <v>153</v>
      </c>
      <c r="S136" t="s">
        <v>184</v>
      </c>
      <c r="T136" t="s">
        <v>344</v>
      </c>
      <c r="U136">
        <v>0.0019082973674346203</v>
      </c>
      <c r="V136" t="s">
        <v>153</v>
      </c>
      <c r="X136">
        <v>0.0010273972602739725</v>
      </c>
      <c r="Y136">
        <v>0.0019988563757054427</v>
      </c>
      <c r="Z136" t="s">
        <v>344</v>
      </c>
      <c r="AA136" t="s">
        <v>25</v>
      </c>
      <c r="AC136" t="s">
        <v>22</v>
      </c>
      <c r="AD136" t="s">
        <v>344</v>
      </c>
      <c r="AE136">
        <v>0.0013391593945316501</v>
      </c>
      <c r="AG136" t="s">
        <v>96</v>
      </c>
      <c r="AH136" t="s">
        <v>344</v>
      </c>
      <c r="AI136">
        <v>0.038811648023187484</v>
      </c>
      <c r="AK136">
        <v>2030</v>
      </c>
      <c r="AL136" t="s">
        <v>308</v>
      </c>
      <c r="AM136">
        <v>0.41639999999999999</v>
      </c>
      <c r="AN136" t="s">
        <v>195</v>
      </c>
    </row>
    <row r="137" spans="9:40" ht="14.25">
      <c r="I137" t="s">
        <v>151</v>
      </c>
      <c r="J137" t="s">
        <v>345</v>
      </c>
      <c r="K137">
        <v>0.0013738635836691706</v>
      </c>
      <c r="L137" t="s">
        <v>153</v>
      </c>
      <c r="N137" t="s">
        <v>174</v>
      </c>
      <c r="O137" t="s">
        <v>345</v>
      </c>
      <c r="P137">
        <v>0.0025774303946037636</v>
      </c>
      <c r="Q137" t="s">
        <v>153</v>
      </c>
      <c r="S137" t="s">
        <v>184</v>
      </c>
      <c r="T137" t="s">
        <v>345</v>
      </c>
      <c r="U137">
        <v>0.0020672804822226367</v>
      </c>
      <c r="V137" t="s">
        <v>153</v>
      </c>
      <c r="X137">
        <v>0.0010273972602739725</v>
      </c>
      <c r="Y137">
        <v>0.0019988563757054427</v>
      </c>
      <c r="Z137" t="s">
        <v>345</v>
      </c>
      <c r="AA137" t="s">
        <v>25</v>
      </c>
      <c r="AC137" t="s">
        <v>22</v>
      </c>
      <c r="AD137" t="s">
        <v>345</v>
      </c>
      <c r="AE137">
        <v>0.0013342879615618718</v>
      </c>
      <c r="AG137" t="s">
        <v>96</v>
      </c>
      <c r="AH137" t="s">
        <v>345</v>
      </c>
      <c r="AI137">
        <v>0.04127782173644734</v>
      </c>
      <c r="AK137">
        <v>2031</v>
      </c>
      <c r="AL137" t="s">
        <v>141</v>
      </c>
      <c r="AM137">
        <v>0.4083</v>
      </c>
      <c r="AN137" t="s">
        <v>195</v>
      </c>
    </row>
    <row r="138" spans="9:40" ht="14.25">
      <c r="I138" t="s">
        <v>151</v>
      </c>
      <c r="J138" t="s">
        <v>346</v>
      </c>
      <c r="K138">
        <v>0.000602386631864467</v>
      </c>
      <c r="L138" t="s">
        <v>153</v>
      </c>
      <c r="N138" t="s">
        <v>174</v>
      </c>
      <c r="O138" t="s">
        <v>346</v>
      </c>
      <c r="P138">
        <v>0.010947539764081211</v>
      </c>
      <c r="Q138" t="s">
        <v>153</v>
      </c>
      <c r="S138" t="s">
        <v>184</v>
      </c>
      <c r="T138" t="s">
        <v>346</v>
      </c>
      <c r="U138">
        <v>0.01375952444623056</v>
      </c>
      <c r="V138" t="s">
        <v>153</v>
      </c>
      <c r="X138">
        <v>0.0061643835616438354</v>
      </c>
      <c r="Y138">
        <v>0.0054297292593789622</v>
      </c>
      <c r="Z138" t="s">
        <v>346</v>
      </c>
      <c r="AA138" t="s">
        <v>25</v>
      </c>
      <c r="AC138" t="s">
        <v>22</v>
      </c>
      <c r="AD138" t="s">
        <v>346</v>
      </c>
      <c r="AE138">
        <v>0.0077952351926651184</v>
      </c>
      <c r="AG138" t="s">
        <v>96</v>
      </c>
      <c r="AH138" t="s">
        <v>346</v>
      </c>
      <c r="AI138">
        <v>0.060724123191596702</v>
      </c>
      <c r="AK138">
        <v>2031</v>
      </c>
      <c r="AL138" t="s">
        <v>145</v>
      </c>
      <c r="AM138">
        <v>0.4083</v>
      </c>
      <c r="AN138" t="s">
        <v>195</v>
      </c>
    </row>
    <row r="139" spans="9:40" ht="14.25">
      <c r="I139" t="s">
        <v>151</v>
      </c>
      <c r="J139" t="s">
        <v>347</v>
      </c>
      <c r="K139">
        <v>0</v>
      </c>
      <c r="L139" t="s">
        <v>153</v>
      </c>
      <c r="N139" t="s">
        <v>174</v>
      </c>
      <c r="O139" t="s">
        <v>347</v>
      </c>
      <c r="P139">
        <v>0.014808055503049663</v>
      </c>
      <c r="Q139" t="s">
        <v>153</v>
      </c>
      <c r="S139" t="s">
        <v>184</v>
      </c>
      <c r="T139" t="s">
        <v>347</v>
      </c>
      <c r="U139">
        <v>0.023604064248813748</v>
      </c>
      <c r="V139" t="s">
        <v>153</v>
      </c>
      <c r="X139">
        <v>0.028082191780821917</v>
      </c>
      <c r="Y139">
        <v>0.0060071766568049788</v>
      </c>
      <c r="Z139" t="s">
        <v>347</v>
      </c>
      <c r="AA139" t="s">
        <v>25</v>
      </c>
      <c r="AC139" t="s">
        <v>22</v>
      </c>
      <c r="AD139" t="s">
        <v>347</v>
      </c>
      <c r="AE139">
        <v>0.033316229290772728</v>
      </c>
      <c r="AG139" t="s">
        <v>96</v>
      </c>
      <c r="AH139" t="s">
        <v>347</v>
      </c>
      <c r="AI139">
        <v>0.045958526230318153</v>
      </c>
      <c r="AK139">
        <v>2031</v>
      </c>
      <c r="AL139" t="s">
        <v>147</v>
      </c>
      <c r="AM139">
        <v>0.41054999999999997</v>
      </c>
      <c r="AN139" t="s">
        <v>195</v>
      </c>
    </row>
    <row r="140" spans="9:40" ht="14.25">
      <c r="I140" t="s">
        <v>151</v>
      </c>
      <c r="J140" t="s">
        <v>348</v>
      </c>
      <c r="K140">
        <v>0.0019156121376303248</v>
      </c>
      <c r="L140" t="s">
        <v>153</v>
      </c>
      <c r="N140" t="s">
        <v>174</v>
      </c>
      <c r="O140" t="s">
        <v>348</v>
      </c>
      <c r="P140">
        <v>0.0029468735585328016</v>
      </c>
      <c r="Q140" t="s">
        <v>153</v>
      </c>
      <c r="S140" t="s">
        <v>184</v>
      </c>
      <c r="T140" t="s">
        <v>348</v>
      </c>
      <c r="U140">
        <v>0.0043197238255455739</v>
      </c>
      <c r="V140" t="s">
        <v>153</v>
      </c>
      <c r="X140">
        <v>0.0046803652968036525</v>
      </c>
      <c r="Y140">
        <v>0.0069313576809288237</v>
      </c>
      <c r="Z140" t="s">
        <v>348</v>
      </c>
      <c r="AA140" t="s">
        <v>25</v>
      </c>
      <c r="AC140" t="s">
        <v>22</v>
      </c>
      <c r="AD140" t="s">
        <v>348</v>
      </c>
      <c r="AE140">
        <v>0.0055427549070290391</v>
      </c>
      <c r="AG140" t="s">
        <v>96</v>
      </c>
      <c r="AH140" t="s">
        <v>348</v>
      </c>
      <c r="AI140">
        <v>0.029989328121974523</v>
      </c>
      <c r="AK140">
        <v>2031</v>
      </c>
      <c r="AL140" t="s">
        <v>149</v>
      </c>
      <c r="AM140">
        <v>0.4128</v>
      </c>
      <c r="AN140" t="s">
        <v>195</v>
      </c>
    </row>
    <row r="141" spans="9:40" ht="14.25">
      <c r="I141" t="s">
        <v>151</v>
      </c>
      <c r="J141" t="s">
        <v>349</v>
      </c>
      <c r="K141">
        <v>0.0054212039608875556</v>
      </c>
      <c r="L141" t="s">
        <v>153</v>
      </c>
      <c r="N141" t="s">
        <v>174</v>
      </c>
      <c r="O141" t="s">
        <v>349</v>
      </c>
      <c r="P141">
        <v>0.0026203877391177384</v>
      </c>
      <c r="Q141" t="s">
        <v>153</v>
      </c>
      <c r="S141" t="s">
        <v>184</v>
      </c>
      <c r="T141" t="s">
        <v>349</v>
      </c>
      <c r="U141">
        <v>0.0043324826064352626</v>
      </c>
      <c r="V141" t="s">
        <v>153</v>
      </c>
      <c r="X141">
        <v>0.0046803652968036525</v>
      </c>
      <c r="Y141">
        <v>0.0078147660128119086</v>
      </c>
      <c r="Z141" t="s">
        <v>349</v>
      </c>
      <c r="AA141" t="s">
        <v>25</v>
      </c>
      <c r="AC141" t="s">
        <v>22</v>
      </c>
      <c r="AD141" t="s">
        <v>349</v>
      </c>
      <c r="AE141">
        <v>0.0055110585054424449</v>
      </c>
      <c r="AG141" t="s">
        <v>96</v>
      </c>
      <c r="AH141" t="s">
        <v>349</v>
      </c>
      <c r="AI141">
        <v>0.042177921050678746</v>
      </c>
      <c r="AK141">
        <v>2031</v>
      </c>
      <c r="AL141" t="s">
        <v>198</v>
      </c>
      <c r="AM141">
        <v>0.43759999999999999</v>
      </c>
      <c r="AN141" t="s">
        <v>195</v>
      </c>
    </row>
    <row r="142" spans="9:40" ht="14.25">
      <c r="I142" t="s">
        <v>151</v>
      </c>
      <c r="J142" t="s">
        <v>350</v>
      </c>
      <c r="K142">
        <v>0.0081615514357877266</v>
      </c>
      <c r="L142" t="s">
        <v>153</v>
      </c>
      <c r="N142" t="s">
        <v>174</v>
      </c>
      <c r="O142" t="s">
        <v>350</v>
      </c>
      <c r="P142">
        <v>0.0017920466701894374</v>
      </c>
      <c r="Q142" t="s">
        <v>153</v>
      </c>
      <c r="S142" t="s">
        <v>184</v>
      </c>
      <c r="T142" t="s">
        <v>350</v>
      </c>
      <c r="U142">
        <v>0.0042261199379301116</v>
      </c>
      <c r="V142" t="s">
        <v>153</v>
      </c>
      <c r="X142">
        <v>0.0046803652968036525</v>
      </c>
      <c r="Y142">
        <v>0.0059799948619778083</v>
      </c>
      <c r="Z142" t="s">
        <v>350</v>
      </c>
      <c r="AA142" t="s">
        <v>25</v>
      </c>
      <c r="AC142" t="s">
        <v>22</v>
      </c>
      <c r="AD142" t="s">
        <v>350</v>
      </c>
      <c r="AE142">
        <v>0.0058211558427390085</v>
      </c>
      <c r="AG142" t="s">
        <v>96</v>
      </c>
      <c r="AH142" t="s">
        <v>350</v>
      </c>
      <c r="AI142">
        <v>0.031058228241582109</v>
      </c>
      <c r="AK142">
        <v>2031</v>
      </c>
      <c r="AL142" t="s">
        <v>216</v>
      </c>
      <c r="AM142">
        <v>0.46239999999999998</v>
      </c>
      <c r="AN142" t="s">
        <v>195</v>
      </c>
    </row>
    <row r="143" spans="9:40" ht="14.25">
      <c r="I143" t="s">
        <v>151</v>
      </c>
      <c r="J143" t="s">
        <v>351</v>
      </c>
      <c r="K143">
        <v>0.077229616293879852</v>
      </c>
      <c r="L143" t="s">
        <v>153</v>
      </c>
      <c r="N143" t="s">
        <v>174</v>
      </c>
      <c r="O143" t="s">
        <v>351</v>
      </c>
      <c r="P143">
        <v>0.033901351687377686</v>
      </c>
      <c r="Q143" t="s">
        <v>153</v>
      </c>
      <c r="S143" t="s">
        <v>184</v>
      </c>
      <c r="T143" t="s">
        <v>351</v>
      </c>
      <c r="U143">
        <v>0.024979747763520715</v>
      </c>
      <c r="V143" t="s">
        <v>153</v>
      </c>
      <c r="X143">
        <v>0.03276255707762557</v>
      </c>
      <c r="Y143">
        <v>0.042648236083832641</v>
      </c>
      <c r="Z143" t="s">
        <v>351</v>
      </c>
      <c r="AA143" t="s">
        <v>25</v>
      </c>
      <c r="AC143" t="s">
        <v>22</v>
      </c>
      <c r="AD143" t="s">
        <v>351</v>
      </c>
      <c r="AE143">
        <v>0.044827685566329746</v>
      </c>
      <c r="AG143" t="s">
        <v>96</v>
      </c>
      <c r="AH143" t="s">
        <v>351</v>
      </c>
      <c r="AI143">
        <v>0.028412989301253022</v>
      </c>
      <c r="AK143">
        <v>2031</v>
      </c>
      <c r="AL143" t="s">
        <v>232</v>
      </c>
      <c r="AM143">
        <v>0.46239999999999998</v>
      </c>
      <c r="AN143" t="s">
        <v>195</v>
      </c>
    </row>
    <row r="144" spans="9:40" ht="14.25">
      <c r="I144" t="s">
        <v>151</v>
      </c>
      <c r="J144" t="s">
        <v>352</v>
      </c>
      <c r="K144">
        <v>0.0084184149843343006</v>
      </c>
      <c r="L144" t="s">
        <v>153</v>
      </c>
      <c r="N144" t="s">
        <v>174</v>
      </c>
      <c r="O144" t="s">
        <v>352</v>
      </c>
      <c r="P144">
        <v>0.0076267391578296118</v>
      </c>
      <c r="Q144" t="s">
        <v>153</v>
      </c>
      <c r="S144" t="s">
        <v>184</v>
      </c>
      <c r="T144" t="s">
        <v>352</v>
      </c>
      <c r="U144">
        <v>0.0039746261833757505</v>
      </c>
      <c r="V144" t="s">
        <v>153</v>
      </c>
      <c r="X144">
        <v>0.0046803652968036525</v>
      </c>
      <c r="Y144">
        <v>0.0091059012671025705</v>
      </c>
      <c r="Z144" t="s">
        <v>352</v>
      </c>
      <c r="AA144" t="s">
        <v>25</v>
      </c>
      <c r="AC144" t="s">
        <v>22</v>
      </c>
      <c r="AD144" t="s">
        <v>352</v>
      </c>
      <c r="AE144">
        <v>0.0064266895460111124</v>
      </c>
      <c r="AG144" t="s">
        <v>96</v>
      </c>
      <c r="AH144" t="s">
        <v>352</v>
      </c>
      <c r="AI144">
        <v>0.02036360812357163</v>
      </c>
      <c r="AK144">
        <v>2031</v>
      </c>
      <c r="AL144" t="s">
        <v>233</v>
      </c>
      <c r="AM144">
        <v>0.46239999999999998</v>
      </c>
      <c r="AN144" t="s">
        <v>195</v>
      </c>
    </row>
    <row r="145" spans="9:40" ht="14.25">
      <c r="I145" t="s">
        <v>151</v>
      </c>
      <c r="J145" t="s">
        <v>353</v>
      </c>
      <c r="K145">
        <v>0.0060318217975523312</v>
      </c>
      <c r="L145" t="s">
        <v>153</v>
      </c>
      <c r="N145" t="s">
        <v>174</v>
      </c>
      <c r="O145" t="s">
        <v>353</v>
      </c>
      <c r="P145">
        <v>0.007343482719004403</v>
      </c>
      <c r="Q145" t="s">
        <v>153</v>
      </c>
      <c r="S145" t="s">
        <v>184</v>
      </c>
      <c r="T145" t="s">
        <v>353</v>
      </c>
      <c r="U145">
        <v>0.0043430341720958323</v>
      </c>
      <c r="V145" t="s">
        <v>153</v>
      </c>
      <c r="X145">
        <v>0.0046803652968036525</v>
      </c>
      <c r="Y145">
        <v>0.0091059012671025705</v>
      </c>
      <c r="Z145" t="s">
        <v>353</v>
      </c>
      <c r="AA145" t="s">
        <v>25</v>
      </c>
      <c r="AC145" t="s">
        <v>22</v>
      </c>
      <c r="AD145" t="s">
        <v>353</v>
      </c>
      <c r="AE145">
        <v>0.0064113226544633322</v>
      </c>
      <c r="AG145" t="s">
        <v>96</v>
      </c>
      <c r="AH145" t="s">
        <v>353</v>
      </c>
      <c r="AI145">
        <v>0.019404831672852785</v>
      </c>
      <c r="AK145">
        <v>2031</v>
      </c>
      <c r="AL145" t="s">
        <v>234</v>
      </c>
      <c r="AM145">
        <v>0.48094999999999999</v>
      </c>
      <c r="AN145" t="s">
        <v>195</v>
      </c>
    </row>
    <row r="146" spans="9:40" ht="14.25">
      <c r="I146" t="s">
        <v>151</v>
      </c>
      <c r="J146" t="s">
        <v>354</v>
      </c>
      <c r="K146">
        <v>0.0026702835995956096</v>
      </c>
      <c r="L146" t="s">
        <v>153</v>
      </c>
      <c r="N146" t="s">
        <v>174</v>
      </c>
      <c r="O146" t="s">
        <v>354</v>
      </c>
      <c r="P146">
        <v>0.030854884204031364</v>
      </c>
      <c r="Q146" t="s">
        <v>153</v>
      </c>
      <c r="S146" t="s">
        <v>184</v>
      </c>
      <c r="T146" t="s">
        <v>354</v>
      </c>
      <c r="U146">
        <v>0.025749849200257299</v>
      </c>
      <c r="V146" t="s">
        <v>153</v>
      </c>
      <c r="X146">
        <v>0.028082191780821917</v>
      </c>
      <c r="Y146">
        <v>0.024735433292726389</v>
      </c>
      <c r="Z146" t="s">
        <v>354</v>
      </c>
      <c r="AA146" t="s">
        <v>25</v>
      </c>
      <c r="AC146" t="s">
        <v>22</v>
      </c>
      <c r="AD146" t="s">
        <v>354</v>
      </c>
      <c r="AE146">
        <v>0.037731194406154217</v>
      </c>
      <c r="AG146" t="s">
        <v>96</v>
      </c>
      <c r="AH146" t="s">
        <v>354</v>
      </c>
      <c r="AI146">
        <v>0.0392821132261576</v>
      </c>
      <c r="AK146">
        <v>2031</v>
      </c>
      <c r="AL146" t="s">
        <v>256</v>
      </c>
      <c r="AM146">
        <v>0.4995</v>
      </c>
      <c r="AN146" t="s">
        <v>195</v>
      </c>
    </row>
    <row r="147" spans="9:40" ht="14.25">
      <c r="I147" t="s">
        <v>151</v>
      </c>
      <c r="J147" t="s">
        <v>355</v>
      </c>
      <c r="K147">
        <v>0</v>
      </c>
      <c r="L147" t="s">
        <v>153</v>
      </c>
      <c r="N147" t="s">
        <v>174</v>
      </c>
      <c r="O147" t="s">
        <v>355</v>
      </c>
      <c r="P147">
        <v>0.023181840165237975</v>
      </c>
      <c r="Q147" t="s">
        <v>153</v>
      </c>
      <c r="S147" t="s">
        <v>184</v>
      </c>
      <c r="T147" t="s">
        <v>355</v>
      </c>
      <c r="U147">
        <v>0.0087766533494817445</v>
      </c>
      <c r="V147" t="s">
        <v>153</v>
      </c>
      <c r="X147">
        <v>0.035616438356164383</v>
      </c>
      <c r="Y147">
        <v>0.0076188581988746095</v>
      </c>
      <c r="Z147" t="s">
        <v>355</v>
      </c>
      <c r="AA147" t="s">
        <v>25</v>
      </c>
      <c r="AC147" t="s">
        <v>22</v>
      </c>
      <c r="AD147" t="s">
        <v>355</v>
      </c>
      <c r="AE147">
        <v>0.042092335159200148</v>
      </c>
      <c r="AG147" t="s">
        <v>96</v>
      </c>
      <c r="AH147" t="s">
        <v>355</v>
      </c>
      <c r="AI147">
        <v>0.056241139123466732</v>
      </c>
      <c r="AK147">
        <v>2031</v>
      </c>
      <c r="AL147" t="s">
        <v>257</v>
      </c>
      <c r="AM147">
        <v>0.52300000000000002</v>
      </c>
      <c r="AN147" t="s">
        <v>195</v>
      </c>
    </row>
    <row r="148" spans="9:40" ht="14.25">
      <c r="I148" t="s">
        <v>151</v>
      </c>
      <c r="J148" t="s">
        <v>356</v>
      </c>
      <c r="K148">
        <v>0.0023877624514280259</v>
      </c>
      <c r="L148" t="s">
        <v>153</v>
      </c>
      <c r="N148" t="s">
        <v>174</v>
      </c>
      <c r="O148" t="s">
        <v>356</v>
      </c>
      <c r="P148">
        <v>0.0037606976789420232</v>
      </c>
      <c r="Q148" t="s">
        <v>153</v>
      </c>
      <c r="S148" t="s">
        <v>184</v>
      </c>
      <c r="T148" t="s">
        <v>356</v>
      </c>
      <c r="U148">
        <v>0.0017197355777472643</v>
      </c>
      <c r="V148" t="s">
        <v>153</v>
      </c>
      <c r="X148">
        <v>0.0059360730593607308</v>
      </c>
      <c r="Y148">
        <v>0.0087909902294707031</v>
      </c>
      <c r="Z148" t="s">
        <v>356</v>
      </c>
      <c r="AA148" t="s">
        <v>25</v>
      </c>
      <c r="AC148" t="s">
        <v>22</v>
      </c>
      <c r="AD148" t="s">
        <v>356</v>
      </c>
      <c r="AE148">
        <v>0.0069161850374765488</v>
      </c>
      <c r="AG148" t="s">
        <v>96</v>
      </c>
      <c r="AH148" t="s">
        <v>356</v>
      </c>
      <c r="AI148">
        <v>0.046859262384367328</v>
      </c>
      <c r="AK148">
        <v>2031</v>
      </c>
      <c r="AL148" t="s">
        <v>258</v>
      </c>
      <c r="AM148">
        <v>0.54649999999999999</v>
      </c>
      <c r="AN148" t="s">
        <v>195</v>
      </c>
    </row>
    <row r="149" spans="9:40" ht="14.25">
      <c r="I149" t="s">
        <v>151</v>
      </c>
      <c r="J149" t="s">
        <v>357</v>
      </c>
      <c r="K149">
        <v>0.0069805479557486843</v>
      </c>
      <c r="L149" t="s">
        <v>153</v>
      </c>
      <c r="N149" t="s">
        <v>174</v>
      </c>
      <c r="O149" t="s">
        <v>357</v>
      </c>
      <c r="P149">
        <v>0.0030594940929829341</v>
      </c>
      <c r="Q149" t="s">
        <v>153</v>
      </c>
      <c r="S149" t="s">
        <v>184</v>
      </c>
      <c r="T149" t="s">
        <v>357</v>
      </c>
      <c r="U149">
        <v>0.001795910110977097</v>
      </c>
      <c r="V149" t="s">
        <v>153</v>
      </c>
      <c r="X149">
        <v>0.0059360730593607308</v>
      </c>
      <c r="Y149">
        <v>0.0099114105528346139</v>
      </c>
      <c r="Z149" t="s">
        <v>357</v>
      </c>
      <c r="AA149" t="s">
        <v>25</v>
      </c>
      <c r="AC149" t="s">
        <v>22</v>
      </c>
      <c r="AD149" t="s">
        <v>357</v>
      </c>
      <c r="AE149">
        <v>0.0068874698361864311</v>
      </c>
      <c r="AG149" t="s">
        <v>96</v>
      </c>
      <c r="AH149" t="s">
        <v>357</v>
      </c>
      <c r="AI149">
        <v>0.056255224638691592</v>
      </c>
      <c r="AK149">
        <v>2031</v>
      </c>
      <c r="AL149" t="s">
        <v>259</v>
      </c>
      <c r="AM149">
        <v>0.54649999999999999</v>
      </c>
      <c r="AN149" t="s">
        <v>195</v>
      </c>
    </row>
    <row r="150" spans="9:40" ht="14.25">
      <c r="I150" t="s">
        <v>151</v>
      </c>
      <c r="J150" t="s">
        <v>358</v>
      </c>
      <c r="K150">
        <v>0.010973161505751155</v>
      </c>
      <c r="L150" t="s">
        <v>153</v>
      </c>
      <c r="N150" t="s">
        <v>174</v>
      </c>
      <c r="O150" t="s">
        <v>358</v>
      </c>
      <c r="P150">
        <v>0.002033446669943081</v>
      </c>
      <c r="Q150" t="s">
        <v>153</v>
      </c>
      <c r="S150" t="s">
        <v>184</v>
      </c>
      <c r="T150" t="s">
        <v>358</v>
      </c>
      <c r="U150">
        <v>0.0017751060991361377</v>
      </c>
      <c r="V150" t="s">
        <v>153</v>
      </c>
      <c r="X150">
        <v>0.0059360730593607308</v>
      </c>
      <c r="Y150">
        <v>0.0075843837273864897</v>
      </c>
      <c r="Z150" t="s">
        <v>358</v>
      </c>
      <c r="AA150" t="s">
        <v>25</v>
      </c>
      <c r="AC150" t="s">
        <v>22</v>
      </c>
      <c r="AD150" t="s">
        <v>358</v>
      </c>
      <c r="AE150">
        <v>0.0072790572042876226</v>
      </c>
      <c r="AG150" t="s">
        <v>96</v>
      </c>
      <c r="AH150" t="s">
        <v>358</v>
      </c>
      <c r="AI150">
        <v>0.046028495274216708</v>
      </c>
      <c r="AK150">
        <v>2031</v>
      </c>
      <c r="AL150" t="s">
        <v>260</v>
      </c>
      <c r="AM150">
        <v>0.55895000000000006</v>
      </c>
      <c r="AN150" t="s">
        <v>195</v>
      </c>
    </row>
    <row r="151" spans="9:40" ht="14.25">
      <c r="I151" t="s">
        <v>151</v>
      </c>
      <c r="J151" t="s">
        <v>359</v>
      </c>
      <c r="K151">
        <v>0.099998660749222215</v>
      </c>
      <c r="L151" t="s">
        <v>153</v>
      </c>
      <c r="N151" t="s">
        <v>174</v>
      </c>
      <c r="O151" t="s">
        <v>359</v>
      </c>
      <c r="P151">
        <v>0.020929247982157381</v>
      </c>
      <c r="Q151" t="s">
        <v>153</v>
      </c>
      <c r="S151" t="s">
        <v>184</v>
      </c>
      <c r="T151" t="s">
        <v>359</v>
      </c>
      <c r="U151">
        <v>0.01028949140484698</v>
      </c>
      <c r="V151" t="s">
        <v>153</v>
      </c>
      <c r="X151">
        <v>0.041552511415525115</v>
      </c>
      <c r="Y151">
        <v>0.054090445764860912</v>
      </c>
      <c r="Z151" t="s">
        <v>359</v>
      </c>
      <c r="AA151" t="s">
        <v>25</v>
      </c>
      <c r="AC151" t="s">
        <v>22</v>
      </c>
      <c r="AD151" t="s">
        <v>359</v>
      </c>
      <c r="AE151">
        <v>0.056405741571847745</v>
      </c>
      <c r="AG151" t="s">
        <v>96</v>
      </c>
      <c r="AH151" t="s">
        <v>359</v>
      </c>
      <c r="AI151">
        <v>0.035440004442486073</v>
      </c>
      <c r="AK151">
        <v>2031</v>
      </c>
      <c r="AL151" t="s">
        <v>261</v>
      </c>
      <c r="AM151">
        <v>0.57140000000000002</v>
      </c>
      <c r="AN151" t="s">
        <v>195</v>
      </c>
    </row>
    <row r="152" spans="9:40" ht="14.25">
      <c r="I152" t="s">
        <v>151</v>
      </c>
      <c r="J152" t="s">
        <v>360</v>
      </c>
      <c r="K152">
        <v>0.01079888761996063</v>
      </c>
      <c r="L152" t="s">
        <v>153</v>
      </c>
      <c r="N152" t="s">
        <v>174</v>
      </c>
      <c r="O152" t="s">
        <v>360</v>
      </c>
      <c r="P152">
        <v>0.0051948992033170899</v>
      </c>
      <c r="Q152" t="s">
        <v>153</v>
      </c>
      <c r="S152" t="s">
        <v>184</v>
      </c>
      <c r="T152" t="s">
        <v>360</v>
      </c>
      <c r="U152">
        <v>0.0014117271603860608</v>
      </c>
      <c r="V152" t="s">
        <v>153</v>
      </c>
      <c r="X152">
        <v>0.0059360730593607308</v>
      </c>
      <c r="Y152">
        <v>0.01154894794852033</v>
      </c>
      <c r="Z152" t="s">
        <v>360</v>
      </c>
      <c r="AA152" t="s">
        <v>25</v>
      </c>
      <c r="AC152" t="s">
        <v>22</v>
      </c>
      <c r="AD152" t="s">
        <v>360</v>
      </c>
      <c r="AE152">
        <v>0.0080886543595560228</v>
      </c>
      <c r="AG152" t="s">
        <v>96</v>
      </c>
      <c r="AH152" t="s">
        <v>360</v>
      </c>
      <c r="AI152">
        <v>0.027108246187480312</v>
      </c>
      <c r="AK152">
        <v>2031</v>
      </c>
      <c r="AL152" t="s">
        <v>303</v>
      </c>
      <c r="AM152">
        <v>0.57140000000000002</v>
      </c>
      <c r="AN152" t="s">
        <v>195</v>
      </c>
    </row>
    <row r="153" spans="9:40" ht="14.25">
      <c r="I153" t="s">
        <v>151</v>
      </c>
      <c r="J153" t="s">
        <v>361</v>
      </c>
      <c r="K153">
        <v>0.0071764904535152772</v>
      </c>
      <c r="L153" t="s">
        <v>153</v>
      </c>
      <c r="N153" t="s">
        <v>174</v>
      </c>
      <c r="O153" t="s">
        <v>361</v>
      </c>
      <c r="P153">
        <v>0.0058482938069450464</v>
      </c>
      <c r="Q153" t="s">
        <v>153</v>
      </c>
      <c r="S153" t="s">
        <v>184</v>
      </c>
      <c r="T153" t="s">
        <v>361</v>
      </c>
      <c r="U153">
        <v>0.0015142526429301132</v>
      </c>
      <c r="V153" t="s">
        <v>153</v>
      </c>
      <c r="X153">
        <v>0.0059360730593607308</v>
      </c>
      <c r="Y153">
        <v>0.01154894794852033</v>
      </c>
      <c r="Z153" t="s">
        <v>361</v>
      </c>
      <c r="AA153" t="s">
        <v>25</v>
      </c>
      <c r="AC153" t="s">
        <v>22</v>
      </c>
      <c r="AD153" t="s">
        <v>361</v>
      </c>
      <c r="AE153">
        <v>0.0080619460719684229</v>
      </c>
      <c r="AG153" t="s">
        <v>96</v>
      </c>
      <c r="AH153" t="s">
        <v>361</v>
      </c>
      <c r="AI153">
        <v>0.026958188599459643</v>
      </c>
      <c r="AK153">
        <v>2031</v>
      </c>
      <c r="AL153" t="s">
        <v>304</v>
      </c>
      <c r="AM153">
        <v>0.49206666666666665</v>
      </c>
      <c r="AN153" t="s">
        <v>195</v>
      </c>
    </row>
    <row r="154" spans="9:40" ht="14.25">
      <c r="I154" t="s">
        <v>151</v>
      </c>
      <c r="J154" t="s">
        <v>362</v>
      </c>
      <c r="K154">
        <v>0.0022636580418587981</v>
      </c>
      <c r="L154" t="s">
        <v>153</v>
      </c>
      <c r="N154" t="s">
        <v>174</v>
      </c>
      <c r="O154" t="s">
        <v>362</v>
      </c>
      <c r="P154">
        <v>0.036641552269262377</v>
      </c>
      <c r="Q154" t="s">
        <v>153</v>
      </c>
      <c r="S154" t="s">
        <v>184</v>
      </c>
      <c r="T154" t="s">
        <v>362</v>
      </c>
      <c r="U154">
        <v>0.0099431684721477294</v>
      </c>
      <c r="V154" t="s">
        <v>153</v>
      </c>
      <c r="X154">
        <v>0.035616438356164383</v>
      </c>
      <c r="Y154">
        <v>0.031371769054189563</v>
      </c>
      <c r="Z154" t="s">
        <v>362</v>
      </c>
      <c r="AA154" t="s">
        <v>25</v>
      </c>
      <c r="AC154" t="s">
        <v>22</v>
      </c>
      <c r="AD154" t="s">
        <v>362</v>
      </c>
      <c r="AE154">
        <v>0.047489147799230524</v>
      </c>
      <c r="AG154" t="s">
        <v>96</v>
      </c>
      <c r="AH154" t="s">
        <v>362</v>
      </c>
      <c r="AI154">
        <v>0.04552006865922853</v>
      </c>
      <c r="AK154">
        <v>2031</v>
      </c>
      <c r="AL154" t="s">
        <v>305</v>
      </c>
      <c r="AM154">
        <v>0.4405</v>
      </c>
      <c r="AN154" t="s">
        <v>195</v>
      </c>
    </row>
    <row r="155" spans="9:40" ht="14.25">
      <c r="I155" t="s">
        <v>151</v>
      </c>
      <c r="J155" t="s">
        <v>363</v>
      </c>
      <c r="K155">
        <v>0</v>
      </c>
      <c r="L155" t="s">
        <v>153</v>
      </c>
      <c r="N155" t="s">
        <v>174</v>
      </c>
      <c r="O155" t="s">
        <v>363</v>
      </c>
      <c r="P155">
        <v>0.044120697583004014</v>
      </c>
      <c r="Q155" t="s">
        <v>153</v>
      </c>
      <c r="S155" t="s">
        <v>184</v>
      </c>
      <c r="T155" t="s">
        <v>363</v>
      </c>
      <c r="U155">
        <v>0.052070509845029547</v>
      </c>
      <c r="V155" t="s">
        <v>153</v>
      </c>
      <c r="X155">
        <v>0.056164383561643834</v>
      </c>
      <c r="Y155">
        <v>0.012014353313609958</v>
      </c>
      <c r="Z155" t="s">
        <v>363</v>
      </c>
      <c r="AA155" t="s">
        <v>25</v>
      </c>
      <c r="AC155" t="s">
        <v>22</v>
      </c>
      <c r="AD155" t="s">
        <v>363</v>
      </c>
      <c r="AE155">
        <v>0.041863451696242546</v>
      </c>
      <c r="AG155" t="s">
        <v>96</v>
      </c>
      <c r="AH155" t="s">
        <v>363</v>
      </c>
      <c r="AI155">
        <v>0.50541372437768062</v>
      </c>
      <c r="AK155">
        <v>2031</v>
      </c>
      <c r="AL155" t="s">
        <v>306</v>
      </c>
      <c r="AM155">
        <v>0.42662500000000003</v>
      </c>
      <c r="AN155" t="s">
        <v>195</v>
      </c>
    </row>
    <row r="156" spans="9:40" ht="14.25">
      <c r="I156" t="s">
        <v>151</v>
      </c>
      <c r="J156" t="s">
        <v>364</v>
      </c>
      <c r="K156">
        <v>0.00023767661318934409</v>
      </c>
      <c r="L156" t="s">
        <v>153</v>
      </c>
      <c r="N156" t="s">
        <v>174</v>
      </c>
      <c r="O156" t="s">
        <v>364</v>
      </c>
      <c r="P156">
        <v>0.0070216288491490916</v>
      </c>
      <c r="Q156" t="s">
        <v>153</v>
      </c>
      <c r="S156" t="s">
        <v>184</v>
      </c>
      <c r="T156" t="s">
        <v>364</v>
      </c>
      <c r="U156">
        <v>0.0082123721832029779</v>
      </c>
      <c r="V156" t="s">
        <v>153</v>
      </c>
      <c r="X156">
        <v>0.0093607305936073051</v>
      </c>
      <c r="Y156">
        <v>0.013862715361857644</v>
      </c>
      <c r="Z156" t="s">
        <v>364</v>
      </c>
      <c r="AA156" t="s">
        <v>25</v>
      </c>
      <c r="AC156" t="s">
        <v>22</v>
      </c>
      <c r="AD156" t="s">
        <v>364</v>
      </c>
      <c r="AE156">
        <v>0.00712999491877221</v>
      </c>
      <c r="AG156" t="s">
        <v>96</v>
      </c>
      <c r="AH156" t="s">
        <v>364</v>
      </c>
      <c r="AI156">
        <v>0.35965150155653269</v>
      </c>
      <c r="AK156">
        <v>2031</v>
      </c>
      <c r="AL156" t="s">
        <v>307</v>
      </c>
      <c r="AM156">
        <v>0.41980000000000001</v>
      </c>
      <c r="AN156" t="s">
        <v>195</v>
      </c>
    </row>
    <row r="157" spans="9:40" ht="14.25">
      <c r="I157" t="s">
        <v>151</v>
      </c>
      <c r="J157" t="s">
        <v>365</v>
      </c>
      <c r="K157">
        <v>0.011767378678802658</v>
      </c>
      <c r="L157" t="s">
        <v>153</v>
      </c>
      <c r="N157" t="s">
        <v>174</v>
      </c>
      <c r="O157" t="s">
        <v>365</v>
      </c>
      <c r="P157">
        <v>0.0064911569678438403</v>
      </c>
      <c r="Q157" t="s">
        <v>153</v>
      </c>
      <c r="S157" t="s">
        <v>184</v>
      </c>
      <c r="T157" t="s">
        <v>365</v>
      </c>
      <c r="U157">
        <v>0.0080729784489990408</v>
      </c>
      <c r="V157" t="s">
        <v>153</v>
      </c>
      <c r="X157">
        <v>0.0093607305936073051</v>
      </c>
      <c r="Y157">
        <v>0.015629532025623814</v>
      </c>
      <c r="Z157" t="s">
        <v>365</v>
      </c>
      <c r="AA157" t="s">
        <v>25</v>
      </c>
      <c r="AC157" t="s">
        <v>22</v>
      </c>
      <c r="AD157" t="s">
        <v>365</v>
      </c>
      <c r="AE157">
        <v>0.0073963252020097575</v>
      </c>
      <c r="AG157" t="s">
        <v>96</v>
      </c>
      <c r="AH157" t="s">
        <v>365</v>
      </c>
      <c r="AI157">
        <v>0.2903350144543031</v>
      </c>
      <c r="AK157">
        <v>2031</v>
      </c>
      <c r="AL157" t="s">
        <v>308</v>
      </c>
      <c r="AM157">
        <v>0.41980000000000001</v>
      </c>
      <c r="AN157" t="s">
        <v>195</v>
      </c>
    </row>
    <row r="158" spans="9:40" ht="14.25">
      <c r="I158" t="s">
        <v>151</v>
      </c>
      <c r="J158" t="s">
        <v>366</v>
      </c>
      <c r="K158">
        <v>0.018856495571791653</v>
      </c>
      <c r="L158" t="s">
        <v>153</v>
      </c>
      <c r="N158" t="s">
        <v>174</v>
      </c>
      <c r="O158" t="s">
        <v>366</v>
      </c>
      <c r="P158">
        <v>0.0050164914905238764</v>
      </c>
      <c r="Q158" t="s">
        <v>153</v>
      </c>
      <c r="S158" t="s">
        <v>184</v>
      </c>
      <c r="T158" t="s">
        <v>366</v>
      </c>
      <c r="U158">
        <v>0.0078894981062535736</v>
      </c>
      <c r="V158" t="s">
        <v>153</v>
      </c>
      <c r="X158">
        <v>0.0093607305936073051</v>
      </c>
      <c r="Y158">
        <v>0.01195998972395562</v>
      </c>
      <c r="Z158" t="s">
        <v>366</v>
      </c>
      <c r="AA158" t="s">
        <v>25</v>
      </c>
      <c r="AC158" t="s">
        <v>22</v>
      </c>
      <c r="AD158" t="s">
        <v>366</v>
      </c>
      <c r="AE158">
        <v>0.0083086191651428401</v>
      </c>
      <c r="AG158" t="s">
        <v>96</v>
      </c>
      <c r="AH158" t="s">
        <v>366</v>
      </c>
      <c r="AI158">
        <v>0.26721587858518081</v>
      </c>
      <c r="AK158">
        <v>2032</v>
      </c>
      <c r="AL158" t="s">
        <v>141</v>
      </c>
      <c r="AM158">
        <v>0.39329999999999998</v>
      </c>
      <c r="AN158" t="s">
        <v>195</v>
      </c>
    </row>
    <row r="159" spans="9:40" ht="14.25">
      <c r="I159" t="s">
        <v>151</v>
      </c>
      <c r="J159" t="s">
        <v>367</v>
      </c>
      <c r="K159">
        <v>0.15929616442136851</v>
      </c>
      <c r="L159" t="s">
        <v>153</v>
      </c>
      <c r="N159" t="s">
        <v>174</v>
      </c>
      <c r="O159" t="s">
        <v>367</v>
      </c>
      <c r="P159">
        <v>0.037476366483278976</v>
      </c>
      <c r="Q159" t="s">
        <v>153</v>
      </c>
      <c r="S159" t="s">
        <v>184</v>
      </c>
      <c r="T159" t="s">
        <v>367</v>
      </c>
      <c r="U159">
        <v>0.05333186688700238</v>
      </c>
      <c r="V159" t="s">
        <v>153</v>
      </c>
      <c r="X159">
        <v>0.065525114155251141</v>
      </c>
      <c r="Y159">
        <v>0.085296472167665283</v>
      </c>
      <c r="Z159" t="s">
        <v>367</v>
      </c>
      <c r="AA159" t="s">
        <v>25</v>
      </c>
      <c r="AC159" t="s">
        <v>22</v>
      </c>
      <c r="AD159" t="s">
        <v>367</v>
      </c>
      <c r="AE159">
        <v>0.067598977648081107</v>
      </c>
      <c r="AG159" t="s">
        <v>96</v>
      </c>
      <c r="AH159" t="s">
        <v>367</v>
      </c>
      <c r="AI159">
        <v>0.26078495756523346</v>
      </c>
      <c r="AK159">
        <v>2032</v>
      </c>
      <c r="AL159" t="s">
        <v>145</v>
      </c>
      <c r="AM159">
        <v>0.39329999999999998</v>
      </c>
      <c r="AN159" t="s">
        <v>195</v>
      </c>
    </row>
    <row r="160" spans="9:40" ht="14.25">
      <c r="I160" t="s">
        <v>151</v>
      </c>
      <c r="J160" t="s">
        <v>368</v>
      </c>
      <c r="K160">
        <v>0.017037630705822475</v>
      </c>
      <c r="L160" t="s">
        <v>153</v>
      </c>
      <c r="N160" t="s">
        <v>174</v>
      </c>
      <c r="O160" t="s">
        <v>368</v>
      </c>
      <c r="P160">
        <v>0.0066361835115096354</v>
      </c>
      <c r="Q160" t="s">
        <v>153</v>
      </c>
      <c r="S160" t="s">
        <v>184</v>
      </c>
      <c r="T160" t="s">
        <v>368</v>
      </c>
      <c r="U160">
        <v>0.0082096959191604035</v>
      </c>
      <c r="V160" t="s">
        <v>153</v>
      </c>
      <c r="X160">
        <v>0.0093607305936073051</v>
      </c>
      <c r="Y160">
        <v>0.018211802534205141</v>
      </c>
      <c r="Z160" t="s">
        <v>368</v>
      </c>
      <c r="AA160" t="s">
        <v>25</v>
      </c>
      <c r="AC160" t="s">
        <v>22</v>
      </c>
      <c r="AD160" t="s">
        <v>368</v>
      </c>
      <c r="AE160">
        <v>0.0097854742881387409</v>
      </c>
      <c r="AG160" t="s">
        <v>96</v>
      </c>
      <c r="AH160" t="s">
        <v>368</v>
      </c>
      <c r="AI160">
        <v>0.24503575808230282</v>
      </c>
      <c r="AK160">
        <v>2032</v>
      </c>
      <c r="AL160" t="s">
        <v>147</v>
      </c>
      <c r="AM160">
        <v>0.38580000000000003</v>
      </c>
      <c r="AN160" t="s">
        <v>195</v>
      </c>
    </row>
    <row r="161" spans="9:40" ht="14.25">
      <c r="I161" t="s">
        <v>151</v>
      </c>
      <c r="J161" t="s">
        <v>369</v>
      </c>
      <c r="K161">
        <v>0.0095644525674852387</v>
      </c>
      <c r="L161" t="s">
        <v>153</v>
      </c>
      <c r="N161" t="s">
        <v>174</v>
      </c>
      <c r="O161" t="s">
        <v>369</v>
      </c>
      <c r="P161">
        <v>0.0075215281377393308</v>
      </c>
      <c r="Q161" t="s">
        <v>153</v>
      </c>
      <c r="S161" t="s">
        <v>184</v>
      </c>
      <c r="T161" t="s">
        <v>369</v>
      </c>
      <c r="U161">
        <v>0.0083826298332633064</v>
      </c>
      <c r="V161" t="s">
        <v>153</v>
      </c>
      <c r="X161">
        <v>0.0093607305936073051</v>
      </c>
      <c r="Y161">
        <v>0.018211802534205141</v>
      </c>
      <c r="Z161" t="s">
        <v>369</v>
      </c>
      <c r="AA161" t="s">
        <v>25</v>
      </c>
      <c r="AC161" t="s">
        <v>22</v>
      </c>
      <c r="AD161" t="s">
        <v>369</v>
      </c>
      <c r="AE161">
        <v>0.0098726408510147398</v>
      </c>
      <c r="AG161" t="s">
        <v>96</v>
      </c>
      <c r="AH161" t="s">
        <v>369</v>
      </c>
      <c r="AI161">
        <v>0.23746031714640403</v>
      </c>
      <c r="AK161">
        <v>2032</v>
      </c>
      <c r="AL161" t="s">
        <v>149</v>
      </c>
      <c r="AM161">
        <v>0.37830000000000003</v>
      </c>
      <c r="AN161" t="s">
        <v>195</v>
      </c>
    </row>
    <row r="162" spans="9:40" ht="14.25">
      <c r="I162" t="s">
        <v>151</v>
      </c>
      <c r="J162" t="s">
        <v>370</v>
      </c>
      <c r="K162">
        <v>0</v>
      </c>
      <c r="L162" t="s">
        <v>153</v>
      </c>
      <c r="N162" t="s">
        <v>174</v>
      </c>
      <c r="O162" t="s">
        <v>370</v>
      </c>
      <c r="P162">
        <v>0.048484478018136226</v>
      </c>
      <c r="Q162" t="s">
        <v>153</v>
      </c>
      <c r="S162" t="s">
        <v>184</v>
      </c>
      <c r="T162" t="s">
        <v>370</v>
      </c>
      <c r="U162">
        <v>0.050107196059176372</v>
      </c>
      <c r="V162" t="s">
        <v>153</v>
      </c>
      <c r="X162">
        <v>0.056164383561643834</v>
      </c>
      <c r="Y162">
        <v>0.049470866585452779</v>
      </c>
      <c r="Z162" t="s">
        <v>370</v>
      </c>
      <c r="AA162" t="s">
        <v>25</v>
      </c>
      <c r="AC162" t="s">
        <v>22</v>
      </c>
      <c r="AD162" t="s">
        <v>370</v>
      </c>
      <c r="AE162">
        <v>0.057048017467769177</v>
      </c>
      <c r="AG162" t="s">
        <v>96</v>
      </c>
      <c r="AH162" t="s">
        <v>370</v>
      </c>
      <c r="AI162">
        <v>0.28804726023809701</v>
      </c>
      <c r="AK162">
        <v>2032</v>
      </c>
      <c r="AL162" t="s">
        <v>198</v>
      </c>
      <c r="AM162">
        <v>0.40265000000000001</v>
      </c>
      <c r="AN162" t="s">
        <v>195</v>
      </c>
    </row>
    <row r="163" spans="9:40" ht="14.25">
      <c r="I163" t="s">
        <v>151</v>
      </c>
      <c r="J163" t="s">
        <v>371</v>
      </c>
      <c r="K163">
        <v>0</v>
      </c>
      <c r="L163" t="s">
        <v>153</v>
      </c>
      <c r="N163" t="s">
        <v>174</v>
      </c>
      <c r="O163" t="s">
        <v>371</v>
      </c>
      <c r="P163">
        <v>0.0088043914024307883</v>
      </c>
      <c r="Q163" t="s">
        <v>153</v>
      </c>
      <c r="S163" t="s">
        <v>184</v>
      </c>
      <c r="T163" t="s">
        <v>371</v>
      </c>
      <c r="U163">
        <v>0.01163603946412513</v>
      </c>
      <c r="V163" t="s">
        <v>153</v>
      </c>
      <c r="X163">
        <v>0.0047945205479452057</v>
      </c>
      <c r="Y163">
        <v>0.001025615526771582</v>
      </c>
      <c r="Z163" t="s">
        <v>371</v>
      </c>
      <c r="AA163" t="s">
        <v>25</v>
      </c>
      <c r="AC163" t="s">
        <v>22</v>
      </c>
      <c r="AD163" t="s">
        <v>371</v>
      </c>
      <c r="AE163">
        <v>0.0028527382803254617</v>
      </c>
      <c r="AG163" t="s">
        <v>96</v>
      </c>
      <c r="AH163" t="s">
        <v>371</v>
      </c>
      <c r="AI163">
        <v>0.11058991685959096</v>
      </c>
      <c r="AK163">
        <v>2032</v>
      </c>
      <c r="AL163" t="s">
        <v>216</v>
      </c>
      <c r="AM163">
        <v>0.42699999999999999</v>
      </c>
      <c r="AN163" t="s">
        <v>195</v>
      </c>
    </row>
    <row r="164" spans="9:40" ht="14.25">
      <c r="I164" t="s">
        <v>151</v>
      </c>
      <c r="J164" t="s">
        <v>372</v>
      </c>
      <c r="K164">
        <v>0</v>
      </c>
      <c r="L164" t="s">
        <v>153</v>
      </c>
      <c r="N164" t="s">
        <v>174</v>
      </c>
      <c r="O164" t="s">
        <v>372</v>
      </c>
      <c r="P164">
        <v>0.0017343128963517571</v>
      </c>
      <c r="Q164" t="s">
        <v>153</v>
      </c>
      <c r="S164" t="s">
        <v>184</v>
      </c>
      <c r="T164" t="s">
        <v>372</v>
      </c>
      <c r="U164">
        <v>0.0022078269848206655</v>
      </c>
      <c r="V164" t="s">
        <v>153</v>
      </c>
      <c r="X164">
        <v>0.00079908675799086762</v>
      </c>
      <c r="Y164">
        <v>0.0011834025308902867</v>
      </c>
      <c r="Z164" t="s">
        <v>372</v>
      </c>
      <c r="AA164" t="s">
        <v>25</v>
      </c>
      <c r="AC164" t="s">
        <v>22</v>
      </c>
      <c r="AD164" t="s">
        <v>372</v>
      </c>
      <c r="AE164">
        <v>0.00053708827202817626</v>
      </c>
      <c r="AG164" t="s">
        <v>96</v>
      </c>
      <c r="AH164" t="s">
        <v>372</v>
      </c>
      <c r="AI164">
        <v>0.03921617387412013</v>
      </c>
      <c r="AK164">
        <v>2032</v>
      </c>
      <c r="AL164" t="s">
        <v>232</v>
      </c>
      <c r="AM164">
        <v>0.42699999999999999</v>
      </c>
      <c r="AN164" t="s">
        <v>195</v>
      </c>
    </row>
    <row r="165" spans="9:40" ht="14.25">
      <c r="I165" t="s">
        <v>151</v>
      </c>
      <c r="J165" t="s">
        <v>373</v>
      </c>
      <c r="K165">
        <v>0.00069744673982422652</v>
      </c>
      <c r="L165" t="s">
        <v>153</v>
      </c>
      <c r="N165" t="s">
        <v>174</v>
      </c>
      <c r="O165" t="s">
        <v>373</v>
      </c>
      <c r="P165">
        <v>0.0016912825586049476</v>
      </c>
      <c r="Q165" t="s">
        <v>153</v>
      </c>
      <c r="S165" t="s">
        <v>184</v>
      </c>
      <c r="T165" t="s">
        <v>373</v>
      </c>
      <c r="U165">
        <v>0.0022290002957872949</v>
      </c>
      <c r="V165" t="s">
        <v>153</v>
      </c>
      <c r="X165">
        <v>0.00079908675799086762</v>
      </c>
      <c r="Y165">
        <v>0.0013342283436508136</v>
      </c>
      <c r="Z165" t="s">
        <v>373</v>
      </c>
      <c r="AA165" t="s">
        <v>25</v>
      </c>
      <c r="AC165" t="s">
        <v>22</v>
      </c>
      <c r="AD165" t="s">
        <v>373</v>
      </c>
      <c r="AE165">
        <v>0.00058698108012104411</v>
      </c>
      <c r="AG165" t="s">
        <v>96</v>
      </c>
      <c r="AH165" t="s">
        <v>373</v>
      </c>
      <c r="AI165">
        <v>0.056629331764596724</v>
      </c>
      <c r="AK165">
        <v>2032</v>
      </c>
      <c r="AL165" t="s">
        <v>233</v>
      </c>
      <c r="AM165">
        <v>0.42699999999999999</v>
      </c>
      <c r="AN165" t="s">
        <v>195</v>
      </c>
    </row>
    <row r="166" spans="9:40" ht="14.25">
      <c r="I166" t="s">
        <v>151</v>
      </c>
      <c r="J166" t="s">
        <v>374</v>
      </c>
      <c r="K166">
        <v>0.00129823290198447</v>
      </c>
      <c r="L166" t="s">
        <v>153</v>
      </c>
      <c r="N166" t="s">
        <v>174</v>
      </c>
      <c r="O166" t="s">
        <v>374</v>
      </c>
      <c r="P166">
        <v>0.0015001966714549217</v>
      </c>
      <c r="Q166" t="s">
        <v>153</v>
      </c>
      <c r="S166" t="s">
        <v>184</v>
      </c>
      <c r="T166" t="s">
        <v>374</v>
      </c>
      <c r="U166">
        <v>0.0022286401362425182</v>
      </c>
      <c r="V166" t="s">
        <v>153</v>
      </c>
      <c r="X166">
        <v>0.00079908675799086762</v>
      </c>
      <c r="Y166">
        <v>0.0010209747325327968</v>
      </c>
      <c r="Z166" t="s">
        <v>374</v>
      </c>
      <c r="AA166" t="s">
        <v>25</v>
      </c>
      <c r="AC166" t="s">
        <v>22</v>
      </c>
      <c r="AD166" t="s">
        <v>374</v>
      </c>
      <c r="AE166">
        <v>0.000641476954816493</v>
      </c>
      <c r="AG166" t="s">
        <v>96</v>
      </c>
      <c r="AH166" t="s">
        <v>374</v>
      </c>
      <c r="AI166">
        <v>0.064461640631767514</v>
      </c>
      <c r="AK166">
        <v>2032</v>
      </c>
      <c r="AL166" t="s">
        <v>234</v>
      </c>
      <c r="AM166">
        <v>0.47919999999999996</v>
      </c>
      <c r="AN166" t="s">
        <v>195</v>
      </c>
    </row>
    <row r="167" spans="9:40" ht="14.25">
      <c r="I167" t="s">
        <v>151</v>
      </c>
      <c r="J167" t="s">
        <v>375</v>
      </c>
      <c r="K167">
        <v>0.013057465681996665</v>
      </c>
      <c r="L167" t="s">
        <v>153</v>
      </c>
      <c r="N167" t="s">
        <v>174</v>
      </c>
      <c r="O167" t="s">
        <v>375</v>
      </c>
      <c r="P167">
        <v>0.010812717548897939</v>
      </c>
      <c r="Q167" t="s">
        <v>153</v>
      </c>
      <c r="S167" t="s">
        <v>184</v>
      </c>
      <c r="T167" t="s">
        <v>375</v>
      </c>
      <c r="U167">
        <v>0.015253027117231661</v>
      </c>
      <c r="V167" t="s">
        <v>153</v>
      </c>
      <c r="X167">
        <v>0.0055936073059360729</v>
      </c>
      <c r="Y167">
        <v>0.0072814061606543534</v>
      </c>
      <c r="Z167" t="s">
        <v>375</v>
      </c>
      <c r="AA167" t="s">
        <v>25</v>
      </c>
      <c r="AC167" t="s">
        <v>22</v>
      </c>
      <c r="AD167" t="s">
        <v>375</v>
      </c>
      <c r="AE167">
        <v>0.004732679347346138</v>
      </c>
      <c r="AG167" t="s">
        <v>96</v>
      </c>
      <c r="AH167" t="s">
        <v>375</v>
      </c>
      <c r="AI167">
        <v>0.075054659371498689</v>
      </c>
      <c r="AK167">
        <v>2032</v>
      </c>
      <c r="AL167" t="s">
        <v>256</v>
      </c>
      <c r="AM167">
        <v>0.53139999999999998</v>
      </c>
      <c r="AN167" t="s">
        <v>195</v>
      </c>
    </row>
    <row r="168" spans="9:40" ht="14.25">
      <c r="I168" t="s">
        <v>151</v>
      </c>
      <c r="J168" t="s">
        <v>376</v>
      </c>
      <c r="K168">
        <v>0.0014700142607367956</v>
      </c>
      <c r="L168" t="s">
        <v>153</v>
      </c>
      <c r="N168" t="s">
        <v>174</v>
      </c>
      <c r="O168" t="s">
        <v>376</v>
      </c>
      <c r="P168">
        <v>0.0015505904454725977</v>
      </c>
      <c r="Q168" t="s">
        <v>153</v>
      </c>
      <c r="S168" t="s">
        <v>184</v>
      </c>
      <c r="T168" t="s">
        <v>376</v>
      </c>
      <c r="U168">
        <v>0.002077334373425917</v>
      </c>
      <c r="V168" t="s">
        <v>153</v>
      </c>
      <c r="X168">
        <v>0.00079908675799086762</v>
      </c>
      <c r="Y168">
        <v>0.0015546660699931219</v>
      </c>
      <c r="Z168" t="s">
        <v>376</v>
      </c>
      <c r="AA168" t="s">
        <v>25</v>
      </c>
      <c r="AC168" t="s">
        <v>22</v>
      </c>
      <c r="AD168" t="s">
        <v>376</v>
      </c>
      <c r="AE168">
        <v>0.00068277620510758419</v>
      </c>
      <c r="AG168" t="s">
        <v>96</v>
      </c>
      <c r="AH168" t="s">
        <v>376</v>
      </c>
      <c r="AI168">
        <v>0.057756625529664651</v>
      </c>
      <c r="AK168">
        <v>2032</v>
      </c>
      <c r="AL168" t="s">
        <v>257</v>
      </c>
      <c r="AM168">
        <v>0.52655000000000007</v>
      </c>
      <c r="AN168" t="s">
        <v>195</v>
      </c>
    </row>
    <row r="169" spans="9:40" ht="14.25">
      <c r="I169" t="s">
        <v>151</v>
      </c>
      <c r="J169" t="s">
        <v>377</v>
      </c>
      <c r="K169">
        <v>0.00081869157000727247</v>
      </c>
      <c r="L169" t="s">
        <v>153</v>
      </c>
      <c r="N169" t="s">
        <v>174</v>
      </c>
      <c r="O169" t="s">
        <v>377</v>
      </c>
      <c r="P169">
        <v>0.0015057427906469635</v>
      </c>
      <c r="Q169" t="s">
        <v>153</v>
      </c>
      <c r="S169" t="s">
        <v>184</v>
      </c>
      <c r="T169" t="s">
        <v>377</v>
      </c>
      <c r="U169">
        <v>0.0020104023246060613</v>
      </c>
      <c r="V169" t="s">
        <v>153</v>
      </c>
      <c r="X169">
        <v>0.00079908675799086762</v>
      </c>
      <c r="Y169">
        <v>0.0015546660699931219</v>
      </c>
      <c r="Z169" t="s">
        <v>377</v>
      </c>
      <c r="AA169" t="s">
        <v>25</v>
      </c>
      <c r="AC169" t="s">
        <v>22</v>
      </c>
      <c r="AD169" t="s">
        <v>377</v>
      </c>
      <c r="AE169">
        <v>0.00070656163291331646</v>
      </c>
      <c r="AG169" t="s">
        <v>96</v>
      </c>
      <c r="AH169" t="s">
        <v>377</v>
      </c>
      <c r="AI169">
        <v>0.045501309390198363</v>
      </c>
      <c r="AK169">
        <v>2032</v>
      </c>
      <c r="AL169" t="s">
        <v>258</v>
      </c>
      <c r="AM169">
        <v>0.52170000000000005</v>
      </c>
      <c r="AN169" t="s">
        <v>195</v>
      </c>
    </row>
    <row r="170" spans="9:40" ht="14.25">
      <c r="I170" t="s">
        <v>151</v>
      </c>
      <c r="J170" t="s">
        <v>378</v>
      </c>
      <c r="K170">
        <v>0</v>
      </c>
      <c r="L170" t="s">
        <v>153</v>
      </c>
      <c r="N170" t="s">
        <v>174</v>
      </c>
      <c r="O170" t="s">
        <v>378</v>
      </c>
      <c r="P170">
        <v>0.0090506504291959847</v>
      </c>
      <c r="Q170" t="s">
        <v>153</v>
      </c>
      <c r="S170" t="s">
        <v>184</v>
      </c>
      <c r="T170" t="s">
        <v>378</v>
      </c>
      <c r="U170">
        <v>0.011076876338012546</v>
      </c>
      <c r="V170" t="s">
        <v>153</v>
      </c>
      <c r="X170">
        <v>0.0047945205479452057</v>
      </c>
      <c r="Y170">
        <v>0.0042231227572947496</v>
      </c>
      <c r="Z170" t="s">
        <v>378</v>
      </c>
      <c r="AA170" t="s">
        <v>25</v>
      </c>
      <c r="AC170" t="s">
        <v>22</v>
      </c>
      <c r="AD170" t="s">
        <v>378</v>
      </c>
      <c r="AE170">
        <v>0.0039956814679617631</v>
      </c>
      <c r="AG170" t="s">
        <v>96</v>
      </c>
      <c r="AH170" t="s">
        <v>378</v>
      </c>
      <c r="AI170">
        <v>0.11057291459880103</v>
      </c>
      <c r="AK170">
        <v>2032</v>
      </c>
      <c r="AL170" t="s">
        <v>259</v>
      </c>
      <c r="AM170">
        <v>0.52170000000000005</v>
      </c>
      <c r="AN170" t="s">
        <v>195</v>
      </c>
    </row>
    <row r="171" spans="9:40" ht="14.25">
      <c r="I171" t="s">
        <v>151</v>
      </c>
      <c r="J171" t="s">
        <v>379</v>
      </c>
      <c r="K171">
        <v>0</v>
      </c>
      <c r="L171" t="s">
        <v>153</v>
      </c>
      <c r="N171" t="s">
        <v>174</v>
      </c>
      <c r="O171" t="s">
        <v>379</v>
      </c>
      <c r="P171">
        <v>0.0058583588959707708</v>
      </c>
      <c r="Q171" t="s">
        <v>153</v>
      </c>
      <c r="S171" t="s">
        <v>184</v>
      </c>
      <c r="T171" t="s">
        <v>379</v>
      </c>
      <c r="U171">
        <v>0.0066234980116558137</v>
      </c>
      <c r="V171" t="s">
        <v>153</v>
      </c>
      <c r="X171">
        <v>0.0068493150684931503</v>
      </c>
      <c r="Y171">
        <v>0.0014651650382451168</v>
      </c>
      <c r="Z171" t="s">
        <v>379</v>
      </c>
      <c r="AA171" t="s">
        <v>25</v>
      </c>
      <c r="AC171" t="s">
        <v>22</v>
      </c>
      <c r="AD171" t="s">
        <v>379</v>
      </c>
      <c r="AE171">
        <v>0.0041126749960704529</v>
      </c>
      <c r="AG171" t="s">
        <v>96</v>
      </c>
      <c r="AH171" t="s">
        <v>379</v>
      </c>
      <c r="AI171">
        <v>0.1275526424942468</v>
      </c>
      <c r="AK171">
        <v>2032</v>
      </c>
      <c r="AL171" t="s">
        <v>260</v>
      </c>
      <c r="AM171">
        <v>0.5515000000000001</v>
      </c>
      <c r="AN171" t="s">
        <v>195</v>
      </c>
    </row>
    <row r="172" spans="9:40" ht="14.25">
      <c r="I172" t="s">
        <v>151</v>
      </c>
      <c r="J172" t="s">
        <v>380</v>
      </c>
      <c r="K172">
        <v>0</v>
      </c>
      <c r="L172" t="s">
        <v>153</v>
      </c>
      <c r="N172" t="s">
        <v>174</v>
      </c>
      <c r="O172" t="s">
        <v>380</v>
      </c>
      <c r="P172">
        <v>0.001023048213191387</v>
      </c>
      <c r="Q172" t="s">
        <v>153</v>
      </c>
      <c r="S172" t="s">
        <v>184</v>
      </c>
      <c r="T172" t="s">
        <v>380</v>
      </c>
      <c r="U172">
        <v>0.0011084607541869997</v>
      </c>
      <c r="V172" t="s">
        <v>153</v>
      </c>
      <c r="X172">
        <v>0.0011415525114155251</v>
      </c>
      <c r="Y172">
        <v>0.0016905750441289812</v>
      </c>
      <c r="Z172" t="s">
        <v>380</v>
      </c>
      <c r="AA172" t="s">
        <v>25</v>
      </c>
      <c r="AC172" t="s">
        <v>22</v>
      </c>
      <c r="AD172" t="s">
        <v>380</v>
      </c>
      <c r="AE172">
        <v>0.00078829238119725086</v>
      </c>
      <c r="AG172" t="s">
        <v>96</v>
      </c>
      <c r="AH172" t="s">
        <v>380</v>
      </c>
      <c r="AI172">
        <v>0.056011821876154499</v>
      </c>
      <c r="AK172">
        <v>2032</v>
      </c>
      <c r="AL172" t="s">
        <v>261</v>
      </c>
      <c r="AM172">
        <v>0.58130000000000004</v>
      </c>
      <c r="AN172" t="s">
        <v>195</v>
      </c>
    </row>
    <row r="173" spans="9:40" ht="14.25">
      <c r="I173" t="s">
        <v>151</v>
      </c>
      <c r="J173" t="s">
        <v>381</v>
      </c>
      <c r="K173">
        <v>0.001080626300258464</v>
      </c>
      <c r="L173" t="s">
        <v>153</v>
      </c>
      <c r="N173" t="s">
        <v>174</v>
      </c>
      <c r="O173" t="s">
        <v>381</v>
      </c>
      <c r="P173">
        <v>0.0010230791703683547</v>
      </c>
      <c r="Q173" t="s">
        <v>153</v>
      </c>
      <c r="S173" t="s">
        <v>184</v>
      </c>
      <c r="T173" t="s">
        <v>381</v>
      </c>
      <c r="U173">
        <v>0.0010777017926735604</v>
      </c>
      <c r="V173" t="s">
        <v>153</v>
      </c>
      <c r="X173">
        <v>0.0011415525114155251</v>
      </c>
      <c r="Y173">
        <v>0.0019060404909297334</v>
      </c>
      <c r="Z173" t="s">
        <v>381</v>
      </c>
      <c r="AA173" t="s">
        <v>25</v>
      </c>
      <c r="AC173" t="s">
        <v>22</v>
      </c>
      <c r="AD173" t="s">
        <v>381</v>
      </c>
      <c r="AE173">
        <v>0.00087811927153937975</v>
      </c>
      <c r="AG173" t="s">
        <v>96</v>
      </c>
      <c r="AH173" t="s">
        <v>381</v>
      </c>
      <c r="AI173">
        <v>0.078174159358635364</v>
      </c>
      <c r="AK173">
        <v>2032</v>
      </c>
      <c r="AL173" t="s">
        <v>303</v>
      </c>
      <c r="AM173">
        <v>0.58130000000000004</v>
      </c>
      <c r="AN173" t="s">
        <v>195</v>
      </c>
    </row>
    <row r="174" spans="9:40" ht="14.25">
      <c r="I174" t="s">
        <v>151</v>
      </c>
      <c r="J174" t="s">
        <v>382</v>
      </c>
      <c r="K174">
        <v>0.0019480451186658127</v>
      </c>
      <c r="L174" t="s">
        <v>153</v>
      </c>
      <c r="N174" t="s">
        <v>174</v>
      </c>
      <c r="O174" t="s">
        <v>382</v>
      </c>
      <c r="P174">
        <v>0.00087010974948231832</v>
      </c>
      <c r="Q174" t="s">
        <v>153</v>
      </c>
      <c r="S174" t="s">
        <v>184</v>
      </c>
      <c r="T174" t="s">
        <v>382</v>
      </c>
      <c r="U174">
        <v>0.0010805345569254582</v>
      </c>
      <c r="V174" t="s">
        <v>153</v>
      </c>
      <c r="X174">
        <v>0.0011415525114155251</v>
      </c>
      <c r="Y174">
        <v>0.0014585353321897095</v>
      </c>
      <c r="Z174" t="s">
        <v>382</v>
      </c>
      <c r="AA174" t="s">
        <v>25</v>
      </c>
      <c r="AC174" t="s">
        <v>22</v>
      </c>
      <c r="AD174" t="s">
        <v>382</v>
      </c>
      <c r="AE174">
        <v>0.00094026358769995369</v>
      </c>
      <c r="AG174" t="s">
        <v>96</v>
      </c>
      <c r="AH174" t="s">
        <v>382</v>
      </c>
      <c r="AI174">
        <v>0.094884006455637326</v>
      </c>
      <c r="AK174">
        <v>2032</v>
      </c>
      <c r="AL174" t="s">
        <v>304</v>
      </c>
      <c r="AM174">
        <v>0.5386333333333333</v>
      </c>
      <c r="AN174" t="s">
        <v>195</v>
      </c>
    </row>
    <row r="175" spans="9:40" ht="14.25">
      <c r="I175" t="s">
        <v>151</v>
      </c>
      <c r="J175" t="s">
        <v>383</v>
      </c>
      <c r="K175">
        <v>0.018768798504234706</v>
      </c>
      <c r="L175" t="s">
        <v>153</v>
      </c>
      <c r="N175" t="s">
        <v>174</v>
      </c>
      <c r="O175" t="s">
        <v>383</v>
      </c>
      <c r="P175">
        <v>0.0056419379463387275</v>
      </c>
      <c r="Q175" t="s">
        <v>153</v>
      </c>
      <c r="S175" t="s">
        <v>184</v>
      </c>
      <c r="T175" t="s">
        <v>383</v>
      </c>
      <c r="U175">
        <v>0.0073388678492354214</v>
      </c>
      <c r="V175" t="s">
        <v>153</v>
      </c>
      <c r="X175">
        <v>0.0079908675799086754</v>
      </c>
      <c r="Y175">
        <v>0.01040200880093479</v>
      </c>
      <c r="Z175" t="s">
        <v>383</v>
      </c>
      <c r="AA175" t="s">
        <v>25</v>
      </c>
      <c r="AC175" t="s">
        <v>22</v>
      </c>
      <c r="AD175" t="s">
        <v>383</v>
      </c>
      <c r="AE175">
        <v>0.0067333846005942785</v>
      </c>
      <c r="AG175" t="s">
        <v>96</v>
      </c>
      <c r="AH175" t="s">
        <v>383</v>
      </c>
      <c r="AI175">
        <v>0.072313781266211574</v>
      </c>
      <c r="AK175">
        <v>2032</v>
      </c>
      <c r="AL175" t="s">
        <v>305</v>
      </c>
      <c r="AM175">
        <v>0.43254999999999999</v>
      </c>
      <c r="AN175" t="s">
        <v>195</v>
      </c>
    </row>
    <row r="176" spans="9:40" ht="14.25">
      <c r="I176" t="s">
        <v>151</v>
      </c>
      <c r="J176" t="s">
        <v>384</v>
      </c>
      <c r="K176">
        <v>0.0021725435856738834</v>
      </c>
      <c r="L176" t="s">
        <v>153</v>
      </c>
      <c r="N176" t="s">
        <v>174</v>
      </c>
      <c r="O176" t="s">
        <v>384</v>
      </c>
      <c r="P176">
        <v>0.0010843922054774402</v>
      </c>
      <c r="Q176" t="s">
        <v>153</v>
      </c>
      <c r="S176" t="s">
        <v>184</v>
      </c>
      <c r="T176" t="s">
        <v>384</v>
      </c>
      <c r="U176">
        <v>0.00091818748357508416</v>
      </c>
      <c r="V176" t="s">
        <v>153</v>
      </c>
      <c r="X176">
        <v>0.0011415525114155251</v>
      </c>
      <c r="Y176">
        <v>0.002220951528561603</v>
      </c>
      <c r="Z176" t="s">
        <v>384</v>
      </c>
      <c r="AA176" t="s">
        <v>25</v>
      </c>
      <c r="AC176" t="s">
        <v>22</v>
      </c>
      <c r="AD176" t="s">
        <v>384</v>
      </c>
      <c r="AE176">
        <v>0.00097507537276662144</v>
      </c>
      <c r="AG176" t="s">
        <v>96</v>
      </c>
      <c r="AH176" t="s">
        <v>384</v>
      </c>
      <c r="AI176">
        <v>0.056640427772515212</v>
      </c>
      <c r="AK176">
        <v>2032</v>
      </c>
      <c r="AL176" t="s">
        <v>306</v>
      </c>
      <c r="AM176">
        <v>0.38487500000000002</v>
      </c>
      <c r="AN176" t="s">
        <v>195</v>
      </c>
    </row>
    <row r="177" spans="9:40" ht="14.25">
      <c r="I177" t="s">
        <v>151</v>
      </c>
      <c r="J177" t="s">
        <v>385</v>
      </c>
      <c r="K177">
        <v>0.001234166732638767</v>
      </c>
      <c r="L177" t="s">
        <v>153</v>
      </c>
      <c r="N177" t="s">
        <v>174</v>
      </c>
      <c r="O177" t="s">
        <v>385</v>
      </c>
      <c r="P177">
        <v>0.0011255150205099634</v>
      </c>
      <c r="Q177" t="s">
        <v>153</v>
      </c>
      <c r="S177" t="s">
        <v>184</v>
      </c>
      <c r="T177" t="s">
        <v>385</v>
      </c>
      <c r="U177">
        <v>0.00085676509547077733</v>
      </c>
      <c r="V177" t="s">
        <v>153</v>
      </c>
      <c r="X177">
        <v>0.0011415525114155251</v>
      </c>
      <c r="Y177">
        <v>0.002220951528561603</v>
      </c>
      <c r="Z177" t="s">
        <v>385</v>
      </c>
      <c r="AA177" t="s">
        <v>25</v>
      </c>
      <c r="AC177" t="s">
        <v>22</v>
      </c>
      <c r="AD177" t="s">
        <v>385</v>
      </c>
      <c r="AE177">
        <v>0.0010006693565252057</v>
      </c>
      <c r="AG177" t="s">
        <v>96</v>
      </c>
      <c r="AH177" t="s">
        <v>385</v>
      </c>
      <c r="AI177">
        <v>0.052847213065345677</v>
      </c>
      <c r="AK177">
        <v>2032</v>
      </c>
      <c r="AL177" t="s">
        <v>307</v>
      </c>
      <c r="AM177">
        <v>0.4017</v>
      </c>
      <c r="AN177" t="s">
        <v>195</v>
      </c>
    </row>
    <row r="178" spans="9:40" ht="14.25">
      <c r="I178" t="s">
        <v>151</v>
      </c>
      <c r="J178" t="s">
        <v>386</v>
      </c>
      <c r="K178">
        <v>0</v>
      </c>
      <c r="L178" t="s">
        <v>153</v>
      </c>
      <c r="N178" t="s">
        <v>174</v>
      </c>
      <c r="O178" t="s">
        <v>386</v>
      </c>
      <c r="P178">
        <v>0.006213323950975091</v>
      </c>
      <c r="Q178" t="s">
        <v>153</v>
      </c>
      <c r="S178" t="s">
        <v>184</v>
      </c>
      <c r="T178" t="s">
        <v>386</v>
      </c>
      <c r="U178">
        <v>0.0050125358813330771</v>
      </c>
      <c r="V178" t="s">
        <v>153</v>
      </c>
      <c r="X178">
        <v>0.0068493150684931503</v>
      </c>
      <c r="Y178">
        <v>0.0060330325104210707</v>
      </c>
      <c r="Z178" t="s">
        <v>386</v>
      </c>
      <c r="AA178" t="s">
        <v>25</v>
      </c>
      <c r="AC178" t="s">
        <v>22</v>
      </c>
      <c r="AD178" t="s">
        <v>386</v>
      </c>
      <c r="AE178">
        <v>0.0056530162670629146</v>
      </c>
      <c r="AG178" t="s">
        <v>96</v>
      </c>
      <c r="AH178" t="s">
        <v>386</v>
      </c>
      <c r="AI178">
        <v>0.10324863830025599</v>
      </c>
      <c r="AK178">
        <v>2032</v>
      </c>
      <c r="AL178" t="s">
        <v>308</v>
      </c>
      <c r="AM178">
        <v>0.4017</v>
      </c>
      <c r="AN178" t="s">
        <v>195</v>
      </c>
    </row>
    <row r="179" spans="9:40" ht="14.25">
      <c r="I179" t="s">
        <v>165</v>
      </c>
      <c r="J179" t="s">
        <v>152</v>
      </c>
      <c r="K179">
        <v>0</v>
      </c>
      <c r="L179" t="s">
        <v>153</v>
      </c>
      <c r="N179" t="s">
        <v>175</v>
      </c>
      <c r="O179" t="s">
        <v>152</v>
      </c>
      <c r="P179">
        <v>0.0080394540520359516</v>
      </c>
      <c r="Q179" t="s">
        <v>153</v>
      </c>
      <c r="S179" t="s">
        <v>185</v>
      </c>
      <c r="T179" t="s">
        <v>152</v>
      </c>
      <c r="U179">
        <v>0.0073519992935453657</v>
      </c>
      <c r="V179" t="s">
        <v>153</v>
      </c>
      <c r="AC179" t="s">
        <v>19</v>
      </c>
      <c r="AD179" t="s">
        <v>152</v>
      </c>
      <c r="AE179">
        <v>0.0067296306039011534</v>
      </c>
      <c r="AK179">
        <v>2033</v>
      </c>
      <c r="AL179" t="s">
        <v>141</v>
      </c>
      <c r="AM179">
        <v>0.42799999999999999</v>
      </c>
      <c r="AN179" t="s">
        <v>195</v>
      </c>
    </row>
    <row r="180" spans="9:40" ht="14.25">
      <c r="I180" t="s">
        <v>165</v>
      </c>
      <c r="J180" t="s">
        <v>154</v>
      </c>
      <c r="K180">
        <v>0</v>
      </c>
      <c r="L180" t="s">
        <v>153</v>
      </c>
      <c r="N180" t="s">
        <v>175</v>
      </c>
      <c r="O180" t="s">
        <v>154</v>
      </c>
      <c r="P180">
        <v>0.001504596626994872</v>
      </c>
      <c r="Q180" t="s">
        <v>153</v>
      </c>
      <c r="S180" t="s">
        <v>185</v>
      </c>
      <c r="T180" t="s">
        <v>154</v>
      </c>
      <c r="U180">
        <v>0.0012949022051764413</v>
      </c>
      <c r="V180" t="s">
        <v>153</v>
      </c>
      <c r="AC180" t="s">
        <v>19</v>
      </c>
      <c r="AD180" t="s">
        <v>154</v>
      </c>
      <c r="AE180">
        <v>0.0011292489348598679</v>
      </c>
      <c r="AK180">
        <v>2033</v>
      </c>
      <c r="AL180" t="s">
        <v>145</v>
      </c>
      <c r="AM180">
        <v>0.42799999999999999</v>
      </c>
      <c r="AN180" t="s">
        <v>195</v>
      </c>
    </row>
    <row r="181" spans="9:40" ht="14.25">
      <c r="I181" t="s">
        <v>165</v>
      </c>
      <c r="J181" t="s">
        <v>155</v>
      </c>
      <c r="K181">
        <v>0.0011478268008651901</v>
      </c>
      <c r="L181" t="s">
        <v>153</v>
      </c>
      <c r="N181" t="s">
        <v>175</v>
      </c>
      <c r="O181" t="s">
        <v>155</v>
      </c>
      <c r="P181">
        <v>0.0015053070261741245</v>
      </c>
      <c r="Q181" t="s">
        <v>153</v>
      </c>
      <c r="S181" t="s">
        <v>185</v>
      </c>
      <c r="T181" t="s">
        <v>155</v>
      </c>
      <c r="U181">
        <v>0.0012728585338532712</v>
      </c>
      <c r="V181" t="s">
        <v>153</v>
      </c>
      <c r="AC181" t="s">
        <v>19</v>
      </c>
      <c r="AD181" t="s">
        <v>155</v>
      </c>
      <c r="AE181">
        <v>0.0011363446767222703</v>
      </c>
      <c r="AK181">
        <v>2033</v>
      </c>
      <c r="AL181" t="s">
        <v>147</v>
      </c>
      <c r="AM181">
        <v>0.41839999999999999</v>
      </c>
      <c r="AN181" t="s">
        <v>195</v>
      </c>
    </row>
    <row r="182" spans="9:40" ht="14.25">
      <c r="I182" t="s">
        <v>165</v>
      </c>
      <c r="J182" t="s">
        <v>200</v>
      </c>
      <c r="K182">
        <v>0.0018324822586197867</v>
      </c>
      <c r="L182" t="s">
        <v>153</v>
      </c>
      <c r="N182" t="s">
        <v>175</v>
      </c>
      <c r="O182" t="s">
        <v>200</v>
      </c>
      <c r="P182">
        <v>0.0013733558561120195</v>
      </c>
      <c r="Q182" t="s">
        <v>153</v>
      </c>
      <c r="S182" t="s">
        <v>185</v>
      </c>
      <c r="T182" t="s">
        <v>200</v>
      </c>
      <c r="U182">
        <v>0.0011575930326978145</v>
      </c>
      <c r="V182" t="s">
        <v>153</v>
      </c>
      <c r="AC182" t="s">
        <v>19</v>
      </c>
      <c r="AD182" t="s">
        <v>200</v>
      </c>
      <c r="AE182">
        <v>0.0011431571312722111</v>
      </c>
      <c r="AK182">
        <v>2033</v>
      </c>
      <c r="AL182" t="s">
        <v>149</v>
      </c>
      <c r="AM182">
        <v>0.4088</v>
      </c>
      <c r="AN182" t="s">
        <v>195</v>
      </c>
    </row>
    <row r="183" spans="9:40" ht="14.25">
      <c r="I183" t="s">
        <v>165</v>
      </c>
      <c r="J183" t="s">
        <v>201</v>
      </c>
      <c r="K183">
        <v>0.017760449592769852</v>
      </c>
      <c r="L183" t="s">
        <v>153</v>
      </c>
      <c r="N183" t="s">
        <v>175</v>
      </c>
      <c r="O183" t="s">
        <v>201</v>
      </c>
      <c r="P183">
        <v>0.0067829803701897609</v>
      </c>
      <c r="Q183" t="s">
        <v>153</v>
      </c>
      <c r="S183" t="s">
        <v>185</v>
      </c>
      <c r="T183" t="s">
        <v>201</v>
      </c>
      <c r="U183">
        <v>0.0068433222696554497</v>
      </c>
      <c r="V183" t="s">
        <v>153</v>
      </c>
      <c r="AC183" t="s">
        <v>19</v>
      </c>
      <c r="AD183" t="s">
        <v>201</v>
      </c>
      <c r="AE183">
        <v>0.0080386338129249321</v>
      </c>
      <c r="AK183">
        <v>2033</v>
      </c>
      <c r="AL183" t="s">
        <v>198</v>
      </c>
      <c r="AM183">
        <v>0.45025000000000004</v>
      </c>
      <c r="AN183" t="s">
        <v>195</v>
      </c>
    </row>
    <row r="184" spans="9:40" ht="14.25">
      <c r="I184" t="s">
        <v>165</v>
      </c>
      <c r="J184" t="s">
        <v>218</v>
      </c>
      <c r="K184">
        <v>0.0020541572450443911</v>
      </c>
      <c r="L184" t="s">
        <v>153</v>
      </c>
      <c r="N184" t="s">
        <v>175</v>
      </c>
      <c r="O184" t="s">
        <v>218</v>
      </c>
      <c r="P184">
        <v>0.00085003122020433437</v>
      </c>
      <c r="Q184" t="s">
        <v>153</v>
      </c>
      <c r="S184" t="s">
        <v>185</v>
      </c>
      <c r="T184" t="s">
        <v>218</v>
      </c>
      <c r="U184">
        <v>0.00072269278713833535</v>
      </c>
      <c r="V184" t="s">
        <v>153</v>
      </c>
      <c r="AC184" t="s">
        <v>19</v>
      </c>
      <c r="AD184" t="s">
        <v>218</v>
      </c>
      <c r="AE184">
        <v>0.0011504804714882152</v>
      </c>
      <c r="AK184">
        <v>2033</v>
      </c>
      <c r="AL184" t="s">
        <v>216</v>
      </c>
      <c r="AM184">
        <v>0.49170000000000003</v>
      </c>
      <c r="AN184" t="s">
        <v>195</v>
      </c>
    </row>
    <row r="185" spans="9:40" ht="14.25">
      <c r="I185" t="s">
        <v>165</v>
      </c>
      <c r="J185" t="s">
        <v>309</v>
      </c>
      <c r="K185">
        <v>0.0011459805172946039</v>
      </c>
      <c r="L185" t="s">
        <v>153</v>
      </c>
      <c r="N185" t="s">
        <v>175</v>
      </c>
      <c r="O185" t="s">
        <v>309</v>
      </c>
      <c r="P185">
        <v>0.00079530604400131677</v>
      </c>
      <c r="Q185" t="s">
        <v>153</v>
      </c>
      <c r="S185" t="s">
        <v>185</v>
      </c>
      <c r="T185" t="s">
        <v>309</v>
      </c>
      <c r="U185">
        <v>0.00073637857944815069</v>
      </c>
      <c r="V185" t="s">
        <v>153</v>
      </c>
      <c r="AC185" t="s">
        <v>19</v>
      </c>
      <c r="AD185" t="s">
        <v>309</v>
      </c>
      <c r="AE185">
        <v>0.0011523603370386039</v>
      </c>
      <c r="AK185">
        <v>2033</v>
      </c>
      <c r="AL185" t="s">
        <v>232</v>
      </c>
      <c r="AM185">
        <v>0.49170000000000003</v>
      </c>
      <c r="AN185" t="s">
        <v>195</v>
      </c>
    </row>
    <row r="186" spans="9:40" ht="14.25">
      <c r="I186" t="s">
        <v>165</v>
      </c>
      <c r="J186" t="s">
        <v>310</v>
      </c>
      <c r="K186">
        <v>0</v>
      </c>
      <c r="L186" t="s">
        <v>153</v>
      </c>
      <c r="N186" t="s">
        <v>175</v>
      </c>
      <c r="O186" t="s">
        <v>310</v>
      </c>
      <c r="P186">
        <v>0.0070896873010753824</v>
      </c>
      <c r="Q186" t="s">
        <v>153</v>
      </c>
      <c r="S186" t="s">
        <v>185</v>
      </c>
      <c r="T186" t="s">
        <v>310</v>
      </c>
      <c r="U186">
        <v>0.0061105026991280908</v>
      </c>
      <c r="V186" t="s">
        <v>153</v>
      </c>
      <c r="AC186" t="s">
        <v>19</v>
      </c>
      <c r="AD186" t="s">
        <v>310</v>
      </c>
      <c r="AE186">
        <v>0.0068875199400611608</v>
      </c>
      <c r="AK186">
        <v>2033</v>
      </c>
      <c r="AL186" t="s">
        <v>233</v>
      </c>
      <c r="AM186">
        <v>0.49170000000000003</v>
      </c>
      <c r="AN186" t="s">
        <v>195</v>
      </c>
    </row>
    <row r="187" spans="9:40" ht="14.25">
      <c r="I187" t="s">
        <v>165</v>
      </c>
      <c r="J187" t="s">
        <v>156</v>
      </c>
      <c r="K187">
        <v>0</v>
      </c>
      <c r="L187" t="s">
        <v>153</v>
      </c>
      <c r="N187" t="s">
        <v>175</v>
      </c>
      <c r="O187" t="s">
        <v>156</v>
      </c>
      <c r="P187">
        <v>0.013516887294282093</v>
      </c>
      <c r="Q187" t="s">
        <v>153</v>
      </c>
      <c r="S187" t="s">
        <v>185</v>
      </c>
      <c r="T187" t="s">
        <v>156</v>
      </c>
      <c r="U187">
        <v>0.015327751018409079</v>
      </c>
      <c r="V187" t="s">
        <v>153</v>
      </c>
      <c r="AC187" t="s">
        <v>19</v>
      </c>
      <c r="AD187" t="s">
        <v>156</v>
      </c>
      <c r="AE187">
        <v>0.0040369789594425515</v>
      </c>
      <c r="AK187">
        <v>2033</v>
      </c>
      <c r="AL187" t="s">
        <v>234</v>
      </c>
      <c r="AM187">
        <v>0.50995000000000001</v>
      </c>
      <c r="AN187" t="s">
        <v>195</v>
      </c>
    </row>
    <row r="188" spans="9:40" ht="14.25">
      <c r="I188" t="s">
        <v>165</v>
      </c>
      <c r="J188" t="s">
        <v>157</v>
      </c>
      <c r="K188">
        <v>0</v>
      </c>
      <c r="L188" t="s">
        <v>153</v>
      </c>
      <c r="N188" t="s">
        <v>175</v>
      </c>
      <c r="O188" t="s">
        <v>157</v>
      </c>
      <c r="P188">
        <v>0.0023336850047095542</v>
      </c>
      <c r="Q188" t="s">
        <v>153</v>
      </c>
      <c r="S188" t="s">
        <v>185</v>
      </c>
      <c r="T188" t="s">
        <v>157</v>
      </c>
      <c r="U188">
        <v>0.0025970335383715855</v>
      </c>
      <c r="V188" t="s">
        <v>153</v>
      </c>
      <c r="AC188" t="s">
        <v>19</v>
      </c>
      <c r="AD188" t="s">
        <v>157</v>
      </c>
      <c r="AE188">
        <v>0.0006770688862639127</v>
      </c>
      <c r="AK188">
        <v>2033</v>
      </c>
      <c r="AL188" t="s">
        <v>256</v>
      </c>
      <c r="AM188">
        <v>0.5282</v>
      </c>
      <c r="AN188" t="s">
        <v>195</v>
      </c>
    </row>
    <row r="189" spans="9:40" ht="14.25">
      <c r="I189" t="s">
        <v>165</v>
      </c>
      <c r="J189" t="s">
        <v>158</v>
      </c>
      <c r="K189">
        <v>0.0007416819009095013</v>
      </c>
      <c r="L189" t="s">
        <v>153</v>
      </c>
      <c r="N189" t="s">
        <v>175</v>
      </c>
      <c r="O189" t="s">
        <v>158</v>
      </c>
      <c r="P189">
        <v>0.0023095530036150043</v>
      </c>
      <c r="Q189" t="s">
        <v>153</v>
      </c>
      <c r="S189" t="s">
        <v>185</v>
      </c>
      <c r="T189" t="s">
        <v>158</v>
      </c>
      <c r="U189">
        <v>0.0025930393197554332</v>
      </c>
      <c r="V189" t="s">
        <v>153</v>
      </c>
      <c r="AC189" t="s">
        <v>19</v>
      </c>
      <c r="AD189" t="s">
        <v>158</v>
      </c>
      <c r="AE189">
        <v>0.00068049012534518428</v>
      </c>
      <c r="AK189">
        <v>2033</v>
      </c>
      <c r="AL189" t="s">
        <v>257</v>
      </c>
      <c r="AM189">
        <v>0.52184999999999993</v>
      </c>
      <c r="AN189" t="s">
        <v>195</v>
      </c>
    </row>
    <row r="190" spans="9:40" ht="14.25">
      <c r="I190" t="s">
        <v>165</v>
      </c>
      <c r="J190" t="s">
        <v>202</v>
      </c>
      <c r="K190">
        <v>0.0010714076077096245</v>
      </c>
      <c r="L190" t="s">
        <v>153</v>
      </c>
      <c r="N190" t="s">
        <v>175</v>
      </c>
      <c r="O190" t="s">
        <v>202</v>
      </c>
      <c r="P190">
        <v>0.0022044717451552964</v>
      </c>
      <c r="Q190" t="s">
        <v>153</v>
      </c>
      <c r="S190" t="s">
        <v>185</v>
      </c>
      <c r="T190" t="s">
        <v>202</v>
      </c>
      <c r="U190">
        <v>0.0025871859119366396</v>
      </c>
      <c r="V190" t="s">
        <v>153</v>
      </c>
      <c r="AC190" t="s">
        <v>19</v>
      </c>
      <c r="AD190" t="s">
        <v>202</v>
      </c>
      <c r="AE190">
        <v>0.00068428423832491011</v>
      </c>
      <c r="AK190">
        <v>2033</v>
      </c>
      <c r="AL190" t="s">
        <v>258</v>
      </c>
      <c r="AM190">
        <v>0.51549999999999996</v>
      </c>
      <c r="AN190" t="s">
        <v>195</v>
      </c>
    </row>
    <row r="191" spans="9:40" ht="14.25">
      <c r="I191" t="s">
        <v>165</v>
      </c>
      <c r="J191" t="s">
        <v>203</v>
      </c>
      <c r="K191">
        <v>0.010780418303341517</v>
      </c>
      <c r="L191" t="s">
        <v>153</v>
      </c>
      <c r="N191" t="s">
        <v>175</v>
      </c>
      <c r="O191" t="s">
        <v>203</v>
      </c>
      <c r="P191">
        <v>0.015025760892228202</v>
      </c>
      <c r="Q191" t="s">
        <v>153</v>
      </c>
      <c r="S191" t="s">
        <v>185</v>
      </c>
      <c r="T191" t="s">
        <v>203</v>
      </c>
      <c r="U191">
        <v>0.017010005961952887</v>
      </c>
      <c r="V191" t="s">
        <v>153</v>
      </c>
      <c r="AC191" t="s">
        <v>19</v>
      </c>
      <c r="AD191" t="s">
        <v>203</v>
      </c>
      <c r="AE191">
        <v>0.0048106207326506622</v>
      </c>
      <c r="AK191">
        <v>2033</v>
      </c>
      <c r="AL191" t="s">
        <v>259</v>
      </c>
      <c r="AM191">
        <v>0.51549999999999996</v>
      </c>
      <c r="AN191" t="s">
        <v>195</v>
      </c>
    </row>
    <row r="192" spans="9:40" ht="14.25">
      <c r="I192" t="s">
        <v>165</v>
      </c>
      <c r="J192" t="s">
        <v>219</v>
      </c>
      <c r="K192">
        <v>0.0013146661277331848</v>
      </c>
      <c r="L192" t="s">
        <v>153</v>
      </c>
      <c r="N192" t="s">
        <v>175</v>
      </c>
      <c r="O192" t="s">
        <v>219</v>
      </c>
      <c r="P192">
        <v>0.002021535658776461</v>
      </c>
      <c r="Q192" t="s">
        <v>153</v>
      </c>
      <c r="S192" t="s">
        <v>185</v>
      </c>
      <c r="T192" t="s">
        <v>219</v>
      </c>
      <c r="U192">
        <v>0.0020237089881064898</v>
      </c>
      <c r="V192" t="s">
        <v>153</v>
      </c>
      <c r="AC192" t="s">
        <v>19</v>
      </c>
      <c r="AD192" t="s">
        <v>219</v>
      </c>
      <c r="AE192">
        <v>0.00068833742602628924</v>
      </c>
      <c r="AK192">
        <v>2033</v>
      </c>
      <c r="AL192" t="s">
        <v>260</v>
      </c>
      <c r="AM192">
        <v>0.53959999999999997</v>
      </c>
      <c r="AN192" t="s">
        <v>195</v>
      </c>
    </row>
    <row r="193" spans="9:40" ht="14.25">
      <c r="I193" t="s">
        <v>165</v>
      </c>
      <c r="J193" t="s">
        <v>311</v>
      </c>
      <c r="K193">
        <v>0.000752988002075439</v>
      </c>
      <c r="L193" t="s">
        <v>153</v>
      </c>
      <c r="N193" t="s">
        <v>175</v>
      </c>
      <c r="O193" t="s">
        <v>311</v>
      </c>
      <c r="P193">
        <v>0.0019628785399692728</v>
      </c>
      <c r="Q193" t="s">
        <v>153</v>
      </c>
      <c r="S193" t="s">
        <v>185</v>
      </c>
      <c r="T193" t="s">
        <v>311</v>
      </c>
      <c r="U193">
        <v>0.0019358387180079908</v>
      </c>
      <c r="V193" t="s">
        <v>153</v>
      </c>
      <c r="AC193" t="s">
        <v>19</v>
      </c>
      <c r="AD193" t="s">
        <v>311</v>
      </c>
      <c r="AE193">
        <v>0.00068993690977511304</v>
      </c>
      <c r="AK193">
        <v>2033</v>
      </c>
      <c r="AL193" t="s">
        <v>261</v>
      </c>
      <c r="AM193">
        <v>0.56369999999999998</v>
      </c>
      <c r="AN193" t="s">
        <v>195</v>
      </c>
    </row>
    <row r="194" spans="9:40" ht="14.25">
      <c r="I194" t="s">
        <v>165</v>
      </c>
      <c r="J194" t="s">
        <v>312</v>
      </c>
      <c r="K194">
        <v>0</v>
      </c>
      <c r="L194" t="s">
        <v>153</v>
      </c>
      <c r="N194" t="s">
        <v>175</v>
      </c>
      <c r="O194" t="s">
        <v>312</v>
      </c>
      <c r="P194">
        <v>0.011766145668257247</v>
      </c>
      <c r="Q194" t="s">
        <v>153</v>
      </c>
      <c r="S194" t="s">
        <v>185</v>
      </c>
      <c r="T194" t="s">
        <v>312</v>
      </c>
      <c r="U194">
        <v>0.011561129706398563</v>
      </c>
      <c r="V194" t="s">
        <v>153</v>
      </c>
      <c r="AC194" t="s">
        <v>19</v>
      </c>
      <c r="AD194" t="s">
        <v>312</v>
      </c>
      <c r="AE194">
        <v>0.0041233752944698464</v>
      </c>
      <c r="AK194">
        <v>2033</v>
      </c>
      <c r="AL194" t="s">
        <v>303</v>
      </c>
      <c r="AM194">
        <v>0.56369999999999998</v>
      </c>
      <c r="AN194" t="s">
        <v>195</v>
      </c>
    </row>
    <row r="195" spans="9:40" ht="14.25">
      <c r="I195" t="s">
        <v>165</v>
      </c>
      <c r="J195" t="s">
        <v>159</v>
      </c>
      <c r="K195">
        <v>0</v>
      </c>
      <c r="L195" t="s">
        <v>153</v>
      </c>
      <c r="N195" t="s">
        <v>175</v>
      </c>
      <c r="O195" t="s">
        <v>159</v>
      </c>
      <c r="P195">
        <v>0.0087211433406356644</v>
      </c>
      <c r="Q195" t="s">
        <v>153</v>
      </c>
      <c r="S195" t="s">
        <v>185</v>
      </c>
      <c r="T195" t="s">
        <v>159</v>
      </c>
      <c r="U195">
        <v>0.0053783081542046153</v>
      </c>
      <c r="V195" t="s">
        <v>153</v>
      </c>
      <c r="AC195" t="s">
        <v>19</v>
      </c>
      <c r="AD195" t="s">
        <v>159</v>
      </c>
      <c r="AE195">
        <v>0.011439671353920204</v>
      </c>
      <c r="AK195">
        <v>2033</v>
      </c>
      <c r="AL195" t="s">
        <v>304</v>
      </c>
      <c r="AM195">
        <v>0.48130000000000001</v>
      </c>
      <c r="AN195" t="s">
        <v>195</v>
      </c>
    </row>
    <row r="196" spans="9:40" ht="14.25">
      <c r="I196" t="s">
        <v>165</v>
      </c>
      <c r="J196" t="s">
        <v>160</v>
      </c>
      <c r="K196">
        <v>0</v>
      </c>
      <c r="L196" t="s">
        <v>153</v>
      </c>
      <c r="N196" t="s">
        <v>175</v>
      </c>
      <c r="O196" t="s">
        <v>160</v>
      </c>
      <c r="P196">
        <v>0.001731320764534506</v>
      </c>
      <c r="Q196" t="s">
        <v>153</v>
      </c>
      <c r="S196" t="s">
        <v>185</v>
      </c>
      <c r="T196" t="s">
        <v>160</v>
      </c>
      <c r="U196">
        <v>0.0012646736859977864</v>
      </c>
      <c r="V196" t="s">
        <v>153</v>
      </c>
      <c r="AC196" t="s">
        <v>19</v>
      </c>
      <c r="AD196" t="s">
        <v>160</v>
      </c>
      <c r="AE196">
        <v>0.0019207553544064019</v>
      </c>
      <c r="AK196">
        <v>2033</v>
      </c>
      <c r="AL196" t="s">
        <v>305</v>
      </c>
      <c r="AM196">
        <v>0.40925</v>
      </c>
      <c r="AN196" t="s">
        <v>195</v>
      </c>
    </row>
    <row r="197" spans="9:40" ht="14.25">
      <c r="I197" t="s">
        <v>165</v>
      </c>
      <c r="J197" t="s">
        <v>161</v>
      </c>
      <c r="K197">
        <v>0.0018570661359801565</v>
      </c>
      <c r="L197" t="s">
        <v>153</v>
      </c>
      <c r="N197" t="s">
        <v>175</v>
      </c>
      <c r="O197" t="s">
        <v>161</v>
      </c>
      <c r="P197">
        <v>0.0016729350330788051</v>
      </c>
      <c r="Q197" t="s">
        <v>153</v>
      </c>
      <c r="S197" t="s">
        <v>185</v>
      </c>
      <c r="T197" t="s">
        <v>161</v>
      </c>
      <c r="U197">
        <v>0.0012667636127399692</v>
      </c>
      <c r="V197" t="s">
        <v>153</v>
      </c>
      <c r="AC197" t="s">
        <v>19</v>
      </c>
      <c r="AD197" t="s">
        <v>161</v>
      </c>
      <c r="AE197">
        <v>0.0019327904647937824</v>
      </c>
      <c r="AK197">
        <v>2033</v>
      </c>
      <c r="AL197" t="s">
        <v>306</v>
      </c>
      <c r="AM197">
        <v>0.41237499999999999</v>
      </c>
      <c r="AN197" t="s">
        <v>195</v>
      </c>
    </row>
    <row r="198" spans="9:40" ht="14.25">
      <c r="I198" t="s">
        <v>165</v>
      </c>
      <c r="J198" t="s">
        <v>204</v>
      </c>
      <c r="K198">
        <v>0.0031805266966809477</v>
      </c>
      <c r="L198" t="s">
        <v>153</v>
      </c>
      <c r="N198" t="s">
        <v>175</v>
      </c>
      <c r="O198" t="s">
        <v>204</v>
      </c>
      <c r="P198">
        <v>0.0015064918520349415</v>
      </c>
      <c r="Q198" t="s">
        <v>153</v>
      </c>
      <c r="S198" t="s">
        <v>185</v>
      </c>
      <c r="T198" t="s">
        <v>204</v>
      </c>
      <c r="U198">
        <v>0.001263821333571061</v>
      </c>
      <c r="V198" t="s">
        <v>153</v>
      </c>
      <c r="AC198" t="s">
        <v>19</v>
      </c>
      <c r="AD198" t="s">
        <v>204</v>
      </c>
      <c r="AE198">
        <v>0.0019442468942608348</v>
      </c>
      <c r="AK198">
        <v>2033</v>
      </c>
      <c r="AL198" t="s">
        <v>307</v>
      </c>
      <c r="AM198">
        <v>0.43409999999999999</v>
      </c>
      <c r="AN198" t="s">
        <v>195</v>
      </c>
    </row>
    <row r="199" spans="9:40" ht="14.25">
      <c r="I199" t="s">
        <v>165</v>
      </c>
      <c r="J199" t="s">
        <v>205</v>
      </c>
      <c r="K199">
        <v>0.032446629505540933</v>
      </c>
      <c r="L199" t="s">
        <v>153</v>
      </c>
      <c r="N199" t="s">
        <v>175</v>
      </c>
      <c r="O199" t="s">
        <v>205</v>
      </c>
      <c r="P199">
        <v>0.0070316735286711143</v>
      </c>
      <c r="Q199" t="s">
        <v>153</v>
      </c>
      <c r="S199" t="s">
        <v>185</v>
      </c>
      <c r="T199" t="s">
        <v>205</v>
      </c>
      <c r="U199">
        <v>0.006340955364227038</v>
      </c>
      <c r="V199" t="s">
        <v>153</v>
      </c>
      <c r="AC199" t="s">
        <v>19</v>
      </c>
      <c r="AD199" t="s">
        <v>205</v>
      </c>
      <c r="AE199">
        <v>0.013642580387286926</v>
      </c>
      <c r="AK199">
        <v>2033</v>
      </c>
      <c r="AL199" t="s">
        <v>308</v>
      </c>
      <c r="AM199">
        <v>0.43409999999999999</v>
      </c>
      <c r="AN199" t="s">
        <v>195</v>
      </c>
    </row>
    <row r="200" spans="9:40" ht="14.25">
      <c r="I200" t="s">
        <v>165</v>
      </c>
      <c r="J200" t="s">
        <v>220</v>
      </c>
      <c r="K200">
        <v>0.0036585887042515988</v>
      </c>
      <c r="L200" t="s">
        <v>153</v>
      </c>
      <c r="N200" t="s">
        <v>175</v>
      </c>
      <c r="O200" t="s">
        <v>220</v>
      </c>
      <c r="P200">
        <v>0.00083382801037044734</v>
      </c>
      <c r="Q200" t="s">
        <v>153</v>
      </c>
      <c r="S200" t="s">
        <v>185</v>
      </c>
      <c r="T200" t="s">
        <v>220</v>
      </c>
      <c r="U200">
        <v>0.00068963246636162101</v>
      </c>
      <c r="V200" t="s">
        <v>153</v>
      </c>
      <c r="AC200" t="s">
        <v>19</v>
      </c>
      <c r="AD200" t="s">
        <v>220</v>
      </c>
      <c r="AE200">
        <v>0.0019521799075134028</v>
      </c>
      <c r="AK200">
        <v>2034</v>
      </c>
      <c r="AL200" t="s">
        <v>141</v>
      </c>
      <c r="AM200">
        <v>0.3925</v>
      </c>
      <c r="AN200" t="s">
        <v>195</v>
      </c>
    </row>
    <row r="201" spans="9:40" ht="14.25">
      <c r="I201" t="s">
        <v>165</v>
      </c>
      <c r="J201" t="s">
        <v>313</v>
      </c>
      <c r="K201">
        <v>0.0021349101133887045</v>
      </c>
      <c r="L201" t="s">
        <v>153</v>
      </c>
      <c r="N201" t="s">
        <v>175</v>
      </c>
      <c r="O201" t="s">
        <v>313</v>
      </c>
      <c r="P201">
        <v>0.00086401989165291833</v>
      </c>
      <c r="Q201" t="s">
        <v>153</v>
      </c>
      <c r="S201" t="s">
        <v>185</v>
      </c>
      <c r="T201" t="s">
        <v>313</v>
      </c>
      <c r="U201">
        <v>0.00064267638354506453</v>
      </c>
      <c r="V201" t="s">
        <v>153</v>
      </c>
      <c r="AC201" t="s">
        <v>19</v>
      </c>
      <c r="AD201" t="s">
        <v>313</v>
      </c>
      <c r="AE201">
        <v>0.0019566151698977435</v>
      </c>
      <c r="AK201">
        <v>2034</v>
      </c>
      <c r="AL201" t="s">
        <v>145</v>
      </c>
      <c r="AM201">
        <v>0.3925</v>
      </c>
      <c r="AN201" t="s">
        <v>195</v>
      </c>
    </row>
    <row r="202" spans="9:40" ht="14.25">
      <c r="I202" t="s">
        <v>165</v>
      </c>
      <c r="J202" t="s">
        <v>314</v>
      </c>
      <c r="K202">
        <v>0</v>
      </c>
      <c r="L202" t="s">
        <v>153</v>
      </c>
      <c r="N202" t="s">
        <v>175</v>
      </c>
      <c r="O202" t="s">
        <v>314</v>
      </c>
      <c r="P202">
        <v>0.0057080876121649244</v>
      </c>
      <c r="Q202" t="s">
        <v>153</v>
      </c>
      <c r="S202" t="s">
        <v>185</v>
      </c>
      <c r="T202" t="s">
        <v>314</v>
      </c>
      <c r="U202">
        <v>0.0041748500499754967</v>
      </c>
      <c r="V202" t="s">
        <v>153</v>
      </c>
      <c r="AC202" t="s">
        <v>19</v>
      </c>
      <c r="AD202" t="s">
        <v>314</v>
      </c>
      <c r="AE202">
        <v>0.011694218321092241</v>
      </c>
      <c r="AK202">
        <v>2034</v>
      </c>
      <c r="AL202" t="s">
        <v>147</v>
      </c>
      <c r="AM202">
        <v>0.38305</v>
      </c>
      <c r="AN202" t="s">
        <v>195</v>
      </c>
    </row>
    <row r="203" spans="9:40" ht="14.25">
      <c r="I203" t="s">
        <v>165</v>
      </c>
      <c r="J203" t="s">
        <v>162</v>
      </c>
      <c r="K203">
        <v>0</v>
      </c>
      <c r="L203" t="s">
        <v>153</v>
      </c>
      <c r="N203" t="s">
        <v>175</v>
      </c>
      <c r="O203" t="s">
        <v>162</v>
      </c>
      <c r="P203">
        <v>0.016772012719727586</v>
      </c>
      <c r="Q203" t="s">
        <v>153</v>
      </c>
      <c r="S203" t="s">
        <v>185</v>
      </c>
      <c r="T203" t="s">
        <v>162</v>
      </c>
      <c r="U203">
        <v>0.022385006744119917</v>
      </c>
      <c r="V203" t="s">
        <v>153</v>
      </c>
      <c r="AC203" t="s">
        <v>19</v>
      </c>
      <c r="AD203" t="s">
        <v>162</v>
      </c>
      <c r="AE203">
        <v>0.016150480039730384</v>
      </c>
      <c r="AK203">
        <v>2034</v>
      </c>
      <c r="AL203" t="s">
        <v>149</v>
      </c>
      <c r="AM203">
        <v>0.37359999999999999</v>
      </c>
      <c r="AN203" t="s">
        <v>195</v>
      </c>
    </row>
    <row r="204" spans="9:40" ht="14.25">
      <c r="I204" t="s">
        <v>165</v>
      </c>
      <c r="J204" t="s">
        <v>163</v>
      </c>
      <c r="K204">
        <v>0</v>
      </c>
      <c r="L204" t="s">
        <v>153</v>
      </c>
      <c r="N204" t="s">
        <v>175</v>
      </c>
      <c r="O204" t="s">
        <v>163</v>
      </c>
      <c r="P204">
        <v>0.0030121257536601755</v>
      </c>
      <c r="Q204" t="s">
        <v>153</v>
      </c>
      <c r="S204" t="s">
        <v>185</v>
      </c>
      <c r="T204" t="s">
        <v>163</v>
      </c>
      <c r="U204">
        <v>0.0038100598233126413</v>
      </c>
      <c r="V204" t="s">
        <v>153</v>
      </c>
      <c r="AC204" t="s">
        <v>19</v>
      </c>
      <c r="AD204" t="s">
        <v>163</v>
      </c>
      <c r="AE204">
        <v>0.0027109386219756541</v>
      </c>
      <c r="AK204">
        <v>2034</v>
      </c>
      <c r="AL204" t="s">
        <v>198</v>
      </c>
      <c r="AM204">
        <v>0.36754999999999999</v>
      </c>
      <c r="AN204" t="s">
        <v>195</v>
      </c>
    </row>
    <row r="205" spans="9:40" ht="14.25">
      <c r="I205" t="s">
        <v>165</v>
      </c>
      <c r="J205" t="s">
        <v>164</v>
      </c>
      <c r="K205">
        <v>0.002759274103372279</v>
      </c>
      <c r="L205" t="s">
        <v>153</v>
      </c>
      <c r="N205" t="s">
        <v>175</v>
      </c>
      <c r="O205" t="s">
        <v>164</v>
      </c>
      <c r="P205">
        <v>0.0031364073964850804</v>
      </c>
      <c r="Q205" t="s">
        <v>153</v>
      </c>
      <c r="S205" t="s">
        <v>185</v>
      </c>
      <c r="T205" t="s">
        <v>164</v>
      </c>
      <c r="U205">
        <v>0.0039180247123853</v>
      </c>
      <c r="V205" t="s">
        <v>153</v>
      </c>
      <c r="AC205" t="s">
        <v>19</v>
      </c>
      <c r="AD205" t="s">
        <v>164</v>
      </c>
      <c r="AE205">
        <v>0.0027268157862725623</v>
      </c>
      <c r="AK205">
        <v>2034</v>
      </c>
      <c r="AL205" t="s">
        <v>216</v>
      </c>
      <c r="AM205">
        <v>0.36149999999999999</v>
      </c>
      <c r="AN205" t="s">
        <v>195</v>
      </c>
    </row>
    <row r="206" spans="9:40" ht="14.25">
      <c r="I206" t="s">
        <v>165</v>
      </c>
      <c r="J206" t="s">
        <v>206</v>
      </c>
      <c r="K206">
        <v>0.0051153397563816925</v>
      </c>
      <c r="L206" t="s">
        <v>153</v>
      </c>
      <c r="N206" t="s">
        <v>175</v>
      </c>
      <c r="O206" t="s">
        <v>206</v>
      </c>
      <c r="P206">
        <v>0.0029051477173075765</v>
      </c>
      <c r="Q206" t="s">
        <v>153</v>
      </c>
      <c r="S206" t="s">
        <v>185</v>
      </c>
      <c r="T206" t="s">
        <v>206</v>
      </c>
      <c r="U206">
        <v>0.003710233773651179</v>
      </c>
      <c r="V206" t="s">
        <v>153</v>
      </c>
      <c r="AC206" t="s">
        <v>19</v>
      </c>
      <c r="AD206" t="s">
        <v>206</v>
      </c>
      <c r="AE206">
        <v>0.0027415147659007174</v>
      </c>
      <c r="AK206">
        <v>2034</v>
      </c>
      <c r="AL206" t="s">
        <v>232</v>
      </c>
      <c r="AM206">
        <v>0.36149999999999999</v>
      </c>
      <c r="AN206" t="s">
        <v>195</v>
      </c>
    </row>
    <row r="207" spans="9:40" ht="14.25">
      <c r="I207" t="s">
        <v>165</v>
      </c>
      <c r="J207" t="s">
        <v>207</v>
      </c>
      <c r="K207">
        <v>0.050764705151802716</v>
      </c>
      <c r="L207" t="s">
        <v>153</v>
      </c>
      <c r="N207" t="s">
        <v>175</v>
      </c>
      <c r="O207" t="s">
        <v>207</v>
      </c>
      <c r="P207">
        <v>0.018527120094981375</v>
      </c>
      <c r="Q207" t="s">
        <v>153</v>
      </c>
      <c r="S207" t="s">
        <v>185</v>
      </c>
      <c r="T207" t="s">
        <v>207</v>
      </c>
      <c r="U207">
        <v>0.021932138802784339</v>
      </c>
      <c r="V207" t="s">
        <v>153</v>
      </c>
      <c r="AC207" t="s">
        <v>19</v>
      </c>
      <c r="AD207" t="s">
        <v>207</v>
      </c>
      <c r="AE207">
        <v>0.019268645868251496</v>
      </c>
      <c r="AK207">
        <v>2034</v>
      </c>
      <c r="AL207" t="s">
        <v>233</v>
      </c>
      <c r="AM207">
        <v>0.36149999999999999</v>
      </c>
      <c r="AN207" t="s">
        <v>195</v>
      </c>
    </row>
    <row r="208" spans="9:40" ht="14.25">
      <c r="I208" t="s">
        <v>165</v>
      </c>
      <c r="J208" t="s">
        <v>221</v>
      </c>
      <c r="K208">
        <v>0.0063571081042098961</v>
      </c>
      <c r="L208" t="s">
        <v>153</v>
      </c>
      <c r="N208" t="s">
        <v>175</v>
      </c>
      <c r="O208" t="s">
        <v>221</v>
      </c>
      <c r="P208">
        <v>0.0023548612116161094</v>
      </c>
      <c r="Q208" t="s">
        <v>153</v>
      </c>
      <c r="S208" t="s">
        <v>185</v>
      </c>
      <c r="T208" t="s">
        <v>221</v>
      </c>
      <c r="U208">
        <v>0.0029210251649617364</v>
      </c>
      <c r="V208" t="s">
        <v>153</v>
      </c>
      <c r="AC208" t="s">
        <v>19</v>
      </c>
      <c r="AD208" t="s">
        <v>221</v>
      </c>
      <c r="AE208">
        <v>0.0027578171032922264</v>
      </c>
      <c r="AK208">
        <v>2034</v>
      </c>
      <c r="AL208" t="s">
        <v>234</v>
      </c>
      <c r="AM208">
        <v>0.38505</v>
      </c>
      <c r="AN208" t="s">
        <v>195</v>
      </c>
    </row>
    <row r="209" spans="9:40" ht="14.25">
      <c r="I209" t="s">
        <v>165</v>
      </c>
      <c r="J209" t="s">
        <v>315</v>
      </c>
      <c r="K209">
        <v>0.0042662356977790509</v>
      </c>
      <c r="L209" t="s">
        <v>153</v>
      </c>
      <c r="N209" t="s">
        <v>175</v>
      </c>
      <c r="O209" t="s">
        <v>315</v>
      </c>
      <c r="P209">
        <v>0.0024528565882864801</v>
      </c>
      <c r="Q209" t="s">
        <v>153</v>
      </c>
      <c r="S209" t="s">
        <v>185</v>
      </c>
      <c r="T209" t="s">
        <v>315</v>
      </c>
      <c r="U209">
        <v>0.0029585835799953511</v>
      </c>
      <c r="V209" t="s">
        <v>153</v>
      </c>
      <c r="AC209" t="s">
        <v>19</v>
      </c>
      <c r="AD209" t="s">
        <v>315</v>
      </c>
      <c r="AE209">
        <v>0.0027636901093187885</v>
      </c>
      <c r="AK209">
        <v>2034</v>
      </c>
      <c r="AL209" t="s">
        <v>256</v>
      </c>
      <c r="AM209">
        <v>0.40860000000000002</v>
      </c>
      <c r="AN209" t="s">
        <v>195</v>
      </c>
    </row>
    <row r="210" spans="9:40" ht="14.25">
      <c r="I210" t="s">
        <v>165</v>
      </c>
      <c r="J210" t="s">
        <v>316</v>
      </c>
      <c r="K210">
        <v>0</v>
      </c>
      <c r="L210" t="s">
        <v>153</v>
      </c>
      <c r="N210" t="s">
        <v>175</v>
      </c>
      <c r="O210" t="s">
        <v>316</v>
      </c>
      <c r="P210">
        <v>0.016208163201523254</v>
      </c>
      <c r="Q210" t="s">
        <v>153</v>
      </c>
      <c r="S210" t="s">
        <v>185</v>
      </c>
      <c r="T210" t="s">
        <v>316</v>
      </c>
      <c r="U210">
        <v>0.017897628675375605</v>
      </c>
      <c r="V210" t="s">
        <v>153</v>
      </c>
      <c r="AC210" t="s">
        <v>19</v>
      </c>
      <c r="AD210" t="s">
        <v>316</v>
      </c>
      <c r="AE210">
        <v>0.016517306601504234</v>
      </c>
      <c r="AK210">
        <v>2034</v>
      </c>
      <c r="AL210" t="s">
        <v>257</v>
      </c>
      <c r="AM210">
        <v>0.44940000000000002</v>
      </c>
      <c r="AN210" t="s">
        <v>195</v>
      </c>
    </row>
    <row r="211" spans="9:40" ht="14.25">
      <c r="I211" t="s">
        <v>165</v>
      </c>
      <c r="J211" t="s">
        <v>208</v>
      </c>
      <c r="K211">
        <v>0</v>
      </c>
      <c r="L211" t="s">
        <v>153</v>
      </c>
      <c r="N211" t="s">
        <v>175</v>
      </c>
      <c r="O211" t="s">
        <v>208</v>
      </c>
      <c r="P211">
        <v>0.0040857701888197002</v>
      </c>
      <c r="Q211" t="s">
        <v>153</v>
      </c>
      <c r="S211" t="s">
        <v>185</v>
      </c>
      <c r="T211" t="s">
        <v>208</v>
      </c>
      <c r="U211">
        <v>0.002882900977193252</v>
      </c>
      <c r="V211" t="s">
        <v>153</v>
      </c>
      <c r="AC211" t="s">
        <v>19</v>
      </c>
      <c r="AD211" t="s">
        <v>208</v>
      </c>
      <c r="AE211">
        <v>0.004711612746619423</v>
      </c>
      <c r="AK211">
        <v>2034</v>
      </c>
      <c r="AL211" t="s">
        <v>258</v>
      </c>
      <c r="AM211">
        <v>0.49020000000000002</v>
      </c>
      <c r="AN211" t="s">
        <v>195</v>
      </c>
    </row>
    <row r="212" spans="9:40" ht="14.25">
      <c r="I212" t="s">
        <v>165</v>
      </c>
      <c r="J212" t="s">
        <v>209</v>
      </c>
      <c r="K212">
        <v>0</v>
      </c>
      <c r="L212" t="s">
        <v>153</v>
      </c>
      <c r="N212" t="s">
        <v>175</v>
      </c>
      <c r="O212" t="s">
        <v>209</v>
      </c>
      <c r="P212">
        <v>0.00056873253915062396</v>
      </c>
      <c r="Q212" t="s">
        <v>153</v>
      </c>
      <c r="S212" t="s">
        <v>185</v>
      </c>
      <c r="T212" t="s">
        <v>209</v>
      </c>
      <c r="U212">
        <v>0.00049874892566982598</v>
      </c>
      <c r="V212" t="s">
        <v>153</v>
      </c>
      <c r="AC212" t="s">
        <v>19</v>
      </c>
      <c r="AD212" t="s">
        <v>209</v>
      </c>
      <c r="AE212">
        <v>0.00079013616752487742</v>
      </c>
      <c r="AK212">
        <v>2034</v>
      </c>
      <c r="AL212" t="s">
        <v>259</v>
      </c>
      <c r="AM212">
        <v>0.49020000000000002</v>
      </c>
      <c r="AN212" t="s">
        <v>195</v>
      </c>
    </row>
    <row r="213" spans="9:40" ht="14.25">
      <c r="I213" t="s">
        <v>165</v>
      </c>
      <c r="J213" t="s">
        <v>210</v>
      </c>
      <c r="K213">
        <v>0.00082140292236561774</v>
      </c>
      <c r="L213" t="s">
        <v>153</v>
      </c>
      <c r="N213" t="s">
        <v>175</v>
      </c>
      <c r="O213" t="s">
        <v>210</v>
      </c>
      <c r="P213">
        <v>0.00053485281733651308</v>
      </c>
      <c r="Q213" t="s">
        <v>153</v>
      </c>
      <c r="S213" t="s">
        <v>185</v>
      </c>
      <c r="T213" t="s">
        <v>210</v>
      </c>
      <c r="U213">
        <v>0.00051161878132293282</v>
      </c>
      <c r="V213" t="s">
        <v>153</v>
      </c>
      <c r="AC213" t="s">
        <v>19</v>
      </c>
      <c r="AD213" t="s">
        <v>210</v>
      </c>
      <c r="AE213">
        <v>0.00079432300872752065</v>
      </c>
      <c r="AK213">
        <v>2034</v>
      </c>
      <c r="AL213" t="s">
        <v>260</v>
      </c>
      <c r="AM213">
        <v>0.48135</v>
      </c>
      <c r="AN213" t="s">
        <v>195</v>
      </c>
    </row>
    <row r="214" spans="9:40" ht="14.25">
      <c r="I214" t="s">
        <v>165</v>
      </c>
      <c r="J214" t="s">
        <v>211</v>
      </c>
      <c r="K214">
        <v>0.0015869248616185935</v>
      </c>
      <c r="L214" t="s">
        <v>153</v>
      </c>
      <c r="N214" t="s">
        <v>175</v>
      </c>
      <c r="O214" t="s">
        <v>211</v>
      </c>
      <c r="P214">
        <v>0.00044218344666066241</v>
      </c>
      <c r="Q214" t="s">
        <v>153</v>
      </c>
      <c r="S214" t="s">
        <v>185</v>
      </c>
      <c r="T214" t="s">
        <v>211</v>
      </c>
      <c r="U214">
        <v>0.00048791311688002831</v>
      </c>
      <c r="V214" t="s">
        <v>153</v>
      </c>
      <c r="AC214" t="s">
        <v>19</v>
      </c>
      <c r="AD214" t="s">
        <v>211</v>
      </c>
      <c r="AE214">
        <v>0.00079877764118450835</v>
      </c>
      <c r="AK214">
        <v>2034</v>
      </c>
      <c r="AL214" t="s">
        <v>261</v>
      </c>
      <c r="AM214">
        <v>0.4725</v>
      </c>
      <c r="AN214" t="s">
        <v>195</v>
      </c>
    </row>
    <row r="215" spans="9:40" ht="14.25">
      <c r="I215" t="s">
        <v>165</v>
      </c>
      <c r="J215" t="s">
        <v>212</v>
      </c>
      <c r="K215">
        <v>0.015036279896193409</v>
      </c>
      <c r="L215" t="s">
        <v>153</v>
      </c>
      <c r="N215" t="s">
        <v>175</v>
      </c>
      <c r="O215" t="s">
        <v>212</v>
      </c>
      <c r="P215">
        <v>0.0013893856756999467</v>
      </c>
      <c r="Q215" t="s">
        <v>153</v>
      </c>
      <c r="S215" t="s">
        <v>185</v>
      </c>
      <c r="T215" t="s">
        <v>212</v>
      </c>
      <c r="U215">
        <v>0.001942457645242854</v>
      </c>
      <c r="V215" t="s">
        <v>153</v>
      </c>
      <c r="AC215" t="s">
        <v>19</v>
      </c>
      <c r="AD215" t="s">
        <v>212</v>
      </c>
      <c r="AE215">
        <v>0.0056224322147640027</v>
      </c>
      <c r="AK215">
        <v>2034</v>
      </c>
      <c r="AL215" t="s">
        <v>303</v>
      </c>
      <c r="AM215">
        <v>0.4725</v>
      </c>
      <c r="AN215" t="s">
        <v>195</v>
      </c>
    </row>
    <row r="216" spans="9:40" ht="14.25">
      <c r="I216" t="s">
        <v>165</v>
      </c>
      <c r="J216" t="s">
        <v>222</v>
      </c>
      <c r="K216">
        <v>0.0017878041173244085</v>
      </c>
      <c r="L216" t="s">
        <v>153</v>
      </c>
      <c r="N216" t="s">
        <v>175</v>
      </c>
      <c r="O216" t="s">
        <v>222</v>
      </c>
      <c r="P216">
        <v>0.00013839278464197023</v>
      </c>
      <c r="Q216" t="s">
        <v>153</v>
      </c>
      <c r="S216" t="s">
        <v>185</v>
      </c>
      <c r="T216" t="s">
        <v>222</v>
      </c>
      <c r="U216">
        <v>0.00011626597202478042</v>
      </c>
      <c r="V216" t="s">
        <v>153</v>
      </c>
      <c r="AC216" t="s">
        <v>19</v>
      </c>
      <c r="AD216" t="s">
        <v>222</v>
      </c>
      <c r="AE216">
        <v>0.00080452716299794617</v>
      </c>
      <c r="AK216">
        <v>2034</v>
      </c>
      <c r="AL216" t="s">
        <v>304</v>
      </c>
      <c r="AM216">
        <v>0.42719999999999997</v>
      </c>
      <c r="AN216" t="s">
        <v>195</v>
      </c>
    </row>
    <row r="217" spans="9:40" ht="14.25">
      <c r="I217" t="s">
        <v>165</v>
      </c>
      <c r="J217" t="s">
        <v>317</v>
      </c>
      <c r="K217">
        <v>0.0011957738622017863</v>
      </c>
      <c r="L217" t="s">
        <v>153</v>
      </c>
      <c r="N217" t="s">
        <v>175</v>
      </c>
      <c r="O217" t="s">
        <v>317</v>
      </c>
      <c r="P217">
        <v>0.0002765936564529636</v>
      </c>
      <c r="Q217" t="s">
        <v>153</v>
      </c>
      <c r="S217" t="s">
        <v>185</v>
      </c>
      <c r="T217" t="s">
        <v>317</v>
      </c>
      <c r="U217">
        <v>0.00012012404626778265</v>
      </c>
      <c r="V217" t="s">
        <v>153</v>
      </c>
      <c r="AC217" t="s">
        <v>19</v>
      </c>
      <c r="AD217" t="s">
        <v>317</v>
      </c>
      <c r="AE217">
        <v>0.00080571503270302186</v>
      </c>
      <c r="AK217">
        <v>2034</v>
      </c>
      <c r="AL217" t="s">
        <v>305</v>
      </c>
      <c r="AM217">
        <v>0.37595000000000001</v>
      </c>
      <c r="AN217" t="s">
        <v>195</v>
      </c>
    </row>
    <row r="218" spans="9:40" ht="14.25">
      <c r="I218" t="s">
        <v>165</v>
      </c>
      <c r="J218" t="s">
        <v>318</v>
      </c>
      <c r="K218">
        <v>7.4295217525200373E-05</v>
      </c>
      <c r="L218" t="s">
        <v>153</v>
      </c>
      <c r="N218" t="s">
        <v>175</v>
      </c>
      <c r="O218" t="s">
        <v>318</v>
      </c>
      <c r="P218">
        <v>0.0043216921473953488</v>
      </c>
      <c r="Q218" t="s">
        <v>153</v>
      </c>
      <c r="S218" t="s">
        <v>185</v>
      </c>
      <c r="T218" t="s">
        <v>318</v>
      </c>
      <c r="U218">
        <v>0.0012123095255499531</v>
      </c>
      <c r="V218" t="s">
        <v>153</v>
      </c>
      <c r="AC218" t="s">
        <v>19</v>
      </c>
      <c r="AD218" t="s">
        <v>318</v>
      </c>
      <c r="AE218">
        <v>0.0048206217044547946</v>
      </c>
      <c r="AK218">
        <v>2034</v>
      </c>
      <c r="AL218" t="s">
        <v>306</v>
      </c>
      <c r="AM218">
        <v>0.36259999999999998</v>
      </c>
      <c r="AN218" t="s">
        <v>195</v>
      </c>
    </row>
    <row r="219" spans="9:40" ht="14.25">
      <c r="I219" t="s">
        <v>165</v>
      </c>
      <c r="J219" t="s">
        <v>223</v>
      </c>
      <c r="K219">
        <v>0</v>
      </c>
      <c r="L219" t="s">
        <v>153</v>
      </c>
      <c r="N219" t="s">
        <v>175</v>
      </c>
      <c r="O219" t="s">
        <v>223</v>
      </c>
      <c r="P219">
        <v>0.011198917629842963</v>
      </c>
      <c r="Q219" t="s">
        <v>153</v>
      </c>
      <c r="S219" t="s">
        <v>185</v>
      </c>
      <c r="T219" t="s">
        <v>223</v>
      </c>
      <c r="U219">
        <v>0.013052339447018021</v>
      </c>
      <c r="V219" t="s">
        <v>153</v>
      </c>
      <c r="AC219" t="s">
        <v>19</v>
      </c>
      <c r="AD219" t="s">
        <v>223</v>
      </c>
      <c r="AE219">
        <v>0.0053871126380305419</v>
      </c>
      <c r="AK219">
        <v>2034</v>
      </c>
      <c r="AL219" t="s">
        <v>307</v>
      </c>
      <c r="AM219">
        <v>0.33429999999999999</v>
      </c>
      <c r="AN219" t="s">
        <v>195</v>
      </c>
    </row>
    <row r="220" spans="9:40" ht="14.25">
      <c r="I220" t="s">
        <v>165</v>
      </c>
      <c r="J220" t="s">
        <v>224</v>
      </c>
      <c r="K220">
        <v>0</v>
      </c>
      <c r="L220" t="s">
        <v>153</v>
      </c>
      <c r="N220" t="s">
        <v>175</v>
      </c>
      <c r="O220" t="s">
        <v>224</v>
      </c>
      <c r="P220">
        <v>0.0020406227493753098</v>
      </c>
      <c r="Q220" t="s">
        <v>153</v>
      </c>
      <c r="S220" t="s">
        <v>185</v>
      </c>
      <c r="T220" t="s">
        <v>224</v>
      </c>
      <c r="U220">
        <v>0.002219603952307702</v>
      </c>
      <c r="V220" t="s">
        <v>153</v>
      </c>
      <c r="AC220" t="s">
        <v>19</v>
      </c>
      <c r="AD220" t="s">
        <v>224</v>
      </c>
      <c r="AE220">
        <v>0.00090248284503922677</v>
      </c>
      <c r="AK220">
        <v>2034</v>
      </c>
      <c r="AL220" t="s">
        <v>308</v>
      </c>
      <c r="AM220">
        <v>0.33429999999999999</v>
      </c>
      <c r="AN220" t="s">
        <v>195</v>
      </c>
    </row>
    <row r="221" spans="9:40" ht="14.25">
      <c r="I221" t="s">
        <v>165</v>
      </c>
      <c r="J221" t="s">
        <v>225</v>
      </c>
      <c r="K221">
        <v>0.00098257733856982701</v>
      </c>
      <c r="L221" t="s">
        <v>153</v>
      </c>
      <c r="N221" t="s">
        <v>175</v>
      </c>
      <c r="O221" t="s">
        <v>225</v>
      </c>
      <c r="P221">
        <v>0.0020978083399819823</v>
      </c>
      <c r="Q221" t="s">
        <v>153</v>
      </c>
      <c r="S221" t="s">
        <v>185</v>
      </c>
      <c r="T221" t="s">
        <v>225</v>
      </c>
      <c r="U221">
        <v>0.002200044809814867</v>
      </c>
      <c r="V221" t="s">
        <v>153</v>
      </c>
      <c r="AC221" t="s">
        <v>19</v>
      </c>
      <c r="AD221" t="s">
        <v>225</v>
      </c>
      <c r="AE221">
        <v>0.0009074183395496756</v>
      </c>
      <c r="AK221">
        <v>2035</v>
      </c>
      <c r="AL221" t="s">
        <v>141</v>
      </c>
      <c r="AM221">
        <v>0.32340000000000002</v>
      </c>
      <c r="AN221" t="s">
        <v>195</v>
      </c>
    </row>
    <row r="222" spans="9:40" ht="14.25">
      <c r="I222" t="s">
        <v>165</v>
      </c>
      <c r="J222" t="s">
        <v>226</v>
      </c>
      <c r="K222">
        <v>0.0017564725779968099</v>
      </c>
      <c r="L222" t="s">
        <v>153</v>
      </c>
      <c r="N222" t="s">
        <v>175</v>
      </c>
      <c r="O222" t="s">
        <v>226</v>
      </c>
      <c r="P222">
        <v>0.0019941977217843966</v>
      </c>
      <c r="Q222" t="s">
        <v>153</v>
      </c>
      <c r="S222" t="s">
        <v>185</v>
      </c>
      <c r="T222" t="s">
        <v>226</v>
      </c>
      <c r="U222">
        <v>0.0021062876394093996</v>
      </c>
      <c r="V222" t="s">
        <v>153</v>
      </c>
      <c r="AC222" t="s">
        <v>19</v>
      </c>
      <c r="AD222" t="s">
        <v>226</v>
      </c>
      <c r="AE222">
        <v>0.0009135634950969278</v>
      </c>
      <c r="AK222">
        <v>2035</v>
      </c>
      <c r="AL222" t="s">
        <v>145</v>
      </c>
      <c r="AM222">
        <v>0.32340000000000002</v>
      </c>
      <c r="AN222" t="s">
        <v>195</v>
      </c>
    </row>
    <row r="223" spans="9:40" ht="14.25">
      <c r="I223" t="s">
        <v>165</v>
      </c>
      <c r="J223" t="s">
        <v>227</v>
      </c>
      <c r="K223">
        <v>0.016615047007947331</v>
      </c>
      <c r="L223" t="s">
        <v>153</v>
      </c>
      <c r="N223" t="s">
        <v>175</v>
      </c>
      <c r="O223" t="s">
        <v>227</v>
      </c>
      <c r="P223">
        <v>0.013790749669134844</v>
      </c>
      <c r="Q223" t="s">
        <v>153</v>
      </c>
      <c r="S223" t="s">
        <v>185</v>
      </c>
      <c r="T223" t="s">
        <v>227</v>
      </c>
      <c r="U223">
        <v>0.013975311916814025</v>
      </c>
      <c r="V223" t="s">
        <v>153</v>
      </c>
      <c r="AC223" t="s">
        <v>19</v>
      </c>
      <c r="AD223" t="s">
        <v>227</v>
      </c>
      <c r="AE223">
        <v>0.0064311485842111354</v>
      </c>
      <c r="AK223">
        <v>2035</v>
      </c>
      <c r="AL223" t="s">
        <v>147</v>
      </c>
      <c r="AM223">
        <v>0.33030000000000004</v>
      </c>
      <c r="AN223" t="s">
        <v>195</v>
      </c>
    </row>
    <row r="224" spans="9:40" ht="14.25">
      <c r="I224" t="s">
        <v>165</v>
      </c>
      <c r="J224" t="s">
        <v>228</v>
      </c>
      <c r="K224">
        <v>0.0019976582012306765</v>
      </c>
      <c r="L224" t="s">
        <v>153</v>
      </c>
      <c r="N224" t="s">
        <v>175</v>
      </c>
      <c r="O224" t="s">
        <v>228</v>
      </c>
      <c r="P224">
        <v>0.00176325012883269</v>
      </c>
      <c r="Q224" t="s">
        <v>153</v>
      </c>
      <c r="S224" t="s">
        <v>185</v>
      </c>
      <c r="T224" t="s">
        <v>228</v>
      </c>
      <c r="U224">
        <v>0.0020889185170261883</v>
      </c>
      <c r="V224" t="s">
        <v>153</v>
      </c>
      <c r="AC224" t="s">
        <v>19</v>
      </c>
      <c r="AD224" t="s">
        <v>228</v>
      </c>
      <c r="AE224">
        <v>0.00091958129241652615</v>
      </c>
      <c r="AK224">
        <v>2035</v>
      </c>
      <c r="AL224" t="s">
        <v>149</v>
      </c>
      <c r="AM224">
        <v>0.3372</v>
      </c>
      <c r="AN224" t="s">
        <v>195</v>
      </c>
    </row>
    <row r="225" spans="9:40" ht="14.25">
      <c r="I225" t="s">
        <v>165</v>
      </c>
      <c r="J225" t="s">
        <v>319</v>
      </c>
      <c r="K225">
        <v>0.0014009406017931358</v>
      </c>
      <c r="L225" t="s">
        <v>153</v>
      </c>
      <c r="N225" t="s">
        <v>175</v>
      </c>
      <c r="O225" t="s">
        <v>319</v>
      </c>
      <c r="P225">
        <v>0.0016083258257048876</v>
      </c>
      <c r="Q225" t="s">
        <v>153</v>
      </c>
      <c r="S225" t="s">
        <v>185</v>
      </c>
      <c r="T225" t="s">
        <v>319</v>
      </c>
      <c r="U225">
        <v>0.0021198736605269487</v>
      </c>
      <c r="V225" t="s">
        <v>153</v>
      </c>
      <c r="AC225" t="s">
        <v>19</v>
      </c>
      <c r="AD225" t="s">
        <v>319</v>
      </c>
      <c r="AE225">
        <v>0.00092144663041242975</v>
      </c>
      <c r="AK225">
        <v>2035</v>
      </c>
      <c r="AL225" t="s">
        <v>198</v>
      </c>
      <c r="AM225">
        <v>0.38490000000000002</v>
      </c>
      <c r="AN225" t="s">
        <v>195</v>
      </c>
    </row>
    <row r="226" spans="9:40" ht="14.25">
      <c r="I226" t="s">
        <v>165</v>
      </c>
      <c r="J226" t="s">
        <v>320</v>
      </c>
      <c r="K226">
        <v>0.00062085402719727427</v>
      </c>
      <c r="L226" t="s">
        <v>153</v>
      </c>
      <c r="N226" t="s">
        <v>175</v>
      </c>
      <c r="O226" t="s">
        <v>320</v>
      </c>
      <c r="P226">
        <v>0.010184142037563487</v>
      </c>
      <c r="Q226" t="s">
        <v>153</v>
      </c>
      <c r="S226" t="s">
        <v>185</v>
      </c>
      <c r="T226" t="s">
        <v>320</v>
      </c>
      <c r="U226">
        <v>0.01394078850785169</v>
      </c>
      <c r="V226" t="s">
        <v>153</v>
      </c>
      <c r="AC226" t="s">
        <v>19</v>
      </c>
      <c r="AD226" t="s">
        <v>320</v>
      </c>
      <c r="AE226">
        <v>0.0055097121230868453</v>
      </c>
      <c r="AK226">
        <v>2035</v>
      </c>
      <c r="AL226" t="s">
        <v>216</v>
      </c>
      <c r="AM226">
        <v>0.43259999999999998</v>
      </c>
      <c r="AN226" t="s">
        <v>195</v>
      </c>
    </row>
    <row r="227" spans="9:40" ht="14.25">
      <c r="I227" t="s">
        <v>165</v>
      </c>
      <c r="J227" t="s">
        <v>235</v>
      </c>
      <c r="K227">
        <v>0</v>
      </c>
      <c r="L227" t="s">
        <v>153</v>
      </c>
      <c r="N227" t="s">
        <v>175</v>
      </c>
      <c r="O227" t="s">
        <v>235</v>
      </c>
      <c r="P227">
        <v>0.0043183116229520199</v>
      </c>
      <c r="Q227" t="s">
        <v>153</v>
      </c>
      <c r="S227" t="s">
        <v>185</v>
      </c>
      <c r="T227" t="s">
        <v>235</v>
      </c>
      <c r="U227">
        <v>0.0014925690079880837</v>
      </c>
      <c r="V227" t="s">
        <v>153</v>
      </c>
      <c r="AC227" t="s">
        <v>19</v>
      </c>
      <c r="AD227" t="s">
        <v>235</v>
      </c>
      <c r="AE227">
        <v>0.0047124523972592669</v>
      </c>
      <c r="AK227">
        <v>2035</v>
      </c>
      <c r="AL227" t="s">
        <v>232</v>
      </c>
      <c r="AM227">
        <v>0.43259999999999998</v>
      </c>
      <c r="AN227" t="s">
        <v>195</v>
      </c>
    </row>
    <row r="228" spans="9:40" ht="14.25">
      <c r="I228" t="s">
        <v>165</v>
      </c>
      <c r="J228" t="s">
        <v>236</v>
      </c>
      <c r="K228">
        <v>0</v>
      </c>
      <c r="L228" t="s">
        <v>153</v>
      </c>
      <c r="N228" t="s">
        <v>175</v>
      </c>
      <c r="O228" t="s">
        <v>236</v>
      </c>
      <c r="P228">
        <v>0.00072900568512620405</v>
      </c>
      <c r="Q228" t="s">
        <v>153</v>
      </c>
      <c r="S228" t="s">
        <v>185</v>
      </c>
      <c r="T228" t="s">
        <v>236</v>
      </c>
      <c r="U228">
        <v>0.00016613405317216482</v>
      </c>
      <c r="V228" t="s">
        <v>153</v>
      </c>
      <c r="AC228" t="s">
        <v>19</v>
      </c>
      <c r="AD228" t="s">
        <v>236</v>
      </c>
      <c r="AE228">
        <v>0.00078934634581112996</v>
      </c>
      <c r="AK228">
        <v>2035</v>
      </c>
      <c r="AL228" t="s">
        <v>233</v>
      </c>
      <c r="AM228">
        <v>0.43259999999999998</v>
      </c>
      <c r="AN228" t="s">
        <v>195</v>
      </c>
    </row>
    <row r="229" spans="9:40" ht="14.25">
      <c r="I229" t="s">
        <v>165</v>
      </c>
      <c r="J229" t="s">
        <v>237</v>
      </c>
      <c r="K229">
        <v>0.00092286514358756234</v>
      </c>
      <c r="L229" t="s">
        <v>153</v>
      </c>
      <c r="N229" t="s">
        <v>175</v>
      </c>
      <c r="O229" t="s">
        <v>237</v>
      </c>
      <c r="P229">
        <v>0.00069295076035576881</v>
      </c>
      <c r="Q229" t="s">
        <v>153</v>
      </c>
      <c r="S229" t="s">
        <v>185</v>
      </c>
      <c r="T229" t="s">
        <v>237</v>
      </c>
      <c r="U229">
        <v>0.00016579123322414186</v>
      </c>
      <c r="V229" t="s">
        <v>153</v>
      </c>
      <c r="AC229" t="s">
        <v>19</v>
      </c>
      <c r="AD229" t="s">
        <v>237</v>
      </c>
      <c r="AE229">
        <v>0.00079368766334313287</v>
      </c>
      <c r="AK229">
        <v>2035</v>
      </c>
      <c r="AL229" t="s">
        <v>234</v>
      </c>
      <c r="AM229">
        <v>0.44284999999999997</v>
      </c>
      <c r="AN229" t="s">
        <v>195</v>
      </c>
    </row>
    <row r="230" spans="9:40" ht="14.25">
      <c r="I230" t="s">
        <v>165</v>
      </c>
      <c r="J230" t="s">
        <v>238</v>
      </c>
      <c r="K230">
        <v>0.0016252770841940762</v>
      </c>
      <c r="L230" t="s">
        <v>153</v>
      </c>
      <c r="N230" t="s">
        <v>175</v>
      </c>
      <c r="O230" t="s">
        <v>238</v>
      </c>
      <c r="P230">
        <v>0.00050099130512452623</v>
      </c>
      <c r="Q230" t="s">
        <v>153</v>
      </c>
      <c r="S230" t="s">
        <v>185</v>
      </c>
      <c r="T230" t="s">
        <v>238</v>
      </c>
      <c r="U230">
        <v>0.00017863254773591545</v>
      </c>
      <c r="V230" t="s">
        <v>153</v>
      </c>
      <c r="AC230" t="s">
        <v>19</v>
      </c>
      <c r="AD230" t="s">
        <v>238</v>
      </c>
      <c r="AE230">
        <v>0.00079883283888998512</v>
      </c>
      <c r="AK230">
        <v>2035</v>
      </c>
      <c r="AL230" t="s">
        <v>256</v>
      </c>
      <c r="AM230">
        <v>0.4531</v>
      </c>
      <c r="AN230" t="s">
        <v>195</v>
      </c>
    </row>
    <row r="231" spans="9:40" ht="14.25">
      <c r="I231" t="s">
        <v>165</v>
      </c>
      <c r="J231" t="s">
        <v>239</v>
      </c>
      <c r="K231">
        <v>0.015115067972191068</v>
      </c>
      <c r="L231" t="s">
        <v>153</v>
      </c>
      <c r="N231" t="s">
        <v>175</v>
      </c>
      <c r="O231" t="s">
        <v>239</v>
      </c>
      <c r="P231">
        <v>0.0028562002489120942</v>
      </c>
      <c r="Q231" t="s">
        <v>153</v>
      </c>
      <c r="S231" t="s">
        <v>185</v>
      </c>
      <c r="T231" t="s">
        <v>239</v>
      </c>
      <c r="U231">
        <v>0.001872433657579486</v>
      </c>
      <c r="V231" t="s">
        <v>153</v>
      </c>
      <c r="AC231" t="s">
        <v>19</v>
      </c>
      <c r="AD231" t="s">
        <v>239</v>
      </c>
      <c r="AE231">
        <v>0.0056287739275376518</v>
      </c>
      <c r="AK231">
        <v>2035</v>
      </c>
      <c r="AL231" t="s">
        <v>257</v>
      </c>
      <c r="AM231">
        <v>0.48250000000000004</v>
      </c>
      <c r="AN231" t="s">
        <v>195</v>
      </c>
    </row>
    <row r="232" spans="9:40" ht="14.25">
      <c r="I232" t="s">
        <v>165</v>
      </c>
      <c r="J232" t="s">
        <v>240</v>
      </c>
      <c r="K232">
        <v>0.0018125047586457178</v>
      </c>
      <c r="L232" t="s">
        <v>153</v>
      </c>
      <c r="N232" t="s">
        <v>175</v>
      </c>
      <c r="O232" t="s">
        <v>240</v>
      </c>
      <c r="P232">
        <v>0.00080288832200624131</v>
      </c>
      <c r="Q232" t="s">
        <v>153</v>
      </c>
      <c r="S232" t="s">
        <v>185</v>
      </c>
      <c r="T232" t="s">
        <v>240</v>
      </c>
      <c r="U232">
        <v>0.00017358718877356718</v>
      </c>
      <c r="V232" t="s">
        <v>153</v>
      </c>
      <c r="AC232" t="s">
        <v>19</v>
      </c>
      <c r="AD232" t="s">
        <v>240</v>
      </c>
      <c r="AE232">
        <v>0.00080561526982732268</v>
      </c>
      <c r="AK232">
        <v>2035</v>
      </c>
      <c r="AL232" t="s">
        <v>258</v>
      </c>
      <c r="AM232">
        <v>0.51190000000000002</v>
      </c>
      <c r="AN232" t="s">
        <v>195</v>
      </c>
    </row>
    <row r="233" spans="9:40" ht="14.25">
      <c r="I233" t="s">
        <v>165</v>
      </c>
      <c r="J233" t="s">
        <v>321</v>
      </c>
      <c r="K233">
        <v>0.001240038918555888</v>
      </c>
      <c r="L233" t="s">
        <v>153</v>
      </c>
      <c r="N233" t="s">
        <v>175</v>
      </c>
      <c r="O233" t="s">
        <v>321</v>
      </c>
      <c r="P233">
        <v>0.00090007108829328187</v>
      </c>
      <c r="Q233" t="s">
        <v>153</v>
      </c>
      <c r="S233" t="s">
        <v>185</v>
      </c>
      <c r="T233" t="s">
        <v>321</v>
      </c>
      <c r="U233">
        <v>0.0002283463681842613</v>
      </c>
      <c r="V233" t="s">
        <v>153</v>
      </c>
      <c r="AC233" t="s">
        <v>19</v>
      </c>
      <c r="AD233" t="s">
        <v>321</v>
      </c>
      <c r="AE233">
        <v>0.00080693291901913304</v>
      </c>
      <c r="AK233">
        <v>2035</v>
      </c>
      <c r="AL233" t="s">
        <v>259</v>
      </c>
      <c r="AM233">
        <v>0.51190000000000002</v>
      </c>
      <c r="AN233" t="s">
        <v>195</v>
      </c>
    </row>
    <row r="234" spans="9:40" ht="14.25">
      <c r="I234" t="s">
        <v>165</v>
      </c>
      <c r="J234" t="s">
        <v>322</v>
      </c>
      <c r="K234">
        <v>0.00059369728703244373</v>
      </c>
      <c r="L234" t="s">
        <v>153</v>
      </c>
      <c r="N234" t="s">
        <v>175</v>
      </c>
      <c r="O234" t="s">
        <v>322</v>
      </c>
      <c r="P234">
        <v>0.0059607458843512649</v>
      </c>
      <c r="Q234" t="s">
        <v>153</v>
      </c>
      <c r="S234" t="s">
        <v>185</v>
      </c>
      <c r="T234" t="s">
        <v>322</v>
      </c>
      <c r="U234">
        <v>0.0025918146128956604</v>
      </c>
      <c r="V234" t="s">
        <v>153</v>
      </c>
      <c r="AC234" t="s">
        <v>19</v>
      </c>
      <c r="AD234" t="s">
        <v>322</v>
      </c>
      <c r="AE234">
        <v>0.004822499590988516</v>
      </c>
      <c r="AK234">
        <v>2035</v>
      </c>
      <c r="AL234" t="s">
        <v>260</v>
      </c>
      <c r="AM234">
        <v>0.47720000000000001</v>
      </c>
      <c r="AN234" t="s">
        <v>195</v>
      </c>
    </row>
    <row r="235" spans="9:40" ht="14.25">
      <c r="I235" t="s">
        <v>165</v>
      </c>
      <c r="J235" t="s">
        <v>241</v>
      </c>
      <c r="K235">
        <v>0</v>
      </c>
      <c r="L235" t="s">
        <v>153</v>
      </c>
      <c r="N235" t="s">
        <v>175</v>
      </c>
      <c r="O235" t="s">
        <v>241</v>
      </c>
      <c r="P235">
        <v>0.0029741609232586271</v>
      </c>
      <c r="Q235" t="s">
        <v>153</v>
      </c>
      <c r="S235" t="s">
        <v>185</v>
      </c>
      <c r="T235" t="s">
        <v>241</v>
      </c>
      <c r="U235">
        <v>0.003899107831938056</v>
      </c>
      <c r="V235" t="s">
        <v>153</v>
      </c>
      <c r="AC235" t="s">
        <v>19</v>
      </c>
      <c r="AD235" t="s">
        <v>241</v>
      </c>
      <c r="AE235">
        <v>0.0033661260446961215</v>
      </c>
      <c r="AK235">
        <v>2035</v>
      </c>
      <c r="AL235" t="s">
        <v>261</v>
      </c>
      <c r="AM235">
        <v>0.4425</v>
      </c>
      <c r="AN235" t="s">
        <v>195</v>
      </c>
    </row>
    <row r="236" spans="9:40" ht="14.25">
      <c r="I236" t="s">
        <v>165</v>
      </c>
      <c r="J236" t="s">
        <v>242</v>
      </c>
      <c r="K236">
        <v>0</v>
      </c>
      <c r="L236" t="s">
        <v>153</v>
      </c>
      <c r="N236" t="s">
        <v>175</v>
      </c>
      <c r="O236" t="s">
        <v>242</v>
      </c>
      <c r="P236">
        <v>0.00054433415116093441</v>
      </c>
      <c r="Q236" t="s">
        <v>153</v>
      </c>
      <c r="S236" t="s">
        <v>185</v>
      </c>
      <c r="T236" t="s">
        <v>242</v>
      </c>
      <c r="U236">
        <v>0.00082437720445066684</v>
      </c>
      <c r="V236" t="s">
        <v>153</v>
      </c>
      <c r="AC236" t="s">
        <v>19</v>
      </c>
      <c r="AD236" t="s">
        <v>242</v>
      </c>
      <c r="AE236">
        <v>0.00056341668189260408</v>
      </c>
      <c r="AK236">
        <v>2035</v>
      </c>
      <c r="AL236" t="s">
        <v>303</v>
      </c>
      <c r="AM236">
        <v>0.4425</v>
      </c>
      <c r="AN236" t="s">
        <v>195</v>
      </c>
    </row>
    <row r="237" spans="9:40" ht="14.25">
      <c r="I237" t="s">
        <v>165</v>
      </c>
      <c r="J237" t="s">
        <v>243</v>
      </c>
      <c r="K237">
        <v>0.00046566878571141496</v>
      </c>
      <c r="L237" t="s">
        <v>153</v>
      </c>
      <c r="N237" t="s">
        <v>175</v>
      </c>
      <c r="O237" t="s">
        <v>243</v>
      </c>
      <c r="P237">
        <v>0.00061450226448089699</v>
      </c>
      <c r="Q237" t="s">
        <v>153</v>
      </c>
      <c r="S237" t="s">
        <v>185</v>
      </c>
      <c r="T237" t="s">
        <v>243</v>
      </c>
      <c r="U237">
        <v>0.00096567166253647705</v>
      </c>
      <c r="V237" t="s">
        <v>153</v>
      </c>
      <c r="AC237" t="s">
        <v>19</v>
      </c>
      <c r="AD237" t="s">
        <v>243</v>
      </c>
      <c r="AE237">
        <v>0.00056604810626169539</v>
      </c>
      <c r="AK237">
        <v>2035</v>
      </c>
      <c r="AL237" t="s">
        <v>304</v>
      </c>
      <c r="AM237">
        <v>0.42156666666666665</v>
      </c>
      <c r="AN237" t="s">
        <v>195</v>
      </c>
    </row>
    <row r="238" spans="9:40" ht="14.25">
      <c r="I238" t="s">
        <v>165</v>
      </c>
      <c r="J238" t="s">
        <v>244</v>
      </c>
      <c r="K238">
        <v>0.00089499596958914074</v>
      </c>
      <c r="L238" t="s">
        <v>153</v>
      </c>
      <c r="N238" t="s">
        <v>175</v>
      </c>
      <c r="O238" t="s">
        <v>244</v>
      </c>
      <c r="P238">
        <v>0.00049917593487027107</v>
      </c>
      <c r="Q238" t="s">
        <v>153</v>
      </c>
      <c r="S238" t="s">
        <v>185</v>
      </c>
      <c r="T238" t="s">
        <v>244</v>
      </c>
      <c r="U238">
        <v>0.0010561117782145078</v>
      </c>
      <c r="V238" t="s">
        <v>153</v>
      </c>
      <c r="AC238" t="s">
        <v>19</v>
      </c>
      <c r="AD238" t="s">
        <v>244</v>
      </c>
      <c r="AE238">
        <v>0.0005695153492655036</v>
      </c>
      <c r="AK238">
        <v>2035</v>
      </c>
      <c r="AL238" t="s">
        <v>305</v>
      </c>
      <c r="AM238">
        <v>0.36485000000000001</v>
      </c>
      <c r="AN238" t="s">
        <v>195</v>
      </c>
    </row>
    <row r="239" spans="9:40" ht="14.25">
      <c r="I239" t="s">
        <v>165</v>
      </c>
      <c r="J239" t="s">
        <v>245</v>
      </c>
      <c r="K239">
        <v>0.0095645535085266686</v>
      </c>
      <c r="L239" t="s">
        <v>153</v>
      </c>
      <c r="N239" t="s">
        <v>175</v>
      </c>
      <c r="O239" t="s">
        <v>245</v>
      </c>
      <c r="P239">
        <v>0.0030081827148802976</v>
      </c>
      <c r="Q239" t="s">
        <v>153</v>
      </c>
      <c r="S239" t="s">
        <v>185</v>
      </c>
      <c r="T239" t="s">
        <v>245</v>
      </c>
      <c r="U239">
        <v>0.0060305288136549631</v>
      </c>
      <c r="V239" t="s">
        <v>153</v>
      </c>
      <c r="AC239" t="s">
        <v>19</v>
      </c>
      <c r="AD239" t="s">
        <v>245</v>
      </c>
      <c r="AE239">
        <v>0.0040100863941657369</v>
      </c>
      <c r="AK239">
        <v>2035</v>
      </c>
      <c r="AL239" t="s">
        <v>306</v>
      </c>
      <c r="AM239">
        <v>0.36577499999999996</v>
      </c>
      <c r="AN239" t="s">
        <v>195</v>
      </c>
    </row>
    <row r="240" spans="9:40" ht="14.25">
      <c r="I240" t="s">
        <v>165</v>
      </c>
      <c r="J240" t="s">
        <v>246</v>
      </c>
      <c r="K240">
        <v>0.0011495862338769432</v>
      </c>
      <c r="L240" t="s">
        <v>153</v>
      </c>
      <c r="N240" t="s">
        <v>175</v>
      </c>
      <c r="O240" t="s">
        <v>246</v>
      </c>
      <c r="P240">
        <v>0.00071912938100795651</v>
      </c>
      <c r="Q240" t="s">
        <v>153</v>
      </c>
      <c r="S240" t="s">
        <v>185</v>
      </c>
      <c r="T240" t="s">
        <v>246</v>
      </c>
      <c r="U240">
        <v>0.00063768362510061081</v>
      </c>
      <c r="V240" t="s">
        <v>153</v>
      </c>
      <c r="AC240" t="s">
        <v>19</v>
      </c>
      <c r="AD240" t="s">
        <v>246</v>
      </c>
      <c r="AE240">
        <v>0.00057358548578044879</v>
      </c>
      <c r="AK240">
        <v>2035</v>
      </c>
      <c r="AL240" t="s">
        <v>307</v>
      </c>
      <c r="AM240">
        <v>0.36630000000000001</v>
      </c>
      <c r="AN240" t="s">
        <v>195</v>
      </c>
    </row>
    <row r="241" spans="9:40" ht="14.25">
      <c r="I241" t="s">
        <v>165</v>
      </c>
      <c r="J241" t="s">
        <v>323</v>
      </c>
      <c r="K241">
        <v>0.00078430919640836002</v>
      </c>
      <c r="L241" t="s">
        <v>153</v>
      </c>
      <c r="N241" t="s">
        <v>175</v>
      </c>
      <c r="O241" t="s">
        <v>323</v>
      </c>
      <c r="P241">
        <v>0.00070367256789129835</v>
      </c>
      <c r="Q241" t="s">
        <v>153</v>
      </c>
      <c r="S241" t="s">
        <v>185</v>
      </c>
      <c r="T241" t="s">
        <v>323</v>
      </c>
      <c r="U241">
        <v>0.00067307298359109511</v>
      </c>
      <c r="V241" t="s">
        <v>153</v>
      </c>
      <c r="AC241" t="s">
        <v>19</v>
      </c>
      <c r="AD241" t="s">
        <v>323</v>
      </c>
      <c r="AE241">
        <v>0.00057407603287023341</v>
      </c>
      <c r="AK241">
        <v>2035</v>
      </c>
      <c r="AL241" t="s">
        <v>308</v>
      </c>
      <c r="AM241">
        <v>0.36630000000000001</v>
      </c>
      <c r="AN241" t="s">
        <v>195</v>
      </c>
    </row>
    <row r="242" spans="9:40" ht="14.25">
      <c r="I242" t="s">
        <v>165</v>
      </c>
      <c r="J242" t="s">
        <v>324</v>
      </c>
      <c r="K242">
        <v>0.00035126497405937922</v>
      </c>
      <c r="L242" t="s">
        <v>153</v>
      </c>
      <c r="N242" t="s">
        <v>175</v>
      </c>
      <c r="O242" t="s">
        <v>324</v>
      </c>
      <c r="P242">
        <v>0.0035762341623198396</v>
      </c>
      <c r="Q242" t="s">
        <v>153</v>
      </c>
      <c r="S242" t="s">
        <v>185</v>
      </c>
      <c r="T242" t="s">
        <v>324</v>
      </c>
      <c r="U242">
        <v>0.0049668245105186342</v>
      </c>
      <c r="V242" t="s">
        <v>153</v>
      </c>
      <c r="AC242" t="s">
        <v>19</v>
      </c>
      <c r="AD242" t="s">
        <v>324</v>
      </c>
      <c r="AE242">
        <v>0.003437656817470497</v>
      </c>
      <c r="AK242">
        <v>2036</v>
      </c>
      <c r="AL242" t="s">
        <v>141</v>
      </c>
      <c r="AM242">
        <v>0.28370000000000001</v>
      </c>
      <c r="AN242" t="s">
        <v>195</v>
      </c>
    </row>
    <row r="243" spans="9:40" ht="14.25">
      <c r="I243" t="s">
        <v>165</v>
      </c>
      <c r="J243" t="s">
        <v>247</v>
      </c>
      <c r="K243">
        <v>0</v>
      </c>
      <c r="L243" t="s">
        <v>153</v>
      </c>
      <c r="N243" t="s">
        <v>175</v>
      </c>
      <c r="O243" t="s">
        <v>247</v>
      </c>
      <c r="P243">
        <v>0.0086125456441750129</v>
      </c>
      <c r="Q243" t="s">
        <v>153</v>
      </c>
      <c r="S243" t="s">
        <v>185</v>
      </c>
      <c r="T243" t="s">
        <v>247</v>
      </c>
      <c r="U243">
        <v>0.014855539753949636</v>
      </c>
      <c r="V243" t="s">
        <v>153</v>
      </c>
      <c r="AC243" t="s">
        <v>19</v>
      </c>
      <c r="AD243" t="s">
        <v>247</v>
      </c>
      <c r="AE243">
        <v>0.0080636963986605355</v>
      </c>
      <c r="AK243">
        <v>2036</v>
      </c>
      <c r="AL243" t="s">
        <v>145</v>
      </c>
      <c r="AM243">
        <v>0.28370000000000001</v>
      </c>
      <c r="AN243" t="s">
        <v>195</v>
      </c>
    </row>
    <row r="244" spans="9:40" ht="14.25">
      <c r="I244" t="s">
        <v>165</v>
      </c>
      <c r="J244" t="s">
        <v>248</v>
      </c>
      <c r="K244">
        <v>0.00021430007551620362</v>
      </c>
      <c r="L244" t="s">
        <v>153</v>
      </c>
      <c r="N244" t="s">
        <v>175</v>
      </c>
      <c r="O244" t="s">
        <v>248</v>
      </c>
      <c r="P244">
        <v>0.0013883703738774525</v>
      </c>
      <c r="Q244" t="s">
        <v>153</v>
      </c>
      <c r="S244" t="s">
        <v>185</v>
      </c>
      <c r="T244" t="s">
        <v>248</v>
      </c>
      <c r="U244">
        <v>0.0022008469072879785</v>
      </c>
      <c r="V244" t="s">
        <v>153</v>
      </c>
      <c r="AC244" t="s">
        <v>19</v>
      </c>
      <c r="AD244" t="s">
        <v>248</v>
      </c>
      <c r="AE244">
        <v>0.0013501598486105558</v>
      </c>
      <c r="AK244">
        <v>2036</v>
      </c>
      <c r="AL244" t="s">
        <v>147</v>
      </c>
      <c r="AM244">
        <v>0.29039999999999999</v>
      </c>
      <c r="AN244" t="s">
        <v>195</v>
      </c>
    </row>
    <row r="245" spans="9:40" ht="14.25">
      <c r="I245" t="s">
        <v>165</v>
      </c>
      <c r="J245" t="s">
        <v>249</v>
      </c>
      <c r="K245">
        <v>0.0019624213266249768</v>
      </c>
      <c r="L245" t="s">
        <v>153</v>
      </c>
      <c r="N245" t="s">
        <v>175</v>
      </c>
      <c r="O245" t="s">
        <v>249</v>
      </c>
      <c r="P245">
        <v>0.0012820771256483962</v>
      </c>
      <c r="Q245" t="s">
        <v>153</v>
      </c>
      <c r="S245" t="s">
        <v>185</v>
      </c>
      <c r="T245" t="s">
        <v>249</v>
      </c>
      <c r="U245">
        <v>0.002166075585485633</v>
      </c>
      <c r="V245" t="s">
        <v>153</v>
      </c>
      <c r="AC245" t="s">
        <v>19</v>
      </c>
      <c r="AD245" t="s">
        <v>249</v>
      </c>
      <c r="AE245">
        <v>0.0013578899603521467</v>
      </c>
      <c r="AK245">
        <v>2036</v>
      </c>
      <c r="AL245" t="s">
        <v>149</v>
      </c>
      <c r="AM245">
        <v>0.29709999999999998</v>
      </c>
      <c r="AN245" t="s">
        <v>195</v>
      </c>
    </row>
    <row r="246" spans="9:40" ht="14.25">
      <c r="I246" t="s">
        <v>165</v>
      </c>
      <c r="J246" t="s">
        <v>250</v>
      </c>
      <c r="K246">
        <v>0.0029600433405811521</v>
      </c>
      <c r="L246" t="s">
        <v>153</v>
      </c>
      <c r="N246" t="s">
        <v>175</v>
      </c>
      <c r="O246" t="s">
        <v>250</v>
      </c>
      <c r="P246">
        <v>0.0011644586803583486</v>
      </c>
      <c r="Q246" t="s">
        <v>153</v>
      </c>
      <c r="S246" t="s">
        <v>185</v>
      </c>
      <c r="T246" t="s">
        <v>250</v>
      </c>
      <c r="U246">
        <v>0.0020897892297759512</v>
      </c>
      <c r="V246" t="s">
        <v>153</v>
      </c>
      <c r="AC246" t="s">
        <v>19</v>
      </c>
      <c r="AD246" t="s">
        <v>250</v>
      </c>
      <c r="AE246">
        <v>0.0013678243863609629</v>
      </c>
      <c r="AK246">
        <v>2036</v>
      </c>
      <c r="AL246" t="s">
        <v>198</v>
      </c>
      <c r="AM246">
        <v>0.31884999999999997</v>
      </c>
      <c r="AN246" t="s">
        <v>195</v>
      </c>
    </row>
    <row r="247" spans="9:40" ht="14.25">
      <c r="I247" t="s">
        <v>165</v>
      </c>
      <c r="J247" t="s">
        <v>251</v>
      </c>
      <c r="K247">
        <v>0.02592764221655984</v>
      </c>
      <c r="L247" t="s">
        <v>153</v>
      </c>
      <c r="N247" t="s">
        <v>175</v>
      </c>
      <c r="O247" t="s">
        <v>251</v>
      </c>
      <c r="P247">
        <v>0.0085758700853335711</v>
      </c>
      <c r="Q247" t="s">
        <v>153</v>
      </c>
      <c r="S247" t="s">
        <v>185</v>
      </c>
      <c r="T247" t="s">
        <v>251</v>
      </c>
      <c r="U247">
        <v>0.015012961196022983</v>
      </c>
      <c r="V247" t="s">
        <v>153</v>
      </c>
      <c r="AC247" t="s">
        <v>19</v>
      </c>
      <c r="AD247" t="s">
        <v>251</v>
      </c>
      <c r="AE247">
        <v>0.0096593816031078014</v>
      </c>
      <c r="AK247">
        <v>2036</v>
      </c>
      <c r="AL247" t="s">
        <v>216</v>
      </c>
      <c r="AM247">
        <v>0.34060000000000001</v>
      </c>
      <c r="AN247" t="s">
        <v>195</v>
      </c>
    </row>
    <row r="248" spans="9:40" ht="14.25">
      <c r="I248" t="s">
        <v>165</v>
      </c>
      <c r="J248" t="s">
        <v>252</v>
      </c>
      <c r="K248">
        <v>0.002961538078294967</v>
      </c>
      <c r="L248" t="s">
        <v>153</v>
      </c>
      <c r="N248" t="s">
        <v>175</v>
      </c>
      <c r="O248" t="s">
        <v>252</v>
      </c>
      <c r="P248">
        <v>0.001549619394592327</v>
      </c>
      <c r="Q248" t="s">
        <v>153</v>
      </c>
      <c r="S248" t="s">
        <v>185</v>
      </c>
      <c r="T248" t="s">
        <v>252</v>
      </c>
      <c r="U248">
        <v>0.0020383950728071927</v>
      </c>
      <c r="V248" t="s">
        <v>153</v>
      </c>
      <c r="AC248" t="s">
        <v>19</v>
      </c>
      <c r="AD248" t="s">
        <v>252</v>
      </c>
      <c r="AE248">
        <v>0.001381727256003328</v>
      </c>
      <c r="AK248">
        <v>2036</v>
      </c>
      <c r="AL248" t="s">
        <v>232</v>
      </c>
      <c r="AM248">
        <v>0.34060000000000001</v>
      </c>
      <c r="AN248" t="s">
        <v>195</v>
      </c>
    </row>
    <row r="249" spans="9:40" ht="14.25">
      <c r="I249" t="s">
        <v>165</v>
      </c>
      <c r="J249" t="s">
        <v>325</v>
      </c>
      <c r="K249">
        <v>0.0020832907267243524</v>
      </c>
      <c r="L249" t="s">
        <v>153</v>
      </c>
      <c r="N249" t="s">
        <v>175</v>
      </c>
      <c r="O249" t="s">
        <v>325</v>
      </c>
      <c r="P249">
        <v>0.0016604266227583614</v>
      </c>
      <c r="Q249" t="s">
        <v>153</v>
      </c>
      <c r="S249" t="s">
        <v>185</v>
      </c>
      <c r="T249" t="s">
        <v>325</v>
      </c>
      <c r="U249">
        <v>0.0022215911795142973</v>
      </c>
      <c r="V249" t="s">
        <v>153</v>
      </c>
      <c r="AC249" t="s">
        <v>19</v>
      </c>
      <c r="AD249" t="s">
        <v>325</v>
      </c>
      <c r="AE249">
        <v>0.0013827805037035072</v>
      </c>
      <c r="AK249">
        <v>2036</v>
      </c>
      <c r="AL249" t="s">
        <v>233</v>
      </c>
      <c r="AM249">
        <v>0.34060000000000001</v>
      </c>
      <c r="AN249" t="s">
        <v>195</v>
      </c>
    </row>
    <row r="250" spans="9:40" ht="14.25">
      <c r="I250" t="s">
        <v>165</v>
      </c>
      <c r="J250" t="s">
        <v>326</v>
      </c>
      <c r="K250">
        <v>0.00093663395578623659</v>
      </c>
      <c r="L250" t="s">
        <v>153</v>
      </c>
      <c r="N250" t="s">
        <v>175</v>
      </c>
      <c r="O250" t="s">
        <v>326</v>
      </c>
      <c r="P250">
        <v>0.010330880351059278</v>
      </c>
      <c r="Q250" t="s">
        <v>153</v>
      </c>
      <c r="S250" t="s">
        <v>185</v>
      </c>
      <c r="T250" t="s">
        <v>326</v>
      </c>
      <c r="U250">
        <v>0.015174559774752768</v>
      </c>
      <c r="V250" t="s">
        <v>153</v>
      </c>
      <c r="AC250" t="s">
        <v>19</v>
      </c>
      <c r="AD250" t="s">
        <v>326</v>
      </c>
      <c r="AE250">
        <v>0.0082736597538728522</v>
      </c>
      <c r="AK250">
        <v>2036</v>
      </c>
      <c r="AL250" t="s">
        <v>234</v>
      </c>
      <c r="AM250">
        <v>0.36609999999999998</v>
      </c>
      <c r="AN250" t="s">
        <v>195</v>
      </c>
    </row>
    <row r="251" spans="9:40" ht="14.25">
      <c r="I251" t="s">
        <v>165</v>
      </c>
      <c r="J251" t="s">
        <v>262</v>
      </c>
      <c r="K251">
        <v>0</v>
      </c>
      <c r="L251" t="s">
        <v>153</v>
      </c>
      <c r="N251" t="s">
        <v>175</v>
      </c>
      <c r="O251" t="s">
        <v>262</v>
      </c>
      <c r="P251">
        <v>0.019984686535255234</v>
      </c>
      <c r="Q251" t="s">
        <v>153</v>
      </c>
      <c r="S251" t="s">
        <v>185</v>
      </c>
      <c r="T251" t="s">
        <v>262</v>
      </c>
      <c r="U251">
        <v>0.015522143316798171</v>
      </c>
      <c r="V251" t="s">
        <v>153</v>
      </c>
      <c r="AC251" t="s">
        <v>19</v>
      </c>
      <c r="AD251" t="s">
        <v>262</v>
      </c>
      <c r="AE251">
        <v>0.012764183059252344</v>
      </c>
      <c r="AK251">
        <v>2036</v>
      </c>
      <c r="AL251" t="s">
        <v>256</v>
      </c>
      <c r="AM251">
        <v>0.3916</v>
      </c>
      <c r="AN251" t="s">
        <v>195</v>
      </c>
    </row>
    <row r="252" spans="9:40" ht="14.25">
      <c r="I252" t="s">
        <v>165</v>
      </c>
      <c r="J252" t="s">
        <v>263</v>
      </c>
      <c r="K252">
        <v>0.0013828946400875532</v>
      </c>
      <c r="L252" t="s">
        <v>153</v>
      </c>
      <c r="N252" t="s">
        <v>175</v>
      </c>
      <c r="O252" t="s">
        <v>263</v>
      </c>
      <c r="P252">
        <v>0.0031096097946674587</v>
      </c>
      <c r="Q252" t="s">
        <v>153</v>
      </c>
      <c r="S252" t="s">
        <v>185</v>
      </c>
      <c r="T252" t="s">
        <v>263</v>
      </c>
      <c r="U252">
        <v>0.0023517387861027336</v>
      </c>
      <c r="V252" t="s">
        <v>153</v>
      </c>
      <c r="AC252" t="s">
        <v>19</v>
      </c>
      <c r="AD252" t="s">
        <v>263</v>
      </c>
      <c r="AE252">
        <v>0.0021346641814634602</v>
      </c>
      <c r="AK252">
        <v>2036</v>
      </c>
      <c r="AL252" t="s">
        <v>257</v>
      </c>
      <c r="AM252">
        <v>0.41605000000000003</v>
      </c>
      <c r="AN252" t="s">
        <v>195</v>
      </c>
    </row>
    <row r="253" spans="9:40" ht="14.25">
      <c r="I253" t="s">
        <v>165</v>
      </c>
      <c r="J253" t="s">
        <v>264</v>
      </c>
      <c r="K253">
        <v>0.0031262895257427783</v>
      </c>
      <c r="L253" t="s">
        <v>153</v>
      </c>
      <c r="N253" t="s">
        <v>175</v>
      </c>
      <c r="O253" t="s">
        <v>264</v>
      </c>
      <c r="P253">
        <v>0.0026066122075945391</v>
      </c>
      <c r="Q253" t="s">
        <v>153</v>
      </c>
      <c r="S253" t="s">
        <v>185</v>
      </c>
      <c r="T253" t="s">
        <v>264</v>
      </c>
      <c r="U253">
        <v>0.0020172066656289653</v>
      </c>
      <c r="V253" t="s">
        <v>153</v>
      </c>
      <c r="AC253" t="s">
        <v>19</v>
      </c>
      <c r="AD253" t="s">
        <v>264</v>
      </c>
      <c r="AE253">
        <v>0.0021479709371201145</v>
      </c>
      <c r="AK253">
        <v>2036</v>
      </c>
      <c r="AL253" t="s">
        <v>258</v>
      </c>
      <c r="AM253">
        <v>0.4405</v>
      </c>
      <c r="AN253" t="s">
        <v>195</v>
      </c>
    </row>
    <row r="254" spans="9:40" ht="14.25">
      <c r="I254" t="s">
        <v>165</v>
      </c>
      <c r="J254" t="s">
        <v>265</v>
      </c>
      <c r="K254">
        <v>0.0043773636943555292</v>
      </c>
      <c r="L254" t="s">
        <v>153</v>
      </c>
      <c r="N254" t="s">
        <v>175</v>
      </c>
      <c r="O254" t="s">
        <v>265</v>
      </c>
      <c r="P254">
        <v>0.0019793195425314388</v>
      </c>
      <c r="Q254" t="s">
        <v>153</v>
      </c>
      <c r="S254" t="s">
        <v>185</v>
      </c>
      <c r="T254" t="s">
        <v>265</v>
      </c>
      <c r="U254">
        <v>0.0017974754607476238</v>
      </c>
      <c r="V254" t="s">
        <v>153</v>
      </c>
      <c r="AC254" t="s">
        <v>19</v>
      </c>
      <c r="AD254" t="s">
        <v>265</v>
      </c>
      <c r="AE254">
        <v>0.0021699985837342526</v>
      </c>
      <c r="AK254">
        <v>2036</v>
      </c>
      <c r="AL254" t="s">
        <v>259</v>
      </c>
      <c r="AM254">
        <v>0.4405</v>
      </c>
      <c r="AN254" t="s">
        <v>195</v>
      </c>
    </row>
    <row r="255" spans="9:40" ht="14.25">
      <c r="I255" t="s">
        <v>165</v>
      </c>
      <c r="J255" t="s">
        <v>266</v>
      </c>
      <c r="K255">
        <v>0.039505277189968081</v>
      </c>
      <c r="L255" t="s">
        <v>153</v>
      </c>
      <c r="N255" t="s">
        <v>175</v>
      </c>
      <c r="O255" t="s">
        <v>266</v>
      </c>
      <c r="P255">
        <v>0.014833855960415457</v>
      </c>
      <c r="Q255" t="s">
        <v>153</v>
      </c>
      <c r="S255" t="s">
        <v>185</v>
      </c>
      <c r="T255" t="s">
        <v>266</v>
      </c>
      <c r="U255">
        <v>0.0073442563179595211</v>
      </c>
      <c r="V255" t="s">
        <v>153</v>
      </c>
      <c r="AC255" t="s">
        <v>19</v>
      </c>
      <c r="AD255" t="s">
        <v>266</v>
      </c>
      <c r="AE255">
        <v>0.01532324165839646</v>
      </c>
      <c r="AK255">
        <v>2036</v>
      </c>
      <c r="AL255" t="s">
        <v>260</v>
      </c>
      <c r="AM255">
        <v>0.42754999999999999</v>
      </c>
      <c r="AN255" t="s">
        <v>195</v>
      </c>
    </row>
    <row r="256" spans="9:40" ht="14.25">
      <c r="I256" t="s">
        <v>165</v>
      </c>
      <c r="J256" t="s">
        <v>267</v>
      </c>
      <c r="K256">
        <v>0.004517809596864519</v>
      </c>
      <c r="L256" t="s">
        <v>153</v>
      </c>
      <c r="N256" t="s">
        <v>175</v>
      </c>
      <c r="O256" t="s">
        <v>267</v>
      </c>
      <c r="P256">
        <v>0.0034677341006644929</v>
      </c>
      <c r="Q256" t="s">
        <v>153</v>
      </c>
      <c r="S256" t="s">
        <v>185</v>
      </c>
      <c r="T256" t="s">
        <v>267</v>
      </c>
      <c r="U256">
        <v>0.0010293975919282131</v>
      </c>
      <c r="V256" t="s">
        <v>153</v>
      </c>
      <c r="AC256" t="s">
        <v>19</v>
      </c>
      <c r="AD256" t="s">
        <v>267</v>
      </c>
      <c r="AE256">
        <v>0.0021897652586186727</v>
      </c>
      <c r="AK256">
        <v>2036</v>
      </c>
      <c r="AL256" t="s">
        <v>261</v>
      </c>
      <c r="AM256">
        <v>0.41460000000000002</v>
      </c>
      <c r="AN256" t="s">
        <v>195</v>
      </c>
    </row>
    <row r="257" spans="9:40" ht="14.25">
      <c r="I257" t="s">
        <v>165</v>
      </c>
      <c r="J257" t="s">
        <v>327</v>
      </c>
      <c r="K257">
        <v>0.0032712172204182313</v>
      </c>
      <c r="L257" t="s">
        <v>153</v>
      </c>
      <c r="N257" t="s">
        <v>175</v>
      </c>
      <c r="O257" t="s">
        <v>327</v>
      </c>
      <c r="P257">
        <v>0.0036137025485596681</v>
      </c>
      <c r="Q257" t="s">
        <v>153</v>
      </c>
      <c r="S257" t="s">
        <v>185</v>
      </c>
      <c r="T257" t="s">
        <v>327</v>
      </c>
      <c r="U257">
        <v>0.0012084922314232127</v>
      </c>
      <c r="V257" t="s">
        <v>153</v>
      </c>
      <c r="AC257" t="s">
        <v>19</v>
      </c>
      <c r="AD257" t="s">
        <v>327</v>
      </c>
      <c r="AE257">
        <v>0.0021921748956559564</v>
      </c>
      <c r="AK257">
        <v>2036</v>
      </c>
      <c r="AL257" t="s">
        <v>303</v>
      </c>
      <c r="AM257">
        <v>0.41460000000000002</v>
      </c>
      <c r="AN257" t="s">
        <v>195</v>
      </c>
    </row>
    <row r="258" spans="9:40" ht="14.25">
      <c r="I258" t="s">
        <v>165</v>
      </c>
      <c r="J258" t="s">
        <v>328</v>
      </c>
      <c r="K258">
        <v>0.0014307846046176047</v>
      </c>
      <c r="L258" t="s">
        <v>153</v>
      </c>
      <c r="N258" t="s">
        <v>175</v>
      </c>
      <c r="O258" t="s">
        <v>328</v>
      </c>
      <c r="P258">
        <v>0.021250201806692588</v>
      </c>
      <c r="Q258" t="s">
        <v>153</v>
      </c>
      <c r="S258" t="s">
        <v>185</v>
      </c>
      <c r="T258" t="s">
        <v>328</v>
      </c>
      <c r="U258">
        <v>0.011700302117402023</v>
      </c>
      <c r="V258" t="s">
        <v>153</v>
      </c>
      <c r="AC258" t="s">
        <v>19</v>
      </c>
      <c r="AD258" t="s">
        <v>328</v>
      </c>
      <c r="AE258">
        <v>0.013144880045796876</v>
      </c>
      <c r="AK258">
        <v>2036</v>
      </c>
      <c r="AL258" t="s">
        <v>304</v>
      </c>
      <c r="AM258">
        <v>0.37820000000000004</v>
      </c>
      <c r="AN258" t="s">
        <v>195</v>
      </c>
    </row>
    <row r="259" spans="9:40" ht="14.25">
      <c r="I259" t="s">
        <v>165</v>
      </c>
      <c r="J259" t="s">
        <v>268</v>
      </c>
      <c r="K259">
        <v>0</v>
      </c>
      <c r="L259" t="s">
        <v>153</v>
      </c>
      <c r="N259" t="s">
        <v>175</v>
      </c>
      <c r="O259" t="s">
        <v>268</v>
      </c>
      <c r="P259">
        <v>0.0059610259633509676</v>
      </c>
      <c r="Q259" t="s">
        <v>153</v>
      </c>
      <c r="S259" t="s">
        <v>185</v>
      </c>
      <c r="T259" t="s">
        <v>268</v>
      </c>
      <c r="U259">
        <v>0.014487785733373001</v>
      </c>
      <c r="V259" t="s">
        <v>153</v>
      </c>
      <c r="AC259" t="s">
        <v>19</v>
      </c>
      <c r="AD259" t="s">
        <v>268</v>
      </c>
      <c r="AE259">
        <v>0.014138162539843298</v>
      </c>
      <c r="AK259">
        <v>2036</v>
      </c>
      <c r="AL259" t="s">
        <v>305</v>
      </c>
      <c r="AM259">
        <v>0.35065000000000002</v>
      </c>
      <c r="AN259" t="s">
        <v>195</v>
      </c>
    </row>
    <row r="260" spans="9:40" ht="14.25">
      <c r="I260" t="s">
        <v>165</v>
      </c>
      <c r="J260" t="s">
        <v>269</v>
      </c>
      <c r="K260">
        <v>0.0012602012180426543</v>
      </c>
      <c r="L260" t="s">
        <v>153</v>
      </c>
      <c r="N260" t="s">
        <v>175</v>
      </c>
      <c r="O260" t="s">
        <v>269</v>
      </c>
      <c r="P260">
        <v>0.0010886756205967848</v>
      </c>
      <c r="Q260" t="s">
        <v>153</v>
      </c>
      <c r="S260" t="s">
        <v>185</v>
      </c>
      <c r="T260" t="s">
        <v>269</v>
      </c>
      <c r="U260">
        <v>0.0024031847448087932</v>
      </c>
      <c r="V260" t="s">
        <v>153</v>
      </c>
      <c r="AC260" t="s">
        <v>19</v>
      </c>
      <c r="AD260" t="s">
        <v>269</v>
      </c>
      <c r="AE260">
        <v>0.0023564079606938374</v>
      </c>
      <c r="AK260">
        <v>2036</v>
      </c>
      <c r="AL260" t="s">
        <v>306</v>
      </c>
      <c r="AM260">
        <v>0.30602499999999999</v>
      </c>
      <c r="AN260" t="s">
        <v>195</v>
      </c>
    </row>
    <row r="261" spans="9:40" ht="14.25">
      <c r="I261" t="s">
        <v>165</v>
      </c>
      <c r="J261" t="s">
        <v>270</v>
      </c>
      <c r="K261">
        <v>0.0027764495206080444</v>
      </c>
      <c r="L261" t="s">
        <v>153</v>
      </c>
      <c r="N261" t="s">
        <v>175</v>
      </c>
      <c r="O261" t="s">
        <v>270</v>
      </c>
      <c r="P261">
        <v>0.0011421574951153239</v>
      </c>
      <c r="Q261" t="s">
        <v>153</v>
      </c>
      <c r="S261" t="s">
        <v>185</v>
      </c>
      <c r="T261" t="s">
        <v>270</v>
      </c>
      <c r="U261">
        <v>0.0023015807560212874</v>
      </c>
      <c r="V261" t="s">
        <v>153</v>
      </c>
      <c r="AC261" t="s">
        <v>19</v>
      </c>
      <c r="AD261" t="s">
        <v>270</v>
      </c>
      <c r="AE261">
        <v>0.00236409352126834</v>
      </c>
      <c r="AK261">
        <v>2036</v>
      </c>
      <c r="AL261" t="s">
        <v>307</v>
      </c>
      <c r="AM261">
        <v>0.3306</v>
      </c>
      <c r="AN261" t="s">
        <v>195</v>
      </c>
    </row>
    <row r="262" spans="9:40" ht="14.25">
      <c r="I262" t="s">
        <v>165</v>
      </c>
      <c r="J262" t="s">
        <v>271</v>
      </c>
      <c r="K262">
        <v>0.0040051346453218476</v>
      </c>
      <c r="L262" t="s">
        <v>153</v>
      </c>
      <c r="N262" t="s">
        <v>175</v>
      </c>
      <c r="O262" t="s">
        <v>271</v>
      </c>
      <c r="P262">
        <v>0.0010282922745412011</v>
      </c>
      <c r="Q262" t="s">
        <v>153</v>
      </c>
      <c r="S262" t="s">
        <v>185</v>
      </c>
      <c r="T262" t="s">
        <v>271</v>
      </c>
      <c r="U262">
        <v>0.0023609400350909195</v>
      </c>
      <c r="V262" t="s">
        <v>153</v>
      </c>
      <c r="AC262" t="s">
        <v>19</v>
      </c>
      <c r="AD262" t="s">
        <v>271</v>
      </c>
      <c r="AE262">
        <v>0.0023920871502577461</v>
      </c>
      <c r="AK262">
        <v>2036</v>
      </c>
      <c r="AL262" t="s">
        <v>308</v>
      </c>
      <c r="AM262">
        <v>0.3306</v>
      </c>
      <c r="AN262" t="s">
        <v>195</v>
      </c>
    </row>
    <row r="263" spans="9:40" ht="14.25">
      <c r="I263" t="s">
        <v>165</v>
      </c>
      <c r="J263" t="s">
        <v>272</v>
      </c>
      <c r="K263">
        <v>0.039431478441463594</v>
      </c>
      <c r="L263" t="s">
        <v>153</v>
      </c>
      <c r="N263" t="s">
        <v>175</v>
      </c>
      <c r="O263" t="s">
        <v>272</v>
      </c>
      <c r="P263">
        <v>0.0086235689610059552</v>
      </c>
      <c r="Q263" t="s">
        <v>153</v>
      </c>
      <c r="S263" t="s">
        <v>185</v>
      </c>
      <c r="T263" t="s">
        <v>272</v>
      </c>
      <c r="U263">
        <v>0.017742421556073685</v>
      </c>
      <c r="V263" t="s">
        <v>153</v>
      </c>
      <c r="AC263" t="s">
        <v>19</v>
      </c>
      <c r="AD263" t="s">
        <v>272</v>
      </c>
      <c r="AE263">
        <v>0.016899510101502986</v>
      </c>
      <c r="AK263">
        <v>2037</v>
      </c>
      <c r="AL263" t="s">
        <v>141</v>
      </c>
      <c r="AM263">
        <v>0.32519999999999999</v>
      </c>
      <c r="AN263" t="s">
        <v>195</v>
      </c>
    </row>
    <row r="264" spans="9:40" ht="14.25">
      <c r="I264" t="s">
        <v>165</v>
      </c>
      <c r="J264" t="s">
        <v>273</v>
      </c>
      <c r="K264">
        <v>0.0044265567141968058</v>
      </c>
      <c r="L264" t="s">
        <v>153</v>
      </c>
      <c r="N264" t="s">
        <v>175</v>
      </c>
      <c r="O264" t="s">
        <v>273</v>
      </c>
      <c r="P264">
        <v>0.0016159897364498982</v>
      </c>
      <c r="Q264" t="s">
        <v>153</v>
      </c>
      <c r="S264" t="s">
        <v>185</v>
      </c>
      <c r="T264" t="s">
        <v>273</v>
      </c>
      <c r="U264">
        <v>0.0023440855852623708</v>
      </c>
      <c r="V264" t="s">
        <v>153</v>
      </c>
      <c r="AC264" t="s">
        <v>19</v>
      </c>
      <c r="AD264" t="s">
        <v>273</v>
      </c>
      <c r="AE264">
        <v>0.0024157956349258251</v>
      </c>
      <c r="AK264">
        <v>2037</v>
      </c>
      <c r="AL264" t="s">
        <v>145</v>
      </c>
      <c r="AM264">
        <v>0.32519999999999999</v>
      </c>
      <c r="AN264" t="s">
        <v>195</v>
      </c>
    </row>
    <row r="265" spans="9:40" ht="14.25">
      <c r="I265" t="s">
        <v>165</v>
      </c>
      <c r="J265" t="s">
        <v>329</v>
      </c>
      <c r="K265">
        <v>0.0032748157350180745</v>
      </c>
      <c r="L265" t="s">
        <v>153</v>
      </c>
      <c r="N265" t="s">
        <v>175</v>
      </c>
      <c r="O265" t="s">
        <v>329</v>
      </c>
      <c r="P265">
        <v>0.001712928592303328</v>
      </c>
      <c r="Q265" t="s">
        <v>153</v>
      </c>
      <c r="S265" t="s">
        <v>185</v>
      </c>
      <c r="T265" t="s">
        <v>329</v>
      </c>
      <c r="U265">
        <v>0.0022710700236976372</v>
      </c>
      <c r="V265" t="s">
        <v>153</v>
      </c>
      <c r="AC265" t="s">
        <v>19</v>
      </c>
      <c r="AD265" t="s">
        <v>329</v>
      </c>
      <c r="AE265">
        <v>0.002416579638616211</v>
      </c>
      <c r="AK265">
        <v>2037</v>
      </c>
      <c r="AL265" t="s">
        <v>147</v>
      </c>
      <c r="AM265">
        <v>0.31469999999999998</v>
      </c>
      <c r="AN265" t="s">
        <v>195</v>
      </c>
    </row>
    <row r="266" spans="9:40" ht="14.25">
      <c r="I266" t="s">
        <v>165</v>
      </c>
      <c r="J266" t="s">
        <v>330</v>
      </c>
      <c r="K266">
        <v>0.0015481106785525821</v>
      </c>
      <c r="L266" t="s">
        <v>153</v>
      </c>
      <c r="N266" t="s">
        <v>175</v>
      </c>
      <c r="O266" t="s">
        <v>330</v>
      </c>
      <c r="P266">
        <v>0.0098569965707333996</v>
      </c>
      <c r="Q266" t="s">
        <v>153</v>
      </c>
      <c r="S266" t="s">
        <v>185</v>
      </c>
      <c r="T266" t="s">
        <v>330</v>
      </c>
      <c r="U266">
        <v>0.012916247274641321</v>
      </c>
      <c r="V266" t="s">
        <v>153</v>
      </c>
      <c r="AC266" t="s">
        <v>19</v>
      </c>
      <c r="AD266" t="s">
        <v>330</v>
      </c>
      <c r="AE266">
        <v>0.014453874385412683</v>
      </c>
      <c r="AK266">
        <v>2037</v>
      </c>
      <c r="AL266" t="s">
        <v>149</v>
      </c>
      <c r="AM266">
        <v>0.30420000000000003</v>
      </c>
      <c r="AN266" t="s">
        <v>195</v>
      </c>
    </row>
    <row r="267" spans="9:40" ht="14.25">
      <c r="I267" t="s">
        <v>165</v>
      </c>
      <c r="J267" t="s">
        <v>274</v>
      </c>
      <c r="K267">
        <v>0</v>
      </c>
      <c r="L267" t="s">
        <v>153</v>
      </c>
      <c r="N267" t="s">
        <v>175</v>
      </c>
      <c r="O267" t="s">
        <v>274</v>
      </c>
      <c r="P267">
        <v>0.0085834401006794313</v>
      </c>
      <c r="Q267" t="s">
        <v>153</v>
      </c>
      <c r="S267" t="s">
        <v>185</v>
      </c>
      <c r="T267" t="s">
        <v>274</v>
      </c>
      <c r="U267">
        <v>0.0091178052985671498</v>
      </c>
      <c r="V267" t="s">
        <v>153</v>
      </c>
      <c r="AC267" t="s">
        <v>19</v>
      </c>
      <c r="AD267" t="s">
        <v>274</v>
      </c>
      <c r="AE267">
        <v>0.0047337871724695653</v>
      </c>
      <c r="AK267">
        <v>2037</v>
      </c>
      <c r="AL267" t="s">
        <v>198</v>
      </c>
      <c r="AM267">
        <v>0.31910000000000005</v>
      </c>
      <c r="AN267" t="s">
        <v>195</v>
      </c>
    </row>
    <row r="268" spans="9:40" ht="14.25">
      <c r="I268" t="s">
        <v>165</v>
      </c>
      <c r="J268" t="s">
        <v>275</v>
      </c>
      <c r="K268">
        <v>0.00065239932057050635</v>
      </c>
      <c r="L268" t="s">
        <v>153</v>
      </c>
      <c r="N268" t="s">
        <v>175</v>
      </c>
      <c r="O268" t="s">
        <v>275</v>
      </c>
      <c r="P268">
        <v>0.0015745005266841092</v>
      </c>
      <c r="Q268" t="s">
        <v>153</v>
      </c>
      <c r="S268" t="s">
        <v>185</v>
      </c>
      <c r="T268" t="s">
        <v>275</v>
      </c>
      <c r="U268">
        <v>0.0016061167347769729</v>
      </c>
      <c r="V268" t="s">
        <v>153</v>
      </c>
      <c r="AC268" t="s">
        <v>19</v>
      </c>
      <c r="AD268" t="s">
        <v>275</v>
      </c>
      <c r="AE268">
        <v>0.00078739184026326546</v>
      </c>
      <c r="AK268">
        <v>2037</v>
      </c>
      <c r="AL268" t="s">
        <v>216</v>
      </c>
      <c r="AM268">
        <v>0.33400000000000002</v>
      </c>
      <c r="AN268" t="s">
        <v>195</v>
      </c>
    </row>
    <row r="269" spans="9:40" ht="14.25">
      <c r="I269" t="s">
        <v>165</v>
      </c>
      <c r="J269" t="s">
        <v>276</v>
      </c>
      <c r="K269">
        <v>0.0012882895776479889</v>
      </c>
      <c r="L269" t="s">
        <v>153</v>
      </c>
      <c r="N269" t="s">
        <v>175</v>
      </c>
      <c r="O269" t="s">
        <v>276</v>
      </c>
      <c r="P269">
        <v>0.0013792060900233716</v>
      </c>
      <c r="Q269" t="s">
        <v>153</v>
      </c>
      <c r="S269" t="s">
        <v>185</v>
      </c>
      <c r="T269" t="s">
        <v>276</v>
      </c>
      <c r="U269">
        <v>0.0016539446091979075</v>
      </c>
      <c r="V269" t="s">
        <v>153</v>
      </c>
      <c r="AC269" t="s">
        <v>19</v>
      </c>
      <c r="AD269" t="s">
        <v>276</v>
      </c>
      <c r="AE269">
        <v>0.00078961552460313786</v>
      </c>
      <c r="AK269">
        <v>2037</v>
      </c>
      <c r="AL269" t="s">
        <v>232</v>
      </c>
      <c r="AM269">
        <v>0.33400000000000002</v>
      </c>
      <c r="AN269" t="s">
        <v>195</v>
      </c>
    </row>
    <row r="270" spans="9:40" ht="14.25">
      <c r="I270" t="s">
        <v>165</v>
      </c>
      <c r="J270" t="s">
        <v>277</v>
      </c>
      <c r="K270">
        <v>0.001687777833367318</v>
      </c>
      <c r="L270" t="s">
        <v>153</v>
      </c>
      <c r="N270" t="s">
        <v>175</v>
      </c>
      <c r="O270" t="s">
        <v>277</v>
      </c>
      <c r="P270">
        <v>0.0012397190121406117</v>
      </c>
      <c r="Q270" t="s">
        <v>153</v>
      </c>
      <c r="S270" t="s">
        <v>185</v>
      </c>
      <c r="T270" t="s">
        <v>277</v>
      </c>
      <c r="U270">
        <v>0.0016620552250511894</v>
      </c>
      <c r="V270" t="s">
        <v>153</v>
      </c>
      <c r="AC270" t="s">
        <v>19</v>
      </c>
      <c r="AD270" t="s">
        <v>277</v>
      </c>
      <c r="AE270">
        <v>0.00079840760057759905</v>
      </c>
      <c r="AK270">
        <v>2037</v>
      </c>
      <c r="AL270" t="s">
        <v>233</v>
      </c>
      <c r="AM270">
        <v>0.33400000000000002</v>
      </c>
      <c r="AN270" t="s">
        <v>195</v>
      </c>
    </row>
    <row r="271" spans="9:40" ht="14.25">
      <c r="I271" t="s">
        <v>165</v>
      </c>
      <c r="J271" t="s">
        <v>278</v>
      </c>
      <c r="K271">
        <v>0.014705044572498232</v>
      </c>
      <c r="L271" t="s">
        <v>153</v>
      </c>
      <c r="N271" t="s">
        <v>175</v>
      </c>
      <c r="O271" t="s">
        <v>278</v>
      </c>
      <c r="P271">
        <v>0.0098746038765950353</v>
      </c>
      <c r="Q271" t="s">
        <v>153</v>
      </c>
      <c r="S271" t="s">
        <v>185</v>
      </c>
      <c r="T271" t="s">
        <v>278</v>
      </c>
      <c r="U271">
        <v>0.013051577948302596</v>
      </c>
      <c r="V271" t="s">
        <v>153</v>
      </c>
      <c r="AC271" t="s">
        <v>19</v>
      </c>
      <c r="AD271" t="s">
        <v>278</v>
      </c>
      <c r="AE271">
        <v>0.0056420453605390466</v>
      </c>
      <c r="AK271">
        <v>2037</v>
      </c>
      <c r="AL271" t="s">
        <v>234</v>
      </c>
      <c r="AM271">
        <v>0.36430000000000001</v>
      </c>
      <c r="AN271" t="s">
        <v>195</v>
      </c>
    </row>
    <row r="272" spans="9:40" ht="14.25">
      <c r="I272" t="s">
        <v>165</v>
      </c>
      <c r="J272" t="s">
        <v>279</v>
      </c>
      <c r="K272">
        <v>0.0016565840858066749</v>
      </c>
      <c r="L272" t="s">
        <v>153</v>
      </c>
      <c r="N272" t="s">
        <v>175</v>
      </c>
      <c r="O272" t="s">
        <v>279</v>
      </c>
      <c r="P272">
        <v>0.0015810591973175955</v>
      </c>
      <c r="Q272" t="s">
        <v>153</v>
      </c>
      <c r="S272" t="s">
        <v>185</v>
      </c>
      <c r="T272" t="s">
        <v>279</v>
      </c>
      <c r="U272">
        <v>0.0021255874752684014</v>
      </c>
      <c r="V272" t="s">
        <v>153</v>
      </c>
      <c r="AC272" t="s">
        <v>19</v>
      </c>
      <c r="AD272" t="s">
        <v>279</v>
      </c>
      <c r="AE272">
        <v>0.00080632124375751995</v>
      </c>
      <c r="AK272">
        <v>2037</v>
      </c>
      <c r="AL272" t="s">
        <v>256</v>
      </c>
      <c r="AM272">
        <v>0.39460000000000001</v>
      </c>
      <c r="AN272" t="s">
        <v>195</v>
      </c>
    </row>
    <row r="273" spans="9:40" ht="14.25">
      <c r="I273" t="s">
        <v>165</v>
      </c>
      <c r="J273" t="s">
        <v>331</v>
      </c>
      <c r="K273">
        <v>0.0012560178887645705</v>
      </c>
      <c r="L273" t="s">
        <v>153</v>
      </c>
      <c r="N273" t="s">
        <v>175</v>
      </c>
      <c r="O273" t="s">
        <v>331</v>
      </c>
      <c r="P273">
        <v>0.0015339439703734277</v>
      </c>
      <c r="Q273" t="s">
        <v>153</v>
      </c>
      <c r="S273" t="s">
        <v>185</v>
      </c>
      <c r="T273" t="s">
        <v>331</v>
      </c>
      <c r="U273">
        <v>0.0021312871162394694</v>
      </c>
      <c r="V273" t="s">
        <v>153</v>
      </c>
      <c r="AC273" t="s">
        <v>19</v>
      </c>
      <c r="AD273" t="s">
        <v>331</v>
      </c>
      <c r="AE273">
        <v>0.00080662777515715827</v>
      </c>
      <c r="AK273">
        <v>2037</v>
      </c>
      <c r="AL273" t="s">
        <v>257</v>
      </c>
      <c r="AM273">
        <v>0.41925000000000001</v>
      </c>
      <c r="AN273" t="s">
        <v>195</v>
      </c>
    </row>
    <row r="274" spans="9:40" ht="14.25">
      <c r="I274" t="s">
        <v>165</v>
      </c>
      <c r="J274" t="s">
        <v>332</v>
      </c>
      <c r="K274">
        <v>0.00062206599672114788</v>
      </c>
      <c r="L274" t="s">
        <v>153</v>
      </c>
      <c r="N274" t="s">
        <v>175</v>
      </c>
      <c r="O274" t="s">
        <v>332</v>
      </c>
      <c r="P274">
        <v>0.0091461778122963466</v>
      </c>
      <c r="Q274" t="s">
        <v>153</v>
      </c>
      <c r="S274" t="s">
        <v>185</v>
      </c>
      <c r="T274" t="s">
        <v>332</v>
      </c>
      <c r="U274">
        <v>0.012470429617018724</v>
      </c>
      <c r="V274" t="s">
        <v>153</v>
      </c>
      <c r="AC274" t="s">
        <v>19</v>
      </c>
      <c r="AD274" t="s">
        <v>332</v>
      </c>
      <c r="AE274">
        <v>0.0048256206868888653</v>
      </c>
      <c r="AK274">
        <v>2037</v>
      </c>
      <c r="AL274" t="s">
        <v>258</v>
      </c>
      <c r="AM274">
        <v>0.44390000000000002</v>
      </c>
      <c r="AN274" t="s">
        <v>195</v>
      </c>
    </row>
    <row r="275" spans="9:40" ht="14.25">
      <c r="I275" t="s">
        <v>165</v>
      </c>
      <c r="J275" t="s">
        <v>280</v>
      </c>
      <c r="K275">
        <v>0</v>
      </c>
      <c r="L275" t="s">
        <v>153</v>
      </c>
      <c r="N275" t="s">
        <v>175</v>
      </c>
      <c r="O275" t="s">
        <v>280</v>
      </c>
      <c r="P275">
        <v>0.0039369619849019544</v>
      </c>
      <c r="Q275" t="s">
        <v>153</v>
      </c>
      <c r="S275" t="s">
        <v>185</v>
      </c>
      <c r="T275" t="s">
        <v>280</v>
      </c>
      <c r="U275">
        <v>0.0069078107591272926</v>
      </c>
      <c r="V275" t="s">
        <v>153</v>
      </c>
      <c r="AC275" t="s">
        <v>19</v>
      </c>
      <c r="AD275" t="s">
        <v>280</v>
      </c>
      <c r="AE275">
        <v>0.0040567453679884726</v>
      </c>
      <c r="AK275">
        <v>2037</v>
      </c>
      <c r="AL275" t="s">
        <v>259</v>
      </c>
      <c r="AM275">
        <v>0.44390000000000002</v>
      </c>
      <c r="AN275" t="s">
        <v>195</v>
      </c>
    </row>
    <row r="276" spans="9:40" ht="14.25">
      <c r="I276" t="s">
        <v>165</v>
      </c>
      <c r="J276" t="s">
        <v>281</v>
      </c>
      <c r="K276">
        <v>0.00051394228275445416</v>
      </c>
      <c r="L276" t="s">
        <v>153</v>
      </c>
      <c r="N276" t="s">
        <v>175</v>
      </c>
      <c r="O276" t="s">
        <v>281</v>
      </c>
      <c r="P276">
        <v>0.00080232247623580031</v>
      </c>
      <c r="Q276" t="s">
        <v>153</v>
      </c>
      <c r="S276" t="s">
        <v>185</v>
      </c>
      <c r="T276" t="s">
        <v>281</v>
      </c>
      <c r="U276">
        <v>0.00091817266546072817</v>
      </c>
      <c r="V276" t="s">
        <v>153</v>
      </c>
      <c r="AC276" t="s">
        <v>19</v>
      </c>
      <c r="AD276" t="s">
        <v>281</v>
      </c>
      <c r="AE276">
        <v>0.0006743590494194873</v>
      </c>
      <c r="AK276">
        <v>2037</v>
      </c>
      <c r="AL276" t="s">
        <v>260</v>
      </c>
      <c r="AM276">
        <v>0.44369999999999998</v>
      </c>
      <c r="AN276" t="s">
        <v>195</v>
      </c>
    </row>
    <row r="277" spans="9:40" ht="14.25">
      <c r="I277" t="s">
        <v>165</v>
      </c>
      <c r="J277" t="s">
        <v>282</v>
      </c>
      <c r="K277">
        <v>0.0010535404043542087</v>
      </c>
      <c r="L277" t="s">
        <v>153</v>
      </c>
      <c r="N277" t="s">
        <v>175</v>
      </c>
      <c r="O277" t="s">
        <v>282</v>
      </c>
      <c r="P277">
        <v>0.00073596322234705598</v>
      </c>
      <c r="Q277" t="s">
        <v>153</v>
      </c>
      <c r="S277" t="s">
        <v>185</v>
      </c>
      <c r="T277" t="s">
        <v>282</v>
      </c>
      <c r="U277">
        <v>0.00078054802138941384</v>
      </c>
      <c r="V277" t="s">
        <v>153</v>
      </c>
      <c r="AC277" t="s">
        <v>19</v>
      </c>
      <c r="AD277" t="s">
        <v>282</v>
      </c>
      <c r="AE277">
        <v>0.00067656578494579365</v>
      </c>
      <c r="AK277">
        <v>2037</v>
      </c>
      <c r="AL277" t="s">
        <v>261</v>
      </c>
      <c r="AM277">
        <v>0.44350000000000001</v>
      </c>
      <c r="AN277" t="s">
        <v>195</v>
      </c>
    </row>
    <row r="278" spans="9:40" ht="14.25">
      <c r="I278" t="s">
        <v>165</v>
      </c>
      <c r="J278" t="s">
        <v>283</v>
      </c>
      <c r="K278">
        <v>0.001405727548569791</v>
      </c>
      <c r="L278" t="s">
        <v>153</v>
      </c>
      <c r="N278" t="s">
        <v>175</v>
      </c>
      <c r="O278" t="s">
        <v>283</v>
      </c>
      <c r="P278">
        <v>0.00059473978966621821</v>
      </c>
      <c r="Q278" t="s">
        <v>153</v>
      </c>
      <c r="S278" t="s">
        <v>185</v>
      </c>
      <c r="T278" t="s">
        <v>283</v>
      </c>
      <c r="U278">
        <v>0.0006600380633263942</v>
      </c>
      <c r="V278" t="s">
        <v>153</v>
      </c>
      <c r="AC278" t="s">
        <v>19</v>
      </c>
      <c r="AD278" t="s">
        <v>283</v>
      </c>
      <c r="AE278">
        <v>0.00068484939651327183</v>
      </c>
      <c r="AK278">
        <v>2037</v>
      </c>
      <c r="AL278" t="s">
        <v>303</v>
      </c>
      <c r="AM278">
        <v>0.44350000000000001</v>
      </c>
      <c r="AN278" t="s">
        <v>195</v>
      </c>
    </row>
    <row r="279" spans="9:40" ht="14.25">
      <c r="I279" t="s">
        <v>165</v>
      </c>
      <c r="J279" t="s">
        <v>284</v>
      </c>
      <c r="K279">
        <v>0.012544718055642119</v>
      </c>
      <c r="L279" t="s">
        <v>153</v>
      </c>
      <c r="N279" t="s">
        <v>175</v>
      </c>
      <c r="O279" t="s">
        <v>284</v>
      </c>
      <c r="P279">
        <v>0.006444613455140696</v>
      </c>
      <c r="Q279" t="s">
        <v>153</v>
      </c>
      <c r="S279" t="s">
        <v>185</v>
      </c>
      <c r="T279" t="s">
        <v>284</v>
      </c>
      <c r="U279">
        <v>0.0039911906904703774</v>
      </c>
      <c r="V279" t="s">
        <v>153</v>
      </c>
      <c r="AC279" t="s">
        <v>19</v>
      </c>
      <c r="AD279" t="s">
        <v>284</v>
      </c>
      <c r="AE279">
        <v>0.0048393366353301874</v>
      </c>
      <c r="AK279">
        <v>2037</v>
      </c>
      <c r="AL279" t="s">
        <v>304</v>
      </c>
      <c r="AM279">
        <v>0.39666666666666667</v>
      </c>
      <c r="AN279" t="s">
        <v>195</v>
      </c>
    </row>
    <row r="280" spans="9:40" ht="14.25">
      <c r="I280" t="s">
        <v>165</v>
      </c>
      <c r="J280" t="s">
        <v>285</v>
      </c>
      <c r="K280">
        <v>0.001402762221896433</v>
      </c>
      <c r="L280" t="s">
        <v>153</v>
      </c>
      <c r="N280" t="s">
        <v>175</v>
      </c>
      <c r="O280" t="s">
        <v>285</v>
      </c>
      <c r="P280">
        <v>0.0011988023485230337</v>
      </c>
      <c r="Q280" t="s">
        <v>153</v>
      </c>
      <c r="S280" t="s">
        <v>185</v>
      </c>
      <c r="T280" t="s">
        <v>285</v>
      </c>
      <c r="U280">
        <v>0.00059487866139634412</v>
      </c>
      <c r="V280" t="s">
        <v>153</v>
      </c>
      <c r="AC280" t="s">
        <v>19</v>
      </c>
      <c r="AD280" t="s">
        <v>285</v>
      </c>
      <c r="AE280">
        <v>0.00069178630377996907</v>
      </c>
      <c r="AK280">
        <v>2037</v>
      </c>
      <c r="AL280" t="s">
        <v>305</v>
      </c>
      <c r="AM280">
        <v>0.33255000000000001</v>
      </c>
      <c r="AN280" t="s">
        <v>195</v>
      </c>
    </row>
    <row r="281" spans="9:40" ht="14.25">
      <c r="I281" t="s">
        <v>165</v>
      </c>
      <c r="J281" t="s">
        <v>333</v>
      </c>
      <c r="K281">
        <v>0.0010563223166933403</v>
      </c>
      <c r="L281" t="s">
        <v>153</v>
      </c>
      <c r="N281" t="s">
        <v>175</v>
      </c>
      <c r="O281" t="s">
        <v>333</v>
      </c>
      <c r="P281">
        <v>0.001073382851821209</v>
      </c>
      <c r="Q281" t="s">
        <v>153</v>
      </c>
      <c r="S281" t="s">
        <v>185</v>
      </c>
      <c r="T281" t="s">
        <v>333</v>
      </c>
      <c r="U281">
        <v>0.00065573627753338112</v>
      </c>
      <c r="V281" t="s">
        <v>153</v>
      </c>
      <c r="AC281" t="s">
        <v>19</v>
      </c>
      <c r="AD281" t="s">
        <v>333</v>
      </c>
      <c r="AE281">
        <v>0.00069158146526172729</v>
      </c>
      <c r="AK281">
        <v>2037</v>
      </c>
      <c r="AL281" t="s">
        <v>306</v>
      </c>
      <c r="AM281">
        <v>0.30232500000000001</v>
      </c>
      <c r="AN281" t="s">
        <v>195</v>
      </c>
    </row>
    <row r="282" spans="9:40" ht="14.25">
      <c r="I282" t="s">
        <v>165</v>
      </c>
      <c r="J282" t="s">
        <v>334</v>
      </c>
      <c r="K282">
        <v>0.00051420211161114606</v>
      </c>
      <c r="L282" t="s">
        <v>153</v>
      </c>
      <c r="N282" t="s">
        <v>175</v>
      </c>
      <c r="O282" t="s">
        <v>334</v>
      </c>
      <c r="P282">
        <v>0.0057724374702667518</v>
      </c>
      <c r="Q282" t="s">
        <v>153</v>
      </c>
      <c r="S282" t="s">
        <v>185</v>
      </c>
      <c r="T282" t="s">
        <v>334</v>
      </c>
      <c r="U282">
        <v>0.0059222239667311109</v>
      </c>
      <c r="V282" t="s">
        <v>153</v>
      </c>
      <c r="AC282" t="s">
        <v>19</v>
      </c>
      <c r="AD282" t="s">
        <v>334</v>
      </c>
      <c r="AE282">
        <v>0.0041396071490095105</v>
      </c>
      <c r="AK282">
        <v>2037</v>
      </c>
      <c r="AL282" t="s">
        <v>307</v>
      </c>
      <c r="AM282">
        <v>0.30159999999999998</v>
      </c>
      <c r="AN282" t="s">
        <v>195</v>
      </c>
    </row>
    <row r="283" spans="9:40" ht="14.25">
      <c r="I283" t="s">
        <v>165</v>
      </c>
      <c r="J283" t="s">
        <v>286</v>
      </c>
      <c r="K283">
        <v>0</v>
      </c>
      <c r="L283" t="s">
        <v>153</v>
      </c>
      <c r="N283" t="s">
        <v>175</v>
      </c>
      <c r="O283" t="s">
        <v>286</v>
      </c>
      <c r="P283">
        <v>0.0058380389550741008</v>
      </c>
      <c r="Q283" t="s">
        <v>153</v>
      </c>
      <c r="S283" t="s">
        <v>185</v>
      </c>
      <c r="T283" t="s">
        <v>286</v>
      </c>
      <c r="U283">
        <v>0.007485659098510059</v>
      </c>
      <c r="V283" t="s">
        <v>153</v>
      </c>
      <c r="AC283" t="s">
        <v>19</v>
      </c>
      <c r="AD283" t="s">
        <v>286</v>
      </c>
      <c r="AE283">
        <v>0.0060989471236790223</v>
      </c>
      <c r="AK283">
        <v>2037</v>
      </c>
      <c r="AL283" t="s">
        <v>308</v>
      </c>
      <c r="AM283">
        <v>0.30159999999999998</v>
      </c>
      <c r="AN283" t="s">
        <v>195</v>
      </c>
    </row>
    <row r="284" spans="9:40" ht="14.25">
      <c r="I284" t="s">
        <v>165</v>
      </c>
      <c r="J284" t="s">
        <v>287</v>
      </c>
      <c r="K284">
        <v>0.00067839019559810083</v>
      </c>
      <c r="L284" t="s">
        <v>153</v>
      </c>
      <c r="N284" t="s">
        <v>175</v>
      </c>
      <c r="O284" t="s">
        <v>287</v>
      </c>
      <c r="P284">
        <v>0.0011861176472679007</v>
      </c>
      <c r="Q284" t="s">
        <v>153</v>
      </c>
      <c r="S284" t="s">
        <v>185</v>
      </c>
      <c r="T284" t="s">
        <v>287</v>
      </c>
      <c r="U284">
        <v>0.0012631666675420839</v>
      </c>
      <c r="V284" t="s">
        <v>153</v>
      </c>
      <c r="AC284" t="s">
        <v>19</v>
      </c>
      <c r="AD284" t="s">
        <v>287</v>
      </c>
      <c r="AE284">
        <v>0.0010129458990249887</v>
      </c>
      <c r="AK284">
        <v>2038</v>
      </c>
      <c r="AL284" t="s">
        <v>141</v>
      </c>
      <c r="AM284">
        <v>0.32719999999999999</v>
      </c>
      <c r="AN284" t="s">
        <v>195</v>
      </c>
    </row>
    <row r="285" spans="9:40" ht="14.25">
      <c r="I285" t="s">
        <v>165</v>
      </c>
      <c r="J285" t="s">
        <v>288</v>
      </c>
      <c r="K285">
        <v>0.0014611562635710401</v>
      </c>
      <c r="L285" t="s">
        <v>153</v>
      </c>
      <c r="N285" t="s">
        <v>175</v>
      </c>
      <c r="O285" t="s">
        <v>288</v>
      </c>
      <c r="P285">
        <v>0.0011757189062547358</v>
      </c>
      <c r="Q285" t="s">
        <v>153</v>
      </c>
      <c r="S285" t="s">
        <v>185</v>
      </c>
      <c r="T285" t="s">
        <v>288</v>
      </c>
      <c r="U285">
        <v>0.0012231742950516355</v>
      </c>
      <c r="V285" t="s">
        <v>153</v>
      </c>
      <c r="AC285" t="s">
        <v>19</v>
      </c>
      <c r="AD285" t="s">
        <v>288</v>
      </c>
      <c r="AE285">
        <v>0.0010131797926522009</v>
      </c>
      <c r="AK285">
        <v>2038</v>
      </c>
      <c r="AL285" t="s">
        <v>145</v>
      </c>
      <c r="AM285">
        <v>0.32719999999999999</v>
      </c>
      <c r="AN285" t="s">
        <v>195</v>
      </c>
    </row>
    <row r="286" spans="9:40" ht="14.25">
      <c r="I286" t="s">
        <v>165</v>
      </c>
      <c r="J286" t="s">
        <v>289</v>
      </c>
      <c r="K286">
        <v>0.0019603129320905029</v>
      </c>
      <c r="L286" t="s">
        <v>153</v>
      </c>
      <c r="N286" t="s">
        <v>175</v>
      </c>
      <c r="O286" t="s">
        <v>289</v>
      </c>
      <c r="P286">
        <v>0.0010743207572416107</v>
      </c>
      <c r="Q286" t="s">
        <v>153</v>
      </c>
      <c r="S286" t="s">
        <v>185</v>
      </c>
      <c r="T286" t="s">
        <v>289</v>
      </c>
      <c r="U286">
        <v>0.0011547911155551328</v>
      </c>
      <c r="V286" t="s">
        <v>153</v>
      </c>
      <c r="AC286" t="s">
        <v>19</v>
      </c>
      <c r="AD286" t="s">
        <v>289</v>
      </c>
      <c r="AE286">
        <v>0.0010245689111168048</v>
      </c>
      <c r="AK286">
        <v>2038</v>
      </c>
      <c r="AL286" t="s">
        <v>147</v>
      </c>
      <c r="AM286">
        <v>0.32955000000000001</v>
      </c>
      <c r="AN286" t="s">
        <v>195</v>
      </c>
    </row>
    <row r="287" spans="9:40" ht="14.25">
      <c r="I287" t="s">
        <v>165</v>
      </c>
      <c r="J287" t="s">
        <v>290</v>
      </c>
      <c r="K287">
        <v>0.017872984450812802</v>
      </c>
      <c r="L287" t="s">
        <v>153</v>
      </c>
      <c r="N287" t="s">
        <v>175</v>
      </c>
      <c r="O287" t="s">
        <v>290</v>
      </c>
      <c r="P287">
        <v>0.011552009442363112</v>
      </c>
      <c r="Q287" t="s">
        <v>153</v>
      </c>
      <c r="S287" t="s">
        <v>185</v>
      </c>
      <c r="T287" t="s">
        <v>290</v>
      </c>
      <c r="U287">
        <v>0.0071460717288417937</v>
      </c>
      <c r="V287" t="s">
        <v>153</v>
      </c>
      <c r="AC287" t="s">
        <v>19</v>
      </c>
      <c r="AD287" t="s">
        <v>290</v>
      </c>
      <c r="AE287">
        <v>0.0072562562371346366</v>
      </c>
      <c r="AK287">
        <v>2038</v>
      </c>
      <c r="AL287" t="s">
        <v>149</v>
      </c>
      <c r="AM287">
        <v>0.33189999999999997</v>
      </c>
      <c r="AN287" t="s">
        <v>195</v>
      </c>
    </row>
    <row r="288" spans="9:40" ht="14.25">
      <c r="I288" t="s">
        <v>165</v>
      </c>
      <c r="J288" t="s">
        <v>291</v>
      </c>
      <c r="K288">
        <v>0.0018968791362498616</v>
      </c>
      <c r="L288" t="s">
        <v>153</v>
      </c>
      <c r="N288" t="s">
        <v>175</v>
      </c>
      <c r="O288" t="s">
        <v>291</v>
      </c>
      <c r="P288">
        <v>0.001777542520035954</v>
      </c>
      <c r="Q288" t="s">
        <v>153</v>
      </c>
      <c r="S288" t="s">
        <v>185</v>
      </c>
      <c r="T288" t="s">
        <v>291</v>
      </c>
      <c r="U288">
        <v>0.0013675473828940344</v>
      </c>
      <c r="V288" t="s">
        <v>153</v>
      </c>
      <c r="AC288" t="s">
        <v>19</v>
      </c>
      <c r="AD288" t="s">
        <v>291</v>
      </c>
      <c r="AE288">
        <v>0.0010369909387053088</v>
      </c>
      <c r="AK288">
        <v>2038</v>
      </c>
      <c r="AL288" t="s">
        <v>198</v>
      </c>
      <c r="AM288">
        <v>0.34384999999999999</v>
      </c>
      <c r="AN288" t="s">
        <v>195</v>
      </c>
    </row>
    <row r="289" spans="9:40" ht="14.25">
      <c r="I289" t="s">
        <v>165</v>
      </c>
      <c r="J289" t="s">
        <v>335</v>
      </c>
      <c r="K289">
        <v>0.0013946998177244451</v>
      </c>
      <c r="L289" t="s">
        <v>153</v>
      </c>
      <c r="N289" t="s">
        <v>175</v>
      </c>
      <c r="O289" t="s">
        <v>335</v>
      </c>
      <c r="P289">
        <v>0.0016033302460137426</v>
      </c>
      <c r="Q289" t="s">
        <v>153</v>
      </c>
      <c r="S289" t="s">
        <v>185</v>
      </c>
      <c r="T289" t="s">
        <v>335</v>
      </c>
      <c r="U289">
        <v>0.0014456310865080422</v>
      </c>
      <c r="V289" t="s">
        <v>153</v>
      </c>
      <c r="AC289" t="s">
        <v>19</v>
      </c>
      <c r="AD289" t="s">
        <v>335</v>
      </c>
      <c r="AE289">
        <v>0.0010372960173494988</v>
      </c>
      <c r="AK289">
        <v>2038</v>
      </c>
      <c r="AL289" t="s">
        <v>216</v>
      </c>
      <c r="AM289">
        <v>0.35580000000000001</v>
      </c>
      <c r="AN289" t="s">
        <v>195</v>
      </c>
    </row>
    <row r="290" spans="9:40" ht="14.25">
      <c r="I290" t="s">
        <v>165</v>
      </c>
      <c r="J290" t="s">
        <v>336</v>
      </c>
      <c r="K290">
        <v>0.00066163093518405256</v>
      </c>
      <c r="L290" t="s">
        <v>153</v>
      </c>
      <c r="N290" t="s">
        <v>175</v>
      </c>
      <c r="O290" t="s">
        <v>336</v>
      </c>
      <c r="P290">
        <v>0.0083597197270787304</v>
      </c>
      <c r="Q290" t="s">
        <v>153</v>
      </c>
      <c r="S290" t="s">
        <v>185</v>
      </c>
      <c r="T290" t="s">
        <v>336</v>
      </c>
      <c r="U290">
        <v>0.0093902277884760944</v>
      </c>
      <c r="V290" t="s">
        <v>153</v>
      </c>
      <c r="AC290" t="s">
        <v>19</v>
      </c>
      <c r="AD290" t="s">
        <v>336</v>
      </c>
      <c r="AE290">
        <v>0.0062072529478773078</v>
      </c>
      <c r="AK290">
        <v>2038</v>
      </c>
      <c r="AL290" t="s">
        <v>232</v>
      </c>
      <c r="AM290">
        <v>0.35580000000000001</v>
      </c>
      <c r="AN290" t="s">
        <v>195</v>
      </c>
    </row>
    <row r="291" spans="9:40" ht="14.25">
      <c r="I291" t="s">
        <v>165</v>
      </c>
      <c r="J291" t="s">
        <v>292</v>
      </c>
      <c r="K291">
        <v>0</v>
      </c>
      <c r="L291" t="s">
        <v>153</v>
      </c>
      <c r="N291" t="s">
        <v>175</v>
      </c>
      <c r="O291" t="s">
        <v>292</v>
      </c>
      <c r="P291">
        <v>0.012740828078098912</v>
      </c>
      <c r="Q291" t="s">
        <v>153</v>
      </c>
      <c r="S291" t="s">
        <v>185</v>
      </c>
      <c r="T291" t="s">
        <v>292</v>
      </c>
      <c r="U291">
        <v>0.014701348117122896</v>
      </c>
      <c r="V291" t="s">
        <v>153</v>
      </c>
      <c r="AC291" t="s">
        <v>19</v>
      </c>
      <c r="AD291" t="s">
        <v>292</v>
      </c>
      <c r="AE291">
        <v>0.0040779458865696809</v>
      </c>
      <c r="AK291">
        <v>2038</v>
      </c>
      <c r="AL291" t="s">
        <v>233</v>
      </c>
      <c r="AM291">
        <v>0.35580000000000001</v>
      </c>
      <c r="AN291" t="s">
        <v>195</v>
      </c>
    </row>
    <row r="292" spans="9:40" ht="14.25">
      <c r="I292" t="s">
        <v>165</v>
      </c>
      <c r="J292" t="s">
        <v>293</v>
      </c>
      <c r="K292">
        <v>0.00042392760094851783</v>
      </c>
      <c r="L292" t="s">
        <v>153</v>
      </c>
      <c r="N292" t="s">
        <v>175</v>
      </c>
      <c r="O292" t="s">
        <v>293</v>
      </c>
      <c r="P292">
        <v>0.0025326165780913826</v>
      </c>
      <c r="Q292" t="s">
        <v>153</v>
      </c>
      <c r="S292" t="s">
        <v>185</v>
      </c>
      <c r="T292" t="s">
        <v>293</v>
      </c>
      <c r="U292">
        <v>0.0025927858911895768</v>
      </c>
      <c r="V292" t="s">
        <v>153</v>
      </c>
      <c r="AC292" t="s">
        <v>19</v>
      </c>
      <c r="AD292" t="s">
        <v>293</v>
      </c>
      <c r="AE292">
        <v>0.00067676876284358941</v>
      </c>
      <c r="AK292">
        <v>2038</v>
      </c>
      <c r="AL292" t="s">
        <v>234</v>
      </c>
      <c r="AM292">
        <v>0.36724999999999997</v>
      </c>
      <c r="AN292" t="s">
        <v>195</v>
      </c>
    </row>
    <row r="293" spans="9:40" ht="14.25">
      <c r="I293" t="s">
        <v>165</v>
      </c>
      <c r="J293" t="s">
        <v>294</v>
      </c>
      <c r="K293">
        <v>0.000966180108376532</v>
      </c>
      <c r="L293" t="s">
        <v>153</v>
      </c>
      <c r="N293" t="s">
        <v>175</v>
      </c>
      <c r="O293" t="s">
        <v>294</v>
      </c>
      <c r="P293">
        <v>0.0024749653091198256</v>
      </c>
      <c r="Q293" t="s">
        <v>153</v>
      </c>
      <c r="S293" t="s">
        <v>185</v>
      </c>
      <c r="T293" t="s">
        <v>294</v>
      </c>
      <c r="U293">
        <v>0.0025054700231271704</v>
      </c>
      <c r="V293" t="s">
        <v>153</v>
      </c>
      <c r="AC293" t="s">
        <v>19</v>
      </c>
      <c r="AD293" t="s">
        <v>294</v>
      </c>
      <c r="AE293">
        <v>0.00067752564843227001</v>
      </c>
      <c r="AK293">
        <v>2038</v>
      </c>
      <c r="AL293" t="s">
        <v>256</v>
      </c>
      <c r="AM293">
        <v>0.37869999999999998</v>
      </c>
      <c r="AN293" t="s">
        <v>195</v>
      </c>
    </row>
    <row r="294" spans="9:40" ht="14.25">
      <c r="I294" t="s">
        <v>165</v>
      </c>
      <c r="J294" t="s">
        <v>295</v>
      </c>
      <c r="K294">
        <v>0.0013316412971148129</v>
      </c>
      <c r="L294" t="s">
        <v>153</v>
      </c>
      <c r="N294" t="s">
        <v>175</v>
      </c>
      <c r="O294" t="s">
        <v>295</v>
      </c>
      <c r="P294">
        <v>0.0022789246431783152</v>
      </c>
      <c r="Q294" t="s">
        <v>153</v>
      </c>
      <c r="S294" t="s">
        <v>185</v>
      </c>
      <c r="T294" t="s">
        <v>295</v>
      </c>
      <c r="U294">
        <v>0.0024056978560758253</v>
      </c>
      <c r="V294" t="s">
        <v>153</v>
      </c>
      <c r="AC294" t="s">
        <v>19</v>
      </c>
      <c r="AD294" t="s">
        <v>295</v>
      </c>
      <c r="AE294">
        <v>0.00068142097004157622</v>
      </c>
      <c r="AK294">
        <v>2038</v>
      </c>
      <c r="AL294" t="s">
        <v>257</v>
      </c>
      <c r="AM294">
        <v>0.41169999999999995</v>
      </c>
      <c r="AN294" t="s">
        <v>195</v>
      </c>
    </row>
    <row r="295" spans="9:40" ht="14.25">
      <c r="I295" t="s">
        <v>165</v>
      </c>
      <c r="J295" t="s">
        <v>296</v>
      </c>
      <c r="K295">
        <v>0.012198304184880829</v>
      </c>
      <c r="L295" t="s">
        <v>153</v>
      </c>
      <c r="N295" t="s">
        <v>175</v>
      </c>
      <c r="O295" t="s">
        <v>296</v>
      </c>
      <c r="P295">
        <v>0.016312595338333399</v>
      </c>
      <c r="Q295" t="s">
        <v>153</v>
      </c>
      <c r="S295" t="s">
        <v>185</v>
      </c>
      <c r="T295" t="s">
        <v>296</v>
      </c>
      <c r="U295">
        <v>0.015479899896525803</v>
      </c>
      <c r="V295" t="s">
        <v>153</v>
      </c>
      <c r="AC295" t="s">
        <v>19</v>
      </c>
      <c r="AD295" t="s">
        <v>296</v>
      </c>
      <c r="AE295">
        <v>0.0048308506569594628</v>
      </c>
      <c r="AK295">
        <v>2038</v>
      </c>
      <c r="AL295" t="s">
        <v>258</v>
      </c>
      <c r="AM295">
        <v>0.44469999999999998</v>
      </c>
      <c r="AN295" t="s">
        <v>195</v>
      </c>
    </row>
    <row r="296" spans="9:40" ht="14.25">
      <c r="I296" t="s">
        <v>165</v>
      </c>
      <c r="J296" t="s">
        <v>297</v>
      </c>
      <c r="K296">
        <v>0.0013369745570387241</v>
      </c>
      <c r="L296" t="s">
        <v>153</v>
      </c>
      <c r="N296" t="s">
        <v>175</v>
      </c>
      <c r="O296" t="s">
        <v>297</v>
      </c>
      <c r="P296">
        <v>0.0021243664652724542</v>
      </c>
      <c r="Q296" t="s">
        <v>153</v>
      </c>
      <c r="S296" t="s">
        <v>185</v>
      </c>
      <c r="T296" t="s">
        <v>297</v>
      </c>
      <c r="U296">
        <v>0.0023371591708880512</v>
      </c>
      <c r="V296" t="s">
        <v>153</v>
      </c>
      <c r="AC296" t="s">
        <v>19</v>
      </c>
      <c r="AD296" t="s">
        <v>297</v>
      </c>
      <c r="AE296">
        <v>0.00069057187661182259</v>
      </c>
      <c r="AK296">
        <v>2038</v>
      </c>
      <c r="AL296" t="s">
        <v>259</v>
      </c>
      <c r="AM296">
        <v>0.44469999999999998</v>
      </c>
      <c r="AN296" t="s">
        <v>195</v>
      </c>
    </row>
    <row r="297" spans="9:40" ht="14.25">
      <c r="I297" t="s">
        <v>165</v>
      </c>
      <c r="J297" t="s">
        <v>337</v>
      </c>
      <c r="K297">
        <v>0.00098660090196074374</v>
      </c>
      <c r="L297" t="s">
        <v>153</v>
      </c>
      <c r="N297" t="s">
        <v>175</v>
      </c>
      <c r="O297" t="s">
        <v>337</v>
      </c>
      <c r="P297">
        <v>0.0019414570339450791</v>
      </c>
      <c r="Q297" t="s">
        <v>153</v>
      </c>
      <c r="S297" t="s">
        <v>185</v>
      </c>
      <c r="T297" t="s">
        <v>337</v>
      </c>
      <c r="U297">
        <v>0.002354312130417301</v>
      </c>
      <c r="V297" t="s">
        <v>153</v>
      </c>
      <c r="AC297" t="s">
        <v>19</v>
      </c>
      <c r="AD297" t="s">
        <v>337</v>
      </c>
      <c r="AE297">
        <v>0.00069073845923658657</v>
      </c>
      <c r="AK297">
        <v>2038</v>
      </c>
      <c r="AL297" t="s">
        <v>260</v>
      </c>
      <c r="AM297">
        <v>0.40575</v>
      </c>
      <c r="AN297" t="s">
        <v>195</v>
      </c>
    </row>
    <row r="298" spans="9:40" ht="14.25">
      <c r="I298" t="s">
        <v>165</v>
      </c>
      <c r="J298" t="s">
        <v>338</v>
      </c>
      <c r="K298">
        <v>0.00046044058025988496</v>
      </c>
      <c r="L298" t="s">
        <v>153</v>
      </c>
      <c r="N298" t="s">
        <v>175</v>
      </c>
      <c r="O298" t="s">
        <v>338</v>
      </c>
      <c r="P298">
        <v>0.0096335329044784507</v>
      </c>
      <c r="Q298" t="s">
        <v>153</v>
      </c>
      <c r="S298" t="s">
        <v>185</v>
      </c>
      <c r="T298" t="s">
        <v>338</v>
      </c>
      <c r="U298">
        <v>0.013036063340474576</v>
      </c>
      <c r="V298" t="s">
        <v>153</v>
      </c>
      <c r="AC298" t="s">
        <v>19</v>
      </c>
      <c r="AD298" t="s">
        <v>338</v>
      </c>
      <c r="AE298">
        <v>0.0041251497851067217</v>
      </c>
      <c r="AK298">
        <v>2038</v>
      </c>
      <c r="AL298" t="s">
        <v>261</v>
      </c>
      <c r="AM298">
        <v>0.36680000000000001</v>
      </c>
      <c r="AN298" t="s">
        <v>195</v>
      </c>
    </row>
    <row r="299" spans="9:40" ht="14.25">
      <c r="I299" t="s">
        <v>165</v>
      </c>
      <c r="J299" t="s">
        <v>339</v>
      </c>
      <c r="K299">
        <v>0</v>
      </c>
      <c r="L299" t="s">
        <v>153</v>
      </c>
      <c r="N299" t="s">
        <v>175</v>
      </c>
      <c r="O299" t="s">
        <v>339</v>
      </c>
      <c r="P299">
        <v>0.008825098463017822</v>
      </c>
      <c r="Q299" t="s">
        <v>153</v>
      </c>
      <c r="S299" t="s">
        <v>185</v>
      </c>
      <c r="T299" t="s">
        <v>339</v>
      </c>
      <c r="U299">
        <v>0.010901308956496474</v>
      </c>
      <c r="V299" t="s">
        <v>153</v>
      </c>
      <c r="AC299" t="s">
        <v>19</v>
      </c>
      <c r="AD299" t="s">
        <v>339</v>
      </c>
      <c r="AE299">
        <v>0.0061213027615463472</v>
      </c>
      <c r="AK299">
        <v>2038</v>
      </c>
      <c r="AL299" t="s">
        <v>303</v>
      </c>
      <c r="AM299">
        <v>0.36680000000000001</v>
      </c>
      <c r="AN299" t="s">
        <v>195</v>
      </c>
    </row>
    <row r="300" spans="9:40" ht="14.25">
      <c r="I300" t="s">
        <v>165</v>
      </c>
      <c r="J300" t="s">
        <v>340</v>
      </c>
      <c r="K300">
        <v>0.00055002861973341523</v>
      </c>
      <c r="L300" t="s">
        <v>153</v>
      </c>
      <c r="N300" t="s">
        <v>175</v>
      </c>
      <c r="O300" t="s">
        <v>340</v>
      </c>
      <c r="P300">
        <v>0.0017233196848491243</v>
      </c>
      <c r="Q300" t="s">
        <v>153</v>
      </c>
      <c r="S300" t="s">
        <v>185</v>
      </c>
      <c r="T300" t="s">
        <v>340</v>
      </c>
      <c r="U300">
        <v>0.0013975898528164009</v>
      </c>
      <c r="V300" t="s">
        <v>153</v>
      </c>
      <c r="AC300" t="s">
        <v>19</v>
      </c>
      <c r="AD300" t="s">
        <v>340</v>
      </c>
      <c r="AE300">
        <v>0.0010178034544553064</v>
      </c>
      <c r="AK300">
        <v>2038</v>
      </c>
      <c r="AL300" t="s">
        <v>304</v>
      </c>
      <c r="AM300">
        <v>0.35586666666666661</v>
      </c>
      <c r="AN300" t="s">
        <v>195</v>
      </c>
    </row>
    <row r="301" spans="9:40" ht="14.25">
      <c r="I301" t="s">
        <v>165</v>
      </c>
      <c r="J301" t="s">
        <v>341</v>
      </c>
      <c r="K301">
        <v>0.0013393142886856172</v>
      </c>
      <c r="L301" t="s">
        <v>153</v>
      </c>
      <c r="N301" t="s">
        <v>175</v>
      </c>
      <c r="O301" t="s">
        <v>341</v>
      </c>
      <c r="P301">
        <v>0.0017089009228499024</v>
      </c>
      <c r="Q301" t="s">
        <v>153</v>
      </c>
      <c r="S301" t="s">
        <v>185</v>
      </c>
      <c r="T301" t="s">
        <v>341</v>
      </c>
      <c r="U301">
        <v>0.0011198127015006893</v>
      </c>
      <c r="V301" t="s">
        <v>153</v>
      </c>
      <c r="AC301" t="s">
        <v>19</v>
      </c>
      <c r="AD301" t="s">
        <v>341</v>
      </c>
      <c r="AE301">
        <v>0.0010168281712975313</v>
      </c>
      <c r="AK301">
        <v>2038</v>
      </c>
      <c r="AL301" t="s">
        <v>305</v>
      </c>
      <c r="AM301">
        <v>0.31414999999999998</v>
      </c>
      <c r="AN301" t="s">
        <v>195</v>
      </c>
    </row>
    <row r="302" spans="9:40" ht="14.25">
      <c r="I302" t="s">
        <v>165</v>
      </c>
      <c r="J302" t="s">
        <v>342</v>
      </c>
      <c r="K302">
        <v>0.0018933346713681176</v>
      </c>
      <c r="L302" t="s">
        <v>153</v>
      </c>
      <c r="N302" t="s">
        <v>175</v>
      </c>
      <c r="O302" t="s">
        <v>342</v>
      </c>
      <c r="P302">
        <v>0.0015878372538580755</v>
      </c>
      <c r="Q302" t="s">
        <v>153</v>
      </c>
      <c r="S302" t="s">
        <v>185</v>
      </c>
      <c r="T302" t="s">
        <v>342</v>
      </c>
      <c r="U302">
        <v>0.00086929124370461824</v>
      </c>
      <c r="V302" t="s">
        <v>153</v>
      </c>
      <c r="AC302" t="s">
        <v>19</v>
      </c>
      <c r="AD302" t="s">
        <v>342</v>
      </c>
      <c r="AE302">
        <v>0.0010231602480458269</v>
      </c>
      <c r="AK302">
        <v>2038</v>
      </c>
      <c r="AL302" t="s">
        <v>306</v>
      </c>
      <c r="AM302">
        <v>0.31310000000000004</v>
      </c>
      <c r="AN302" t="s">
        <v>195</v>
      </c>
    </row>
    <row r="303" spans="9:40" ht="14.25">
      <c r="I303" t="s">
        <v>165</v>
      </c>
      <c r="J303" t="s">
        <v>343</v>
      </c>
      <c r="K303">
        <v>0.017695384705327201</v>
      </c>
      <c r="L303" t="s">
        <v>153</v>
      </c>
      <c r="N303" t="s">
        <v>175</v>
      </c>
      <c r="O303" t="s">
        <v>343</v>
      </c>
      <c r="P303">
        <v>0.014842797401064294</v>
      </c>
      <c r="Q303" t="s">
        <v>153</v>
      </c>
      <c r="S303" t="s">
        <v>185</v>
      </c>
      <c r="T303" t="s">
        <v>343</v>
      </c>
      <c r="U303">
        <v>0.0047023434809320497</v>
      </c>
      <c r="V303" t="s">
        <v>153</v>
      </c>
      <c r="AC303" t="s">
        <v>19</v>
      </c>
      <c r="AD303" t="s">
        <v>343</v>
      </c>
      <c r="AE303">
        <v>0.0072520584363761327</v>
      </c>
      <c r="AK303">
        <v>2038</v>
      </c>
      <c r="AL303" t="s">
        <v>307</v>
      </c>
      <c r="AM303">
        <v>0.29320000000000002</v>
      </c>
      <c r="AN303" t="s">
        <v>195</v>
      </c>
    </row>
    <row r="304" spans="9:40" ht="14.25">
      <c r="I304" t="s">
        <v>165</v>
      </c>
      <c r="J304" t="s">
        <v>344</v>
      </c>
      <c r="K304">
        <v>0.0019165511345918863</v>
      </c>
      <c r="L304" t="s">
        <v>153</v>
      </c>
      <c r="N304" t="s">
        <v>175</v>
      </c>
      <c r="O304" t="s">
        <v>344</v>
      </c>
      <c r="P304">
        <v>0.0022711449284621545</v>
      </c>
      <c r="Q304" t="s">
        <v>153</v>
      </c>
      <c r="S304" t="s">
        <v>185</v>
      </c>
      <c r="T304" t="s">
        <v>344</v>
      </c>
      <c r="U304">
        <v>0.0011629077717739643</v>
      </c>
      <c r="V304" t="s">
        <v>153</v>
      </c>
      <c r="AC304" t="s">
        <v>19</v>
      </c>
      <c r="AD304" t="s">
        <v>344</v>
      </c>
      <c r="AE304">
        <v>0.0010368631216881117</v>
      </c>
      <c r="AK304">
        <v>2038</v>
      </c>
      <c r="AL304" t="s">
        <v>308</v>
      </c>
      <c r="AM304">
        <v>0.29320000000000002</v>
      </c>
      <c r="AN304" t="s">
        <v>195</v>
      </c>
    </row>
    <row r="305" spans="9:40" ht="14.25">
      <c r="I305" t="s">
        <v>165</v>
      </c>
      <c r="J305" t="s">
        <v>345</v>
      </c>
      <c r="K305">
        <v>0.0013942544074113036</v>
      </c>
      <c r="L305" t="s">
        <v>153</v>
      </c>
      <c r="N305" t="s">
        <v>175</v>
      </c>
      <c r="O305" t="s">
        <v>345</v>
      </c>
      <c r="P305">
        <v>0.0020968701899541247</v>
      </c>
      <c r="Q305" t="s">
        <v>153</v>
      </c>
      <c r="S305" t="s">
        <v>185</v>
      </c>
      <c r="T305" t="s">
        <v>345</v>
      </c>
      <c r="U305">
        <v>0.0014996240662290905</v>
      </c>
      <c r="V305" t="s">
        <v>153</v>
      </c>
      <c r="AC305" t="s">
        <v>19</v>
      </c>
      <c r="AD305" t="s">
        <v>345</v>
      </c>
      <c r="AE305">
        <v>0.0010364587714216064</v>
      </c>
      <c r="AK305">
        <v>2039</v>
      </c>
      <c r="AL305" t="s">
        <v>141</v>
      </c>
      <c r="AM305">
        <v>0.30669999999999997</v>
      </c>
      <c r="AN305" t="s">
        <v>195</v>
      </c>
    </row>
    <row r="306" spans="9:40" ht="14.25">
      <c r="I306" t="s">
        <v>165</v>
      </c>
      <c r="J306" t="s">
        <v>346</v>
      </c>
      <c r="K306">
        <v>0.00063688952378149091</v>
      </c>
      <c r="L306" t="s">
        <v>153</v>
      </c>
      <c r="N306" t="s">
        <v>175</v>
      </c>
      <c r="O306" t="s">
        <v>346</v>
      </c>
      <c r="P306">
        <v>0.010250701817348318</v>
      </c>
      <c r="Q306" t="s">
        <v>153</v>
      </c>
      <c r="S306" t="s">
        <v>185</v>
      </c>
      <c r="T306" t="s">
        <v>346</v>
      </c>
      <c r="U306">
        <v>0.012342772096791703</v>
      </c>
      <c r="V306" t="s">
        <v>153</v>
      </c>
      <c r="AC306" t="s">
        <v>19</v>
      </c>
      <c r="AD306" t="s">
        <v>346</v>
      </c>
      <c r="AE306">
        <v>0.0062012808230020675</v>
      </c>
      <c r="AK306">
        <v>2039</v>
      </c>
      <c r="AL306" t="s">
        <v>145</v>
      </c>
      <c r="AM306">
        <v>0.30669999999999997</v>
      </c>
      <c r="AN306" t="s">
        <v>195</v>
      </c>
    </row>
    <row r="307" spans="9:40" ht="14.25">
      <c r="I307" t="s">
        <v>165</v>
      </c>
      <c r="J307" t="s">
        <v>347</v>
      </c>
      <c r="K307">
        <v>0</v>
      </c>
      <c r="L307" t="s">
        <v>153</v>
      </c>
      <c r="N307" t="s">
        <v>175</v>
      </c>
      <c r="O307" t="s">
        <v>347</v>
      </c>
      <c r="P307">
        <v>0.013340193139379066</v>
      </c>
      <c r="Q307" t="s">
        <v>153</v>
      </c>
      <c r="S307" t="s">
        <v>185</v>
      </c>
      <c r="T307" t="s">
        <v>347</v>
      </c>
      <c r="U307">
        <v>0.022988897787073102</v>
      </c>
      <c r="V307" t="s">
        <v>153</v>
      </c>
      <c r="AC307" t="s">
        <v>19</v>
      </c>
      <c r="AD307" t="s">
        <v>347</v>
      </c>
      <c r="AE307">
        <v>0.02789901430112704</v>
      </c>
      <c r="AK307">
        <v>2039</v>
      </c>
      <c r="AL307" t="s">
        <v>147</v>
      </c>
      <c r="AM307">
        <v>0.30184999999999995</v>
      </c>
      <c r="AN307" t="s">
        <v>195</v>
      </c>
    </row>
    <row r="308" spans="9:40" ht="14.25">
      <c r="I308" t="s">
        <v>165</v>
      </c>
      <c r="J308" t="s">
        <v>348</v>
      </c>
      <c r="K308">
        <v>0.0019203876936013144</v>
      </c>
      <c r="L308" t="s">
        <v>153</v>
      </c>
      <c r="N308" t="s">
        <v>175</v>
      </c>
      <c r="O308" t="s">
        <v>348</v>
      </c>
      <c r="P308">
        <v>0.0032801588383273017</v>
      </c>
      <c r="Q308" t="s">
        <v>153</v>
      </c>
      <c r="S308" t="s">
        <v>185</v>
      </c>
      <c r="T308" t="s">
        <v>348</v>
      </c>
      <c r="U308">
        <v>0.0039314620480542066</v>
      </c>
      <c r="V308" t="s">
        <v>153</v>
      </c>
      <c r="AC308" t="s">
        <v>19</v>
      </c>
      <c r="AD308" t="s">
        <v>348</v>
      </c>
      <c r="AE308">
        <v>0.0046490098253820222</v>
      </c>
      <c r="AK308">
        <v>2039</v>
      </c>
      <c r="AL308" t="s">
        <v>149</v>
      </c>
      <c r="AM308">
        <v>0.29699999999999999</v>
      </c>
      <c r="AN308" t="s">
        <v>195</v>
      </c>
    </row>
    <row r="309" spans="9:40" ht="14.25">
      <c r="I309" t="s">
        <v>165</v>
      </c>
      <c r="J309" t="s">
        <v>349</v>
      </c>
      <c r="K309">
        <v>0.0053584459650410764</v>
      </c>
      <c r="L309" t="s">
        <v>153</v>
      </c>
      <c r="N309" t="s">
        <v>175</v>
      </c>
      <c r="O309" t="s">
        <v>349</v>
      </c>
      <c r="P309">
        <v>0.003240569958379159</v>
      </c>
      <c r="Q309" t="s">
        <v>153</v>
      </c>
      <c r="S309" t="s">
        <v>185</v>
      </c>
      <c r="T309" t="s">
        <v>349</v>
      </c>
      <c r="U309">
        <v>0.0039232043198169156</v>
      </c>
      <c r="V309" t="s">
        <v>153</v>
      </c>
      <c r="AC309" t="s">
        <v>19</v>
      </c>
      <c r="AD309" t="s">
        <v>349</v>
      </c>
      <c r="AE309">
        <v>0.0046463788852647465</v>
      </c>
      <c r="AK309">
        <v>2039</v>
      </c>
      <c r="AL309" t="s">
        <v>198</v>
      </c>
      <c r="AM309">
        <v>0.30669999999999997</v>
      </c>
      <c r="AN309" t="s">
        <v>195</v>
      </c>
    </row>
    <row r="310" spans="9:40" ht="14.25">
      <c r="I310" t="s">
        <v>165</v>
      </c>
      <c r="J310" t="s">
        <v>350</v>
      </c>
      <c r="K310">
        <v>0.0080150061453720545</v>
      </c>
      <c r="L310" t="s">
        <v>153</v>
      </c>
      <c r="N310" t="s">
        <v>175</v>
      </c>
      <c r="O310" t="s">
        <v>350</v>
      </c>
      <c r="P310">
        <v>0.00288756852373443</v>
      </c>
      <c r="Q310" t="s">
        <v>153</v>
      </c>
      <c r="S310" t="s">
        <v>185</v>
      </c>
      <c r="T310" t="s">
        <v>350</v>
      </c>
      <c r="U310">
        <v>0.0037908422993263684</v>
      </c>
      <c r="V310" t="s">
        <v>153</v>
      </c>
      <c r="AC310" t="s">
        <v>19</v>
      </c>
      <c r="AD310" t="s">
        <v>350</v>
      </c>
      <c r="AE310">
        <v>0.004672118322049861</v>
      </c>
      <c r="AK310">
        <v>2039</v>
      </c>
      <c r="AL310" t="s">
        <v>216</v>
      </c>
      <c r="AM310">
        <v>0.31640000000000001</v>
      </c>
      <c r="AN310" t="s">
        <v>195</v>
      </c>
    </row>
    <row r="311" spans="9:40" ht="14.25">
      <c r="I311" t="s">
        <v>165</v>
      </c>
      <c r="J311" t="s">
        <v>351</v>
      </c>
      <c r="K311">
        <v>0.078695382857961474</v>
      </c>
      <c r="L311" t="s">
        <v>153</v>
      </c>
      <c r="N311" t="s">
        <v>175</v>
      </c>
      <c r="O311" t="s">
        <v>351</v>
      </c>
      <c r="P311">
        <v>0.034086765946792122</v>
      </c>
      <c r="Q311" t="s">
        <v>153</v>
      </c>
      <c r="S311" t="s">
        <v>185</v>
      </c>
      <c r="T311" t="s">
        <v>351</v>
      </c>
      <c r="U311">
        <v>0.018306129739276197</v>
      </c>
      <c r="V311" t="s">
        <v>153</v>
      </c>
      <c r="AC311" t="s">
        <v>19</v>
      </c>
      <c r="AD311" t="s">
        <v>351</v>
      </c>
      <c r="AE311">
        <v>0.0330434524746007</v>
      </c>
      <c r="AK311">
        <v>2039</v>
      </c>
      <c r="AL311" t="s">
        <v>232</v>
      </c>
      <c r="AM311">
        <v>0.31640000000000001</v>
      </c>
      <c r="AN311" t="s">
        <v>195</v>
      </c>
    </row>
    <row r="312" spans="9:40" ht="14.25">
      <c r="I312" t="s">
        <v>165</v>
      </c>
      <c r="J312" t="s">
        <v>352</v>
      </c>
      <c r="K312">
        <v>0.0086352323183772374</v>
      </c>
      <c r="L312" t="s">
        <v>153</v>
      </c>
      <c r="N312" t="s">
        <v>175</v>
      </c>
      <c r="O312" t="s">
        <v>352</v>
      </c>
      <c r="P312">
        <v>0.0061357341585156133</v>
      </c>
      <c r="Q312" t="s">
        <v>153</v>
      </c>
      <c r="S312" t="s">
        <v>185</v>
      </c>
      <c r="T312" t="s">
        <v>352</v>
      </c>
      <c r="U312">
        <v>0.0028430728956630566</v>
      </c>
      <c r="V312" t="s">
        <v>153</v>
      </c>
      <c r="AC312" t="s">
        <v>19</v>
      </c>
      <c r="AD312" t="s">
        <v>352</v>
      </c>
      <c r="AE312">
        <v>0.0047223802708060425</v>
      </c>
      <c r="AK312">
        <v>2039</v>
      </c>
      <c r="AL312" t="s">
        <v>233</v>
      </c>
      <c r="AM312">
        <v>0.31640000000000001</v>
      </c>
      <c r="AN312" t="s">
        <v>195</v>
      </c>
    </row>
    <row r="313" spans="9:40" ht="14.25">
      <c r="I313" t="s">
        <v>165</v>
      </c>
      <c r="J313" t="s">
        <v>353</v>
      </c>
      <c r="K313">
        <v>0.0062962017820269679</v>
      </c>
      <c r="L313" t="s">
        <v>153</v>
      </c>
      <c r="N313" t="s">
        <v>175</v>
      </c>
      <c r="O313" t="s">
        <v>353</v>
      </c>
      <c r="P313">
        <v>0.0056499201175869585</v>
      </c>
      <c r="Q313" t="s">
        <v>153</v>
      </c>
      <c r="S313" t="s">
        <v>185</v>
      </c>
      <c r="T313" t="s">
        <v>353</v>
      </c>
      <c r="U313">
        <v>0.0034762981958959722</v>
      </c>
      <c r="V313" t="s">
        <v>153</v>
      </c>
      <c r="AC313" t="s">
        <v>19</v>
      </c>
      <c r="AD313" t="s">
        <v>353</v>
      </c>
      <c r="AE313">
        <v>0.0047211047515222397</v>
      </c>
      <c r="AK313">
        <v>2039</v>
      </c>
      <c r="AL313" t="s">
        <v>234</v>
      </c>
      <c r="AM313">
        <v>0.36014999999999997</v>
      </c>
      <c r="AN313" t="s">
        <v>195</v>
      </c>
    </row>
    <row r="314" spans="9:40" ht="14.25">
      <c r="I314" t="s">
        <v>165</v>
      </c>
      <c r="J314" t="s">
        <v>354</v>
      </c>
      <c r="K314">
        <v>0.002872144845196419</v>
      </c>
      <c r="L314" t="s">
        <v>153</v>
      </c>
      <c r="N314" t="s">
        <v>175</v>
      </c>
      <c r="O314" t="s">
        <v>354</v>
      </c>
      <c r="P314">
        <v>0.023398093335603685</v>
      </c>
      <c r="Q314" t="s">
        <v>153</v>
      </c>
      <c r="S314" t="s">
        <v>185</v>
      </c>
      <c r="T314" t="s">
        <v>354</v>
      </c>
      <c r="U314">
        <v>0.024716603792629244</v>
      </c>
      <c r="V314" t="s">
        <v>153</v>
      </c>
      <c r="AC314" t="s">
        <v>19</v>
      </c>
      <c r="AD314" t="s">
        <v>354</v>
      </c>
      <c r="AE314">
        <v>0.028265475737031497</v>
      </c>
      <c r="AK314">
        <v>2039</v>
      </c>
      <c r="AL314" t="s">
        <v>256</v>
      </c>
      <c r="AM314">
        <v>0.40389999999999998</v>
      </c>
      <c r="AN314" t="s">
        <v>195</v>
      </c>
    </row>
    <row r="315" spans="9:40" ht="14.25">
      <c r="I315" t="s">
        <v>165</v>
      </c>
      <c r="J315" t="s">
        <v>355</v>
      </c>
      <c r="K315">
        <v>0</v>
      </c>
      <c r="L315" t="s">
        <v>153</v>
      </c>
      <c r="N315" t="s">
        <v>175</v>
      </c>
      <c r="O315" t="s">
        <v>355</v>
      </c>
      <c r="P315">
        <v>0.017674814422652743</v>
      </c>
      <c r="Q315" t="s">
        <v>153</v>
      </c>
      <c r="S315" t="s">
        <v>185</v>
      </c>
      <c r="T315" t="s">
        <v>355</v>
      </c>
      <c r="U315">
        <v>0.010128848167746965</v>
      </c>
      <c r="V315" t="s">
        <v>153</v>
      </c>
      <c r="AC315" t="s">
        <v>19</v>
      </c>
      <c r="AD315" t="s">
        <v>355</v>
      </c>
      <c r="AE315">
        <v>0.035396296236458014</v>
      </c>
      <c r="AK315">
        <v>2039</v>
      </c>
      <c r="AL315" t="s">
        <v>257</v>
      </c>
      <c r="AM315">
        <v>0.38514999999999999</v>
      </c>
      <c r="AN315" t="s">
        <v>195</v>
      </c>
    </row>
    <row r="316" spans="9:40" ht="14.25">
      <c r="I316" t="s">
        <v>165</v>
      </c>
      <c r="J316" t="s">
        <v>356</v>
      </c>
      <c r="K316">
        <v>0.0024860605573884783</v>
      </c>
      <c r="L316" t="s">
        <v>153</v>
      </c>
      <c r="N316" t="s">
        <v>175</v>
      </c>
      <c r="O316" t="s">
        <v>356</v>
      </c>
      <c r="P316">
        <v>0.0027942639890379075</v>
      </c>
      <c r="Q316" t="s">
        <v>153</v>
      </c>
      <c r="S316" t="s">
        <v>185</v>
      </c>
      <c r="T316" t="s">
        <v>356</v>
      </c>
      <c r="U316">
        <v>0.0020309335823944724</v>
      </c>
      <c r="V316" t="s">
        <v>153</v>
      </c>
      <c r="AC316" t="s">
        <v>19</v>
      </c>
      <c r="AD316" t="s">
        <v>356</v>
      </c>
      <c r="AE316">
        <v>0.0058911483267768353</v>
      </c>
      <c r="AK316">
        <v>2039</v>
      </c>
      <c r="AL316" t="s">
        <v>258</v>
      </c>
      <c r="AM316">
        <v>0.3664</v>
      </c>
      <c r="AN316" t="s">
        <v>195</v>
      </c>
    </row>
    <row r="317" spans="9:40" ht="14.25">
      <c r="I317" t="s">
        <v>165</v>
      </c>
      <c r="J317" t="s">
        <v>357</v>
      </c>
      <c r="K317">
        <v>0.0070823900162977488</v>
      </c>
      <c r="L317" t="s">
        <v>153</v>
      </c>
      <c r="N317" t="s">
        <v>175</v>
      </c>
      <c r="O317" t="s">
        <v>357</v>
      </c>
      <c r="P317">
        <v>0.0024484916128068141</v>
      </c>
      <c r="Q317" t="s">
        <v>153</v>
      </c>
      <c r="S317" t="s">
        <v>185</v>
      </c>
      <c r="T317" t="s">
        <v>357</v>
      </c>
      <c r="U317">
        <v>0.002107497984900052</v>
      </c>
      <c r="V317" t="s">
        <v>153</v>
      </c>
      <c r="AC317" t="s">
        <v>19</v>
      </c>
      <c r="AD317" t="s">
        <v>357</v>
      </c>
      <c r="AE317">
        <v>0.0058887648393376258</v>
      </c>
      <c r="AK317">
        <v>2039</v>
      </c>
      <c r="AL317" t="s">
        <v>259</v>
      </c>
      <c r="AM317">
        <v>0.3664</v>
      </c>
      <c r="AN317" t="s">
        <v>195</v>
      </c>
    </row>
    <row r="318" spans="9:40" ht="14.25">
      <c r="I318" t="s">
        <v>165</v>
      </c>
      <c r="J318" t="s">
        <v>358</v>
      </c>
      <c r="K318">
        <v>0.010913118842896363</v>
      </c>
      <c r="L318" t="s">
        <v>153</v>
      </c>
      <c r="N318" t="s">
        <v>175</v>
      </c>
      <c r="O318" t="s">
        <v>358</v>
      </c>
      <c r="P318">
        <v>0.0018126839456543535</v>
      </c>
      <c r="Q318" t="s">
        <v>153</v>
      </c>
      <c r="S318" t="s">
        <v>185</v>
      </c>
      <c r="T318" t="s">
        <v>358</v>
      </c>
      <c r="U318">
        <v>0.0020557182118315334</v>
      </c>
      <c r="V318" t="s">
        <v>153</v>
      </c>
      <c r="AC318" t="s">
        <v>19</v>
      </c>
      <c r="AD318" t="s">
        <v>358</v>
      </c>
      <c r="AE318">
        <v>0.0059212683054910625</v>
      </c>
      <c r="AK318">
        <v>2039</v>
      </c>
      <c r="AL318" t="s">
        <v>260</v>
      </c>
      <c r="AM318">
        <v>0.4017</v>
      </c>
      <c r="AN318" t="s">
        <v>195</v>
      </c>
    </row>
    <row r="319" spans="9:40" ht="14.25">
      <c r="I319" t="s">
        <v>165</v>
      </c>
      <c r="J319" t="s">
        <v>359</v>
      </c>
      <c r="K319">
        <v>0.10184851179957279</v>
      </c>
      <c r="L319" t="s">
        <v>153</v>
      </c>
      <c r="N319" t="s">
        <v>175</v>
      </c>
      <c r="O319" t="s">
        <v>359</v>
      </c>
      <c r="P319">
        <v>0.021759419702497819</v>
      </c>
      <c r="Q319" t="s">
        <v>153</v>
      </c>
      <c r="S319" t="s">
        <v>185</v>
      </c>
      <c r="T319" t="s">
        <v>359</v>
      </c>
      <c r="U319">
        <v>0.009728042460702328</v>
      </c>
      <c r="V319" t="s">
        <v>153</v>
      </c>
      <c r="AC319" t="s">
        <v>19</v>
      </c>
      <c r="AD319" t="s">
        <v>359</v>
      </c>
      <c r="AE319">
        <v>0.041901446326783109</v>
      </c>
      <c r="AK319">
        <v>2039</v>
      </c>
      <c r="AL319" t="s">
        <v>261</v>
      </c>
      <c r="AM319">
        <v>0.437</v>
      </c>
      <c r="AN319" t="s">
        <v>195</v>
      </c>
    </row>
    <row r="320" spans="9:40" ht="14.25">
      <c r="I320" t="s">
        <v>165</v>
      </c>
      <c r="J320" t="s">
        <v>360</v>
      </c>
      <c r="K320">
        <v>0.011288514842032089</v>
      </c>
      <c r="L320" t="s">
        <v>153</v>
      </c>
      <c r="N320" t="s">
        <v>175</v>
      </c>
      <c r="O320" t="s">
        <v>360</v>
      </c>
      <c r="P320">
        <v>0.0064648448827354082</v>
      </c>
      <c r="Q320" t="s">
        <v>153</v>
      </c>
      <c r="S320" t="s">
        <v>185</v>
      </c>
      <c r="T320" t="s">
        <v>360</v>
      </c>
      <c r="U320">
        <v>0.0011528620801951035</v>
      </c>
      <c r="V320" t="s">
        <v>153</v>
      </c>
      <c r="AC320" t="s">
        <v>19</v>
      </c>
      <c r="AD320" t="s">
        <v>360</v>
      </c>
      <c r="AE320">
        <v>0.0059884684142733902</v>
      </c>
      <c r="AK320">
        <v>2039</v>
      </c>
      <c r="AL320" t="s">
        <v>303</v>
      </c>
      <c r="AM320">
        <v>0.437</v>
      </c>
      <c r="AN320" t="s">
        <v>195</v>
      </c>
    </row>
    <row r="321" spans="9:40" ht="14.25">
      <c r="I321" t="s">
        <v>165</v>
      </c>
      <c r="J321" t="s">
        <v>361</v>
      </c>
      <c r="K321">
        <v>0.0076714403885479506</v>
      </c>
      <c r="L321" t="s">
        <v>153</v>
      </c>
      <c r="N321" t="s">
        <v>175</v>
      </c>
      <c r="O321" t="s">
        <v>361</v>
      </c>
      <c r="P321">
        <v>0.0065726992961605887</v>
      </c>
      <c r="Q321" t="s">
        <v>153</v>
      </c>
      <c r="S321" t="s">
        <v>185</v>
      </c>
      <c r="T321" t="s">
        <v>361</v>
      </c>
      <c r="U321">
        <v>0.0013011739230668657</v>
      </c>
      <c r="V321" t="s">
        <v>153</v>
      </c>
      <c r="AC321" t="s">
        <v>19</v>
      </c>
      <c r="AD321" t="s">
        <v>361</v>
      </c>
      <c r="AE321">
        <v>0.0059862515094589444</v>
      </c>
      <c r="AK321">
        <v>2039</v>
      </c>
      <c r="AL321" t="s">
        <v>304</v>
      </c>
      <c r="AM321">
        <v>0.38233333333333336</v>
      </c>
      <c r="AN321" t="s">
        <v>195</v>
      </c>
    </row>
    <row r="322" spans="9:40" ht="14.25">
      <c r="I322" t="s">
        <v>165</v>
      </c>
      <c r="J322" t="s">
        <v>362</v>
      </c>
      <c r="K322">
        <v>0.0025517712223620871</v>
      </c>
      <c r="L322" t="s">
        <v>153</v>
      </c>
      <c r="N322" t="s">
        <v>175</v>
      </c>
      <c r="O322" t="s">
        <v>362</v>
      </c>
      <c r="P322">
        <v>0.02903707571874831</v>
      </c>
      <c r="Q322" t="s">
        <v>153</v>
      </c>
      <c r="S322" t="s">
        <v>185</v>
      </c>
      <c r="T322" t="s">
        <v>362</v>
      </c>
      <c r="U322">
        <v>0.010022544443579608</v>
      </c>
      <c r="V322" t="s">
        <v>153</v>
      </c>
      <c r="AC322" t="s">
        <v>19</v>
      </c>
      <c r="AD322" t="s">
        <v>362</v>
      </c>
      <c r="AE322">
        <v>0.035844255316017343</v>
      </c>
      <c r="AK322">
        <v>2039</v>
      </c>
      <c r="AL322" t="s">
        <v>305</v>
      </c>
      <c r="AM322">
        <v>0.31059999999999999</v>
      </c>
      <c r="AN322" t="s">
        <v>195</v>
      </c>
    </row>
    <row r="323" spans="9:40" ht="14.25">
      <c r="I323" t="s">
        <v>165</v>
      </c>
      <c r="J323" t="s">
        <v>363</v>
      </c>
      <c r="K323">
        <v>0</v>
      </c>
      <c r="L323" t="s">
        <v>153</v>
      </c>
      <c r="N323" t="s">
        <v>175</v>
      </c>
      <c r="O323" t="s">
        <v>363</v>
      </c>
      <c r="P323">
        <v>0.046014253907441398</v>
      </c>
      <c r="Q323" t="s">
        <v>153</v>
      </c>
      <c r="S323" t="s">
        <v>185</v>
      </c>
      <c r="T323" t="s">
        <v>363</v>
      </c>
      <c r="U323">
        <v>0.051648681489866705</v>
      </c>
      <c r="V323" t="s">
        <v>153</v>
      </c>
      <c r="AC323" t="s">
        <v>19</v>
      </c>
      <c r="AD323" t="s">
        <v>363</v>
      </c>
      <c r="AE323">
        <v>0.05526332148635188</v>
      </c>
      <c r="AK323">
        <v>2039</v>
      </c>
      <c r="AL323" t="s">
        <v>306</v>
      </c>
      <c r="AM323">
        <v>0.29305000000000003</v>
      </c>
      <c r="AN323" t="s">
        <v>195</v>
      </c>
    </row>
    <row r="324" spans="9:40" ht="14.25">
      <c r="I324" t="s">
        <v>165</v>
      </c>
      <c r="J324" t="s">
        <v>364</v>
      </c>
      <c r="K324">
        <v>0.00012085935729712806</v>
      </c>
      <c r="L324" t="s">
        <v>153</v>
      </c>
      <c r="N324" t="s">
        <v>175</v>
      </c>
      <c r="O324" t="s">
        <v>364</v>
      </c>
      <c r="P324">
        <v>0.0074901534658351086</v>
      </c>
      <c r="Q324" t="s">
        <v>153</v>
      </c>
      <c r="S324" t="s">
        <v>185</v>
      </c>
      <c r="T324" t="s">
        <v>364</v>
      </c>
      <c r="U324">
        <v>0.007742372211330467</v>
      </c>
      <c r="V324" t="s">
        <v>153</v>
      </c>
      <c r="AC324" t="s">
        <v>19</v>
      </c>
      <c r="AD324" t="s">
        <v>364</v>
      </c>
      <c r="AE324">
        <v>0.0092232327463615399</v>
      </c>
      <c r="AK324">
        <v>2039</v>
      </c>
      <c r="AL324" t="s">
        <v>307</v>
      </c>
      <c r="AM324">
        <v>0.316</v>
      </c>
      <c r="AN324" t="s">
        <v>195</v>
      </c>
    </row>
    <row r="325" spans="9:40" ht="14.25">
      <c r="I325" t="s">
        <v>165</v>
      </c>
      <c r="J325" t="s">
        <v>365</v>
      </c>
      <c r="K325">
        <v>0.011192087095233257</v>
      </c>
      <c r="L325" t="s">
        <v>153</v>
      </c>
      <c r="N325" t="s">
        <v>175</v>
      </c>
      <c r="O325" t="s">
        <v>365</v>
      </c>
      <c r="P325">
        <v>0.0073022965574947099</v>
      </c>
      <c r="Q325" t="s">
        <v>153</v>
      </c>
      <c r="S325" t="s">
        <v>185</v>
      </c>
      <c r="T325" t="s">
        <v>365</v>
      </c>
      <c r="U325">
        <v>0.0075293957038326219</v>
      </c>
      <c r="V325" t="s">
        <v>153</v>
      </c>
      <c r="AC325" t="s">
        <v>19</v>
      </c>
      <c r="AD325" t="s">
        <v>365</v>
      </c>
      <c r="AE325">
        <v>0.0092453393260217148</v>
      </c>
      <c r="AK325">
        <v>2039</v>
      </c>
      <c r="AL325" t="s">
        <v>308</v>
      </c>
      <c r="AM325">
        <v>0.316</v>
      </c>
      <c r="AN325" t="s">
        <v>195</v>
      </c>
    </row>
    <row r="326" spans="9:40" ht="14.25">
      <c r="I326" t="s">
        <v>165</v>
      </c>
      <c r="J326" t="s">
        <v>366</v>
      </c>
      <c r="K326">
        <v>0.017994551609946011</v>
      </c>
      <c r="L326" t="s">
        <v>153</v>
      </c>
      <c r="N326" t="s">
        <v>175</v>
      </c>
      <c r="O326" t="s">
        <v>366</v>
      </c>
      <c r="P326">
        <v>0.0066935488676193831</v>
      </c>
      <c r="Q326" t="s">
        <v>153</v>
      </c>
      <c r="S326" t="s">
        <v>185</v>
      </c>
      <c r="T326" t="s">
        <v>366</v>
      </c>
      <c r="U326">
        <v>0.0073416546751483352</v>
      </c>
      <c r="V326" t="s">
        <v>153</v>
      </c>
      <c r="AC326" t="s">
        <v>19</v>
      </c>
      <c r="AD326" t="s">
        <v>366</v>
      </c>
      <c r="AE326">
        <v>0.0093210637195241582</v>
      </c>
      <c r="AK326">
        <v>2040</v>
      </c>
      <c r="AL326" t="s">
        <v>141</v>
      </c>
      <c r="AM326">
        <v>0.41510000000000002</v>
      </c>
      <c r="AN326" t="s">
        <v>195</v>
      </c>
    </row>
    <row r="327" spans="9:40" ht="14.25">
      <c r="I327" t="s">
        <v>165</v>
      </c>
      <c r="J327" t="s">
        <v>367</v>
      </c>
      <c r="K327">
        <v>0.15654042001313023</v>
      </c>
      <c r="L327" t="s">
        <v>153</v>
      </c>
      <c r="N327" t="s">
        <v>175</v>
      </c>
      <c r="O327" t="s">
        <v>367</v>
      </c>
      <c r="P327">
        <v>0.046483605747321563</v>
      </c>
      <c r="Q327" t="s">
        <v>153</v>
      </c>
      <c r="S327" t="s">
        <v>185</v>
      </c>
      <c r="T327" t="s">
        <v>367</v>
      </c>
      <c r="U327">
        <v>0.049436323289400848</v>
      </c>
      <c r="V327" t="s">
        <v>153</v>
      </c>
      <c r="AC327" t="s">
        <v>19</v>
      </c>
      <c r="AD327" t="s">
        <v>367</v>
      </c>
      <c r="AE327">
        <v>0.066030894774474019</v>
      </c>
      <c r="AK327">
        <v>2040</v>
      </c>
      <c r="AL327" t="s">
        <v>145</v>
      </c>
      <c r="AM327">
        <v>0.41510000000000002</v>
      </c>
      <c r="AN327" t="s">
        <v>195</v>
      </c>
    </row>
    <row r="328" spans="9:40" ht="14.25">
      <c r="I328" t="s">
        <v>165</v>
      </c>
      <c r="J328" t="s">
        <v>368</v>
      </c>
      <c r="K328">
        <v>0.016559552533240957</v>
      </c>
      <c r="L328" t="s">
        <v>153</v>
      </c>
      <c r="N328" t="s">
        <v>175</v>
      </c>
      <c r="O328" t="s">
        <v>368</v>
      </c>
      <c r="P328">
        <v>0.0073375789898011039</v>
      </c>
      <c r="Q328" t="s">
        <v>153</v>
      </c>
      <c r="S328" t="s">
        <v>185</v>
      </c>
      <c r="T328" t="s">
        <v>368</v>
      </c>
      <c r="U328">
        <v>0.0077265951819989655</v>
      </c>
      <c r="V328" t="s">
        <v>153</v>
      </c>
      <c r="AC328" t="s">
        <v>19</v>
      </c>
      <c r="AD328" t="s">
        <v>368</v>
      </c>
      <c r="AE328">
        <v>0.0094436491612777933</v>
      </c>
      <c r="AK328">
        <v>2040</v>
      </c>
      <c r="AL328" t="s">
        <v>147</v>
      </c>
      <c r="AM328">
        <v>0.40085000000000004</v>
      </c>
      <c r="AN328" t="s">
        <v>195</v>
      </c>
    </row>
    <row r="329" spans="9:40" ht="14.25">
      <c r="I329" t="s">
        <v>165</v>
      </c>
      <c r="J329" t="s">
        <v>369</v>
      </c>
      <c r="K329">
        <v>0.0094574478385685973</v>
      </c>
      <c r="L329" t="s">
        <v>153</v>
      </c>
      <c r="N329" t="s">
        <v>175</v>
      </c>
      <c r="O329" t="s">
        <v>369</v>
      </c>
      <c r="P329">
        <v>0.0078910021624596371</v>
      </c>
      <c r="Q329" t="s">
        <v>153</v>
      </c>
      <c r="S329" t="s">
        <v>185</v>
      </c>
      <c r="T329" t="s">
        <v>369</v>
      </c>
      <c r="U329">
        <v>0.0081110767820347894</v>
      </c>
      <c r="V329" t="s">
        <v>153</v>
      </c>
      <c r="AC329" t="s">
        <v>19</v>
      </c>
      <c r="AD329" t="s">
        <v>369</v>
      </c>
      <c r="AE329">
        <v>0.0094508843676632537</v>
      </c>
      <c r="AK329">
        <v>2040</v>
      </c>
      <c r="AL329" t="s">
        <v>149</v>
      </c>
      <c r="AM329">
        <v>0.3866</v>
      </c>
      <c r="AN329" t="s">
        <v>195</v>
      </c>
    </row>
    <row r="330" spans="9:40" ht="14.25">
      <c r="I330" t="s">
        <v>165</v>
      </c>
      <c r="J330" t="s">
        <v>370</v>
      </c>
      <c r="K330">
        <v>0</v>
      </c>
      <c r="L330" t="s">
        <v>153</v>
      </c>
      <c r="N330" t="s">
        <v>175</v>
      </c>
      <c r="O330" t="s">
        <v>370</v>
      </c>
      <c r="P330">
        <v>0.048170157748025029</v>
      </c>
      <c r="Q330" t="s">
        <v>153</v>
      </c>
      <c r="S330" t="s">
        <v>185</v>
      </c>
      <c r="T330" t="s">
        <v>370</v>
      </c>
      <c r="U330">
        <v>0.051044894263312872</v>
      </c>
      <c r="V330" t="s">
        <v>153</v>
      </c>
      <c r="AC330" t="s">
        <v>19</v>
      </c>
      <c r="AD330" t="s">
        <v>370</v>
      </c>
      <c r="AE330">
        <v>0.056523706932395994</v>
      </c>
      <c r="AK330">
        <v>2040</v>
      </c>
      <c r="AL330" t="s">
        <v>198</v>
      </c>
      <c r="AM330">
        <v>0.40165000000000001</v>
      </c>
      <c r="AN330" t="s">
        <v>195</v>
      </c>
    </row>
    <row r="331" spans="9:40" ht="14.25">
      <c r="I331" t="s">
        <v>165</v>
      </c>
      <c r="J331" t="s">
        <v>371</v>
      </c>
      <c r="K331">
        <v>0</v>
      </c>
      <c r="L331" t="s">
        <v>153</v>
      </c>
      <c r="N331" t="s">
        <v>175</v>
      </c>
      <c r="O331" t="s">
        <v>371</v>
      </c>
      <c r="P331">
        <v>0.0103114979977474</v>
      </c>
      <c r="Q331" t="s">
        <v>153</v>
      </c>
      <c r="S331" t="s">
        <v>185</v>
      </c>
      <c r="T331" t="s">
        <v>371</v>
      </c>
      <c r="U331">
        <v>0.011732770473824188</v>
      </c>
      <c r="V331" t="s">
        <v>153</v>
      </c>
      <c r="AC331" t="s">
        <v>19</v>
      </c>
      <c r="AD331" t="s">
        <v>371</v>
      </c>
      <c r="AE331">
        <v>0.0047168663572500031</v>
      </c>
      <c r="AK331">
        <v>2040</v>
      </c>
      <c r="AL331" t="s">
        <v>216</v>
      </c>
      <c r="AM331">
        <v>0.41670000000000001</v>
      </c>
      <c r="AN331" t="s">
        <v>195</v>
      </c>
    </row>
    <row r="332" spans="9:40" ht="14.25">
      <c r="I332" t="s">
        <v>165</v>
      </c>
      <c r="J332" t="s">
        <v>372</v>
      </c>
      <c r="K332">
        <v>0</v>
      </c>
      <c r="L332" t="s">
        <v>153</v>
      </c>
      <c r="N332" t="s">
        <v>175</v>
      </c>
      <c r="O332" t="s">
        <v>372</v>
      </c>
      <c r="P332">
        <v>0.0019141278752098346</v>
      </c>
      <c r="Q332" t="s">
        <v>153</v>
      </c>
      <c r="S332" t="s">
        <v>185</v>
      </c>
      <c r="T332" t="s">
        <v>372</v>
      </c>
      <c r="U332">
        <v>0.0022379797402724798</v>
      </c>
      <c r="V332" t="s">
        <v>153</v>
      </c>
      <c r="AC332" t="s">
        <v>19</v>
      </c>
      <c r="AD332" t="s">
        <v>372</v>
      </c>
      <c r="AE332">
        <v>0.00079126010976970224</v>
      </c>
      <c r="AK332">
        <v>2040</v>
      </c>
      <c r="AL332" t="s">
        <v>232</v>
      </c>
      <c r="AM332">
        <v>0.41670000000000001</v>
      </c>
      <c r="AN332" t="s">
        <v>195</v>
      </c>
    </row>
    <row r="333" spans="9:40" ht="14.25">
      <c r="I333" t="s">
        <v>165</v>
      </c>
      <c r="J333" t="s">
        <v>373</v>
      </c>
      <c r="K333">
        <v>0.00073626127814577192</v>
      </c>
      <c r="L333" t="s">
        <v>153</v>
      </c>
      <c r="N333" t="s">
        <v>175</v>
      </c>
      <c r="O333" t="s">
        <v>373</v>
      </c>
      <c r="P333">
        <v>0.0019316173484994516</v>
      </c>
      <c r="Q333" t="s">
        <v>153</v>
      </c>
      <c r="S333" t="s">
        <v>185</v>
      </c>
      <c r="T333" t="s">
        <v>373</v>
      </c>
      <c r="U333">
        <v>0.0023155604272415897</v>
      </c>
      <c r="V333" t="s">
        <v>153</v>
      </c>
      <c r="AC333" t="s">
        <v>19</v>
      </c>
      <c r="AD333" t="s">
        <v>373</v>
      </c>
      <c r="AE333">
        <v>0.000795401431301625</v>
      </c>
      <c r="AK333">
        <v>2040</v>
      </c>
      <c r="AL333" t="s">
        <v>233</v>
      </c>
      <c r="AM333">
        <v>0.41670000000000001</v>
      </c>
      <c r="AN333" t="s">
        <v>195</v>
      </c>
    </row>
    <row r="334" spans="9:40" ht="14.25">
      <c r="I334" t="s">
        <v>165</v>
      </c>
      <c r="J334" t="s">
        <v>374</v>
      </c>
      <c r="K334">
        <v>0.0013392703839682529</v>
      </c>
      <c r="L334" t="s">
        <v>153</v>
      </c>
      <c r="N334" t="s">
        <v>175</v>
      </c>
      <c r="O334" t="s">
        <v>374</v>
      </c>
      <c r="P334">
        <v>0.0018910846476905374</v>
      </c>
      <c r="Q334" t="s">
        <v>153</v>
      </c>
      <c r="S334" t="s">
        <v>185</v>
      </c>
      <c r="T334" t="s">
        <v>374</v>
      </c>
      <c r="U334">
        <v>0.0023244621176001555</v>
      </c>
      <c r="V334" t="s">
        <v>153</v>
      </c>
      <c r="AC334" t="s">
        <v>19</v>
      </c>
      <c r="AD334" t="s">
        <v>374</v>
      </c>
      <c r="AE334">
        <v>0.00079992482751650945</v>
      </c>
      <c r="AK334">
        <v>2040</v>
      </c>
      <c r="AL334" t="s">
        <v>234</v>
      </c>
      <c r="AM334">
        <v>0.46060000000000001</v>
      </c>
      <c r="AN334" t="s">
        <v>195</v>
      </c>
    </row>
    <row r="335" spans="9:40" ht="14.25">
      <c r="I335" t="s">
        <v>165</v>
      </c>
      <c r="J335" t="s">
        <v>375</v>
      </c>
      <c r="K335">
        <v>0.012876022365713792</v>
      </c>
      <c r="L335" t="s">
        <v>153</v>
      </c>
      <c r="N335" t="s">
        <v>175</v>
      </c>
      <c r="O335" t="s">
        <v>375</v>
      </c>
      <c r="P335">
        <v>0.012653803358482927</v>
      </c>
      <c r="Q335" t="s">
        <v>153</v>
      </c>
      <c r="S335" t="s">
        <v>185</v>
      </c>
      <c r="T335" t="s">
        <v>375</v>
      </c>
      <c r="U335">
        <v>0.015569772759762089</v>
      </c>
      <c r="V335" t="s">
        <v>153</v>
      </c>
      <c r="AC335" t="s">
        <v>19</v>
      </c>
      <c r="AD335" t="s">
        <v>375</v>
      </c>
      <c r="AE335">
        <v>0.0056195891288076316</v>
      </c>
      <c r="AK335">
        <v>2040</v>
      </c>
      <c r="AL335" t="s">
        <v>256</v>
      </c>
      <c r="AM335">
        <v>0.50449999999999995</v>
      </c>
      <c r="AN335" t="s">
        <v>195</v>
      </c>
    </row>
    <row r="336" spans="9:40" ht="14.25">
      <c r="I336" t="s">
        <v>165</v>
      </c>
      <c r="J336" t="s">
        <v>376</v>
      </c>
      <c r="K336">
        <v>0.0014036551546555422</v>
      </c>
      <c r="L336" t="s">
        <v>153</v>
      </c>
      <c r="N336" t="s">
        <v>175</v>
      </c>
      <c r="O336" t="s">
        <v>376</v>
      </c>
      <c r="P336">
        <v>0.0017325083008788407</v>
      </c>
      <c r="Q336" t="s">
        <v>153</v>
      </c>
      <c r="S336" t="s">
        <v>185</v>
      </c>
      <c r="T336" t="s">
        <v>376</v>
      </c>
      <c r="U336">
        <v>0.0020246869608183259</v>
      </c>
      <c r="V336" t="s">
        <v>153</v>
      </c>
      <c r="AC336" t="s">
        <v>19</v>
      </c>
      <c r="AD336" t="s">
        <v>376</v>
      </c>
      <c r="AE336">
        <v>0.00080335284612320754</v>
      </c>
      <c r="AK336">
        <v>2040</v>
      </c>
      <c r="AL336" t="s">
        <v>257</v>
      </c>
      <c r="AM336">
        <v>0.53239999999999998</v>
      </c>
      <c r="AN336" t="s">
        <v>195</v>
      </c>
    </row>
    <row r="337" spans="9:40" ht="14.25">
      <c r="I337" t="s">
        <v>165</v>
      </c>
      <c r="J337" t="s">
        <v>377</v>
      </c>
      <c r="K337">
        <v>0.00080128617712529708</v>
      </c>
      <c r="L337" t="s">
        <v>153</v>
      </c>
      <c r="N337" t="s">
        <v>175</v>
      </c>
      <c r="O337" t="s">
        <v>377</v>
      </c>
      <c r="P337">
        <v>0.0017179680175105723</v>
      </c>
      <c r="Q337" t="s">
        <v>153</v>
      </c>
      <c r="S337" t="s">
        <v>185</v>
      </c>
      <c r="T337" t="s">
        <v>377</v>
      </c>
      <c r="U337">
        <v>0.001954630445726367</v>
      </c>
      <c r="V337" t="s">
        <v>153</v>
      </c>
      <c r="AC337" t="s">
        <v>19</v>
      </c>
      <c r="AD337" t="s">
        <v>377</v>
      </c>
      <c r="AE337">
        <v>0.00080532714077775024</v>
      </c>
      <c r="AK337">
        <v>2040</v>
      </c>
      <c r="AL337" t="s">
        <v>258</v>
      </c>
      <c r="AM337">
        <v>0.56030000000000002</v>
      </c>
      <c r="AN337" t="s">
        <v>195</v>
      </c>
    </row>
    <row r="338" spans="9:40" ht="14.25">
      <c r="I338" t="s">
        <v>165</v>
      </c>
      <c r="J338" t="s">
        <v>378</v>
      </c>
      <c r="K338">
        <v>0</v>
      </c>
      <c r="L338" t="s">
        <v>153</v>
      </c>
      <c r="N338" t="s">
        <v>175</v>
      </c>
      <c r="O338" t="s">
        <v>378</v>
      </c>
      <c r="P338">
        <v>0.010165334861349108</v>
      </c>
      <c r="Q338" t="s">
        <v>153</v>
      </c>
      <c r="S338" t="s">
        <v>185</v>
      </c>
      <c r="T338" t="s">
        <v>378</v>
      </c>
      <c r="U338">
        <v>0.011430924432407856</v>
      </c>
      <c r="V338" t="s">
        <v>153</v>
      </c>
      <c r="AC338" t="s">
        <v>19</v>
      </c>
      <c r="AD338" t="s">
        <v>378</v>
      </c>
      <c r="AE338">
        <v>0.0048117356463049004</v>
      </c>
      <c r="AK338">
        <v>2040</v>
      </c>
      <c r="AL338" t="s">
        <v>259</v>
      </c>
      <c r="AM338">
        <v>0.56030000000000002</v>
      </c>
      <c r="AN338" t="s">
        <v>195</v>
      </c>
    </row>
    <row r="339" spans="9:40" ht="14.25">
      <c r="I339" t="s">
        <v>165</v>
      </c>
      <c r="J339" t="s">
        <v>379</v>
      </c>
      <c r="K339">
        <v>0</v>
      </c>
      <c r="L339" t="s">
        <v>153</v>
      </c>
      <c r="N339" t="s">
        <v>175</v>
      </c>
      <c r="O339" t="s">
        <v>379</v>
      </c>
      <c r="P339">
        <v>0.0065388835505135511</v>
      </c>
      <c r="Q339" t="s">
        <v>153</v>
      </c>
      <c r="S339" t="s">
        <v>185</v>
      </c>
      <c r="T339" t="s">
        <v>379</v>
      </c>
      <c r="U339">
        <v>0.0076968917780570771</v>
      </c>
      <c r="V339" t="s">
        <v>153</v>
      </c>
      <c r="AC339" t="s">
        <v>19</v>
      </c>
      <c r="AD339" t="s">
        <v>379</v>
      </c>
      <c r="AE339">
        <v>0.0067414794452653392</v>
      </c>
      <c r="AK339">
        <v>2040</v>
      </c>
      <c r="AL339" t="s">
        <v>260</v>
      </c>
      <c r="AM339">
        <v>0.53510000000000002</v>
      </c>
      <c r="AN339" t="s">
        <v>195</v>
      </c>
    </row>
    <row r="340" spans="9:40" ht="14.25">
      <c r="I340" t="s">
        <v>165</v>
      </c>
      <c r="J340" t="s">
        <v>380</v>
      </c>
      <c r="K340">
        <v>0</v>
      </c>
      <c r="L340" t="s">
        <v>153</v>
      </c>
      <c r="N340" t="s">
        <v>175</v>
      </c>
      <c r="O340" t="s">
        <v>380</v>
      </c>
      <c r="P340">
        <v>0.0011353586205060408</v>
      </c>
      <c r="Q340" t="s">
        <v>153</v>
      </c>
      <c r="S340" t="s">
        <v>185</v>
      </c>
      <c r="T340" t="s">
        <v>380</v>
      </c>
      <c r="U340">
        <v>0.001409661073284529</v>
      </c>
      <c r="V340" t="s">
        <v>153</v>
      </c>
      <c r="AC340" t="s">
        <v>19</v>
      </c>
      <c r="AD340" t="s">
        <v>380</v>
      </c>
      <c r="AE340">
        <v>0.0011321166213942885</v>
      </c>
      <c r="AK340">
        <v>2040</v>
      </c>
      <c r="AL340" t="s">
        <v>261</v>
      </c>
      <c r="AM340">
        <v>0.50990000000000002</v>
      </c>
      <c r="AN340" t="s">
        <v>195</v>
      </c>
    </row>
    <row r="341" spans="9:40" ht="14.25">
      <c r="I341" t="s">
        <v>165</v>
      </c>
      <c r="J341" t="s">
        <v>381</v>
      </c>
      <c r="K341">
        <v>0.0011239678201613581</v>
      </c>
      <c r="L341" t="s">
        <v>153</v>
      </c>
      <c r="N341" t="s">
        <v>175</v>
      </c>
      <c r="O341" t="s">
        <v>381</v>
      </c>
      <c r="P341">
        <v>0.0011101747422028543</v>
      </c>
      <c r="Q341" t="s">
        <v>153</v>
      </c>
      <c r="S341" t="s">
        <v>185</v>
      </c>
      <c r="T341" t="s">
        <v>381</v>
      </c>
      <c r="U341">
        <v>0.0014294470076772149</v>
      </c>
      <c r="V341" t="s">
        <v>153</v>
      </c>
      <c r="AC341" t="s">
        <v>19</v>
      </c>
      <c r="AD341" t="s">
        <v>381</v>
      </c>
      <c r="AE341">
        <v>0.0011395726466079245</v>
      </c>
      <c r="AK341">
        <v>2040</v>
      </c>
      <c r="AL341" t="s">
        <v>303</v>
      </c>
      <c r="AM341">
        <v>0.50990000000000002</v>
      </c>
      <c r="AN341" t="s">
        <v>195</v>
      </c>
    </row>
    <row r="342" spans="9:40" ht="14.25">
      <c r="I342" t="s">
        <v>165</v>
      </c>
      <c r="J342" t="s">
        <v>382</v>
      </c>
      <c r="K342">
        <v>0.0018765227117616241</v>
      </c>
      <c r="L342" t="s">
        <v>153</v>
      </c>
      <c r="N342" t="s">
        <v>175</v>
      </c>
      <c r="O342" t="s">
        <v>382</v>
      </c>
      <c r="P342">
        <v>0.00096090534406435997</v>
      </c>
      <c r="Q342" t="s">
        <v>153</v>
      </c>
      <c r="S342" t="s">
        <v>185</v>
      </c>
      <c r="T342" t="s">
        <v>382</v>
      </c>
      <c r="U342">
        <v>0.0014514971088298535</v>
      </c>
      <c r="V342" t="s">
        <v>153</v>
      </c>
      <c r="AC342" t="s">
        <v>19</v>
      </c>
      <c r="AD342" t="s">
        <v>382</v>
      </c>
      <c r="AE342">
        <v>0.0011447308969538134</v>
      </c>
      <c r="AK342">
        <v>2040</v>
      </c>
      <c r="AL342" t="s">
        <v>304</v>
      </c>
      <c r="AM342">
        <v>0.49149999999999999</v>
      </c>
      <c r="AN342" t="s">
        <v>195</v>
      </c>
    </row>
    <row r="343" spans="9:40" ht="14.25">
      <c r="I343" t="s">
        <v>165</v>
      </c>
      <c r="J343" t="s">
        <v>383</v>
      </c>
      <c r="K343">
        <v>0.018680577270987233</v>
      </c>
      <c r="L343" t="s">
        <v>153</v>
      </c>
      <c r="N343" t="s">
        <v>175</v>
      </c>
      <c r="O343" t="s">
        <v>383</v>
      </c>
      <c r="P343">
        <v>0.0064512478217106936</v>
      </c>
      <c r="Q343" t="s">
        <v>153</v>
      </c>
      <c r="S343" t="s">
        <v>185</v>
      </c>
      <c r="T343" t="s">
        <v>383</v>
      </c>
      <c r="U343">
        <v>0.0095600892264826164</v>
      </c>
      <c r="V343" t="s">
        <v>153</v>
      </c>
      <c r="AC343" t="s">
        <v>19</v>
      </c>
      <c r="AD343" t="s">
        <v>383</v>
      </c>
      <c r="AE343">
        <v>0.0080256947196018225</v>
      </c>
      <c r="AK343">
        <v>2040</v>
      </c>
      <c r="AL343" t="s">
        <v>305</v>
      </c>
      <c r="AM343">
        <v>0.4249</v>
      </c>
      <c r="AN343" t="s">
        <v>195</v>
      </c>
    </row>
    <row r="344" spans="9:40" ht="14.25">
      <c r="I344" t="s">
        <v>165</v>
      </c>
      <c r="J344" t="s">
        <v>384</v>
      </c>
      <c r="K344">
        <v>0.0021314896816985256</v>
      </c>
      <c r="L344" t="s">
        <v>153</v>
      </c>
      <c r="N344" t="s">
        <v>175</v>
      </c>
      <c r="O344" t="s">
        <v>384</v>
      </c>
      <c r="P344">
        <v>0.0010022019124541191</v>
      </c>
      <c r="Q344" t="s">
        <v>153</v>
      </c>
      <c r="S344" t="s">
        <v>185</v>
      </c>
      <c r="T344" t="s">
        <v>384</v>
      </c>
      <c r="U344">
        <v>0.0011618688941577163</v>
      </c>
      <c r="V344" t="s">
        <v>153</v>
      </c>
      <c r="AC344" t="s">
        <v>19</v>
      </c>
      <c r="AD344" t="s">
        <v>384</v>
      </c>
      <c r="AE344">
        <v>0.0011476204275409259</v>
      </c>
      <c r="AK344">
        <v>2040</v>
      </c>
      <c r="AL344" t="s">
        <v>306</v>
      </c>
      <c r="AM344">
        <v>0.40894999999999998</v>
      </c>
      <c r="AN344" t="s">
        <v>195</v>
      </c>
    </row>
    <row r="345" spans="9:40" ht="14.25">
      <c r="I345" t="s">
        <v>165</v>
      </c>
      <c r="J345" t="s">
        <v>385</v>
      </c>
      <c r="K345">
        <v>0.0011975889666442936</v>
      </c>
      <c r="L345" t="s">
        <v>153</v>
      </c>
      <c r="N345" t="s">
        <v>175</v>
      </c>
      <c r="O345" t="s">
        <v>385</v>
      </c>
      <c r="P345">
        <v>0.00092309758845100776</v>
      </c>
      <c r="Q345" t="s">
        <v>153</v>
      </c>
      <c r="S345" t="s">
        <v>185</v>
      </c>
      <c r="T345" t="s">
        <v>385</v>
      </c>
      <c r="U345">
        <v>0.0011162310584228827</v>
      </c>
      <c r="V345" t="s">
        <v>153</v>
      </c>
      <c r="AC345" t="s">
        <v>19</v>
      </c>
      <c r="AD345" t="s">
        <v>385</v>
      </c>
      <c r="AE345">
        <v>0.0011497448402584824</v>
      </c>
      <c r="AK345">
        <v>2040</v>
      </c>
      <c r="AL345" t="s">
        <v>307</v>
      </c>
      <c r="AM345">
        <v>0.40689999999999998</v>
      </c>
      <c r="AN345" t="s">
        <v>195</v>
      </c>
    </row>
    <row r="346" spans="9:40" ht="14.25">
      <c r="I346" t="s">
        <v>165</v>
      </c>
      <c r="J346" t="s">
        <v>386</v>
      </c>
      <c r="K346">
        <v>0</v>
      </c>
      <c r="L346" t="s">
        <v>153</v>
      </c>
      <c r="N346" t="s">
        <v>175</v>
      </c>
      <c r="O346" t="s">
        <v>386</v>
      </c>
      <c r="P346">
        <v>0.0054140521956906953</v>
      </c>
      <c r="Q346" t="s">
        <v>153</v>
      </c>
      <c r="S346" t="s">
        <v>185</v>
      </c>
      <c r="T346" t="s">
        <v>386</v>
      </c>
      <c r="U346">
        <v>0.006727735769233076</v>
      </c>
      <c r="V346" t="s">
        <v>153</v>
      </c>
      <c r="AC346" t="s">
        <v>19</v>
      </c>
      <c r="AD346" t="s">
        <v>386</v>
      </c>
      <c r="AE346">
        <v>0.0068693345152825835</v>
      </c>
      <c r="AK346">
        <v>2040</v>
      </c>
      <c r="AL346" t="s">
        <v>308</v>
      </c>
      <c r="AM346">
        <v>0.40689999999999998</v>
      </c>
      <c r="AN346" t="s">
        <v>195</v>
      </c>
    </row>
    <row r="347" spans="9:40" ht="14.25">
      <c r="I347" t="s">
        <v>166</v>
      </c>
      <c r="J347" t="s">
        <v>152</v>
      </c>
      <c r="K347">
        <v>0</v>
      </c>
      <c r="L347" t="s">
        <v>153</v>
      </c>
      <c r="N347" t="s">
        <v>176</v>
      </c>
      <c r="O347" t="s">
        <v>152</v>
      </c>
      <c r="P347">
        <v>0.009551842944445223</v>
      </c>
      <c r="Q347" t="s">
        <v>153</v>
      </c>
      <c r="AK347">
        <v>2041</v>
      </c>
      <c r="AL347" t="s">
        <v>141</v>
      </c>
      <c r="AM347">
        <v>0.35699999999999998</v>
      </c>
      <c r="AN347" t="s">
        <v>195</v>
      </c>
    </row>
    <row r="348" spans="9:40" ht="14.25">
      <c r="I348" t="s">
        <v>166</v>
      </c>
      <c r="J348" t="s">
        <v>154</v>
      </c>
      <c r="K348">
        <v>0</v>
      </c>
      <c r="L348" t="s">
        <v>153</v>
      </c>
      <c r="N348" t="s">
        <v>176</v>
      </c>
      <c r="O348" t="s">
        <v>154</v>
      </c>
      <c r="P348">
        <v>0.0016930682570300054</v>
      </c>
      <c r="Q348" t="s">
        <v>153</v>
      </c>
      <c r="AK348">
        <v>2041</v>
      </c>
      <c r="AL348" t="s">
        <v>145</v>
      </c>
      <c r="AM348">
        <v>0.35699999999999998</v>
      </c>
      <c r="AN348" t="s">
        <v>195</v>
      </c>
    </row>
    <row r="349" spans="9:40" ht="14.25">
      <c r="I349" t="s">
        <v>166</v>
      </c>
      <c r="J349" t="s">
        <v>155</v>
      </c>
      <c r="K349">
        <v>0.0010865824353029478</v>
      </c>
      <c r="L349" t="s">
        <v>153</v>
      </c>
      <c r="N349" t="s">
        <v>176</v>
      </c>
      <c r="O349" t="s">
        <v>155</v>
      </c>
      <c r="P349">
        <v>0.0016914758442456836</v>
      </c>
      <c r="Q349" t="s">
        <v>153</v>
      </c>
      <c r="AK349">
        <v>2041</v>
      </c>
      <c r="AL349" t="s">
        <v>147</v>
      </c>
      <c r="AM349">
        <v>0.35865000000000002</v>
      </c>
      <c r="AN349" t="s">
        <v>195</v>
      </c>
    </row>
    <row r="350" spans="9:40" ht="14.25">
      <c r="I350" t="s">
        <v>166</v>
      </c>
      <c r="J350" t="s">
        <v>200</v>
      </c>
      <c r="K350">
        <v>0.0020194416053913034</v>
      </c>
      <c r="L350" t="s">
        <v>153</v>
      </c>
      <c r="N350" t="s">
        <v>176</v>
      </c>
      <c r="O350" t="s">
        <v>200</v>
      </c>
      <c r="P350">
        <v>0.0014631360693510981</v>
      </c>
      <c r="Q350" t="s">
        <v>153</v>
      </c>
      <c r="AK350">
        <v>2041</v>
      </c>
      <c r="AL350" t="s">
        <v>149</v>
      </c>
      <c r="AM350">
        <v>0.36030000000000001</v>
      </c>
      <c r="AN350" t="s">
        <v>195</v>
      </c>
    </row>
    <row r="351" spans="9:40" ht="14.25">
      <c r="I351" t="s">
        <v>166</v>
      </c>
      <c r="J351" t="s">
        <v>201</v>
      </c>
      <c r="K351">
        <v>0.018685289024318694</v>
      </c>
      <c r="L351" t="s">
        <v>153</v>
      </c>
      <c r="N351" t="s">
        <v>176</v>
      </c>
      <c r="O351" t="s">
        <v>201</v>
      </c>
      <c r="P351">
        <v>0.0076273620652616003</v>
      </c>
      <c r="Q351" t="s">
        <v>153</v>
      </c>
      <c r="AK351">
        <v>2041</v>
      </c>
      <c r="AL351" t="s">
        <v>198</v>
      </c>
      <c r="AM351">
        <v>0.38819999999999999</v>
      </c>
      <c r="AN351" t="s">
        <v>195</v>
      </c>
    </row>
    <row r="352" spans="9:40" ht="14.25">
      <c r="I352" t="s">
        <v>166</v>
      </c>
      <c r="J352" t="s">
        <v>218</v>
      </c>
      <c r="K352">
        <v>0.0020936251480056806</v>
      </c>
      <c r="L352" t="s">
        <v>153</v>
      </c>
      <c r="N352" t="s">
        <v>176</v>
      </c>
      <c r="O352" t="s">
        <v>218</v>
      </c>
      <c r="P352">
        <v>0.00084169208308332668</v>
      </c>
      <c r="Q352" t="s">
        <v>153</v>
      </c>
      <c r="AK352">
        <v>2041</v>
      </c>
      <c r="AL352" t="s">
        <v>216</v>
      </c>
      <c r="AM352">
        <v>0.41610000000000003</v>
      </c>
      <c r="AN352" t="s">
        <v>195</v>
      </c>
    </row>
    <row r="353" spans="9:40" ht="14.25">
      <c r="I353" t="s">
        <v>166</v>
      </c>
      <c r="J353" t="s">
        <v>309</v>
      </c>
      <c r="K353">
        <v>0.0011299248168537485</v>
      </c>
      <c r="L353" t="s">
        <v>153</v>
      </c>
      <c r="N353" t="s">
        <v>176</v>
      </c>
      <c r="O353" t="s">
        <v>309</v>
      </c>
      <c r="P353">
        <v>0.00081974516501635451</v>
      </c>
      <c r="Q353" t="s">
        <v>153</v>
      </c>
      <c r="AK353">
        <v>2041</v>
      </c>
      <c r="AL353" t="s">
        <v>232</v>
      </c>
      <c r="AM353">
        <v>0.41610000000000003</v>
      </c>
      <c r="AN353" t="s">
        <v>195</v>
      </c>
    </row>
    <row r="354" spans="9:40" ht="14.25">
      <c r="I354" t="s">
        <v>166</v>
      </c>
      <c r="J354" t="s">
        <v>310</v>
      </c>
      <c r="K354">
        <v>0</v>
      </c>
      <c r="L354" t="s">
        <v>153</v>
      </c>
      <c r="N354" t="s">
        <v>176</v>
      </c>
      <c r="O354" t="s">
        <v>310</v>
      </c>
      <c r="P354">
        <v>0.0079315694735282421</v>
      </c>
      <c r="Q354" t="s">
        <v>153</v>
      </c>
      <c r="AK354">
        <v>2041</v>
      </c>
      <c r="AL354" t="s">
        <v>233</v>
      </c>
      <c r="AM354">
        <v>0.41610000000000003</v>
      </c>
      <c r="AN354" t="s">
        <v>195</v>
      </c>
    </row>
    <row r="355" spans="9:40" ht="14.25">
      <c r="I355" t="s">
        <v>166</v>
      </c>
      <c r="J355" t="s">
        <v>156</v>
      </c>
      <c r="K355">
        <v>0</v>
      </c>
      <c r="L355" t="s">
        <v>153</v>
      </c>
      <c r="N355" t="s">
        <v>176</v>
      </c>
      <c r="O355" t="s">
        <v>156</v>
      </c>
      <c r="P355">
        <v>0.011220801623795051</v>
      </c>
      <c r="Q355" t="s">
        <v>153</v>
      </c>
      <c r="AK355">
        <v>2041</v>
      </c>
      <c r="AL355" t="s">
        <v>234</v>
      </c>
      <c r="AM355">
        <v>0.42985000000000001</v>
      </c>
      <c r="AN355" t="s">
        <v>195</v>
      </c>
    </row>
    <row r="356" spans="9:40" ht="14.25">
      <c r="I356" t="s">
        <v>166</v>
      </c>
      <c r="J356" t="s">
        <v>157</v>
      </c>
      <c r="K356">
        <v>0</v>
      </c>
      <c r="L356" t="s">
        <v>153</v>
      </c>
      <c r="N356" t="s">
        <v>176</v>
      </c>
      <c r="O356" t="s">
        <v>157</v>
      </c>
      <c r="P356">
        <v>0.0019533230365122219</v>
      </c>
      <c r="Q356" t="s">
        <v>153</v>
      </c>
      <c r="AK356">
        <v>2041</v>
      </c>
      <c r="AL356" t="s">
        <v>256</v>
      </c>
      <c r="AM356">
        <v>0.44359999999999999</v>
      </c>
      <c r="AN356" t="s">
        <v>195</v>
      </c>
    </row>
    <row r="357" spans="9:40" ht="14.25">
      <c r="I357" t="s">
        <v>166</v>
      </c>
      <c r="J357" t="s">
        <v>158</v>
      </c>
      <c r="K357">
        <v>0.00060523686624460154</v>
      </c>
      <c r="L357" t="s">
        <v>153</v>
      </c>
      <c r="N357" t="s">
        <v>176</v>
      </c>
      <c r="O357" t="s">
        <v>158</v>
      </c>
      <c r="P357">
        <v>0.0019281442142196027</v>
      </c>
      <c r="Q357" t="s">
        <v>153</v>
      </c>
      <c r="AK357">
        <v>2041</v>
      </c>
      <c r="AL357" t="s">
        <v>257</v>
      </c>
      <c r="AM357">
        <v>0.48015000000000002</v>
      </c>
      <c r="AN357" t="s">
        <v>195</v>
      </c>
    </row>
    <row r="358" spans="9:40" ht="14.25">
      <c r="I358" t="s">
        <v>166</v>
      </c>
      <c r="J358" t="s">
        <v>202</v>
      </c>
      <c r="K358">
        <v>0.0011359804919991185</v>
      </c>
      <c r="L358" t="s">
        <v>153</v>
      </c>
      <c r="N358" t="s">
        <v>176</v>
      </c>
      <c r="O358" t="s">
        <v>202</v>
      </c>
      <c r="P358">
        <v>0.0016894528893392441</v>
      </c>
      <c r="Q358" t="s">
        <v>153</v>
      </c>
      <c r="AK358">
        <v>2041</v>
      </c>
      <c r="AL358" t="s">
        <v>258</v>
      </c>
      <c r="AM358">
        <v>0.51670000000000005</v>
      </c>
      <c r="AN358" t="s">
        <v>195</v>
      </c>
    </row>
    <row r="359" spans="9:40" ht="14.25">
      <c r="I359" t="s">
        <v>166</v>
      </c>
      <c r="J359" t="s">
        <v>203</v>
      </c>
      <c r="K359">
        <v>0.01049239811670101</v>
      </c>
      <c r="L359" t="s">
        <v>153</v>
      </c>
      <c r="N359" t="s">
        <v>176</v>
      </c>
      <c r="O359" t="s">
        <v>203</v>
      </c>
      <c r="P359">
        <v>0.014012443806331064</v>
      </c>
      <c r="Q359" t="s">
        <v>153</v>
      </c>
      <c r="AK359">
        <v>2041</v>
      </c>
      <c r="AL359" t="s">
        <v>259</v>
      </c>
      <c r="AM359">
        <v>0.51670000000000005</v>
      </c>
      <c r="AN359" t="s">
        <v>195</v>
      </c>
    </row>
    <row r="360" spans="9:40" ht="14.25">
      <c r="I360" t="s">
        <v>166</v>
      </c>
      <c r="J360" t="s">
        <v>219</v>
      </c>
      <c r="K360">
        <v>0.0012169995316602131</v>
      </c>
      <c r="L360" t="s">
        <v>153</v>
      </c>
      <c r="N360" t="s">
        <v>176</v>
      </c>
      <c r="O360" t="s">
        <v>219</v>
      </c>
      <c r="P360">
        <v>0.0020025299253901203</v>
      </c>
      <c r="Q360" t="s">
        <v>153</v>
      </c>
      <c r="AK360">
        <v>2041</v>
      </c>
      <c r="AL360" t="s">
        <v>260</v>
      </c>
      <c r="AM360">
        <v>0.51055000000000006</v>
      </c>
      <c r="AN360" t="s">
        <v>195</v>
      </c>
    </row>
    <row r="361" spans="9:40" ht="14.25">
      <c r="I361" t="s">
        <v>166</v>
      </c>
      <c r="J361" t="s">
        <v>311</v>
      </c>
      <c r="K361">
        <v>0.00070233666386238284</v>
      </c>
      <c r="L361" t="s">
        <v>153</v>
      </c>
      <c r="N361" t="s">
        <v>176</v>
      </c>
      <c r="O361" t="s">
        <v>311</v>
      </c>
      <c r="P361">
        <v>0.0019421155501035381</v>
      </c>
      <c r="Q361" t="s">
        <v>153</v>
      </c>
      <c r="AK361">
        <v>2041</v>
      </c>
      <c r="AL361" t="s">
        <v>261</v>
      </c>
      <c r="AM361">
        <v>0.50439999999999996</v>
      </c>
      <c r="AN361" t="s">
        <v>195</v>
      </c>
    </row>
    <row r="362" spans="9:40" ht="14.25">
      <c r="I362" t="s">
        <v>166</v>
      </c>
      <c r="J362" t="s">
        <v>312</v>
      </c>
      <c r="K362">
        <v>0</v>
      </c>
      <c r="L362" t="s">
        <v>153</v>
      </c>
      <c r="N362" t="s">
        <v>176</v>
      </c>
      <c r="O362" t="s">
        <v>312</v>
      </c>
      <c r="P362">
        <v>0.010347299060351371</v>
      </c>
      <c r="Q362" t="s">
        <v>153</v>
      </c>
      <c r="AK362">
        <v>2041</v>
      </c>
      <c r="AL362" t="s">
        <v>303</v>
      </c>
      <c r="AM362">
        <v>0.50439999999999996</v>
      </c>
      <c r="AN362" t="s">
        <v>195</v>
      </c>
    </row>
    <row r="363" spans="9:40" ht="14.25">
      <c r="I363" t="s">
        <v>166</v>
      </c>
      <c r="J363" t="s">
        <v>159</v>
      </c>
      <c r="K363">
        <v>0</v>
      </c>
      <c r="L363" t="s">
        <v>153</v>
      </c>
      <c r="N363" t="s">
        <v>176</v>
      </c>
      <c r="O363" t="s">
        <v>159</v>
      </c>
      <c r="P363">
        <v>0.0097177537390028199</v>
      </c>
      <c r="Q363" t="s">
        <v>153</v>
      </c>
      <c r="AK363">
        <v>2041</v>
      </c>
      <c r="AL363" t="s">
        <v>304</v>
      </c>
      <c r="AM363">
        <v>0.46103333333333335</v>
      </c>
      <c r="AN363" t="s">
        <v>195</v>
      </c>
    </row>
    <row r="364" spans="9:40" ht="14.25">
      <c r="I364" t="s">
        <v>166</v>
      </c>
      <c r="J364" t="s">
        <v>160</v>
      </c>
      <c r="K364">
        <v>0</v>
      </c>
      <c r="L364" t="s">
        <v>153</v>
      </c>
      <c r="N364" t="s">
        <v>176</v>
      </c>
      <c r="O364" t="s">
        <v>160</v>
      </c>
      <c r="P364">
        <v>0.0013322670649888739</v>
      </c>
      <c r="Q364" t="s">
        <v>153</v>
      </c>
      <c r="AK364">
        <v>2041</v>
      </c>
      <c r="AL364" t="s">
        <v>305</v>
      </c>
      <c r="AM364">
        <v>0.40179999999999999</v>
      </c>
      <c r="AN364" t="s">
        <v>195</v>
      </c>
    </row>
    <row r="365" spans="9:40" ht="14.25">
      <c r="I365" t="s">
        <v>166</v>
      </c>
      <c r="J365" t="s">
        <v>161</v>
      </c>
      <c r="K365">
        <v>0.0016464185974079378</v>
      </c>
      <c r="L365" t="s">
        <v>153</v>
      </c>
      <c r="N365" t="s">
        <v>176</v>
      </c>
      <c r="O365" t="s">
        <v>161</v>
      </c>
      <c r="P365">
        <v>0.0012210063173049937</v>
      </c>
      <c r="Q365" t="s">
        <v>153</v>
      </c>
      <c r="AK365">
        <v>2041</v>
      </c>
      <c r="AL365" t="s">
        <v>306</v>
      </c>
      <c r="AM365">
        <v>0.34904999999999997</v>
      </c>
      <c r="AN365" t="s">
        <v>195</v>
      </c>
    </row>
    <row r="366" spans="9:40" ht="14.25">
      <c r="I366" t="s">
        <v>166</v>
      </c>
      <c r="J366" t="s">
        <v>204</v>
      </c>
      <c r="K366">
        <v>0.0031621151812302839</v>
      </c>
      <c r="L366" t="s">
        <v>153</v>
      </c>
      <c r="N366" t="s">
        <v>176</v>
      </c>
      <c r="O366" t="s">
        <v>204</v>
      </c>
      <c r="P366">
        <v>0.00097140598157423493</v>
      </c>
      <c r="Q366" t="s">
        <v>153</v>
      </c>
      <c r="AK366">
        <v>2041</v>
      </c>
      <c r="AL366" t="s">
        <v>307</v>
      </c>
      <c r="AM366">
        <v>0.3412</v>
      </c>
      <c r="AN366" t="s">
        <v>195</v>
      </c>
    </row>
    <row r="367" spans="9:40" ht="14.25">
      <c r="I367" t="s">
        <v>166</v>
      </c>
      <c r="J367" t="s">
        <v>205</v>
      </c>
      <c r="K367">
        <v>0.033060719873003672</v>
      </c>
      <c r="L367" t="s">
        <v>153</v>
      </c>
      <c r="N367" t="s">
        <v>176</v>
      </c>
      <c r="O367" t="s">
        <v>205</v>
      </c>
      <c r="P367">
        <v>0.005858121213275007</v>
      </c>
      <c r="Q367" t="s">
        <v>153</v>
      </c>
      <c r="AK367">
        <v>2041</v>
      </c>
      <c r="AL367" t="s">
        <v>308</v>
      </c>
      <c r="AM367">
        <v>0.3412</v>
      </c>
      <c r="AN367" t="s">
        <v>195</v>
      </c>
    </row>
    <row r="368" spans="9:40" ht="14.25">
      <c r="I368" t="s">
        <v>166</v>
      </c>
      <c r="J368" t="s">
        <v>220</v>
      </c>
      <c r="K368">
        <v>0.0038468050182615685</v>
      </c>
      <c r="L368" t="s">
        <v>153</v>
      </c>
      <c r="N368" t="s">
        <v>176</v>
      </c>
      <c r="O368" t="s">
        <v>220</v>
      </c>
      <c r="P368">
        <v>0.00085828874093527431</v>
      </c>
      <c r="Q368" t="s">
        <v>153</v>
      </c>
      <c r="AK368">
        <v>2042</v>
      </c>
      <c r="AL368" t="s">
        <v>141</v>
      </c>
      <c r="AM368">
        <v>0.27339999999999998</v>
      </c>
      <c r="AN368" t="s">
        <v>195</v>
      </c>
    </row>
    <row r="369" spans="9:40" ht="14.25">
      <c r="I369" t="s">
        <v>166</v>
      </c>
      <c r="J369" t="s">
        <v>313</v>
      </c>
      <c r="K369">
        <v>0.0021710892193022475</v>
      </c>
      <c r="L369" t="s">
        <v>153</v>
      </c>
      <c r="N369" t="s">
        <v>176</v>
      </c>
      <c r="O369" t="s">
        <v>313</v>
      </c>
      <c r="P369">
        <v>0.00098520247350232255</v>
      </c>
      <c r="Q369" t="s">
        <v>153</v>
      </c>
      <c r="AK369">
        <v>2042</v>
      </c>
      <c r="AL369" t="s">
        <v>145</v>
      </c>
      <c r="AM369">
        <v>0.27339999999999998</v>
      </c>
      <c r="AN369" t="s">
        <v>195</v>
      </c>
    </row>
    <row r="370" spans="9:40" ht="14.25">
      <c r="I370" t="s">
        <v>166</v>
      </c>
      <c r="J370" t="s">
        <v>314</v>
      </c>
      <c r="K370">
        <v>0</v>
      </c>
      <c r="L370" t="s">
        <v>153</v>
      </c>
      <c r="N370" t="s">
        <v>176</v>
      </c>
      <c r="O370" t="s">
        <v>314</v>
      </c>
      <c r="P370">
        <v>0.010133132494210519</v>
      </c>
      <c r="Q370" t="s">
        <v>153</v>
      </c>
      <c r="AK370">
        <v>2042</v>
      </c>
      <c r="AL370" t="s">
        <v>147</v>
      </c>
      <c r="AM370">
        <v>0.2873</v>
      </c>
      <c r="AN370" t="s">
        <v>195</v>
      </c>
    </row>
    <row r="371" spans="9:40" ht="14.25">
      <c r="I371" t="s">
        <v>166</v>
      </c>
      <c r="J371" t="s">
        <v>162</v>
      </c>
      <c r="K371">
        <v>0</v>
      </c>
      <c r="L371" t="s">
        <v>153</v>
      </c>
      <c r="N371" t="s">
        <v>176</v>
      </c>
      <c r="O371" t="s">
        <v>162</v>
      </c>
      <c r="P371">
        <v>0.017562204551554463</v>
      </c>
      <c r="Q371" t="s">
        <v>153</v>
      </c>
      <c r="AK371">
        <v>2042</v>
      </c>
      <c r="AL371" t="s">
        <v>149</v>
      </c>
      <c r="AM371">
        <v>0.30120000000000002</v>
      </c>
      <c r="AN371" t="s">
        <v>195</v>
      </c>
    </row>
    <row r="372" spans="9:40" ht="14.25">
      <c r="I372" t="s">
        <v>166</v>
      </c>
      <c r="J372" t="s">
        <v>163</v>
      </c>
      <c r="K372">
        <v>0</v>
      </c>
      <c r="L372" t="s">
        <v>153</v>
      </c>
      <c r="N372" t="s">
        <v>176</v>
      </c>
      <c r="O372" t="s">
        <v>163</v>
      </c>
      <c r="P372">
        <v>0.0031118679652897079</v>
      </c>
      <c r="Q372" t="s">
        <v>153</v>
      </c>
      <c r="AK372">
        <v>2042</v>
      </c>
      <c r="AL372" t="s">
        <v>198</v>
      </c>
      <c r="AM372">
        <v>0.3306</v>
      </c>
      <c r="AN372" t="s">
        <v>195</v>
      </c>
    </row>
    <row r="373" spans="9:40" ht="14.25">
      <c r="I373" t="s">
        <v>166</v>
      </c>
      <c r="J373" t="s">
        <v>164</v>
      </c>
      <c r="K373">
        <v>0.0026921370922152904</v>
      </c>
      <c r="L373" t="s">
        <v>153</v>
      </c>
      <c r="N373" t="s">
        <v>176</v>
      </c>
      <c r="O373" t="s">
        <v>164</v>
      </c>
      <c r="P373">
        <v>0.0029922129942132605</v>
      </c>
      <c r="Q373" t="s">
        <v>153</v>
      </c>
      <c r="AK373">
        <v>2042</v>
      </c>
      <c r="AL373" t="s">
        <v>216</v>
      </c>
      <c r="AM373">
        <v>0.36</v>
      </c>
      <c r="AN373" t="s">
        <v>195</v>
      </c>
    </row>
    <row r="374" spans="9:40" ht="14.25">
      <c r="I374" t="s">
        <v>166</v>
      </c>
      <c r="J374" t="s">
        <v>206</v>
      </c>
      <c r="K374">
        <v>0.0050915842934748474</v>
      </c>
      <c r="L374" t="s">
        <v>153</v>
      </c>
      <c r="N374" t="s">
        <v>176</v>
      </c>
      <c r="O374" t="s">
        <v>206</v>
      </c>
      <c r="P374">
        <v>0.002355173511380359</v>
      </c>
      <c r="Q374" t="s">
        <v>153</v>
      </c>
      <c r="AK374">
        <v>2042</v>
      </c>
      <c r="AL374" t="s">
        <v>232</v>
      </c>
      <c r="AM374">
        <v>0.36</v>
      </c>
      <c r="AN374" t="s">
        <v>195</v>
      </c>
    </row>
    <row r="375" spans="9:40" ht="14.25">
      <c r="I375" t="s">
        <v>166</v>
      </c>
      <c r="J375" t="s">
        <v>207</v>
      </c>
      <c r="K375">
        <v>0.05090111296316846</v>
      </c>
      <c r="L375" t="s">
        <v>153</v>
      </c>
      <c r="N375" t="s">
        <v>176</v>
      </c>
      <c r="O375" t="s">
        <v>207</v>
      </c>
      <c r="P375">
        <v>0.01602221153556466</v>
      </c>
      <c r="Q375" t="s">
        <v>153</v>
      </c>
      <c r="AK375">
        <v>2042</v>
      </c>
      <c r="AL375" t="s">
        <v>233</v>
      </c>
      <c r="AM375">
        <v>0.36</v>
      </c>
      <c r="AN375" t="s">
        <v>195</v>
      </c>
    </row>
    <row r="376" spans="9:40" ht="14.25">
      <c r="I376" t="s">
        <v>166</v>
      </c>
      <c r="J376" t="s">
        <v>221</v>
      </c>
      <c r="K376">
        <v>0.0063628425776548472</v>
      </c>
      <c r="L376" t="s">
        <v>153</v>
      </c>
      <c r="N376" t="s">
        <v>176</v>
      </c>
      <c r="O376" t="s">
        <v>221</v>
      </c>
      <c r="P376">
        <v>0.0024332660359641539</v>
      </c>
      <c r="Q376" t="s">
        <v>153</v>
      </c>
      <c r="AK376">
        <v>2042</v>
      </c>
      <c r="AL376" t="s">
        <v>234</v>
      </c>
      <c r="AM376">
        <v>0.36924999999999997</v>
      </c>
      <c r="AN376" t="s">
        <v>195</v>
      </c>
    </row>
    <row r="377" spans="9:40" ht="14.25">
      <c r="I377" t="s">
        <v>166</v>
      </c>
      <c r="J377" t="s">
        <v>315</v>
      </c>
      <c r="K377">
        <v>0.004086545599409048</v>
      </c>
      <c r="L377" t="s">
        <v>153</v>
      </c>
      <c r="N377" t="s">
        <v>176</v>
      </c>
      <c r="O377" t="s">
        <v>315</v>
      </c>
      <c r="P377">
        <v>0.0024513140688430398</v>
      </c>
      <c r="Q377" t="s">
        <v>153</v>
      </c>
      <c r="AK377">
        <v>2042</v>
      </c>
      <c r="AL377" t="s">
        <v>256</v>
      </c>
      <c r="AM377">
        <v>0.3785</v>
      </c>
      <c r="AN377" t="s">
        <v>195</v>
      </c>
    </row>
    <row r="378" spans="9:40" ht="14.25">
      <c r="I378" t="s">
        <v>166</v>
      </c>
      <c r="J378" t="s">
        <v>316</v>
      </c>
      <c r="K378">
        <v>0</v>
      </c>
      <c r="L378" t="s">
        <v>153</v>
      </c>
      <c r="N378" t="s">
        <v>176</v>
      </c>
      <c r="O378" t="s">
        <v>316</v>
      </c>
      <c r="P378">
        <v>0.018999415052068355</v>
      </c>
      <c r="Q378" t="s">
        <v>153</v>
      </c>
      <c r="AK378">
        <v>2042</v>
      </c>
      <c r="AL378" t="s">
        <v>257</v>
      </c>
      <c r="AM378">
        <v>0.3962</v>
      </c>
      <c r="AN378" t="s">
        <v>195</v>
      </c>
    </row>
    <row r="379" spans="9:40" ht="14.25">
      <c r="I379" t="s">
        <v>166</v>
      </c>
      <c r="J379" t="s">
        <v>208</v>
      </c>
      <c r="K379">
        <v>0</v>
      </c>
      <c r="L379" t="s">
        <v>153</v>
      </c>
      <c r="N379" t="s">
        <v>176</v>
      </c>
      <c r="O379" t="s">
        <v>208</v>
      </c>
      <c r="P379">
        <v>0.0026947977758702288</v>
      </c>
      <c r="Q379" t="s">
        <v>153</v>
      </c>
      <c r="AK379">
        <v>2042</v>
      </c>
      <c r="AL379" t="s">
        <v>258</v>
      </c>
      <c r="AM379">
        <v>0.41389999999999999</v>
      </c>
      <c r="AN379" t="s">
        <v>195</v>
      </c>
    </row>
    <row r="380" spans="9:40" ht="14.25">
      <c r="I380" t="s">
        <v>166</v>
      </c>
      <c r="J380" t="s">
        <v>209</v>
      </c>
      <c r="K380">
        <v>0</v>
      </c>
      <c r="L380" t="s">
        <v>153</v>
      </c>
      <c r="N380" t="s">
        <v>176</v>
      </c>
      <c r="O380" t="s">
        <v>209</v>
      </c>
      <c r="P380">
        <v>0.00057121269872222491</v>
      </c>
      <c r="Q380" t="s">
        <v>153</v>
      </c>
      <c r="AK380">
        <v>2042</v>
      </c>
      <c r="AL380" t="s">
        <v>259</v>
      </c>
      <c r="AM380">
        <v>0.41389999999999999</v>
      </c>
      <c r="AN380" t="s">
        <v>195</v>
      </c>
    </row>
    <row r="381" spans="9:40" ht="14.25">
      <c r="I381" t="s">
        <v>166</v>
      </c>
      <c r="J381" t="s">
        <v>210</v>
      </c>
      <c r="K381">
        <v>0.00087966364084441707</v>
      </c>
      <c r="L381" t="s">
        <v>153</v>
      </c>
      <c r="N381" t="s">
        <v>176</v>
      </c>
      <c r="O381" t="s">
        <v>210</v>
      </c>
      <c r="P381">
        <v>0.00061389812797677402</v>
      </c>
      <c r="Q381" t="s">
        <v>153</v>
      </c>
      <c r="AK381">
        <v>2042</v>
      </c>
      <c r="AL381" t="s">
        <v>260</v>
      </c>
      <c r="AM381">
        <v>0.4194</v>
      </c>
      <c r="AN381" t="s">
        <v>195</v>
      </c>
    </row>
    <row r="382" spans="9:40" ht="14.25">
      <c r="I382" t="s">
        <v>166</v>
      </c>
      <c r="J382" t="s">
        <v>211</v>
      </c>
      <c r="K382">
        <v>0.0015671327802657196</v>
      </c>
      <c r="L382" t="s">
        <v>153</v>
      </c>
      <c r="N382" t="s">
        <v>176</v>
      </c>
      <c r="O382" t="s">
        <v>211</v>
      </c>
      <c r="P382">
        <v>0.00051646368110134871</v>
      </c>
      <c r="Q382" t="s">
        <v>153</v>
      </c>
      <c r="AK382">
        <v>2042</v>
      </c>
      <c r="AL382" t="s">
        <v>261</v>
      </c>
      <c r="AM382">
        <v>0.4249</v>
      </c>
      <c r="AN382" t="s">
        <v>195</v>
      </c>
    </row>
    <row r="383" spans="9:40" ht="14.25">
      <c r="I383" t="s">
        <v>166</v>
      </c>
      <c r="J383" t="s">
        <v>212</v>
      </c>
      <c r="K383">
        <v>0.014907586555580714</v>
      </c>
      <c r="L383" t="s">
        <v>153</v>
      </c>
      <c r="N383" t="s">
        <v>176</v>
      </c>
      <c r="O383" t="s">
        <v>212</v>
      </c>
      <c r="P383">
        <v>0.0013600369510011032</v>
      </c>
      <c r="Q383" t="s">
        <v>153</v>
      </c>
      <c r="AK383">
        <v>2042</v>
      </c>
      <c r="AL383" t="s">
        <v>303</v>
      </c>
      <c r="AM383">
        <v>0.4249</v>
      </c>
      <c r="AN383" t="s">
        <v>195</v>
      </c>
    </row>
    <row r="384" spans="9:40" ht="14.25">
      <c r="I384" t="s">
        <v>166</v>
      </c>
      <c r="J384" t="s">
        <v>222</v>
      </c>
      <c r="K384">
        <v>0.0017749868534477284</v>
      </c>
      <c r="L384" t="s">
        <v>153</v>
      </c>
      <c r="N384" t="s">
        <v>176</v>
      </c>
      <c r="O384" t="s">
        <v>222</v>
      </c>
      <c r="P384">
        <v>5.5689889420592421E-05</v>
      </c>
      <c r="Q384" t="s">
        <v>153</v>
      </c>
      <c r="AK384">
        <v>2042</v>
      </c>
      <c r="AL384" t="s">
        <v>304</v>
      </c>
      <c r="AM384">
        <v>0.38476666666666665</v>
      </c>
      <c r="AN384" t="s">
        <v>195</v>
      </c>
    </row>
    <row r="385" spans="9:40" ht="14.25">
      <c r="I385" t="s">
        <v>166</v>
      </c>
      <c r="J385" t="s">
        <v>317</v>
      </c>
      <c r="K385">
        <v>0.0011329621442660554</v>
      </c>
      <c r="L385" t="s">
        <v>153</v>
      </c>
      <c r="N385" t="s">
        <v>176</v>
      </c>
      <c r="O385" t="s">
        <v>317</v>
      </c>
      <c r="P385">
        <v>5.7728091883192136E-05</v>
      </c>
      <c r="Q385" t="s">
        <v>153</v>
      </c>
      <c r="AK385">
        <v>2042</v>
      </c>
      <c r="AL385" t="s">
        <v>305</v>
      </c>
      <c r="AM385">
        <v>0.31955</v>
      </c>
      <c r="AN385" t="s">
        <v>195</v>
      </c>
    </row>
    <row r="386" spans="9:40" ht="14.25">
      <c r="I386" t="s">
        <v>166</v>
      </c>
      <c r="J386" t="s">
        <v>318</v>
      </c>
      <c r="K386">
        <v>0</v>
      </c>
      <c r="L386" t="s">
        <v>153</v>
      </c>
      <c r="N386" t="s">
        <v>176</v>
      </c>
      <c r="O386" t="s">
        <v>318</v>
      </c>
      <c r="P386">
        <v>0.0015130079951783226</v>
      </c>
      <c r="Q386" t="s">
        <v>153</v>
      </c>
      <c r="AK386">
        <v>2042</v>
      </c>
      <c r="AL386" t="s">
        <v>306</v>
      </c>
      <c r="AM386">
        <v>0.31257499999999999</v>
      </c>
      <c r="AN386" t="s">
        <v>195</v>
      </c>
    </row>
    <row r="387" spans="9:40" ht="14.25">
      <c r="I387" t="s">
        <v>166</v>
      </c>
      <c r="J387" t="s">
        <v>223</v>
      </c>
      <c r="K387">
        <v>0</v>
      </c>
      <c r="L387" t="s">
        <v>153</v>
      </c>
      <c r="N387" t="s">
        <v>176</v>
      </c>
      <c r="O387" t="s">
        <v>223</v>
      </c>
      <c r="P387">
        <v>0.012614573717483459</v>
      </c>
      <c r="Q387" t="s">
        <v>153</v>
      </c>
      <c r="AK387">
        <v>2042</v>
      </c>
      <c r="AL387" t="s">
        <v>307</v>
      </c>
      <c r="AM387">
        <v>0.3019</v>
      </c>
      <c r="AN387" t="s">
        <v>195</v>
      </c>
    </row>
    <row r="388" spans="9:40" ht="14.25">
      <c r="I388" t="s">
        <v>166</v>
      </c>
      <c r="J388" t="s">
        <v>224</v>
      </c>
      <c r="K388">
        <v>0</v>
      </c>
      <c r="L388" t="s">
        <v>153</v>
      </c>
      <c r="N388" t="s">
        <v>176</v>
      </c>
      <c r="O388" t="s">
        <v>224</v>
      </c>
      <c r="P388">
        <v>0.0021151078467954183</v>
      </c>
      <c r="Q388" t="s">
        <v>153</v>
      </c>
      <c r="AK388">
        <v>2042</v>
      </c>
      <c r="AL388" t="s">
        <v>308</v>
      </c>
      <c r="AM388">
        <v>0.3019</v>
      </c>
      <c r="AN388" t="s">
        <v>195</v>
      </c>
    </row>
    <row r="389" spans="9:40" ht="14.25">
      <c r="I389" t="s">
        <v>166</v>
      </c>
      <c r="J389" t="s">
        <v>225</v>
      </c>
      <c r="K389">
        <v>0.0011998012878005537</v>
      </c>
      <c r="L389" t="s">
        <v>153</v>
      </c>
      <c r="N389" t="s">
        <v>176</v>
      </c>
      <c r="O389" t="s">
        <v>225</v>
      </c>
      <c r="P389">
        <v>0.0019603519847696729</v>
      </c>
      <c r="Q389" t="s">
        <v>153</v>
      </c>
      <c r="AK389">
        <v>2043</v>
      </c>
      <c r="AL389" t="s">
        <v>141</v>
      </c>
      <c r="AM389">
        <v>0.29010000000000002</v>
      </c>
      <c r="AN389" t="s">
        <v>195</v>
      </c>
    </row>
    <row r="390" spans="9:40" ht="14.25">
      <c r="I390" t="s">
        <v>166</v>
      </c>
      <c r="J390" t="s">
        <v>226</v>
      </c>
      <c r="K390">
        <v>0.0020045749434458239</v>
      </c>
      <c r="L390" t="s">
        <v>153</v>
      </c>
      <c r="N390" t="s">
        <v>176</v>
      </c>
      <c r="O390" t="s">
        <v>226</v>
      </c>
      <c r="P390">
        <v>0.0016165094710327947</v>
      </c>
      <c r="Q390" t="s">
        <v>153</v>
      </c>
      <c r="AK390">
        <v>2043</v>
      </c>
      <c r="AL390" t="s">
        <v>145</v>
      </c>
      <c r="AM390">
        <v>0.29010000000000002</v>
      </c>
      <c r="AN390" t="s">
        <v>195</v>
      </c>
    </row>
    <row r="391" spans="9:40" ht="14.25">
      <c r="I391" t="s">
        <v>166</v>
      </c>
      <c r="J391" t="s">
        <v>227</v>
      </c>
      <c r="K391">
        <v>0.017269800238836078</v>
      </c>
      <c r="L391" t="s">
        <v>153</v>
      </c>
      <c r="N391" t="s">
        <v>176</v>
      </c>
      <c r="O391" t="s">
        <v>227</v>
      </c>
      <c r="P391">
        <v>0.011390804652343845</v>
      </c>
      <c r="Q391" t="s">
        <v>153</v>
      </c>
      <c r="AK391">
        <v>2043</v>
      </c>
      <c r="AL391" t="s">
        <v>147</v>
      </c>
      <c r="AM391">
        <v>0.30680000000000002</v>
      </c>
      <c r="AN391" t="s">
        <v>195</v>
      </c>
    </row>
    <row r="392" spans="9:40" ht="14.25">
      <c r="I392" t="s">
        <v>166</v>
      </c>
      <c r="J392" t="s">
        <v>228</v>
      </c>
      <c r="K392">
        <v>0.0019850227649662105</v>
      </c>
      <c r="L392" t="s">
        <v>153</v>
      </c>
      <c r="N392" t="s">
        <v>176</v>
      </c>
      <c r="O392" t="s">
        <v>228</v>
      </c>
      <c r="P392">
        <v>0.0016571056301564811</v>
      </c>
      <c r="Q392" t="s">
        <v>153</v>
      </c>
      <c r="AK392">
        <v>2043</v>
      </c>
      <c r="AL392" t="s">
        <v>149</v>
      </c>
      <c r="AM392">
        <v>0.32350000000000001</v>
      </c>
      <c r="AN392" t="s">
        <v>195</v>
      </c>
    </row>
    <row r="393" spans="9:40" ht="14.25">
      <c r="I393" t="s">
        <v>166</v>
      </c>
      <c r="J393" t="s">
        <v>319</v>
      </c>
      <c r="K393">
        <v>0.0013271753442465201</v>
      </c>
      <c r="L393" t="s">
        <v>153</v>
      </c>
      <c r="N393" t="s">
        <v>176</v>
      </c>
      <c r="O393" t="s">
        <v>319</v>
      </c>
      <c r="P393">
        <v>0.001664384338087998</v>
      </c>
      <c r="Q393" t="s">
        <v>153</v>
      </c>
      <c r="AK393">
        <v>2043</v>
      </c>
      <c r="AL393" t="s">
        <v>198</v>
      </c>
      <c r="AM393">
        <v>0.32584999999999997</v>
      </c>
      <c r="AN393" t="s">
        <v>195</v>
      </c>
    </row>
    <row r="394" spans="9:40" ht="14.25">
      <c r="I394" t="s">
        <v>166</v>
      </c>
      <c r="J394" t="s">
        <v>320</v>
      </c>
      <c r="K394">
        <v>1.4838675179266191E-05</v>
      </c>
      <c r="L394" t="s">
        <v>153</v>
      </c>
      <c r="N394" t="s">
        <v>176</v>
      </c>
      <c r="O394" t="s">
        <v>320</v>
      </c>
      <c r="P394">
        <v>0.011513210712738465</v>
      </c>
      <c r="Q394" t="s">
        <v>153</v>
      </c>
      <c r="AK394">
        <v>2043</v>
      </c>
      <c r="AL394" t="s">
        <v>216</v>
      </c>
      <c r="AM394">
        <v>0.32819999999999999</v>
      </c>
      <c r="AN394" t="s">
        <v>195</v>
      </c>
    </row>
    <row r="395" spans="9:40" ht="14.25">
      <c r="I395" t="s">
        <v>166</v>
      </c>
      <c r="J395" t="s">
        <v>235</v>
      </c>
      <c r="K395">
        <v>0</v>
      </c>
      <c r="L395" t="s">
        <v>153</v>
      </c>
      <c r="N395" t="s">
        <v>176</v>
      </c>
      <c r="O395" t="s">
        <v>235</v>
      </c>
      <c r="P395">
        <v>0.0041007908603611703</v>
      </c>
      <c r="Q395" t="s">
        <v>153</v>
      </c>
      <c r="AK395">
        <v>2043</v>
      </c>
      <c r="AL395" t="s">
        <v>232</v>
      </c>
      <c r="AM395">
        <v>0.32819999999999999</v>
      </c>
      <c r="AN395" t="s">
        <v>195</v>
      </c>
    </row>
    <row r="396" spans="9:40" ht="14.25">
      <c r="I396" t="s">
        <v>166</v>
      </c>
      <c r="J396" t="s">
        <v>236</v>
      </c>
      <c r="K396">
        <v>0</v>
      </c>
      <c r="L396" t="s">
        <v>153</v>
      </c>
      <c r="N396" t="s">
        <v>176</v>
      </c>
      <c r="O396" t="s">
        <v>236</v>
      </c>
      <c r="P396">
        <v>0.00081534175924016317</v>
      </c>
      <c r="Q396" t="s">
        <v>153</v>
      </c>
      <c r="AK396">
        <v>2043</v>
      </c>
      <c r="AL396" t="s">
        <v>233</v>
      </c>
      <c r="AM396">
        <v>0.32819999999999999</v>
      </c>
      <c r="AN396" t="s">
        <v>195</v>
      </c>
    </row>
    <row r="397" spans="9:40" ht="14.25">
      <c r="I397" t="s">
        <v>166</v>
      </c>
      <c r="J397" t="s">
        <v>237</v>
      </c>
      <c r="K397">
        <v>0.00095737952799284601</v>
      </c>
      <c r="L397" t="s">
        <v>153</v>
      </c>
      <c r="N397" t="s">
        <v>176</v>
      </c>
      <c r="O397" t="s">
        <v>237</v>
      </c>
      <c r="P397">
        <v>0.00084219877783321771</v>
      </c>
      <c r="Q397" t="s">
        <v>153</v>
      </c>
      <c r="AK397">
        <v>2043</v>
      </c>
      <c r="AL397" t="s">
        <v>234</v>
      </c>
      <c r="AM397">
        <v>0.33529999999999999</v>
      </c>
      <c r="AN397" t="s">
        <v>195</v>
      </c>
    </row>
    <row r="398" spans="9:40" ht="14.25">
      <c r="I398" t="s">
        <v>166</v>
      </c>
      <c r="J398" t="s">
        <v>238</v>
      </c>
      <c r="K398">
        <v>0.0015571891512317338</v>
      </c>
      <c r="L398" t="s">
        <v>153</v>
      </c>
      <c r="N398" t="s">
        <v>176</v>
      </c>
      <c r="O398" t="s">
        <v>238</v>
      </c>
      <c r="P398">
        <v>0.00064619463550411656</v>
      </c>
      <c r="Q398" t="s">
        <v>153</v>
      </c>
      <c r="AK398">
        <v>2043</v>
      </c>
      <c r="AL398" t="s">
        <v>256</v>
      </c>
      <c r="AM398">
        <v>0.34239999999999998</v>
      </c>
      <c r="AN398" t="s">
        <v>195</v>
      </c>
    </row>
    <row r="399" spans="9:40" ht="14.25">
      <c r="I399" t="s">
        <v>166</v>
      </c>
      <c r="J399" t="s">
        <v>239</v>
      </c>
      <c r="K399">
        <v>0.01501253566579649</v>
      </c>
      <c r="L399" t="s">
        <v>153</v>
      </c>
      <c r="N399" t="s">
        <v>176</v>
      </c>
      <c r="O399" t="s">
        <v>239</v>
      </c>
      <c r="P399">
        <v>0.0041880443597069241</v>
      </c>
      <c r="Q399" t="s">
        <v>153</v>
      </c>
      <c r="AK399">
        <v>2043</v>
      </c>
      <c r="AL399" t="s">
        <v>257</v>
      </c>
      <c r="AM399">
        <v>0.38944999999999996</v>
      </c>
      <c r="AN399" t="s">
        <v>195</v>
      </c>
    </row>
    <row r="400" spans="9:40" ht="14.25">
      <c r="I400" t="s">
        <v>166</v>
      </c>
      <c r="J400" t="s">
        <v>240</v>
      </c>
      <c r="K400">
        <v>0.0018130200171459698</v>
      </c>
      <c r="L400" t="s">
        <v>153</v>
      </c>
      <c r="N400" t="s">
        <v>176</v>
      </c>
      <c r="O400" t="s">
        <v>240</v>
      </c>
      <c r="P400">
        <v>0.00049215671917562519</v>
      </c>
      <c r="Q400" t="s">
        <v>153</v>
      </c>
      <c r="AK400">
        <v>2043</v>
      </c>
      <c r="AL400" t="s">
        <v>258</v>
      </c>
      <c r="AM400">
        <v>0.4365</v>
      </c>
      <c r="AN400" t="s">
        <v>195</v>
      </c>
    </row>
    <row r="401" spans="9:40" ht="14.25">
      <c r="I401" t="s">
        <v>166</v>
      </c>
      <c r="J401" t="s">
        <v>321</v>
      </c>
      <c r="K401">
        <v>0.0012376414945911916</v>
      </c>
      <c r="L401" t="s">
        <v>153</v>
      </c>
      <c r="N401" t="s">
        <v>176</v>
      </c>
      <c r="O401" t="s">
        <v>321</v>
      </c>
      <c r="P401">
        <v>0.00040078155403548037</v>
      </c>
      <c r="Q401" t="s">
        <v>153</v>
      </c>
      <c r="AK401">
        <v>2043</v>
      </c>
      <c r="AL401" t="s">
        <v>259</v>
      </c>
      <c r="AM401">
        <v>0.4365</v>
      </c>
      <c r="AN401" t="s">
        <v>195</v>
      </c>
    </row>
    <row r="402" spans="9:40" ht="14.25">
      <c r="I402" t="s">
        <v>166</v>
      </c>
      <c r="J402" t="s">
        <v>322</v>
      </c>
      <c r="K402">
        <v>0.00015991306921201193</v>
      </c>
      <c r="L402" t="s">
        <v>153</v>
      </c>
      <c r="N402" t="s">
        <v>176</v>
      </c>
      <c r="O402" t="s">
        <v>322</v>
      </c>
      <c r="P402">
        <v>0.0035819406717939157</v>
      </c>
      <c r="Q402" t="s">
        <v>153</v>
      </c>
      <c r="AK402">
        <v>2043</v>
      </c>
      <c r="AL402" t="s">
        <v>260</v>
      </c>
      <c r="AM402">
        <v>0.40349999999999997</v>
      </c>
      <c r="AN402" t="s">
        <v>195</v>
      </c>
    </row>
    <row r="403" spans="9:40" ht="14.25">
      <c r="I403" t="s">
        <v>166</v>
      </c>
      <c r="J403" t="s">
        <v>241</v>
      </c>
      <c r="K403">
        <v>0</v>
      </c>
      <c r="L403" t="s">
        <v>153</v>
      </c>
      <c r="N403" t="s">
        <v>176</v>
      </c>
      <c r="O403" t="s">
        <v>241</v>
      </c>
      <c r="P403">
        <v>0.0033261239344658865</v>
      </c>
      <c r="Q403" t="s">
        <v>153</v>
      </c>
      <c r="AK403">
        <v>2043</v>
      </c>
      <c r="AL403" t="s">
        <v>261</v>
      </c>
      <c r="AM403">
        <v>0.3705</v>
      </c>
      <c r="AN403" t="s">
        <v>195</v>
      </c>
    </row>
    <row r="404" spans="9:40" ht="14.25">
      <c r="I404" t="s">
        <v>166</v>
      </c>
      <c r="J404" t="s">
        <v>242</v>
      </c>
      <c r="K404">
        <v>1.7261924968309395E-07</v>
      </c>
      <c r="L404" t="s">
        <v>153</v>
      </c>
      <c r="N404" t="s">
        <v>176</v>
      </c>
      <c r="O404" t="s">
        <v>242</v>
      </c>
      <c r="P404">
        <v>0.00039937830909083131</v>
      </c>
      <c r="Q404" t="s">
        <v>153</v>
      </c>
      <c r="AK404">
        <v>2043</v>
      </c>
      <c r="AL404" t="s">
        <v>303</v>
      </c>
      <c r="AM404">
        <v>0.3705</v>
      </c>
      <c r="AN404" t="s">
        <v>195</v>
      </c>
    </row>
    <row r="405" spans="9:40" ht="14.25">
      <c r="I405" t="s">
        <v>166</v>
      </c>
      <c r="J405" t="s">
        <v>243</v>
      </c>
      <c r="K405">
        <v>0.00049261065240267137</v>
      </c>
      <c r="L405" t="s">
        <v>153</v>
      </c>
      <c r="N405" t="s">
        <v>176</v>
      </c>
      <c r="O405" t="s">
        <v>243</v>
      </c>
      <c r="P405">
        <v>0.00031595961618654156</v>
      </c>
      <c r="Q405" t="s">
        <v>153</v>
      </c>
      <c r="AK405">
        <v>2043</v>
      </c>
      <c r="AL405" t="s">
        <v>304</v>
      </c>
      <c r="AM405">
        <v>0.37946666666666667</v>
      </c>
      <c r="AN405" t="s">
        <v>195</v>
      </c>
    </row>
    <row r="406" spans="9:40" ht="14.25">
      <c r="I406" t="s">
        <v>166</v>
      </c>
      <c r="J406" t="s">
        <v>244</v>
      </c>
      <c r="K406">
        <v>0.00080431173686280357</v>
      </c>
      <c r="L406" t="s">
        <v>153</v>
      </c>
      <c r="N406" t="s">
        <v>176</v>
      </c>
      <c r="O406" t="s">
        <v>244</v>
      </c>
      <c r="P406">
        <v>0.00023953636507571477</v>
      </c>
      <c r="Q406" t="s">
        <v>153</v>
      </c>
      <c r="AK406">
        <v>2043</v>
      </c>
      <c r="AL406" t="s">
        <v>305</v>
      </c>
      <c r="AM406">
        <v>0.33145000000000002</v>
      </c>
      <c r="AN406" t="s">
        <v>195</v>
      </c>
    </row>
    <row r="407" spans="9:40" ht="14.25">
      <c r="I407" t="s">
        <v>166</v>
      </c>
      <c r="J407" t="s">
        <v>245</v>
      </c>
      <c r="K407">
        <v>0.0084807871424862971</v>
      </c>
      <c r="L407" t="s">
        <v>153</v>
      </c>
      <c r="N407" t="s">
        <v>176</v>
      </c>
      <c r="O407" t="s">
        <v>245</v>
      </c>
      <c r="P407">
        <v>0.0028796108847325892</v>
      </c>
      <c r="Q407" t="s">
        <v>153</v>
      </c>
      <c r="AK407">
        <v>2043</v>
      </c>
      <c r="AL407" t="s">
        <v>306</v>
      </c>
      <c r="AM407">
        <v>0.299425</v>
      </c>
      <c r="AN407" t="s">
        <v>195</v>
      </c>
    </row>
    <row r="408" spans="9:40" ht="14.25">
      <c r="I408" t="s">
        <v>166</v>
      </c>
      <c r="J408" t="s">
        <v>246</v>
      </c>
      <c r="K408">
        <v>0.0010077365213449368</v>
      </c>
      <c r="L408" t="s">
        <v>153</v>
      </c>
      <c r="N408" t="s">
        <v>176</v>
      </c>
      <c r="O408" t="s">
        <v>246</v>
      </c>
      <c r="P408">
        <v>0.00056668614421545409</v>
      </c>
      <c r="Q408" t="s">
        <v>153</v>
      </c>
      <c r="AK408">
        <v>2043</v>
      </c>
      <c r="AL408" t="s">
        <v>307</v>
      </c>
      <c r="AM408">
        <v>0.30049999999999999</v>
      </c>
      <c r="AN408" t="s">
        <v>195</v>
      </c>
    </row>
    <row r="409" spans="9:40" ht="14.25">
      <c r="I409" t="s">
        <v>166</v>
      </c>
      <c r="J409" t="s">
        <v>323</v>
      </c>
      <c r="K409">
        <v>0.00070383037494433981</v>
      </c>
      <c r="L409" t="s">
        <v>153</v>
      </c>
      <c r="N409" t="s">
        <v>176</v>
      </c>
      <c r="O409" t="s">
        <v>323</v>
      </c>
      <c r="P409">
        <v>0.00050424086155228349</v>
      </c>
      <c r="Q409" t="s">
        <v>153</v>
      </c>
      <c r="AK409">
        <v>2043</v>
      </c>
      <c r="AL409" t="s">
        <v>308</v>
      </c>
      <c r="AM409">
        <v>0.30049999999999999</v>
      </c>
      <c r="AN409" t="s">
        <v>195</v>
      </c>
    </row>
    <row r="410" spans="9:40" ht="14.25">
      <c r="I410" t="s">
        <v>166</v>
      </c>
      <c r="J410" t="s">
        <v>324</v>
      </c>
      <c r="K410">
        <v>0.00020740068944006255</v>
      </c>
      <c r="L410" t="s">
        <v>153</v>
      </c>
      <c r="N410" t="s">
        <v>176</v>
      </c>
      <c r="O410" t="s">
        <v>324</v>
      </c>
      <c r="P410">
        <v>0.0029687888610537391</v>
      </c>
      <c r="Q410" t="s">
        <v>153</v>
      </c>
      <c r="AK410">
        <v>2044</v>
      </c>
      <c r="AL410" t="s">
        <v>141</v>
      </c>
      <c r="AM410">
        <v>0.33079999999999998</v>
      </c>
      <c r="AN410" t="s">
        <v>195</v>
      </c>
    </row>
    <row r="411" spans="9:40" ht="14.25">
      <c r="I411" t="s">
        <v>166</v>
      </c>
      <c r="J411" t="s">
        <v>247</v>
      </c>
      <c r="K411">
        <v>0</v>
      </c>
      <c r="L411" t="s">
        <v>153</v>
      </c>
      <c r="N411" t="s">
        <v>176</v>
      </c>
      <c r="O411" t="s">
        <v>247</v>
      </c>
      <c r="P411">
        <v>0.0096103992576291077</v>
      </c>
      <c r="Q411" t="s">
        <v>153</v>
      </c>
      <c r="AK411">
        <v>2044</v>
      </c>
      <c r="AL411" t="s">
        <v>145</v>
      </c>
      <c r="AM411">
        <v>0.33079999999999998</v>
      </c>
      <c r="AN411" t="s">
        <v>195</v>
      </c>
    </row>
    <row r="412" spans="9:40" ht="14.25">
      <c r="I412" t="s">
        <v>166</v>
      </c>
      <c r="J412" t="s">
        <v>248</v>
      </c>
      <c r="K412">
        <v>0.00089223341775923582</v>
      </c>
      <c r="L412" t="s">
        <v>153</v>
      </c>
      <c r="N412" t="s">
        <v>176</v>
      </c>
      <c r="O412" t="s">
        <v>248</v>
      </c>
      <c r="P412">
        <v>0.0018297129679680074</v>
      </c>
      <c r="Q412" t="s">
        <v>153</v>
      </c>
      <c r="AK412">
        <v>2044</v>
      </c>
      <c r="AL412" t="s">
        <v>147</v>
      </c>
      <c r="AM412">
        <v>0.32669999999999999</v>
      </c>
      <c r="AN412" t="s">
        <v>195</v>
      </c>
    </row>
    <row r="413" spans="9:40" ht="14.25">
      <c r="I413" t="s">
        <v>166</v>
      </c>
      <c r="J413" t="s">
        <v>249</v>
      </c>
      <c r="K413">
        <v>0.0022929684854982595</v>
      </c>
      <c r="L413" t="s">
        <v>153</v>
      </c>
      <c r="N413" t="s">
        <v>176</v>
      </c>
      <c r="O413" t="s">
        <v>249</v>
      </c>
      <c r="P413">
        <v>0.0016979604602252801</v>
      </c>
      <c r="Q413" t="s">
        <v>153</v>
      </c>
      <c r="AK413">
        <v>2044</v>
      </c>
      <c r="AL413" t="s">
        <v>149</v>
      </c>
      <c r="AM413">
        <v>0.3226</v>
      </c>
      <c r="AN413" t="s">
        <v>195</v>
      </c>
    </row>
    <row r="414" spans="9:40" ht="14.25">
      <c r="I414" t="s">
        <v>166</v>
      </c>
      <c r="J414" t="s">
        <v>250</v>
      </c>
      <c r="K414">
        <v>0.0032283715054429573</v>
      </c>
      <c r="L414" t="s">
        <v>153</v>
      </c>
      <c r="N414" t="s">
        <v>176</v>
      </c>
      <c r="O414" t="s">
        <v>250</v>
      </c>
      <c r="P414">
        <v>0.0013208494134006388</v>
      </c>
      <c r="Q414" t="s">
        <v>153</v>
      </c>
      <c r="AK414">
        <v>2044</v>
      </c>
      <c r="AL414" t="s">
        <v>198</v>
      </c>
      <c r="AM414">
        <v>0.37060000000000004</v>
      </c>
      <c r="AN414" t="s">
        <v>195</v>
      </c>
    </row>
    <row r="415" spans="9:40" ht="14.25">
      <c r="I415" t="s">
        <v>166</v>
      </c>
      <c r="J415" t="s">
        <v>251</v>
      </c>
      <c r="K415">
        <v>0.026095571045174733</v>
      </c>
      <c r="L415" t="s">
        <v>153</v>
      </c>
      <c r="N415" t="s">
        <v>176</v>
      </c>
      <c r="O415" t="s">
        <v>251</v>
      </c>
      <c r="P415">
        <v>0.011752617325906992</v>
      </c>
      <c r="Q415" t="s">
        <v>153</v>
      </c>
      <c r="AK415">
        <v>2044</v>
      </c>
      <c r="AL415" t="s">
        <v>216</v>
      </c>
      <c r="AM415">
        <v>0.41860000000000003</v>
      </c>
      <c r="AN415" t="s">
        <v>195</v>
      </c>
    </row>
    <row r="416" spans="9:40" ht="14.25">
      <c r="I416" t="s">
        <v>166</v>
      </c>
      <c r="J416" t="s">
        <v>252</v>
      </c>
      <c r="K416">
        <v>0.0030015753537204755</v>
      </c>
      <c r="L416" t="s">
        <v>153</v>
      </c>
      <c r="N416" t="s">
        <v>176</v>
      </c>
      <c r="O416" t="s">
        <v>252</v>
      </c>
      <c r="P416">
        <v>0.0022325189763995738</v>
      </c>
      <c r="Q416" t="s">
        <v>153</v>
      </c>
      <c r="AK416">
        <v>2044</v>
      </c>
      <c r="AL416" t="s">
        <v>232</v>
      </c>
      <c r="AM416">
        <v>0.41860000000000003</v>
      </c>
      <c r="AN416" t="s">
        <v>195</v>
      </c>
    </row>
    <row r="417" spans="9:40" ht="14.25">
      <c r="I417" t="s">
        <v>166</v>
      </c>
      <c r="J417" t="s">
        <v>325</v>
      </c>
      <c r="K417">
        <v>0.0020638751360506158</v>
      </c>
      <c r="L417" t="s">
        <v>153</v>
      </c>
      <c r="N417" t="s">
        <v>176</v>
      </c>
      <c r="O417" t="s">
        <v>325</v>
      </c>
      <c r="P417">
        <v>0.0022915451020110015</v>
      </c>
      <c r="Q417" t="s">
        <v>153</v>
      </c>
      <c r="AK417">
        <v>2044</v>
      </c>
      <c r="AL417" t="s">
        <v>233</v>
      </c>
      <c r="AM417">
        <v>0.41860000000000003</v>
      </c>
      <c r="AN417" t="s">
        <v>195</v>
      </c>
    </row>
    <row r="418" spans="9:40" ht="14.25">
      <c r="I418" t="s">
        <v>166</v>
      </c>
      <c r="J418" t="s">
        <v>326</v>
      </c>
      <c r="K418">
        <v>0.00093410815134448611</v>
      </c>
      <c r="L418" t="s">
        <v>153</v>
      </c>
      <c r="N418" t="s">
        <v>176</v>
      </c>
      <c r="O418" t="s">
        <v>326</v>
      </c>
      <c r="P418">
        <v>0.012781828642437015</v>
      </c>
      <c r="Q418" t="s">
        <v>153</v>
      </c>
      <c r="AK418">
        <v>2044</v>
      </c>
      <c r="AL418" t="s">
        <v>234</v>
      </c>
      <c r="AM418">
        <v>0.44110000000000005</v>
      </c>
      <c r="AN418" t="s">
        <v>195</v>
      </c>
    </row>
    <row r="419" spans="9:40" ht="14.25">
      <c r="I419" t="s">
        <v>166</v>
      </c>
      <c r="J419" t="s">
        <v>262</v>
      </c>
      <c r="K419">
        <v>0</v>
      </c>
      <c r="L419" t="s">
        <v>153</v>
      </c>
      <c r="N419" t="s">
        <v>176</v>
      </c>
      <c r="O419" t="s">
        <v>262</v>
      </c>
      <c r="P419">
        <v>0.016072866176397325</v>
      </c>
      <c r="Q419" t="s">
        <v>153</v>
      </c>
      <c r="AK419">
        <v>2044</v>
      </c>
      <c r="AL419" t="s">
        <v>256</v>
      </c>
      <c r="AM419">
        <v>0.46360000000000001</v>
      </c>
      <c r="AN419" t="s">
        <v>195</v>
      </c>
    </row>
    <row r="420" spans="9:40" ht="14.25">
      <c r="I420" t="s">
        <v>166</v>
      </c>
      <c r="J420" t="s">
        <v>263</v>
      </c>
      <c r="K420">
        <v>0.001598081246081043</v>
      </c>
      <c r="L420" t="s">
        <v>153</v>
      </c>
      <c r="N420" t="s">
        <v>176</v>
      </c>
      <c r="O420" t="s">
        <v>263</v>
      </c>
      <c r="P420">
        <v>0.0022254583678533706</v>
      </c>
      <c r="Q420" t="s">
        <v>153</v>
      </c>
      <c r="AK420">
        <v>2044</v>
      </c>
      <c r="AL420" t="s">
        <v>257</v>
      </c>
      <c r="AM420">
        <v>0.47985</v>
      </c>
      <c r="AN420" t="s">
        <v>195</v>
      </c>
    </row>
    <row r="421" spans="9:40" ht="14.25">
      <c r="I421" t="s">
        <v>166</v>
      </c>
      <c r="J421" t="s">
        <v>264</v>
      </c>
      <c r="K421">
        <v>0.0034120139183604764</v>
      </c>
      <c r="L421" t="s">
        <v>153</v>
      </c>
      <c r="N421" t="s">
        <v>176</v>
      </c>
      <c r="O421" t="s">
        <v>264</v>
      </c>
      <c r="P421">
        <v>0.0020586103827388465</v>
      </c>
      <c r="Q421" t="s">
        <v>153</v>
      </c>
      <c r="AK421">
        <v>2044</v>
      </c>
      <c r="AL421" t="s">
        <v>258</v>
      </c>
      <c r="AM421">
        <v>0.49609999999999999</v>
      </c>
      <c r="AN421" t="s">
        <v>195</v>
      </c>
    </row>
    <row r="422" spans="9:40" ht="14.25">
      <c r="I422" t="s">
        <v>166</v>
      </c>
      <c r="J422" t="s">
        <v>265</v>
      </c>
      <c r="K422">
        <v>0.0047164920178756359</v>
      </c>
      <c r="L422" t="s">
        <v>153</v>
      </c>
      <c r="N422" t="s">
        <v>176</v>
      </c>
      <c r="O422" t="s">
        <v>265</v>
      </c>
      <c r="P422">
        <v>0.0015679539332772298</v>
      </c>
      <c r="Q422" t="s">
        <v>153</v>
      </c>
      <c r="AK422">
        <v>2044</v>
      </c>
      <c r="AL422" t="s">
        <v>259</v>
      </c>
      <c r="AM422">
        <v>0.49609999999999999</v>
      </c>
      <c r="AN422" t="s">
        <v>195</v>
      </c>
    </row>
    <row r="423" spans="9:40" ht="14.25">
      <c r="I423" t="s">
        <v>166</v>
      </c>
      <c r="J423" t="s">
        <v>266</v>
      </c>
      <c r="K423">
        <v>0.038860938159184892</v>
      </c>
      <c r="L423" t="s">
        <v>153</v>
      </c>
      <c r="N423" t="s">
        <v>176</v>
      </c>
      <c r="O423" t="s">
        <v>266</v>
      </c>
      <c r="P423">
        <v>0.0093472903311835297</v>
      </c>
      <c r="Q423" t="s">
        <v>153</v>
      </c>
      <c r="AK423">
        <v>2044</v>
      </c>
      <c r="AL423" t="s">
        <v>260</v>
      </c>
      <c r="AM423">
        <v>0.46870000000000001</v>
      </c>
      <c r="AN423" t="s">
        <v>195</v>
      </c>
    </row>
    <row r="424" spans="9:40" ht="14.25">
      <c r="I424" t="s">
        <v>166</v>
      </c>
      <c r="J424" t="s">
        <v>267</v>
      </c>
      <c r="K424">
        <v>0.0043977937251120716</v>
      </c>
      <c r="L424" t="s">
        <v>153</v>
      </c>
      <c r="N424" t="s">
        <v>176</v>
      </c>
      <c r="O424" t="s">
        <v>267</v>
      </c>
      <c r="P424">
        <v>0.0012569707350356995</v>
      </c>
      <c r="Q424" t="s">
        <v>153</v>
      </c>
      <c r="AK424">
        <v>2044</v>
      </c>
      <c r="AL424" t="s">
        <v>261</v>
      </c>
      <c r="AM424">
        <v>0.44130000000000003</v>
      </c>
      <c r="AN424" t="s">
        <v>195</v>
      </c>
    </row>
    <row r="425" spans="9:40" ht="14.25">
      <c r="I425" t="s">
        <v>166</v>
      </c>
      <c r="J425" t="s">
        <v>327</v>
      </c>
      <c r="K425">
        <v>0.0031209717856193445</v>
      </c>
      <c r="L425" t="s">
        <v>153</v>
      </c>
      <c r="N425" t="s">
        <v>176</v>
      </c>
      <c r="O425" t="s">
        <v>327</v>
      </c>
      <c r="P425">
        <v>0.0015056718993050921</v>
      </c>
      <c r="Q425" t="s">
        <v>153</v>
      </c>
      <c r="AK425">
        <v>2044</v>
      </c>
      <c r="AL425" t="s">
        <v>303</v>
      </c>
      <c r="AM425">
        <v>0.44130000000000003</v>
      </c>
      <c r="AN425" t="s">
        <v>195</v>
      </c>
    </row>
    <row r="426" spans="9:40" ht="14.25">
      <c r="I426" t="s">
        <v>166</v>
      </c>
      <c r="J426" t="s">
        <v>328</v>
      </c>
      <c r="K426">
        <v>0.001377469482771014</v>
      </c>
      <c r="L426" t="s">
        <v>153</v>
      </c>
      <c r="N426" t="s">
        <v>176</v>
      </c>
      <c r="O426" t="s">
        <v>328</v>
      </c>
      <c r="P426">
        <v>0.016145240591864667</v>
      </c>
      <c r="Q426" t="s">
        <v>153</v>
      </c>
      <c r="AK426">
        <v>2044</v>
      </c>
      <c r="AL426" t="s">
        <v>304</v>
      </c>
      <c r="AM426">
        <v>0.43169999999999997</v>
      </c>
      <c r="AN426" t="s">
        <v>195</v>
      </c>
    </row>
    <row r="427" spans="9:40" ht="14.25">
      <c r="I427" t="s">
        <v>166</v>
      </c>
      <c r="J427" t="s">
        <v>268</v>
      </c>
      <c r="K427">
        <v>0</v>
      </c>
      <c r="L427" t="s">
        <v>153</v>
      </c>
      <c r="N427" t="s">
        <v>176</v>
      </c>
      <c r="O427" t="s">
        <v>268</v>
      </c>
      <c r="P427">
        <v>0.0076723076174785923</v>
      </c>
      <c r="Q427" t="s">
        <v>153</v>
      </c>
      <c r="AK427">
        <v>2044</v>
      </c>
      <c r="AL427" t="s">
        <v>305</v>
      </c>
      <c r="AM427">
        <v>0.3891</v>
      </c>
      <c r="AN427" t="s">
        <v>195</v>
      </c>
    </row>
    <row r="428" spans="9:40" ht="14.25">
      <c r="I428" t="s">
        <v>166</v>
      </c>
      <c r="J428" t="s">
        <v>269</v>
      </c>
      <c r="K428">
        <v>0.0017725438000323885</v>
      </c>
      <c r="L428" t="s">
        <v>153</v>
      </c>
      <c r="N428" t="s">
        <v>176</v>
      </c>
      <c r="O428" t="s">
        <v>269</v>
      </c>
      <c r="P428">
        <v>0.00088387830420207255</v>
      </c>
      <c r="Q428" t="s">
        <v>153</v>
      </c>
      <c r="AK428">
        <v>2044</v>
      </c>
      <c r="AL428" t="s">
        <v>306</v>
      </c>
      <c r="AM428">
        <v>0.357325</v>
      </c>
      <c r="AN428" t="s">
        <v>195</v>
      </c>
    </row>
    <row r="429" spans="9:40" ht="14.25">
      <c r="I429" t="s">
        <v>166</v>
      </c>
      <c r="J429" t="s">
        <v>270</v>
      </c>
      <c r="K429">
        <v>0.0034497745586790441</v>
      </c>
      <c r="L429" t="s">
        <v>153</v>
      </c>
      <c r="N429" t="s">
        <v>176</v>
      </c>
      <c r="O429" t="s">
        <v>270</v>
      </c>
      <c r="P429">
        <v>0.00078733615441846361</v>
      </c>
      <c r="Q429" t="s">
        <v>153</v>
      </c>
      <c r="AK429">
        <v>2044</v>
      </c>
      <c r="AL429" t="s">
        <v>307</v>
      </c>
      <c r="AM429">
        <v>0.32669999999999999</v>
      </c>
      <c r="AN429" t="s">
        <v>195</v>
      </c>
    </row>
    <row r="430" spans="9:40" ht="14.25">
      <c r="I430" t="s">
        <v>166</v>
      </c>
      <c r="J430" t="s">
        <v>271</v>
      </c>
      <c r="K430">
        <v>0.0044937655804911415</v>
      </c>
      <c r="L430" t="s">
        <v>153</v>
      </c>
      <c r="N430" t="s">
        <v>176</v>
      </c>
      <c r="O430" t="s">
        <v>271</v>
      </c>
      <c r="P430">
        <v>0.00069685110060953195</v>
      </c>
      <c r="Q430" t="s">
        <v>153</v>
      </c>
      <c r="AK430">
        <v>2044</v>
      </c>
      <c r="AL430" t="s">
        <v>308</v>
      </c>
      <c r="AM430">
        <v>0.32669999999999999</v>
      </c>
      <c r="AN430" t="s">
        <v>195</v>
      </c>
    </row>
    <row r="431" spans="9:40" ht="14.25">
      <c r="I431" t="s">
        <v>166</v>
      </c>
      <c r="J431" t="s">
        <v>272</v>
      </c>
      <c r="K431">
        <v>0.03846848338381844</v>
      </c>
      <c r="L431" t="s">
        <v>153</v>
      </c>
      <c r="N431" t="s">
        <v>176</v>
      </c>
      <c r="O431" t="s">
        <v>272</v>
      </c>
      <c r="P431">
        <v>0.011003004244555069</v>
      </c>
      <c r="Q431" t="s">
        <v>153</v>
      </c>
      <c r="AK431">
        <v>2045</v>
      </c>
      <c r="AL431" t="s">
        <v>141</v>
      </c>
      <c r="AM431">
        <v>0.38329999999999997</v>
      </c>
      <c r="AN431" t="s">
        <v>195</v>
      </c>
    </row>
    <row r="432" spans="9:40" ht="14.25">
      <c r="I432" t="s">
        <v>166</v>
      </c>
      <c r="J432" t="s">
        <v>273</v>
      </c>
      <c r="K432">
        <v>0.0043300133535116494</v>
      </c>
      <c r="L432" t="s">
        <v>153</v>
      </c>
      <c r="N432" t="s">
        <v>176</v>
      </c>
      <c r="O432" t="s">
        <v>273</v>
      </c>
      <c r="P432">
        <v>0.0024069760627068457</v>
      </c>
      <c r="Q432" t="s">
        <v>153</v>
      </c>
      <c r="AK432">
        <v>2045</v>
      </c>
      <c r="AL432" t="s">
        <v>145</v>
      </c>
      <c r="AM432">
        <v>0.38329999999999997</v>
      </c>
      <c r="AN432" t="s">
        <v>195</v>
      </c>
    </row>
    <row r="433" spans="9:40" ht="14.25">
      <c r="I433" t="s">
        <v>166</v>
      </c>
      <c r="J433" t="s">
        <v>329</v>
      </c>
      <c r="K433">
        <v>0.0031682890852585371</v>
      </c>
      <c r="L433" t="s">
        <v>153</v>
      </c>
      <c r="N433" t="s">
        <v>176</v>
      </c>
      <c r="O433" t="s">
        <v>329</v>
      </c>
      <c r="P433">
        <v>0.002608487050925627</v>
      </c>
      <c r="Q433" t="s">
        <v>153</v>
      </c>
      <c r="AK433">
        <v>2045</v>
      </c>
      <c r="AL433" t="s">
        <v>147</v>
      </c>
      <c r="AM433">
        <v>0.3876</v>
      </c>
      <c r="AN433" t="s">
        <v>195</v>
      </c>
    </row>
    <row r="434" spans="9:40" ht="14.25">
      <c r="I434" t="s">
        <v>166</v>
      </c>
      <c r="J434" t="s">
        <v>330</v>
      </c>
      <c r="K434">
        <v>0.0014301561949833187</v>
      </c>
      <c r="L434" t="s">
        <v>153</v>
      </c>
      <c r="N434" t="s">
        <v>176</v>
      </c>
      <c r="O434" t="s">
        <v>330</v>
      </c>
      <c r="P434">
        <v>0.014135005284643202</v>
      </c>
      <c r="Q434" t="s">
        <v>153</v>
      </c>
      <c r="AK434">
        <v>2045</v>
      </c>
      <c r="AL434" t="s">
        <v>149</v>
      </c>
      <c r="AM434">
        <v>0.39190000000000003</v>
      </c>
      <c r="AN434" t="s">
        <v>195</v>
      </c>
    </row>
    <row r="435" spans="9:40" ht="14.25">
      <c r="I435" t="s">
        <v>166</v>
      </c>
      <c r="J435" t="s">
        <v>274</v>
      </c>
      <c r="K435">
        <v>0</v>
      </c>
      <c r="L435" t="s">
        <v>153</v>
      </c>
      <c r="N435" t="s">
        <v>176</v>
      </c>
      <c r="O435" t="s">
        <v>274</v>
      </c>
      <c r="P435">
        <v>0.0054300506455412225</v>
      </c>
      <c r="Q435" t="s">
        <v>153</v>
      </c>
      <c r="AK435">
        <v>2045</v>
      </c>
      <c r="AL435" t="s">
        <v>198</v>
      </c>
      <c r="AM435">
        <v>0.39700000000000002</v>
      </c>
      <c r="AN435" t="s">
        <v>195</v>
      </c>
    </row>
    <row r="436" spans="9:40" ht="14.25">
      <c r="I436" t="s">
        <v>166</v>
      </c>
      <c r="J436" t="s">
        <v>275</v>
      </c>
      <c r="K436">
        <v>0.000765550885162978</v>
      </c>
      <c r="L436" t="s">
        <v>153</v>
      </c>
      <c r="N436" t="s">
        <v>176</v>
      </c>
      <c r="O436" t="s">
        <v>275</v>
      </c>
      <c r="P436">
        <v>0.0011973823876653274</v>
      </c>
      <c r="Q436" t="s">
        <v>153</v>
      </c>
      <c r="AK436">
        <v>2045</v>
      </c>
      <c r="AL436" t="s">
        <v>216</v>
      </c>
      <c r="AM436">
        <v>0.40210000000000001</v>
      </c>
      <c r="AN436" t="s">
        <v>195</v>
      </c>
    </row>
    <row r="437" spans="9:40" ht="14.25">
      <c r="I437" t="s">
        <v>166</v>
      </c>
      <c r="J437" t="s">
        <v>276</v>
      </c>
      <c r="K437">
        <v>0.0014053421590924549</v>
      </c>
      <c r="L437" t="s">
        <v>153</v>
      </c>
      <c r="N437" t="s">
        <v>176</v>
      </c>
      <c r="O437" t="s">
        <v>276</v>
      </c>
      <c r="P437">
        <v>0.0010883584094026327</v>
      </c>
      <c r="Q437" t="s">
        <v>153</v>
      </c>
      <c r="AK437">
        <v>2045</v>
      </c>
      <c r="AL437" t="s">
        <v>232</v>
      </c>
      <c r="AM437">
        <v>0.40210000000000001</v>
      </c>
      <c r="AN437" t="s">
        <v>195</v>
      </c>
    </row>
    <row r="438" spans="9:40" ht="14.25">
      <c r="I438" t="s">
        <v>166</v>
      </c>
      <c r="J438" t="s">
        <v>277</v>
      </c>
      <c r="K438">
        <v>0.001784878597153766</v>
      </c>
      <c r="L438" t="s">
        <v>153</v>
      </c>
      <c r="N438" t="s">
        <v>176</v>
      </c>
      <c r="O438" t="s">
        <v>277</v>
      </c>
      <c r="P438">
        <v>0.00088335426332218961</v>
      </c>
      <c r="Q438" t="s">
        <v>153</v>
      </c>
      <c r="AK438">
        <v>2045</v>
      </c>
      <c r="AL438" t="s">
        <v>233</v>
      </c>
      <c r="AM438">
        <v>0.40210000000000001</v>
      </c>
      <c r="AN438" t="s">
        <v>195</v>
      </c>
    </row>
    <row r="439" spans="9:40" ht="14.25">
      <c r="I439" t="s">
        <v>166</v>
      </c>
      <c r="J439" t="s">
        <v>278</v>
      </c>
      <c r="K439">
        <v>0.014757138274486695</v>
      </c>
      <c r="L439" t="s">
        <v>153</v>
      </c>
      <c r="N439" t="s">
        <v>176</v>
      </c>
      <c r="O439" t="s">
        <v>278</v>
      </c>
      <c r="P439">
        <v>0.007712817316649607</v>
      </c>
      <c r="Q439" t="s">
        <v>153</v>
      </c>
      <c r="AK439">
        <v>2045</v>
      </c>
      <c r="AL439" t="s">
        <v>234</v>
      </c>
      <c r="AM439">
        <v>0.41265000000000002</v>
      </c>
      <c r="AN439" t="s">
        <v>195</v>
      </c>
    </row>
    <row r="440" spans="9:40" ht="14.25">
      <c r="I440" t="s">
        <v>166</v>
      </c>
      <c r="J440" t="s">
        <v>279</v>
      </c>
      <c r="K440">
        <v>0.0016678228960806437</v>
      </c>
      <c r="L440" t="s">
        <v>153</v>
      </c>
      <c r="N440" t="s">
        <v>176</v>
      </c>
      <c r="O440" t="s">
        <v>279</v>
      </c>
      <c r="P440">
        <v>0.0015178024319033132</v>
      </c>
      <c r="Q440" t="s">
        <v>153</v>
      </c>
      <c r="AK440">
        <v>2045</v>
      </c>
      <c r="AL440" t="s">
        <v>256</v>
      </c>
      <c r="AM440">
        <v>0.42320000000000002</v>
      </c>
      <c r="AN440" t="s">
        <v>195</v>
      </c>
    </row>
    <row r="441" spans="9:40" ht="14.25">
      <c r="I441" t="s">
        <v>166</v>
      </c>
      <c r="J441" t="s">
        <v>331</v>
      </c>
      <c r="K441">
        <v>0.0012396991289928109</v>
      </c>
      <c r="L441" t="s">
        <v>153</v>
      </c>
      <c r="N441" t="s">
        <v>176</v>
      </c>
      <c r="O441" t="s">
        <v>331</v>
      </c>
      <c r="P441">
        <v>0.0016142363118583473</v>
      </c>
      <c r="Q441" t="s">
        <v>153</v>
      </c>
      <c r="AK441">
        <v>2045</v>
      </c>
      <c r="AL441" t="s">
        <v>257</v>
      </c>
      <c r="AM441">
        <v>0.44674999999999998</v>
      </c>
      <c r="AN441" t="s">
        <v>195</v>
      </c>
    </row>
    <row r="442" spans="9:40" ht="14.25">
      <c r="I442" t="s">
        <v>166</v>
      </c>
      <c r="J442" t="s">
        <v>332</v>
      </c>
      <c r="K442">
        <v>0.00057003757774280002</v>
      </c>
      <c r="L442" t="s">
        <v>153</v>
      </c>
      <c r="N442" t="s">
        <v>176</v>
      </c>
      <c r="O442" t="s">
        <v>332</v>
      </c>
      <c r="P442">
        <v>0.0076999793971950226</v>
      </c>
      <c r="Q442" t="s">
        <v>153</v>
      </c>
      <c r="AK442">
        <v>2045</v>
      </c>
      <c r="AL442" t="s">
        <v>258</v>
      </c>
      <c r="AM442">
        <v>0.4703</v>
      </c>
      <c r="AN442" t="s">
        <v>195</v>
      </c>
    </row>
    <row r="443" spans="9:40" ht="14.25">
      <c r="I443" t="s">
        <v>166</v>
      </c>
      <c r="J443" t="s">
        <v>280</v>
      </c>
      <c r="K443">
        <v>0</v>
      </c>
      <c r="L443" t="s">
        <v>153</v>
      </c>
      <c r="N443" t="s">
        <v>176</v>
      </c>
      <c r="O443" t="s">
        <v>280</v>
      </c>
      <c r="P443">
        <v>0.0054663818364130588</v>
      </c>
      <c r="Q443" t="s">
        <v>153</v>
      </c>
      <c r="AK443">
        <v>2045</v>
      </c>
      <c r="AL443" t="s">
        <v>259</v>
      </c>
      <c r="AM443">
        <v>0.4703</v>
      </c>
      <c r="AN443" t="s">
        <v>195</v>
      </c>
    </row>
    <row r="444" spans="9:40" ht="14.25">
      <c r="I444" t="s">
        <v>166</v>
      </c>
      <c r="J444" t="s">
        <v>281</v>
      </c>
      <c r="K444">
        <v>0.00058398847865315001</v>
      </c>
      <c r="L444" t="s">
        <v>153</v>
      </c>
      <c r="N444" t="s">
        <v>176</v>
      </c>
      <c r="O444" t="s">
        <v>281</v>
      </c>
      <c r="P444">
        <v>0.0008580340966090925</v>
      </c>
      <c r="Q444" t="s">
        <v>153</v>
      </c>
      <c r="AK444">
        <v>2045</v>
      </c>
      <c r="AL444" t="s">
        <v>260</v>
      </c>
      <c r="AM444">
        <v>0.49399999999999999</v>
      </c>
      <c r="AN444" t="s">
        <v>195</v>
      </c>
    </row>
    <row r="445" spans="9:40" ht="14.25">
      <c r="I445" t="s">
        <v>166</v>
      </c>
      <c r="J445" t="s">
        <v>282</v>
      </c>
      <c r="K445">
        <v>0.0011224495454898475</v>
      </c>
      <c r="L445" t="s">
        <v>153</v>
      </c>
      <c r="N445" t="s">
        <v>176</v>
      </c>
      <c r="O445" t="s">
        <v>282</v>
      </c>
      <c r="P445">
        <v>0.00065721106227252025</v>
      </c>
      <c r="Q445" t="s">
        <v>153</v>
      </c>
      <c r="AK445">
        <v>2045</v>
      </c>
      <c r="AL445" t="s">
        <v>261</v>
      </c>
      <c r="AM445">
        <v>0.51770000000000005</v>
      </c>
      <c r="AN445" t="s">
        <v>195</v>
      </c>
    </row>
    <row r="446" spans="9:40" ht="14.25">
      <c r="I446" t="s">
        <v>166</v>
      </c>
      <c r="J446" t="s">
        <v>283</v>
      </c>
      <c r="K446">
        <v>0.0014647429875534435</v>
      </c>
      <c r="L446" t="s">
        <v>153</v>
      </c>
      <c r="N446" t="s">
        <v>176</v>
      </c>
      <c r="O446" t="s">
        <v>283</v>
      </c>
      <c r="P446">
        <v>0.00048118649241373195</v>
      </c>
      <c r="Q446" t="s">
        <v>153</v>
      </c>
      <c r="AK446">
        <v>2045</v>
      </c>
      <c r="AL446" t="s">
        <v>303</v>
      </c>
      <c r="AM446">
        <v>0.51770000000000005</v>
      </c>
      <c r="AN446" t="s">
        <v>195</v>
      </c>
    </row>
    <row r="447" spans="9:40" ht="14.25">
      <c r="I447" t="s">
        <v>166</v>
      </c>
      <c r="J447" t="s">
        <v>284</v>
      </c>
      <c r="K447">
        <v>0.012454363440040611</v>
      </c>
      <c r="L447" t="s">
        <v>153</v>
      </c>
      <c r="N447" t="s">
        <v>176</v>
      </c>
      <c r="O447" t="s">
        <v>284</v>
      </c>
      <c r="P447">
        <v>0.0044882254802272054</v>
      </c>
      <c r="Q447" t="s">
        <v>153</v>
      </c>
      <c r="AK447">
        <v>2045</v>
      </c>
      <c r="AL447" t="s">
        <v>304</v>
      </c>
      <c r="AM447">
        <v>0.44356666666666666</v>
      </c>
      <c r="AN447" t="s">
        <v>195</v>
      </c>
    </row>
    <row r="448" spans="9:40" ht="14.25">
      <c r="I448" t="s">
        <v>166</v>
      </c>
      <c r="J448" t="s">
        <v>285</v>
      </c>
      <c r="K448">
        <v>0.001390286380311643</v>
      </c>
      <c r="L448" t="s">
        <v>153</v>
      </c>
      <c r="N448" t="s">
        <v>176</v>
      </c>
      <c r="O448" t="s">
        <v>285</v>
      </c>
      <c r="P448">
        <v>0.00085798987913278217</v>
      </c>
      <c r="Q448" t="s">
        <v>153</v>
      </c>
      <c r="AK448">
        <v>2045</v>
      </c>
      <c r="AL448" t="s">
        <v>305</v>
      </c>
      <c r="AM448">
        <v>0.38685000000000003</v>
      </c>
      <c r="AN448" t="s">
        <v>195</v>
      </c>
    </row>
    <row r="449" spans="9:40" ht="14.25">
      <c r="I449" t="s">
        <v>166</v>
      </c>
      <c r="J449" t="s">
        <v>333</v>
      </c>
      <c r="K449">
        <v>0.0010224399647099686</v>
      </c>
      <c r="L449" t="s">
        <v>153</v>
      </c>
      <c r="N449" t="s">
        <v>176</v>
      </c>
      <c r="O449" t="s">
        <v>333</v>
      </c>
      <c r="P449">
        <v>0.0009027267344502521</v>
      </c>
      <c r="Q449" t="s">
        <v>153</v>
      </c>
      <c r="AK449">
        <v>2045</v>
      </c>
      <c r="AL449" t="s">
        <v>306</v>
      </c>
      <c r="AM449">
        <v>0.36395</v>
      </c>
      <c r="AN449" t="s">
        <v>195</v>
      </c>
    </row>
    <row r="450" spans="9:40" ht="14.25">
      <c r="I450" t="s">
        <v>166</v>
      </c>
      <c r="J450" t="s">
        <v>334</v>
      </c>
      <c r="K450">
        <v>0.00045633833853407277</v>
      </c>
      <c r="L450" t="s">
        <v>153</v>
      </c>
      <c r="N450" t="s">
        <v>176</v>
      </c>
      <c r="O450" t="s">
        <v>334</v>
      </c>
      <c r="P450">
        <v>0.0058191455653706014</v>
      </c>
      <c r="Q450" t="s">
        <v>153</v>
      </c>
      <c r="AK450">
        <v>2045</v>
      </c>
      <c r="AL450" t="s">
        <v>307</v>
      </c>
      <c r="AM450">
        <v>0.37159999999999999</v>
      </c>
      <c r="AN450" t="s">
        <v>195</v>
      </c>
    </row>
    <row r="451" spans="9:40" ht="14.25">
      <c r="I451" t="s">
        <v>166</v>
      </c>
      <c r="J451" t="s">
        <v>286</v>
      </c>
      <c r="K451">
        <v>0</v>
      </c>
      <c r="L451" t="s">
        <v>153</v>
      </c>
      <c r="N451" t="s">
        <v>176</v>
      </c>
      <c r="O451" t="s">
        <v>286</v>
      </c>
      <c r="P451">
        <v>0.006217554294828548</v>
      </c>
      <c r="Q451" t="s">
        <v>153</v>
      </c>
      <c r="AK451">
        <v>2045</v>
      </c>
      <c r="AL451" t="s">
        <v>308</v>
      </c>
      <c r="AM451">
        <v>0.37159999999999999</v>
      </c>
      <c r="AN451" t="s">
        <v>195</v>
      </c>
    </row>
    <row r="452" spans="9:40" ht="14.25">
      <c r="I452" t="s">
        <v>166</v>
      </c>
      <c r="J452" t="s">
        <v>287</v>
      </c>
      <c r="K452">
        <v>0.00074125106556482024</v>
      </c>
      <c r="L452" t="s">
        <v>153</v>
      </c>
      <c r="N452" t="s">
        <v>176</v>
      </c>
      <c r="O452" t="s">
        <v>287</v>
      </c>
      <c r="P452">
        <v>0.00077006968153479829</v>
      </c>
      <c r="Q452" t="s">
        <v>153</v>
      </c>
      <c r="AK452">
        <v>2046</v>
      </c>
      <c r="AL452" t="s">
        <v>141</v>
      </c>
      <c r="AM452">
        <v>0.33639999999999998</v>
      </c>
      <c r="AN452" t="s">
        <v>195</v>
      </c>
    </row>
    <row r="453" spans="9:40" ht="14.25">
      <c r="I453" t="s">
        <v>166</v>
      </c>
      <c r="J453" t="s">
        <v>288</v>
      </c>
      <c r="K453">
        <v>0.0014714492510680783</v>
      </c>
      <c r="L453" t="s">
        <v>153</v>
      </c>
      <c r="N453" t="s">
        <v>176</v>
      </c>
      <c r="O453" t="s">
        <v>288</v>
      </c>
      <c r="P453">
        <v>0.00053829612588435899</v>
      </c>
      <c r="Q453" t="s">
        <v>153</v>
      </c>
      <c r="AK453">
        <v>2046</v>
      </c>
      <c r="AL453" t="s">
        <v>145</v>
      </c>
      <c r="AM453">
        <v>0.33639999999999998</v>
      </c>
      <c r="AN453" t="s">
        <v>195</v>
      </c>
    </row>
    <row r="454" spans="9:40" ht="14.25">
      <c r="I454" t="s">
        <v>166</v>
      </c>
      <c r="J454" t="s">
        <v>289</v>
      </c>
      <c r="K454">
        <v>0.001968892691975253</v>
      </c>
      <c r="L454" t="s">
        <v>153</v>
      </c>
      <c r="N454" t="s">
        <v>176</v>
      </c>
      <c r="O454" t="s">
        <v>289</v>
      </c>
      <c r="P454">
        <v>0.00038453683186668702</v>
      </c>
      <c r="Q454" t="s">
        <v>153</v>
      </c>
      <c r="AK454">
        <v>2046</v>
      </c>
      <c r="AL454" t="s">
        <v>147</v>
      </c>
      <c r="AM454">
        <v>0.34104999999999996</v>
      </c>
      <c r="AN454" t="s">
        <v>195</v>
      </c>
    </row>
    <row r="455" spans="9:40" ht="14.25">
      <c r="I455" t="s">
        <v>166</v>
      </c>
      <c r="J455" t="s">
        <v>290</v>
      </c>
      <c r="K455">
        <v>0.017713256701216023</v>
      </c>
      <c r="L455" t="s">
        <v>153</v>
      </c>
      <c r="N455" t="s">
        <v>176</v>
      </c>
      <c r="O455" t="s">
        <v>290</v>
      </c>
      <c r="P455">
        <v>0.0065666949355489427</v>
      </c>
      <c r="Q455" t="s">
        <v>153</v>
      </c>
      <c r="AK455">
        <v>2046</v>
      </c>
      <c r="AL455" t="s">
        <v>149</v>
      </c>
      <c r="AM455">
        <v>0.34570000000000001</v>
      </c>
      <c r="AN455" t="s">
        <v>195</v>
      </c>
    </row>
    <row r="456" spans="9:40" ht="14.25">
      <c r="I456" t="s">
        <v>166</v>
      </c>
      <c r="J456" t="s">
        <v>291</v>
      </c>
      <c r="K456">
        <v>0.0019661311933618646</v>
      </c>
      <c r="L456" t="s">
        <v>153</v>
      </c>
      <c r="N456" t="s">
        <v>176</v>
      </c>
      <c r="O456" t="s">
        <v>291</v>
      </c>
      <c r="P456">
        <v>0.0017865777485286546</v>
      </c>
      <c r="Q456" t="s">
        <v>153</v>
      </c>
      <c r="AK456">
        <v>2046</v>
      </c>
      <c r="AL456" t="s">
        <v>198</v>
      </c>
      <c r="AM456">
        <v>0.36299999999999999</v>
      </c>
      <c r="AN456" t="s">
        <v>195</v>
      </c>
    </row>
    <row r="457" spans="9:40" ht="14.25">
      <c r="I457" t="s">
        <v>166</v>
      </c>
      <c r="J457" t="s">
        <v>335</v>
      </c>
      <c r="K457">
        <v>0.0014060305198247971</v>
      </c>
      <c r="L457" t="s">
        <v>153</v>
      </c>
      <c r="N457" t="s">
        <v>176</v>
      </c>
      <c r="O457" t="s">
        <v>335</v>
      </c>
      <c r="P457">
        <v>0.002019821577415364</v>
      </c>
      <c r="Q457" t="s">
        <v>153</v>
      </c>
      <c r="AK457">
        <v>2046</v>
      </c>
      <c r="AL457" t="s">
        <v>216</v>
      </c>
      <c r="AM457">
        <v>0.38030000000000003</v>
      </c>
      <c r="AN457" t="s">
        <v>195</v>
      </c>
    </row>
    <row r="458" spans="9:40" ht="14.25">
      <c r="I458" t="s">
        <v>166</v>
      </c>
      <c r="J458" t="s">
        <v>336</v>
      </c>
      <c r="K458">
        <v>0.00060276493839396626</v>
      </c>
      <c r="L458" t="s">
        <v>153</v>
      </c>
      <c r="N458" t="s">
        <v>176</v>
      </c>
      <c r="O458" t="s">
        <v>336</v>
      </c>
      <c r="P458">
        <v>0.011486661480687301</v>
      </c>
      <c r="Q458" t="s">
        <v>153</v>
      </c>
      <c r="AK458">
        <v>2046</v>
      </c>
      <c r="AL458" t="s">
        <v>232</v>
      </c>
      <c r="AM458">
        <v>0.38030000000000003</v>
      </c>
      <c r="AN458" t="s">
        <v>195</v>
      </c>
    </row>
    <row r="459" spans="9:40" ht="14.25">
      <c r="I459" t="s">
        <v>166</v>
      </c>
      <c r="J459" t="s">
        <v>292</v>
      </c>
      <c r="K459">
        <v>0</v>
      </c>
      <c r="L459" t="s">
        <v>153</v>
      </c>
      <c r="N459" t="s">
        <v>176</v>
      </c>
      <c r="O459" t="s">
        <v>292</v>
      </c>
      <c r="P459">
        <v>0.011563411998095871</v>
      </c>
      <c r="Q459" t="s">
        <v>153</v>
      </c>
      <c r="AK459">
        <v>2046</v>
      </c>
      <c r="AL459" t="s">
        <v>233</v>
      </c>
      <c r="AM459">
        <v>0.38030000000000003</v>
      </c>
      <c r="AN459" t="s">
        <v>195</v>
      </c>
    </row>
    <row r="460" spans="9:40" ht="14.25">
      <c r="I460" t="s">
        <v>166</v>
      </c>
      <c r="J460" t="s">
        <v>293</v>
      </c>
      <c r="K460">
        <v>0.00049460064188499393</v>
      </c>
      <c r="L460" t="s">
        <v>153</v>
      </c>
      <c r="N460" t="s">
        <v>176</v>
      </c>
      <c r="O460" t="s">
        <v>293</v>
      </c>
      <c r="P460">
        <v>0.002134085618498181</v>
      </c>
      <c r="Q460" t="s">
        <v>153</v>
      </c>
      <c r="AK460">
        <v>2046</v>
      </c>
      <c r="AL460" t="s">
        <v>234</v>
      </c>
      <c r="AM460">
        <v>0.4017</v>
      </c>
      <c r="AN460" t="s">
        <v>195</v>
      </c>
    </row>
    <row r="461" spans="9:40" ht="14.25">
      <c r="I461" t="s">
        <v>166</v>
      </c>
      <c r="J461" t="s">
        <v>294</v>
      </c>
      <c r="K461">
        <v>0.0010398300560282652</v>
      </c>
      <c r="L461" t="s">
        <v>153</v>
      </c>
      <c r="N461" t="s">
        <v>176</v>
      </c>
      <c r="O461" t="s">
        <v>294</v>
      </c>
      <c r="P461">
        <v>0.0019978032034734436</v>
      </c>
      <c r="Q461" t="s">
        <v>153</v>
      </c>
      <c r="AK461">
        <v>2046</v>
      </c>
      <c r="AL461" t="s">
        <v>256</v>
      </c>
      <c r="AM461">
        <v>0.42309999999999998</v>
      </c>
      <c r="AN461" t="s">
        <v>195</v>
      </c>
    </row>
    <row r="462" spans="9:40" ht="14.25">
      <c r="I462" t="s">
        <v>166</v>
      </c>
      <c r="J462" t="s">
        <v>295</v>
      </c>
      <c r="K462">
        <v>0.001393473619023504</v>
      </c>
      <c r="L462" t="s">
        <v>153</v>
      </c>
      <c r="N462" t="s">
        <v>176</v>
      </c>
      <c r="O462" t="s">
        <v>295</v>
      </c>
      <c r="P462">
        <v>0.0019565162194899116</v>
      </c>
      <c r="Q462" t="s">
        <v>153</v>
      </c>
      <c r="AK462">
        <v>2046</v>
      </c>
      <c r="AL462" t="s">
        <v>257</v>
      </c>
      <c r="AM462">
        <v>0.42669999999999997</v>
      </c>
      <c r="AN462" t="s">
        <v>195</v>
      </c>
    </row>
    <row r="463" spans="9:40" ht="14.25">
      <c r="I463" t="s">
        <v>166</v>
      </c>
      <c r="J463" t="s">
        <v>296</v>
      </c>
      <c r="K463">
        <v>0.012216714538663737</v>
      </c>
      <c r="L463" t="s">
        <v>153</v>
      </c>
      <c r="N463" t="s">
        <v>176</v>
      </c>
      <c r="O463" t="s">
        <v>296</v>
      </c>
      <c r="P463">
        <v>0.016085534238258096</v>
      </c>
      <c r="Q463" t="s">
        <v>153</v>
      </c>
      <c r="AK463">
        <v>2046</v>
      </c>
      <c r="AL463" t="s">
        <v>258</v>
      </c>
      <c r="AM463">
        <v>0.43030000000000002</v>
      </c>
      <c r="AN463" t="s">
        <v>195</v>
      </c>
    </row>
    <row r="464" spans="9:40" ht="14.25">
      <c r="I464" t="s">
        <v>166</v>
      </c>
      <c r="J464" t="s">
        <v>297</v>
      </c>
      <c r="K464">
        <v>0.0013336621330927302</v>
      </c>
      <c r="L464" t="s">
        <v>153</v>
      </c>
      <c r="N464" t="s">
        <v>176</v>
      </c>
      <c r="O464" t="s">
        <v>297</v>
      </c>
      <c r="P464">
        <v>0.002354466830976335</v>
      </c>
      <c r="Q464" t="s">
        <v>153</v>
      </c>
      <c r="AK464">
        <v>2046</v>
      </c>
      <c r="AL464" t="s">
        <v>259</v>
      </c>
      <c r="AM464">
        <v>0.43030000000000002</v>
      </c>
      <c r="AN464" t="s">
        <v>195</v>
      </c>
    </row>
    <row r="465" spans="9:40" ht="14.25">
      <c r="I465" t="s">
        <v>166</v>
      </c>
      <c r="J465" t="s">
        <v>337</v>
      </c>
      <c r="K465">
        <v>0.00095717423937840185</v>
      </c>
      <c r="L465" t="s">
        <v>153</v>
      </c>
      <c r="N465" t="s">
        <v>176</v>
      </c>
      <c r="O465" t="s">
        <v>337</v>
      </c>
      <c r="P465">
        <v>0.0023251200703392266</v>
      </c>
      <c r="Q465" t="s">
        <v>153</v>
      </c>
      <c r="AK465">
        <v>2046</v>
      </c>
      <c r="AL465" t="s">
        <v>260</v>
      </c>
      <c r="AM465">
        <v>0.4667</v>
      </c>
      <c r="AN465" t="s">
        <v>195</v>
      </c>
    </row>
    <row r="466" spans="9:40" ht="14.25">
      <c r="I466" t="s">
        <v>166</v>
      </c>
      <c r="J466" t="s">
        <v>338</v>
      </c>
      <c r="K466">
        <v>0.00039980815208193448</v>
      </c>
      <c r="L466" t="s">
        <v>153</v>
      </c>
      <c r="N466" t="s">
        <v>176</v>
      </c>
      <c r="O466" t="s">
        <v>338</v>
      </c>
      <c r="P466">
        <v>0.010985569301285926</v>
      </c>
      <c r="Q466" t="s">
        <v>153</v>
      </c>
      <c r="AK466">
        <v>2046</v>
      </c>
      <c r="AL466" t="s">
        <v>261</v>
      </c>
      <c r="AM466">
        <v>0.50309999999999999</v>
      </c>
      <c r="AN466" t="s">
        <v>195</v>
      </c>
    </row>
    <row r="467" spans="9:40" ht="14.25">
      <c r="I467" t="s">
        <v>166</v>
      </c>
      <c r="J467" t="s">
        <v>339</v>
      </c>
      <c r="K467">
        <v>0</v>
      </c>
      <c r="L467" t="s">
        <v>153</v>
      </c>
      <c r="N467" t="s">
        <v>176</v>
      </c>
      <c r="O467" t="s">
        <v>339</v>
      </c>
      <c r="P467">
        <v>0.009011677605810434</v>
      </c>
      <c r="Q467" t="s">
        <v>153</v>
      </c>
      <c r="AK467">
        <v>2046</v>
      </c>
      <c r="AL467" t="s">
        <v>303</v>
      </c>
      <c r="AM467">
        <v>0.50309999999999999</v>
      </c>
      <c r="AN467" t="s">
        <v>195</v>
      </c>
    </row>
    <row r="468" spans="9:40" ht="14.25">
      <c r="I468" t="s">
        <v>166</v>
      </c>
      <c r="J468" t="s">
        <v>340</v>
      </c>
      <c r="K468">
        <v>0.00063578401418933571</v>
      </c>
      <c r="L468" t="s">
        <v>153</v>
      </c>
      <c r="N468" t="s">
        <v>176</v>
      </c>
      <c r="O468" t="s">
        <v>340</v>
      </c>
      <c r="P468">
        <v>0.0012052145641699582</v>
      </c>
      <c r="Q468" t="s">
        <v>153</v>
      </c>
      <c r="AK468">
        <v>2046</v>
      </c>
      <c r="AL468" t="s">
        <v>304</v>
      </c>
      <c r="AM468">
        <v>0.43133333333333335</v>
      </c>
      <c r="AN468" t="s">
        <v>195</v>
      </c>
    </row>
    <row r="469" spans="9:40" ht="14.25">
      <c r="I469" t="s">
        <v>166</v>
      </c>
      <c r="J469" t="s">
        <v>341</v>
      </c>
      <c r="K469">
        <v>0.0014356083881308032</v>
      </c>
      <c r="L469" t="s">
        <v>153</v>
      </c>
      <c r="N469" t="s">
        <v>176</v>
      </c>
      <c r="O469" t="s">
        <v>341</v>
      </c>
      <c r="P469">
        <v>0.00095839533510959731</v>
      </c>
      <c r="Q469" t="s">
        <v>153</v>
      </c>
      <c r="AK469">
        <v>2046</v>
      </c>
      <c r="AL469" t="s">
        <v>305</v>
      </c>
      <c r="AM469">
        <v>0.37165000000000004</v>
      </c>
      <c r="AN469" t="s">
        <v>195</v>
      </c>
    </row>
    <row r="470" spans="9:40" ht="14.25">
      <c r="I470" t="s">
        <v>166</v>
      </c>
      <c r="J470" t="s">
        <v>342</v>
      </c>
      <c r="K470">
        <v>0.0019639297084334834</v>
      </c>
      <c r="L470" t="s">
        <v>153</v>
      </c>
      <c r="N470" t="s">
        <v>176</v>
      </c>
      <c r="O470" t="s">
        <v>342</v>
      </c>
      <c r="P470">
        <v>0.00064659694709824351</v>
      </c>
      <c r="Q470" t="s">
        <v>153</v>
      </c>
      <c r="AK470">
        <v>2046</v>
      </c>
      <c r="AL470" t="s">
        <v>306</v>
      </c>
      <c r="AM470">
        <v>0.376025</v>
      </c>
      <c r="AN470" t="s">
        <v>195</v>
      </c>
    </row>
    <row r="471" spans="9:40" ht="14.25">
      <c r="I471" t="s">
        <v>166</v>
      </c>
      <c r="J471" t="s">
        <v>343</v>
      </c>
      <c r="K471">
        <v>0.017732892103074091</v>
      </c>
      <c r="L471" t="s">
        <v>153</v>
      </c>
      <c r="N471" t="s">
        <v>176</v>
      </c>
      <c r="O471" t="s">
        <v>343</v>
      </c>
      <c r="P471">
        <v>0.012934378966995759</v>
      </c>
      <c r="Q471" t="s">
        <v>153</v>
      </c>
      <c r="AK471">
        <v>2046</v>
      </c>
      <c r="AL471" t="s">
        <v>307</v>
      </c>
      <c r="AM471">
        <v>0.38229999999999997</v>
      </c>
      <c r="AN471" t="s">
        <v>195</v>
      </c>
    </row>
    <row r="472" spans="9:40" ht="14.25">
      <c r="I472" t="s">
        <v>166</v>
      </c>
      <c r="J472" t="s">
        <v>344</v>
      </c>
      <c r="K472">
        <v>0.0019241626169759058</v>
      </c>
      <c r="L472" t="s">
        <v>153</v>
      </c>
      <c r="N472" t="s">
        <v>176</v>
      </c>
      <c r="O472" t="s">
        <v>344</v>
      </c>
      <c r="P472">
        <v>0.0027087462673107744</v>
      </c>
      <c r="Q472" t="s">
        <v>153</v>
      </c>
      <c r="AK472">
        <v>2046</v>
      </c>
      <c r="AL472" t="s">
        <v>308</v>
      </c>
      <c r="AM472">
        <v>0.38229999999999997</v>
      </c>
      <c r="AN472" t="s">
        <v>195</v>
      </c>
    </row>
    <row r="473" spans="9:40" ht="14.25">
      <c r="I473" t="s">
        <v>166</v>
      </c>
      <c r="J473" t="s">
        <v>345</v>
      </c>
      <c r="K473">
        <v>0.0013678072191555509</v>
      </c>
      <c r="L473" t="s">
        <v>153</v>
      </c>
      <c r="N473" t="s">
        <v>176</v>
      </c>
      <c r="O473" t="s">
        <v>345</v>
      </c>
      <c r="P473">
        <v>0.0026144087632768319</v>
      </c>
      <c r="Q473" t="s">
        <v>153</v>
      </c>
      <c r="AK473">
        <v>2047</v>
      </c>
      <c r="AL473" t="s">
        <v>141</v>
      </c>
      <c r="AM473">
        <v>0.34370000000000001</v>
      </c>
      <c r="AN473" t="s">
        <v>195</v>
      </c>
    </row>
    <row r="474" spans="9:40" ht="14.25">
      <c r="I474" t="s">
        <v>166</v>
      </c>
      <c r="J474" t="s">
        <v>346</v>
      </c>
      <c r="K474">
        <v>0.0005618048688350336</v>
      </c>
      <c r="L474" t="s">
        <v>153</v>
      </c>
      <c r="N474" t="s">
        <v>176</v>
      </c>
      <c r="O474" t="s">
        <v>346</v>
      </c>
      <c r="P474">
        <v>0.012916530345406107</v>
      </c>
      <c r="Q474" t="s">
        <v>153</v>
      </c>
      <c r="AK474">
        <v>2047</v>
      </c>
      <c r="AL474" t="s">
        <v>145</v>
      </c>
      <c r="AM474">
        <v>0.34370000000000001</v>
      </c>
      <c r="AN474" t="s">
        <v>195</v>
      </c>
    </row>
    <row r="475" spans="9:40" ht="14.25">
      <c r="I475" t="s">
        <v>166</v>
      </c>
      <c r="J475" t="s">
        <v>347</v>
      </c>
      <c r="K475">
        <v>0</v>
      </c>
      <c r="L475" t="s">
        <v>153</v>
      </c>
      <c r="N475" t="s">
        <v>176</v>
      </c>
      <c r="O475" t="s">
        <v>347</v>
      </c>
      <c r="P475">
        <v>0.021988538848118962</v>
      </c>
      <c r="Q475" t="s">
        <v>153</v>
      </c>
      <c r="AK475">
        <v>2047</v>
      </c>
      <c r="AL475" t="s">
        <v>147</v>
      </c>
      <c r="AM475">
        <v>0.36030000000000001</v>
      </c>
      <c r="AN475" t="s">
        <v>195</v>
      </c>
    </row>
    <row r="476" spans="9:40" ht="14.25">
      <c r="I476" t="s">
        <v>166</v>
      </c>
      <c r="J476" t="s">
        <v>348</v>
      </c>
      <c r="K476">
        <v>0.0022457083144665096</v>
      </c>
      <c r="L476" t="s">
        <v>153</v>
      </c>
      <c r="N476" t="s">
        <v>176</v>
      </c>
      <c r="O476" t="s">
        <v>348</v>
      </c>
      <c r="P476">
        <v>0.0036614050421543837</v>
      </c>
      <c r="Q476" t="s">
        <v>153</v>
      </c>
      <c r="AK476">
        <v>2047</v>
      </c>
      <c r="AL476" t="s">
        <v>149</v>
      </c>
      <c r="AM476">
        <v>0.37690000000000001</v>
      </c>
      <c r="AN476" t="s">
        <v>195</v>
      </c>
    </row>
    <row r="477" spans="9:40" ht="14.25">
      <c r="I477" t="s">
        <v>166</v>
      </c>
      <c r="J477" t="s">
        <v>349</v>
      </c>
      <c r="K477">
        <v>0.0058059538495229971</v>
      </c>
      <c r="L477" t="s">
        <v>153</v>
      </c>
      <c r="N477" t="s">
        <v>176</v>
      </c>
      <c r="O477" t="s">
        <v>349</v>
      </c>
      <c r="P477">
        <v>0.003245546334315624</v>
      </c>
      <c r="Q477" t="s">
        <v>153</v>
      </c>
      <c r="AK477">
        <v>2047</v>
      </c>
      <c r="AL477" t="s">
        <v>198</v>
      </c>
      <c r="AM477">
        <v>0.379</v>
      </c>
      <c r="AN477" t="s">
        <v>195</v>
      </c>
    </row>
    <row r="478" spans="9:40" ht="14.25">
      <c r="I478" t="s">
        <v>166</v>
      </c>
      <c r="J478" t="s">
        <v>350</v>
      </c>
      <c r="K478">
        <v>0.0084178002264716743</v>
      </c>
      <c r="L478" t="s">
        <v>153</v>
      </c>
      <c r="N478" t="s">
        <v>176</v>
      </c>
      <c r="O478" t="s">
        <v>350</v>
      </c>
      <c r="P478">
        <v>0.0026123215078530607</v>
      </c>
      <c r="Q478" t="s">
        <v>153</v>
      </c>
      <c r="AK478">
        <v>2047</v>
      </c>
      <c r="AL478" t="s">
        <v>216</v>
      </c>
      <c r="AM478">
        <v>0.38109999999999999</v>
      </c>
      <c r="AN478" t="s">
        <v>195</v>
      </c>
    </row>
    <row r="479" spans="9:40" ht="14.25">
      <c r="I479" t="s">
        <v>166</v>
      </c>
      <c r="J479" t="s">
        <v>351</v>
      </c>
      <c r="K479">
        <v>0.077868801318262515</v>
      </c>
      <c r="L479" t="s">
        <v>153</v>
      </c>
      <c r="N479" t="s">
        <v>176</v>
      </c>
      <c r="O479" t="s">
        <v>351</v>
      </c>
      <c r="P479">
        <v>0.030220184892934519</v>
      </c>
      <c r="Q479" t="s">
        <v>153</v>
      </c>
      <c r="AK479">
        <v>2047</v>
      </c>
      <c r="AL479" t="s">
        <v>232</v>
      </c>
      <c r="AM479">
        <v>0.38109999999999999</v>
      </c>
      <c r="AN479" t="s">
        <v>195</v>
      </c>
    </row>
    <row r="480" spans="9:40" ht="14.25">
      <c r="I480" t="s">
        <v>166</v>
      </c>
      <c r="J480" t="s">
        <v>352</v>
      </c>
      <c r="K480">
        <v>0.0083215863866904789</v>
      </c>
      <c r="L480" t="s">
        <v>153</v>
      </c>
      <c r="N480" t="s">
        <v>176</v>
      </c>
      <c r="O480" t="s">
        <v>352</v>
      </c>
      <c r="P480">
        <v>0.0062464358999808388</v>
      </c>
      <c r="Q480" t="s">
        <v>153</v>
      </c>
      <c r="AK480">
        <v>2047</v>
      </c>
      <c r="AL480" t="s">
        <v>233</v>
      </c>
      <c r="AM480">
        <v>0.38109999999999999</v>
      </c>
      <c r="AN480" t="s">
        <v>195</v>
      </c>
    </row>
    <row r="481" spans="9:40" ht="14.25">
      <c r="I481" t="s">
        <v>166</v>
      </c>
      <c r="J481" t="s">
        <v>353</v>
      </c>
      <c r="K481">
        <v>0.0058852349322577532</v>
      </c>
      <c r="L481" t="s">
        <v>153</v>
      </c>
      <c r="N481" t="s">
        <v>176</v>
      </c>
      <c r="O481" t="s">
        <v>353</v>
      </c>
      <c r="P481">
        <v>0.0068937026476098336</v>
      </c>
      <c r="Q481" t="s">
        <v>153</v>
      </c>
      <c r="AK481">
        <v>2047</v>
      </c>
      <c r="AL481" t="s">
        <v>234</v>
      </c>
      <c r="AM481">
        <v>0.3911</v>
      </c>
      <c r="AN481" t="s">
        <v>195</v>
      </c>
    </row>
    <row r="482" spans="9:40" ht="14.25">
      <c r="I482" t="s">
        <v>166</v>
      </c>
      <c r="J482" t="s">
        <v>354</v>
      </c>
      <c r="K482">
        <v>0.0023622915360265585</v>
      </c>
      <c r="L482" t="s">
        <v>153</v>
      </c>
      <c r="N482" t="s">
        <v>176</v>
      </c>
      <c r="O482" t="s">
        <v>354</v>
      </c>
      <c r="P482">
        <v>0.036956520635055272</v>
      </c>
      <c r="Q482" t="s">
        <v>153</v>
      </c>
      <c r="AK482">
        <v>2047</v>
      </c>
      <c r="AL482" t="s">
        <v>256</v>
      </c>
      <c r="AM482">
        <v>0.40110000000000001</v>
      </c>
      <c r="AN482" t="s">
        <v>195</v>
      </c>
    </row>
    <row r="483" spans="9:40" ht="14.25">
      <c r="I483" t="s">
        <v>166</v>
      </c>
      <c r="J483" t="s">
        <v>355</v>
      </c>
      <c r="K483">
        <v>0</v>
      </c>
      <c r="L483" t="s">
        <v>153</v>
      </c>
      <c r="N483" t="s">
        <v>176</v>
      </c>
      <c r="O483" t="s">
        <v>355</v>
      </c>
      <c r="P483">
        <v>0.027666292241183277</v>
      </c>
      <c r="Q483" t="s">
        <v>153</v>
      </c>
      <c r="AK483">
        <v>2047</v>
      </c>
      <c r="AL483" t="s">
        <v>257</v>
      </c>
      <c r="AM483">
        <v>0.41710000000000003</v>
      </c>
      <c r="AN483" t="s">
        <v>195</v>
      </c>
    </row>
    <row r="484" spans="9:40" ht="14.25">
      <c r="I484" t="s">
        <v>166</v>
      </c>
      <c r="J484" t="s">
        <v>356</v>
      </c>
      <c r="K484">
        <v>0.0025571118849635659</v>
      </c>
      <c r="L484" t="s">
        <v>153</v>
      </c>
      <c r="N484" t="s">
        <v>176</v>
      </c>
      <c r="O484" t="s">
        <v>356</v>
      </c>
      <c r="P484">
        <v>0.005895504783467352</v>
      </c>
      <c r="Q484" t="s">
        <v>153</v>
      </c>
      <c r="AK484">
        <v>2047</v>
      </c>
      <c r="AL484" t="s">
        <v>258</v>
      </c>
      <c r="AM484">
        <v>0.43309999999999998</v>
      </c>
      <c r="AN484" t="s">
        <v>195</v>
      </c>
    </row>
    <row r="485" spans="9:40" ht="14.25">
      <c r="I485" t="s">
        <v>166</v>
      </c>
      <c r="J485" t="s">
        <v>357</v>
      </c>
      <c r="K485">
        <v>0.0073228628128761599</v>
      </c>
      <c r="L485" t="s">
        <v>153</v>
      </c>
      <c r="N485" t="s">
        <v>176</v>
      </c>
      <c r="O485" t="s">
        <v>357</v>
      </c>
      <c r="P485">
        <v>0.0050005316804279292</v>
      </c>
      <c r="Q485" t="s">
        <v>153</v>
      </c>
      <c r="AK485">
        <v>2047</v>
      </c>
      <c r="AL485" t="s">
        <v>259</v>
      </c>
      <c r="AM485">
        <v>0.43309999999999998</v>
      </c>
      <c r="AN485" t="s">
        <v>195</v>
      </c>
    </row>
    <row r="486" spans="9:40" ht="14.25">
      <c r="I486" t="s">
        <v>166</v>
      </c>
      <c r="J486" t="s">
        <v>358</v>
      </c>
      <c r="K486">
        <v>0.011095152486092469</v>
      </c>
      <c r="L486" t="s">
        <v>153</v>
      </c>
      <c r="N486" t="s">
        <v>176</v>
      </c>
      <c r="O486" t="s">
        <v>358</v>
      </c>
      <c r="P486">
        <v>0.0039946705099749152</v>
      </c>
      <c r="Q486" t="s">
        <v>153</v>
      </c>
      <c r="AK486">
        <v>2047</v>
      </c>
      <c r="AL486" t="s">
        <v>260</v>
      </c>
      <c r="AM486">
        <v>0.46514999999999995</v>
      </c>
      <c r="AN486" t="s">
        <v>195</v>
      </c>
    </row>
    <row r="487" spans="9:40" ht="14.25">
      <c r="I487" t="s">
        <v>166</v>
      </c>
      <c r="J487" t="s">
        <v>359</v>
      </c>
      <c r="K487">
        <v>0.10010516620346706</v>
      </c>
      <c r="L487" t="s">
        <v>153</v>
      </c>
      <c r="N487" t="s">
        <v>176</v>
      </c>
      <c r="O487" t="s">
        <v>359</v>
      </c>
      <c r="P487">
        <v>0.018565739355060926</v>
      </c>
      <c r="Q487" t="s">
        <v>153</v>
      </c>
      <c r="AK487">
        <v>2047</v>
      </c>
      <c r="AL487" t="s">
        <v>261</v>
      </c>
      <c r="AM487">
        <v>0.49719999999999998</v>
      </c>
      <c r="AN487" t="s">
        <v>195</v>
      </c>
    </row>
    <row r="488" spans="9:40" ht="14.25">
      <c r="I488" t="s">
        <v>166</v>
      </c>
      <c r="J488" t="s">
        <v>360</v>
      </c>
      <c r="K488">
        <v>0.010484375355682987</v>
      </c>
      <c r="L488" t="s">
        <v>153</v>
      </c>
      <c r="N488" t="s">
        <v>176</v>
      </c>
      <c r="O488" t="s">
        <v>360</v>
      </c>
      <c r="P488">
        <v>0.0023895935023705967</v>
      </c>
      <c r="Q488" t="s">
        <v>153</v>
      </c>
      <c r="AK488">
        <v>2047</v>
      </c>
      <c r="AL488" t="s">
        <v>303</v>
      </c>
      <c r="AM488">
        <v>0.49719999999999998</v>
      </c>
      <c r="AN488" t="s">
        <v>195</v>
      </c>
    </row>
    <row r="489" spans="9:40" ht="14.25">
      <c r="I489" t="s">
        <v>166</v>
      </c>
      <c r="J489" t="s">
        <v>361</v>
      </c>
      <c r="K489">
        <v>0.0066266430995098619</v>
      </c>
      <c r="L489" t="s">
        <v>153</v>
      </c>
      <c r="N489" t="s">
        <v>176</v>
      </c>
      <c r="O489" t="s">
        <v>361</v>
      </c>
      <c r="P489">
        <v>0.0033048177235095303</v>
      </c>
      <c r="Q489" t="s">
        <v>153</v>
      </c>
      <c r="AK489">
        <v>2047</v>
      </c>
      <c r="AL489" t="s">
        <v>304</v>
      </c>
      <c r="AM489">
        <v>0.45306666666666667</v>
      </c>
      <c r="AN489" t="s">
        <v>195</v>
      </c>
    </row>
    <row r="490" spans="9:40" ht="14.25">
      <c r="I490" t="s">
        <v>166</v>
      </c>
      <c r="J490" t="s">
        <v>362</v>
      </c>
      <c r="K490">
        <v>0.0016555653261489745</v>
      </c>
      <c r="L490" t="s">
        <v>153</v>
      </c>
      <c r="N490" t="s">
        <v>176</v>
      </c>
      <c r="O490" t="s">
        <v>362</v>
      </c>
      <c r="P490">
        <v>0.032431562109365861</v>
      </c>
      <c r="Q490" t="s">
        <v>153</v>
      </c>
      <c r="AK490">
        <v>2047</v>
      </c>
      <c r="AL490" t="s">
        <v>305</v>
      </c>
      <c r="AM490">
        <v>0.37380000000000002</v>
      </c>
      <c r="AN490" t="s">
        <v>195</v>
      </c>
    </row>
    <row r="491" spans="9:40" ht="14.25">
      <c r="I491" t="s">
        <v>166</v>
      </c>
      <c r="J491" t="s">
        <v>363</v>
      </c>
      <c r="K491">
        <v>0</v>
      </c>
      <c r="L491" t="s">
        <v>153</v>
      </c>
      <c r="N491" t="s">
        <v>176</v>
      </c>
      <c r="O491" t="s">
        <v>363</v>
      </c>
      <c r="P491">
        <v>0.044715145650290028</v>
      </c>
      <c r="Q491" t="s">
        <v>153</v>
      </c>
      <c r="AK491">
        <v>2047</v>
      </c>
      <c r="AL491" t="s">
        <v>306</v>
      </c>
      <c r="AM491">
        <v>0.34834999999999999</v>
      </c>
      <c r="AN491" t="s">
        <v>195</v>
      </c>
    </row>
    <row r="492" spans="9:40" ht="14.25">
      <c r="I492" t="s">
        <v>166</v>
      </c>
      <c r="J492" t="s">
        <v>364</v>
      </c>
      <c r="K492">
        <v>0.0014103335491037509</v>
      </c>
      <c r="L492" t="s">
        <v>153</v>
      </c>
      <c r="N492" t="s">
        <v>176</v>
      </c>
      <c r="O492" t="s">
        <v>364</v>
      </c>
      <c r="P492">
        <v>0.0067417111023987415</v>
      </c>
      <c r="Q492" t="s">
        <v>153</v>
      </c>
      <c r="AK492">
        <v>2047</v>
      </c>
      <c r="AL492" t="s">
        <v>307</v>
      </c>
      <c r="AM492">
        <v>0.3468</v>
      </c>
      <c r="AN492" t="s">
        <v>195</v>
      </c>
    </row>
    <row r="493" spans="9:40" ht="14.25">
      <c r="I493" t="s">
        <v>166</v>
      </c>
      <c r="J493" t="s">
        <v>365</v>
      </c>
      <c r="K493">
        <v>0.012216871496549897</v>
      </c>
      <c r="L493" t="s">
        <v>153</v>
      </c>
      <c r="N493" t="s">
        <v>176</v>
      </c>
      <c r="O493" t="s">
        <v>365</v>
      </c>
      <c r="P493">
        <v>0.0060467735724832284</v>
      </c>
      <c r="Q493" t="s">
        <v>153</v>
      </c>
      <c r="AK493">
        <v>2047</v>
      </c>
      <c r="AL493" t="s">
        <v>308</v>
      </c>
      <c r="AM493">
        <v>0.3468</v>
      </c>
      <c r="AN493" t="s">
        <v>195</v>
      </c>
    </row>
    <row r="494" spans="9:40" ht="14.25">
      <c r="I494" t="s">
        <v>166</v>
      </c>
      <c r="J494" t="s">
        <v>366</v>
      </c>
      <c r="K494">
        <v>0.019020282601930318</v>
      </c>
      <c r="L494" t="s">
        <v>153</v>
      </c>
      <c r="N494" t="s">
        <v>176</v>
      </c>
      <c r="O494" t="s">
        <v>366</v>
      </c>
      <c r="P494">
        <v>0.0043092663143925137</v>
      </c>
      <c r="Q494" t="s">
        <v>153</v>
      </c>
      <c r="AK494">
        <v>2048</v>
      </c>
      <c r="AL494" t="s">
        <v>141</v>
      </c>
      <c r="AM494">
        <v>0.3377</v>
      </c>
      <c r="AN494" t="s">
        <v>195</v>
      </c>
    </row>
    <row r="495" spans="9:40" ht="14.25">
      <c r="I495" t="s">
        <v>166</v>
      </c>
      <c r="J495" t="s">
        <v>367</v>
      </c>
      <c r="K495">
        <v>0.15853444925570578</v>
      </c>
      <c r="L495" t="s">
        <v>153</v>
      </c>
      <c r="N495" t="s">
        <v>176</v>
      </c>
      <c r="O495" t="s">
        <v>367</v>
      </c>
      <c r="P495">
        <v>0.031920381167767256</v>
      </c>
      <c r="Q495" t="s">
        <v>153</v>
      </c>
      <c r="AK495">
        <v>2048</v>
      </c>
      <c r="AL495" t="s">
        <v>145</v>
      </c>
      <c r="AM495">
        <v>0.3377</v>
      </c>
      <c r="AN495" t="s">
        <v>195</v>
      </c>
    </row>
    <row r="496" spans="9:40" ht="14.25">
      <c r="I496" t="s">
        <v>166</v>
      </c>
      <c r="J496" t="s">
        <v>368</v>
      </c>
      <c r="K496">
        <v>0.0161752921915535</v>
      </c>
      <c r="L496" t="s">
        <v>153</v>
      </c>
      <c r="N496" t="s">
        <v>176</v>
      </c>
      <c r="O496" t="s">
        <v>368</v>
      </c>
      <c r="P496">
        <v>0.006194508609831454</v>
      </c>
      <c r="Q496" t="s">
        <v>153</v>
      </c>
      <c r="AK496">
        <v>2048</v>
      </c>
      <c r="AL496" t="s">
        <v>147</v>
      </c>
      <c r="AM496">
        <v>0.34720000000000001</v>
      </c>
      <c r="AN496" t="s">
        <v>195</v>
      </c>
    </row>
    <row r="497" spans="9:40" ht="14.25">
      <c r="I497" t="s">
        <v>166</v>
      </c>
      <c r="J497" t="s">
        <v>369</v>
      </c>
      <c r="K497">
        <v>0.0075920095319883512</v>
      </c>
      <c r="L497" t="s">
        <v>153</v>
      </c>
      <c r="N497" t="s">
        <v>176</v>
      </c>
      <c r="O497" t="s">
        <v>369</v>
      </c>
      <c r="P497">
        <v>0.0075231461796326842</v>
      </c>
      <c r="Q497" t="s">
        <v>153</v>
      </c>
      <c r="AK497">
        <v>2048</v>
      </c>
      <c r="AL497" t="s">
        <v>149</v>
      </c>
      <c r="AM497">
        <v>0.35670000000000002</v>
      </c>
      <c r="AN497" t="s">
        <v>195</v>
      </c>
    </row>
    <row r="498" spans="9:40" ht="14.25">
      <c r="I498" t="s">
        <v>166</v>
      </c>
      <c r="J498" t="s">
        <v>370</v>
      </c>
      <c r="K498">
        <v>0</v>
      </c>
      <c r="L498" t="s">
        <v>153</v>
      </c>
      <c r="N498" t="s">
        <v>176</v>
      </c>
      <c r="O498" t="s">
        <v>370</v>
      </c>
      <c r="P498">
        <v>0.05476557208798933</v>
      </c>
      <c r="Q498" t="s">
        <v>153</v>
      </c>
      <c r="AK498">
        <v>2048</v>
      </c>
      <c r="AL498" t="s">
        <v>198</v>
      </c>
      <c r="AM498">
        <v>0.37065000000000003</v>
      </c>
      <c r="AN498" t="s">
        <v>195</v>
      </c>
    </row>
    <row r="499" spans="9:40" ht="14.25">
      <c r="I499" t="s">
        <v>166</v>
      </c>
      <c r="J499" t="s">
        <v>371</v>
      </c>
      <c r="K499">
        <v>0</v>
      </c>
      <c r="L499" t="s">
        <v>153</v>
      </c>
      <c r="N499" t="s">
        <v>176</v>
      </c>
      <c r="O499" t="s">
        <v>371</v>
      </c>
      <c r="P499">
        <v>0.0095672296083993257</v>
      </c>
      <c r="Q499" t="s">
        <v>153</v>
      </c>
      <c r="AK499">
        <v>2048</v>
      </c>
      <c r="AL499" t="s">
        <v>216</v>
      </c>
      <c r="AM499">
        <v>0.3846</v>
      </c>
      <c r="AN499" t="s">
        <v>195</v>
      </c>
    </row>
    <row r="500" spans="9:40" ht="14.25">
      <c r="I500" t="s">
        <v>166</v>
      </c>
      <c r="J500" t="s">
        <v>372</v>
      </c>
      <c r="K500">
        <v>0</v>
      </c>
      <c r="L500" t="s">
        <v>153</v>
      </c>
      <c r="N500" t="s">
        <v>176</v>
      </c>
      <c r="O500" t="s">
        <v>372</v>
      </c>
      <c r="P500">
        <v>0.0015730768797287023</v>
      </c>
      <c r="Q500" t="s">
        <v>153</v>
      </c>
      <c r="AK500">
        <v>2048</v>
      </c>
      <c r="AL500" t="s">
        <v>232</v>
      </c>
      <c r="AM500">
        <v>0.3846</v>
      </c>
      <c r="AN500" t="s">
        <v>195</v>
      </c>
    </row>
    <row r="501" spans="9:40" ht="14.25">
      <c r="I501" t="s">
        <v>166</v>
      </c>
      <c r="J501" t="s">
        <v>373</v>
      </c>
      <c r="K501">
        <v>0.0007964992470399434</v>
      </c>
      <c r="L501" t="s">
        <v>153</v>
      </c>
      <c r="N501" t="s">
        <v>176</v>
      </c>
      <c r="O501" t="s">
        <v>373</v>
      </c>
      <c r="P501">
        <v>0.0015091052947971398</v>
      </c>
      <c r="Q501" t="s">
        <v>153</v>
      </c>
      <c r="AK501">
        <v>2048</v>
      </c>
      <c r="AL501" t="s">
        <v>233</v>
      </c>
      <c r="AM501">
        <v>0.3846</v>
      </c>
      <c r="AN501" t="s">
        <v>195</v>
      </c>
    </row>
    <row r="502" spans="9:40" ht="14.25">
      <c r="I502" t="s">
        <v>166</v>
      </c>
      <c r="J502" t="s">
        <v>374</v>
      </c>
      <c r="K502">
        <v>0.0013830379073216659</v>
      </c>
      <c r="L502" t="s">
        <v>153</v>
      </c>
      <c r="N502" t="s">
        <v>176</v>
      </c>
      <c r="O502" t="s">
        <v>374</v>
      </c>
      <c r="P502">
        <v>0.0012826778551378185</v>
      </c>
      <c r="Q502" t="s">
        <v>153</v>
      </c>
      <c r="AK502">
        <v>2048</v>
      </c>
      <c r="AL502" t="s">
        <v>234</v>
      </c>
      <c r="AM502">
        <v>0.39895000000000003</v>
      </c>
      <c r="AN502" t="s">
        <v>195</v>
      </c>
    </row>
    <row r="503" spans="9:40" ht="14.25">
      <c r="I503" t="s">
        <v>166</v>
      </c>
      <c r="J503" t="s">
        <v>375</v>
      </c>
      <c r="K503">
        <v>0.012804782797057185</v>
      </c>
      <c r="L503" t="s">
        <v>153</v>
      </c>
      <c r="N503" t="s">
        <v>176</v>
      </c>
      <c r="O503" t="s">
        <v>375</v>
      </c>
      <c r="P503">
        <v>0.011598905789869635</v>
      </c>
      <c r="Q503" t="s">
        <v>153</v>
      </c>
      <c r="AK503">
        <v>2048</v>
      </c>
      <c r="AL503" t="s">
        <v>256</v>
      </c>
      <c r="AM503">
        <v>0.4133</v>
      </c>
      <c r="AN503" t="s">
        <v>195</v>
      </c>
    </row>
    <row r="504" spans="9:40" ht="14.25">
      <c r="I504" t="s">
        <v>166</v>
      </c>
      <c r="J504" t="s">
        <v>376</v>
      </c>
      <c r="K504">
        <v>0.0013662576643080938</v>
      </c>
      <c r="L504" t="s">
        <v>153</v>
      </c>
      <c r="N504" t="s">
        <v>176</v>
      </c>
      <c r="O504" t="s">
        <v>376</v>
      </c>
      <c r="P504">
        <v>0.0018782476546840151</v>
      </c>
      <c r="Q504" t="s">
        <v>153</v>
      </c>
      <c r="AK504">
        <v>2048</v>
      </c>
      <c r="AL504" t="s">
        <v>257</v>
      </c>
      <c r="AM504">
        <v>0.4577</v>
      </c>
      <c r="AN504" t="s">
        <v>195</v>
      </c>
    </row>
    <row r="505" spans="9:40" ht="14.25">
      <c r="I505" t="s">
        <v>166</v>
      </c>
      <c r="J505" t="s">
        <v>377</v>
      </c>
      <c r="K505">
        <v>0.00079557282034041</v>
      </c>
      <c r="L505" t="s">
        <v>153</v>
      </c>
      <c r="N505" t="s">
        <v>176</v>
      </c>
      <c r="O505" t="s">
        <v>377</v>
      </c>
      <c r="P505">
        <v>0.0018863227194029679</v>
      </c>
      <c r="Q505" t="s">
        <v>153</v>
      </c>
      <c r="AK505">
        <v>2048</v>
      </c>
      <c r="AL505" t="s">
        <v>258</v>
      </c>
      <c r="AM505">
        <v>0.50209999999999999</v>
      </c>
      <c r="AN505" t="s">
        <v>195</v>
      </c>
    </row>
    <row r="506" spans="9:40" ht="14.25">
      <c r="I506" t="s">
        <v>166</v>
      </c>
      <c r="J506" t="s">
        <v>378</v>
      </c>
      <c r="K506">
        <v>0</v>
      </c>
      <c r="L506" t="s">
        <v>153</v>
      </c>
      <c r="N506" t="s">
        <v>176</v>
      </c>
      <c r="O506" t="s">
        <v>378</v>
      </c>
      <c r="P506">
        <v>0.011251027550601117</v>
      </c>
      <c r="Q506" t="s">
        <v>153</v>
      </c>
      <c r="AK506">
        <v>2048</v>
      </c>
      <c r="AL506" t="s">
        <v>259</v>
      </c>
      <c r="AM506">
        <v>0.50209999999999999</v>
      </c>
      <c r="AN506" t="s">
        <v>195</v>
      </c>
    </row>
    <row r="507" spans="9:40" ht="14.25">
      <c r="I507" t="s">
        <v>166</v>
      </c>
      <c r="J507" t="s">
        <v>379</v>
      </c>
      <c r="K507">
        <v>0</v>
      </c>
      <c r="L507" t="s">
        <v>153</v>
      </c>
      <c r="N507" t="s">
        <v>176</v>
      </c>
      <c r="O507" t="s">
        <v>379</v>
      </c>
      <c r="P507">
        <v>0.0087598138627143687</v>
      </c>
      <c r="Q507" t="s">
        <v>153</v>
      </c>
      <c r="AK507">
        <v>2048</v>
      </c>
      <c r="AL507" t="s">
        <v>260</v>
      </c>
      <c r="AM507">
        <v>0.48304999999999998</v>
      </c>
      <c r="AN507" t="s">
        <v>195</v>
      </c>
    </row>
    <row r="508" spans="9:40" ht="14.25">
      <c r="I508" t="s">
        <v>166</v>
      </c>
      <c r="J508" t="s">
        <v>380</v>
      </c>
      <c r="K508">
        <v>0</v>
      </c>
      <c r="L508" t="s">
        <v>153</v>
      </c>
      <c r="N508" t="s">
        <v>176</v>
      </c>
      <c r="O508" t="s">
        <v>380</v>
      </c>
      <c r="P508">
        <v>0.0012227475725795466</v>
      </c>
      <c r="Q508" t="s">
        <v>153</v>
      </c>
      <c r="AK508">
        <v>2048</v>
      </c>
      <c r="AL508" t="s">
        <v>261</v>
      </c>
      <c r="AM508">
        <v>0.46400000000000002</v>
      </c>
      <c r="AN508" t="s">
        <v>195</v>
      </c>
    </row>
    <row r="509" spans="9:40" ht="14.25">
      <c r="I509" t="s">
        <v>166</v>
      </c>
      <c r="J509" t="s">
        <v>381</v>
      </c>
      <c r="K509">
        <v>0.0011528753836462639</v>
      </c>
      <c r="L509" t="s">
        <v>153</v>
      </c>
      <c r="N509" t="s">
        <v>176</v>
      </c>
      <c r="O509" t="s">
        <v>381</v>
      </c>
      <c r="P509">
        <v>0.0011888708475483274</v>
      </c>
      <c r="Q509" t="s">
        <v>153</v>
      </c>
      <c r="AK509">
        <v>2048</v>
      </c>
      <c r="AL509" t="s">
        <v>303</v>
      </c>
      <c r="AM509">
        <v>0.46400000000000002</v>
      </c>
      <c r="AN509" t="s">
        <v>195</v>
      </c>
    </row>
    <row r="510" spans="9:40" ht="14.25">
      <c r="I510" t="s">
        <v>166</v>
      </c>
      <c r="J510" t="s">
        <v>382</v>
      </c>
      <c r="K510">
        <v>0.0020572264594378264</v>
      </c>
      <c r="L510" t="s">
        <v>153</v>
      </c>
      <c r="N510" t="s">
        <v>176</v>
      </c>
      <c r="O510" t="s">
        <v>382</v>
      </c>
      <c r="P510">
        <v>0.00095968157605719466</v>
      </c>
      <c r="Q510" t="s">
        <v>153</v>
      </c>
      <c r="AK510">
        <v>2048</v>
      </c>
      <c r="AL510" t="s">
        <v>304</v>
      </c>
      <c r="AM510">
        <v>0.4245666666666667</v>
      </c>
      <c r="AN510" t="s">
        <v>195</v>
      </c>
    </row>
    <row r="511" spans="9:40" ht="14.25">
      <c r="I511" t="s">
        <v>166</v>
      </c>
      <c r="J511" t="s">
        <v>383</v>
      </c>
      <c r="K511">
        <v>0.01887009193013851</v>
      </c>
      <c r="L511" t="s">
        <v>153</v>
      </c>
      <c r="N511" t="s">
        <v>176</v>
      </c>
      <c r="O511" t="s">
        <v>383</v>
      </c>
      <c r="P511">
        <v>0.0059585266927594735</v>
      </c>
      <c r="Q511" t="s">
        <v>153</v>
      </c>
      <c r="AK511">
        <v>2048</v>
      </c>
      <c r="AL511" t="s">
        <v>305</v>
      </c>
      <c r="AM511">
        <v>0.35465000000000002</v>
      </c>
      <c r="AN511" t="s">
        <v>195</v>
      </c>
    </row>
    <row r="512" spans="9:40" ht="14.25">
      <c r="I512" t="s">
        <v>166</v>
      </c>
      <c r="J512" t="s">
        <v>384</v>
      </c>
      <c r="K512">
        <v>0.0020463050104873723</v>
      </c>
      <c r="L512" t="s">
        <v>153</v>
      </c>
      <c r="N512" t="s">
        <v>176</v>
      </c>
      <c r="O512" t="s">
        <v>384</v>
      </c>
      <c r="P512">
        <v>0.0011204367265950936</v>
      </c>
      <c r="Q512" t="s">
        <v>153</v>
      </c>
      <c r="AK512">
        <v>2048</v>
      </c>
      <c r="AL512" t="s">
        <v>306</v>
      </c>
      <c r="AM512">
        <v>0.35014999999999996</v>
      </c>
      <c r="AN512" t="s">
        <v>195</v>
      </c>
    </row>
    <row r="513" spans="9:40" ht="14.25">
      <c r="I513" t="s">
        <v>166</v>
      </c>
      <c r="J513" t="s">
        <v>385</v>
      </c>
      <c r="K513">
        <v>0.0012190027127761916</v>
      </c>
      <c r="L513" t="s">
        <v>153</v>
      </c>
      <c r="N513" t="s">
        <v>176</v>
      </c>
      <c r="O513" t="s">
        <v>385</v>
      </c>
      <c r="P513">
        <v>0.0013695034837225271</v>
      </c>
      <c r="Q513" t="s">
        <v>153</v>
      </c>
      <c r="AK513">
        <v>2048</v>
      </c>
      <c r="AL513" t="s">
        <v>307</v>
      </c>
      <c r="AM513">
        <v>0.36909999999999998</v>
      </c>
      <c r="AN513" t="s">
        <v>195</v>
      </c>
    </row>
    <row r="514" spans="9:40" ht="14.25">
      <c r="I514" t="s">
        <v>166</v>
      </c>
      <c r="J514" t="s">
        <v>386</v>
      </c>
      <c r="K514">
        <v>0</v>
      </c>
      <c r="L514" t="s">
        <v>153</v>
      </c>
      <c r="N514" t="s">
        <v>176</v>
      </c>
      <c r="O514" t="s">
        <v>386</v>
      </c>
      <c r="P514">
        <v>0.010945558215487063</v>
      </c>
      <c r="Q514" t="s">
        <v>153</v>
      </c>
      <c r="AK514">
        <v>2048</v>
      </c>
      <c r="AL514" t="s">
        <v>308</v>
      </c>
      <c r="AM514">
        <v>0.36909999999999998</v>
      </c>
      <c r="AN514" t="s">
        <v>195</v>
      </c>
    </row>
    <row r="515" spans="9:40" ht="14.25">
      <c r="I515" t="s">
        <v>167</v>
      </c>
      <c r="J515" t="s">
        <v>152</v>
      </c>
      <c r="K515">
        <v>0</v>
      </c>
      <c r="L515" t="s">
        <v>153</v>
      </c>
      <c r="N515" t="s">
        <v>177</v>
      </c>
      <c r="O515" t="s">
        <v>152</v>
      </c>
      <c r="P515">
        <v>0.0096073148398460439</v>
      </c>
      <c r="Q515" t="s">
        <v>153</v>
      </c>
      <c r="AK515">
        <v>2049</v>
      </c>
      <c r="AL515" t="s">
        <v>141</v>
      </c>
      <c r="AM515">
        <v>0.40889999999999999</v>
      </c>
      <c r="AN515" t="s">
        <v>195</v>
      </c>
    </row>
    <row r="516" spans="9:40" ht="14.25">
      <c r="I516" t="s">
        <v>167</v>
      </c>
      <c r="J516" t="s">
        <v>154</v>
      </c>
      <c r="K516">
        <v>0</v>
      </c>
      <c r="L516" t="s">
        <v>153</v>
      </c>
      <c r="N516" t="s">
        <v>177</v>
      </c>
      <c r="O516" t="s">
        <v>154</v>
      </c>
      <c r="P516">
        <v>0.0015607704812786792</v>
      </c>
      <c r="Q516" t="s">
        <v>153</v>
      </c>
      <c r="AK516">
        <v>2049</v>
      </c>
      <c r="AL516" t="s">
        <v>145</v>
      </c>
      <c r="AM516">
        <v>0.40889999999999999</v>
      </c>
      <c r="AN516" t="s">
        <v>195</v>
      </c>
    </row>
    <row r="517" spans="9:40" ht="14.25">
      <c r="I517" t="s">
        <v>167</v>
      </c>
      <c r="J517" t="s">
        <v>155</v>
      </c>
      <c r="K517">
        <v>0.0010760796420705241</v>
      </c>
      <c r="L517" t="s">
        <v>153</v>
      </c>
      <c r="N517" t="s">
        <v>177</v>
      </c>
      <c r="O517" t="s">
        <v>155</v>
      </c>
      <c r="P517">
        <v>0.001549619769635134</v>
      </c>
      <c r="Q517" t="s">
        <v>153</v>
      </c>
      <c r="AK517">
        <v>2049</v>
      </c>
      <c r="AL517" t="s">
        <v>147</v>
      </c>
      <c r="AM517">
        <v>0.39829999999999999</v>
      </c>
      <c r="AN517" t="s">
        <v>195</v>
      </c>
    </row>
    <row r="518" spans="9:40" ht="14.25">
      <c r="I518" t="s">
        <v>167</v>
      </c>
      <c r="J518" t="s">
        <v>200</v>
      </c>
      <c r="K518">
        <v>0.0020108554137841387</v>
      </c>
      <c r="L518" t="s">
        <v>153</v>
      </c>
      <c r="N518" t="s">
        <v>177</v>
      </c>
      <c r="O518" t="s">
        <v>200</v>
      </c>
      <c r="P518">
        <v>0.0014530643865149039</v>
      </c>
      <c r="Q518" t="s">
        <v>153</v>
      </c>
      <c r="AK518">
        <v>2049</v>
      </c>
      <c r="AL518" t="s">
        <v>149</v>
      </c>
      <c r="AM518">
        <v>0.38769999999999999</v>
      </c>
      <c r="AN518" t="s">
        <v>195</v>
      </c>
    </row>
    <row r="519" spans="9:40" ht="14.25">
      <c r="I519" t="s">
        <v>167</v>
      </c>
      <c r="J519" t="s">
        <v>201</v>
      </c>
      <c r="K519">
        <v>0.019009459332700023</v>
      </c>
      <c r="L519" t="s">
        <v>153</v>
      </c>
      <c r="N519" t="s">
        <v>177</v>
      </c>
      <c r="O519" t="s">
        <v>201</v>
      </c>
      <c r="P519">
        <v>0.0077962995212899136</v>
      </c>
      <c r="Q519" t="s">
        <v>153</v>
      </c>
      <c r="AK519">
        <v>2049</v>
      </c>
      <c r="AL519" t="s">
        <v>198</v>
      </c>
      <c r="AM519">
        <v>0.43204999999999999</v>
      </c>
      <c r="AN519" t="s">
        <v>195</v>
      </c>
    </row>
    <row r="520" spans="9:40" ht="14.25">
      <c r="I520" t="s">
        <v>167</v>
      </c>
      <c r="J520" t="s">
        <v>218</v>
      </c>
      <c r="K520">
        <v>0.0021930477410503201</v>
      </c>
      <c r="L520" t="s">
        <v>153</v>
      </c>
      <c r="N520" t="s">
        <v>177</v>
      </c>
      <c r="O520" t="s">
        <v>218</v>
      </c>
      <c r="P520">
        <v>0.00085268341954359173</v>
      </c>
      <c r="Q520" t="s">
        <v>153</v>
      </c>
      <c r="AK520">
        <v>2049</v>
      </c>
      <c r="AL520" t="s">
        <v>216</v>
      </c>
      <c r="AM520">
        <v>0.47639999999999999</v>
      </c>
      <c r="AN520" t="s">
        <v>195</v>
      </c>
    </row>
    <row r="521" spans="9:40" ht="14.25">
      <c r="I521" t="s">
        <v>167</v>
      </c>
      <c r="J521" t="s">
        <v>309</v>
      </c>
      <c r="K521">
        <v>0.0012012490626948857</v>
      </c>
      <c r="L521" t="s">
        <v>153</v>
      </c>
      <c r="N521" t="s">
        <v>177</v>
      </c>
      <c r="O521" t="s">
        <v>309</v>
      </c>
      <c r="P521">
        <v>0.00075769360930149417</v>
      </c>
      <c r="Q521" t="s">
        <v>153</v>
      </c>
      <c r="AK521">
        <v>2049</v>
      </c>
      <c r="AL521" t="s">
        <v>232</v>
      </c>
      <c r="AM521">
        <v>0.47639999999999999</v>
      </c>
      <c r="AN521" t="s">
        <v>195</v>
      </c>
    </row>
    <row r="522" spans="9:40" ht="14.25">
      <c r="I522" t="s">
        <v>167</v>
      </c>
      <c r="J522" t="s">
        <v>310</v>
      </c>
      <c r="K522">
        <v>0</v>
      </c>
      <c r="L522" t="s">
        <v>153</v>
      </c>
      <c r="N522" t="s">
        <v>177</v>
      </c>
      <c r="O522" t="s">
        <v>310</v>
      </c>
      <c r="P522">
        <v>0.007720911475212801</v>
      </c>
      <c r="Q522" t="s">
        <v>153</v>
      </c>
      <c r="AK522">
        <v>2049</v>
      </c>
      <c r="AL522" t="s">
        <v>233</v>
      </c>
      <c r="AM522">
        <v>0.47639999999999999</v>
      </c>
      <c r="AN522" t="s">
        <v>195</v>
      </c>
    </row>
    <row r="523" spans="9:40" ht="14.25">
      <c r="I523" t="s">
        <v>167</v>
      </c>
      <c r="J523" t="s">
        <v>156</v>
      </c>
      <c r="K523">
        <v>0</v>
      </c>
      <c r="L523" t="s">
        <v>153</v>
      </c>
      <c r="N523" t="s">
        <v>177</v>
      </c>
      <c r="O523" t="s">
        <v>156</v>
      </c>
      <c r="P523">
        <v>0.013888191152670761</v>
      </c>
      <c r="Q523" t="s">
        <v>153</v>
      </c>
      <c r="AK523">
        <v>2049</v>
      </c>
      <c r="AL523" t="s">
        <v>234</v>
      </c>
      <c r="AM523">
        <v>0.49860000000000004</v>
      </c>
      <c r="AN523" t="s">
        <v>195</v>
      </c>
    </row>
    <row r="524" spans="9:40" ht="14.25">
      <c r="I524" t="s">
        <v>167</v>
      </c>
      <c r="J524" t="s">
        <v>157</v>
      </c>
      <c r="K524">
        <v>0</v>
      </c>
      <c r="L524" t="s">
        <v>153</v>
      </c>
      <c r="N524" t="s">
        <v>177</v>
      </c>
      <c r="O524" t="s">
        <v>157</v>
      </c>
      <c r="P524">
        <v>0.002362941095773187</v>
      </c>
      <c r="Q524" t="s">
        <v>153</v>
      </c>
      <c r="AK524">
        <v>2049</v>
      </c>
      <c r="AL524" t="s">
        <v>256</v>
      </c>
      <c r="AM524">
        <v>0.52080000000000004</v>
      </c>
      <c r="AN524" t="s">
        <v>195</v>
      </c>
    </row>
    <row r="525" spans="9:40" ht="14.25">
      <c r="I525" t="s">
        <v>167</v>
      </c>
      <c r="J525" t="s">
        <v>158</v>
      </c>
      <c r="K525">
        <v>0.00062681318981089307</v>
      </c>
      <c r="L525" t="s">
        <v>153</v>
      </c>
      <c r="N525" t="s">
        <v>177</v>
      </c>
      <c r="O525" t="s">
        <v>158</v>
      </c>
      <c r="P525">
        <v>0.002362505744304434</v>
      </c>
      <c r="Q525" t="s">
        <v>153</v>
      </c>
      <c r="AK525">
        <v>2049</v>
      </c>
      <c r="AL525" t="s">
        <v>257</v>
      </c>
      <c r="AM525">
        <v>0.54984999999999995</v>
      </c>
      <c r="AN525" t="s">
        <v>195</v>
      </c>
    </row>
    <row r="526" spans="9:40" ht="14.25">
      <c r="I526" t="s">
        <v>167</v>
      </c>
      <c r="J526" t="s">
        <v>202</v>
      </c>
      <c r="K526">
        <v>0.0011476524903196077</v>
      </c>
      <c r="L526" t="s">
        <v>153</v>
      </c>
      <c r="N526" t="s">
        <v>177</v>
      </c>
      <c r="O526" t="s">
        <v>202</v>
      </c>
      <c r="P526">
        <v>0.0022770886406509147</v>
      </c>
      <c r="Q526" t="s">
        <v>153</v>
      </c>
      <c r="AK526">
        <v>2049</v>
      </c>
      <c r="AL526" t="s">
        <v>258</v>
      </c>
      <c r="AM526">
        <v>0.57889999999999997</v>
      </c>
      <c r="AN526" t="s">
        <v>195</v>
      </c>
    </row>
    <row r="527" spans="9:40" ht="14.25">
      <c r="I527" t="s">
        <v>167</v>
      </c>
      <c r="J527" t="s">
        <v>203</v>
      </c>
      <c r="K527">
        <v>0.010886250866528701</v>
      </c>
      <c r="L527" t="s">
        <v>153</v>
      </c>
      <c r="N527" t="s">
        <v>177</v>
      </c>
      <c r="O527" t="s">
        <v>203</v>
      </c>
      <c r="P527">
        <v>0.017019521907791282</v>
      </c>
      <c r="Q527" t="s">
        <v>153</v>
      </c>
      <c r="AK527">
        <v>2049</v>
      </c>
      <c r="AL527" t="s">
        <v>259</v>
      </c>
      <c r="AM527">
        <v>0.57889999999999997</v>
      </c>
      <c r="AN527" t="s">
        <v>195</v>
      </c>
    </row>
    <row r="528" spans="9:40" ht="14.25">
      <c r="I528" t="s">
        <v>167</v>
      </c>
      <c r="J528" t="s">
        <v>219</v>
      </c>
      <c r="K528">
        <v>0.0013596350256211728</v>
      </c>
      <c r="L528" t="s">
        <v>153</v>
      </c>
      <c r="N528" t="s">
        <v>177</v>
      </c>
      <c r="O528" t="s">
        <v>219</v>
      </c>
      <c r="P528">
        <v>0.0023472645113731044</v>
      </c>
      <c r="Q528" t="s">
        <v>153</v>
      </c>
      <c r="AK528">
        <v>2049</v>
      </c>
      <c r="AL528" t="s">
        <v>260</v>
      </c>
      <c r="AM528">
        <v>0.53889999999999993</v>
      </c>
      <c r="AN528" t="s">
        <v>195</v>
      </c>
    </row>
    <row r="529" spans="9:40" ht="14.25">
      <c r="I529" t="s">
        <v>167</v>
      </c>
      <c r="J529" t="s">
        <v>311</v>
      </c>
      <c r="K529">
        <v>0.00077205921913098827</v>
      </c>
      <c r="L529" t="s">
        <v>153</v>
      </c>
      <c r="N529" t="s">
        <v>177</v>
      </c>
      <c r="O529" t="s">
        <v>311</v>
      </c>
      <c r="P529">
        <v>0.0022145057103088593</v>
      </c>
      <c r="Q529" t="s">
        <v>153</v>
      </c>
      <c r="AK529">
        <v>2049</v>
      </c>
      <c r="AL529" t="s">
        <v>261</v>
      </c>
      <c r="AM529">
        <v>0.49890000000000001</v>
      </c>
      <c r="AN529" t="s">
        <v>195</v>
      </c>
    </row>
    <row r="530" spans="9:40" ht="14.25">
      <c r="I530" t="s">
        <v>167</v>
      </c>
      <c r="J530" t="s">
        <v>312</v>
      </c>
      <c r="K530">
        <v>0</v>
      </c>
      <c r="L530" t="s">
        <v>153</v>
      </c>
      <c r="N530" t="s">
        <v>177</v>
      </c>
      <c r="O530" t="s">
        <v>312</v>
      </c>
      <c r="P530">
        <v>0.011633809170586934</v>
      </c>
      <c r="Q530" t="s">
        <v>153</v>
      </c>
      <c r="AK530">
        <v>2049</v>
      </c>
      <c r="AL530" t="s">
        <v>303</v>
      </c>
      <c r="AM530">
        <v>0.49890000000000001</v>
      </c>
      <c r="AN530" t="s">
        <v>195</v>
      </c>
    </row>
    <row r="531" spans="9:40" ht="14.25">
      <c r="I531" t="s">
        <v>167</v>
      </c>
      <c r="J531" t="s">
        <v>159</v>
      </c>
      <c r="K531">
        <v>0</v>
      </c>
      <c r="L531" t="s">
        <v>153</v>
      </c>
      <c r="N531" t="s">
        <v>177</v>
      </c>
      <c r="O531" t="s">
        <v>159</v>
      </c>
      <c r="P531">
        <v>0.0052001256722076453</v>
      </c>
      <c r="Q531" t="s">
        <v>153</v>
      </c>
      <c r="AK531">
        <v>2049</v>
      </c>
      <c r="AL531" t="s">
        <v>304</v>
      </c>
      <c r="AM531">
        <v>0.46823333333333333</v>
      </c>
      <c r="AN531" t="s">
        <v>195</v>
      </c>
    </row>
    <row r="532" spans="9:40" ht="14.25">
      <c r="I532" t="s">
        <v>167</v>
      </c>
      <c r="J532" t="s">
        <v>160</v>
      </c>
      <c r="K532">
        <v>0</v>
      </c>
      <c r="L532" t="s">
        <v>153</v>
      </c>
      <c r="N532" t="s">
        <v>177</v>
      </c>
      <c r="O532" t="s">
        <v>160</v>
      </c>
      <c r="P532">
        <v>0.00090751029988109255</v>
      </c>
      <c r="Q532" t="s">
        <v>153</v>
      </c>
      <c r="AK532">
        <v>2049</v>
      </c>
      <c r="AL532" t="s">
        <v>305</v>
      </c>
      <c r="AM532">
        <v>0.43674999999999997</v>
      </c>
      <c r="AN532" t="s">
        <v>195</v>
      </c>
    </row>
    <row r="533" spans="9:40" ht="14.25">
      <c r="I533" t="s">
        <v>167</v>
      </c>
      <c r="J533" t="s">
        <v>161</v>
      </c>
      <c r="K533">
        <v>0.0016343404497670987</v>
      </c>
      <c r="L533" t="s">
        <v>153</v>
      </c>
      <c r="N533" t="s">
        <v>177</v>
      </c>
      <c r="O533" t="s">
        <v>161</v>
      </c>
      <c r="P533">
        <v>0.00089050467884041148</v>
      </c>
      <c r="Q533" t="s">
        <v>153</v>
      </c>
      <c r="AK533">
        <v>2049</v>
      </c>
      <c r="AL533" t="s">
        <v>306</v>
      </c>
      <c r="AM533">
        <v>0.42310000000000003</v>
      </c>
      <c r="AN533" t="s">
        <v>195</v>
      </c>
    </row>
    <row r="534" spans="9:40" ht="14.25">
      <c r="I534" t="s">
        <v>167</v>
      </c>
      <c r="J534" t="s">
        <v>204</v>
      </c>
      <c r="K534">
        <v>0.0032458141137579849</v>
      </c>
      <c r="L534" t="s">
        <v>153</v>
      </c>
      <c r="N534" t="s">
        <v>177</v>
      </c>
      <c r="O534" t="s">
        <v>204</v>
      </c>
      <c r="P534">
        <v>0.00083864376689752045</v>
      </c>
      <c r="Q534" t="s">
        <v>153</v>
      </c>
      <c r="AK534">
        <v>2049</v>
      </c>
      <c r="AL534" t="s">
        <v>307</v>
      </c>
      <c r="AM534">
        <v>0.44180000000000003</v>
      </c>
      <c r="AN534" t="s">
        <v>195</v>
      </c>
    </row>
    <row r="535" spans="9:40" ht="14.25">
      <c r="I535" t="s">
        <v>167</v>
      </c>
      <c r="J535" t="s">
        <v>205</v>
      </c>
      <c r="K535">
        <v>0.033324427632782663</v>
      </c>
      <c r="L535" t="s">
        <v>153</v>
      </c>
      <c r="N535" t="s">
        <v>177</v>
      </c>
      <c r="O535" t="s">
        <v>205</v>
      </c>
      <c r="P535">
        <v>0.0052495127476540476</v>
      </c>
      <c r="Q535" t="s">
        <v>153</v>
      </c>
      <c r="AK535">
        <v>2049</v>
      </c>
      <c r="AL535" t="s">
        <v>308</v>
      </c>
      <c r="AM535">
        <v>0.44180000000000003</v>
      </c>
      <c r="AN535" t="s">
        <v>195</v>
      </c>
    </row>
    <row r="536" spans="9:40" ht="14.25">
      <c r="I536" t="s">
        <v>167</v>
      </c>
      <c r="J536" t="s">
        <v>220</v>
      </c>
      <c r="K536">
        <v>0.0039699157014212892</v>
      </c>
      <c r="L536" t="s">
        <v>153</v>
      </c>
      <c r="N536" t="s">
        <v>177</v>
      </c>
      <c r="O536" t="s">
        <v>220</v>
      </c>
      <c r="P536">
        <v>0.0010952943800197428</v>
      </c>
      <c r="Q536" t="s">
        <v>153</v>
      </c>
      <c r="AK536">
        <v>2050</v>
      </c>
      <c r="AL536" t="s">
        <v>141</v>
      </c>
      <c r="AM536">
        <v>0.42380000000000001</v>
      </c>
      <c r="AN536" t="s">
        <v>195</v>
      </c>
    </row>
    <row r="537" spans="9:40" ht="14.25">
      <c r="I537" t="s">
        <v>167</v>
      </c>
      <c r="J537" t="s">
        <v>313</v>
      </c>
      <c r="K537">
        <v>0.0023205245726078115</v>
      </c>
      <c r="L537" t="s">
        <v>153</v>
      </c>
      <c r="N537" t="s">
        <v>177</v>
      </c>
      <c r="O537" t="s">
        <v>313</v>
      </c>
      <c r="P537">
        <v>0.0013354884204902187</v>
      </c>
      <c r="Q537" t="s">
        <v>153</v>
      </c>
      <c r="AK537">
        <v>2050</v>
      </c>
      <c r="AL537" t="s">
        <v>145</v>
      </c>
      <c r="AM537">
        <v>0.42380000000000001</v>
      </c>
      <c r="AN537" t="s">
        <v>195</v>
      </c>
    </row>
    <row r="538" spans="9:40" ht="14.25">
      <c r="I538" t="s">
        <v>167</v>
      </c>
      <c r="J538" t="s">
        <v>314</v>
      </c>
      <c r="K538">
        <v>0</v>
      </c>
      <c r="L538" t="s">
        <v>153</v>
      </c>
      <c r="N538" t="s">
        <v>177</v>
      </c>
      <c r="O538" t="s">
        <v>314</v>
      </c>
      <c r="P538">
        <v>0.0065497185309555742</v>
      </c>
      <c r="Q538" t="s">
        <v>153</v>
      </c>
      <c r="AK538">
        <v>2050</v>
      </c>
      <c r="AL538" t="s">
        <v>147</v>
      </c>
      <c r="AM538">
        <v>0.43230000000000002</v>
      </c>
      <c r="AN538" t="s">
        <v>195</v>
      </c>
    </row>
    <row r="539" spans="9:40" ht="14.25">
      <c r="I539" t="s">
        <v>167</v>
      </c>
      <c r="J539" t="s">
        <v>162</v>
      </c>
      <c r="K539">
        <v>0</v>
      </c>
      <c r="L539" t="s">
        <v>153</v>
      </c>
      <c r="N539" t="s">
        <v>177</v>
      </c>
      <c r="O539" t="s">
        <v>162</v>
      </c>
      <c r="P539">
        <v>0.014093439167327082</v>
      </c>
      <c r="Q539" t="s">
        <v>153</v>
      </c>
      <c r="AK539">
        <v>2050</v>
      </c>
      <c r="AL539" t="s">
        <v>149</v>
      </c>
      <c r="AM539">
        <v>0.44080000000000003</v>
      </c>
      <c r="AN539" t="s">
        <v>195</v>
      </c>
    </row>
    <row r="540" spans="9:40" ht="14.25">
      <c r="I540" t="s">
        <v>167</v>
      </c>
      <c r="J540" t="s">
        <v>163</v>
      </c>
      <c r="K540">
        <v>0</v>
      </c>
      <c r="L540" t="s">
        <v>153</v>
      </c>
      <c r="N540" t="s">
        <v>177</v>
      </c>
      <c r="O540" t="s">
        <v>163</v>
      </c>
      <c r="P540">
        <v>0.0025396297749754955</v>
      </c>
      <c r="Q540" t="s">
        <v>153</v>
      </c>
      <c r="AK540">
        <v>2050</v>
      </c>
      <c r="AL540" t="s">
        <v>198</v>
      </c>
      <c r="AM540">
        <v>0.46965000000000001</v>
      </c>
      <c r="AN540" t="s">
        <v>195</v>
      </c>
    </row>
    <row r="541" spans="9:40" ht="14.25">
      <c r="I541" t="s">
        <v>167</v>
      </c>
      <c r="J541" t="s">
        <v>164</v>
      </c>
      <c r="K541">
        <v>0.0026829466221818259</v>
      </c>
      <c r="L541" t="s">
        <v>153</v>
      </c>
      <c r="N541" t="s">
        <v>177</v>
      </c>
      <c r="O541" t="s">
        <v>164</v>
      </c>
      <c r="P541">
        <v>0.0026093815610889227</v>
      </c>
      <c r="Q541" t="s">
        <v>153</v>
      </c>
      <c r="AK541">
        <v>2050</v>
      </c>
      <c r="AL541" t="s">
        <v>216</v>
      </c>
      <c r="AM541">
        <v>0.4985</v>
      </c>
      <c r="AN541" t="s">
        <v>195</v>
      </c>
    </row>
    <row r="542" spans="9:40" ht="14.25">
      <c r="I542" t="s">
        <v>167</v>
      </c>
      <c r="J542" t="s">
        <v>206</v>
      </c>
      <c r="K542">
        <v>0.0050643609817835724</v>
      </c>
      <c r="L542" t="s">
        <v>153</v>
      </c>
      <c r="N542" t="s">
        <v>177</v>
      </c>
      <c r="O542" t="s">
        <v>206</v>
      </c>
      <c r="P542">
        <v>0.0024392314248213418</v>
      </c>
      <c r="Q542" t="s">
        <v>153</v>
      </c>
      <c r="AK542">
        <v>2050</v>
      </c>
      <c r="AL542" t="s">
        <v>232</v>
      </c>
      <c r="AM542">
        <v>0.4985</v>
      </c>
      <c r="AN542" t="s">
        <v>195</v>
      </c>
    </row>
    <row r="543" spans="9:40" ht="14.25">
      <c r="I543" t="s">
        <v>167</v>
      </c>
      <c r="J543" t="s">
        <v>207</v>
      </c>
      <c r="K543">
        <v>0.051114070397735537</v>
      </c>
      <c r="L543" t="s">
        <v>153</v>
      </c>
      <c r="N543" t="s">
        <v>177</v>
      </c>
      <c r="O543" t="s">
        <v>207</v>
      </c>
      <c r="P543">
        <v>0.021087531505376157</v>
      </c>
      <c r="Q543" t="s">
        <v>153</v>
      </c>
      <c r="AK543">
        <v>2050</v>
      </c>
      <c r="AL543" t="s">
        <v>233</v>
      </c>
      <c r="AM543">
        <v>0.4985</v>
      </c>
      <c r="AN543" t="s">
        <v>195</v>
      </c>
    </row>
    <row r="544" spans="9:40" ht="14.25">
      <c r="I544" t="s">
        <v>167</v>
      </c>
      <c r="J544" t="s">
        <v>221</v>
      </c>
      <c r="K544">
        <v>0.0064502007203217524</v>
      </c>
      <c r="L544" t="s">
        <v>153</v>
      </c>
      <c r="N544" t="s">
        <v>177</v>
      </c>
      <c r="O544" t="s">
        <v>221</v>
      </c>
      <c r="P544">
        <v>0.003006095544169249</v>
      </c>
      <c r="Q544" t="s">
        <v>153</v>
      </c>
      <c r="AK544">
        <v>2050</v>
      </c>
      <c r="AL544" t="s">
        <v>234</v>
      </c>
      <c r="AM544">
        <v>0.47944999999999999</v>
      </c>
      <c r="AN544" t="s">
        <v>195</v>
      </c>
    </row>
    <row r="545" spans="9:40" ht="14.25">
      <c r="I545" t="s">
        <v>167</v>
      </c>
      <c r="J545" t="s">
        <v>315</v>
      </c>
      <c r="K545">
        <v>0.0042694820260991886</v>
      </c>
      <c r="L545" t="s">
        <v>153</v>
      </c>
      <c r="N545" t="s">
        <v>177</v>
      </c>
      <c r="O545" t="s">
        <v>315</v>
      </c>
      <c r="P545">
        <v>0.002964802583663456</v>
      </c>
      <c r="Q545" t="s">
        <v>153</v>
      </c>
      <c r="AK545">
        <v>2050</v>
      </c>
      <c r="AL545" t="s">
        <v>256</v>
      </c>
      <c r="AM545">
        <v>0.46039999999999998</v>
      </c>
      <c r="AN545" t="s">
        <v>195</v>
      </c>
    </row>
    <row r="546" spans="9:40" ht="14.25">
      <c r="I546" t="s">
        <v>167</v>
      </c>
      <c r="J546" t="s">
        <v>316</v>
      </c>
      <c r="K546">
        <v>0</v>
      </c>
      <c r="L546" t="s">
        <v>153</v>
      </c>
      <c r="N546" t="s">
        <v>177</v>
      </c>
      <c r="O546" t="s">
        <v>316</v>
      </c>
      <c r="P546">
        <v>0.016370787531059701</v>
      </c>
      <c r="Q546" t="s">
        <v>153</v>
      </c>
      <c r="AK546">
        <v>2050</v>
      </c>
      <c r="AL546" t="s">
        <v>257</v>
      </c>
      <c r="AM546">
        <v>0.50654999999999994</v>
      </c>
      <c r="AN546" t="s">
        <v>195</v>
      </c>
    </row>
    <row r="547" spans="9:40" ht="14.25">
      <c r="I547" t="s">
        <v>167</v>
      </c>
      <c r="J547" t="s">
        <v>208</v>
      </c>
      <c r="K547">
        <v>0</v>
      </c>
      <c r="L547" t="s">
        <v>153</v>
      </c>
      <c r="N547" t="s">
        <v>177</v>
      </c>
      <c r="O547" t="s">
        <v>208</v>
      </c>
      <c r="P547">
        <v>0.0029526347967673474</v>
      </c>
      <c r="Q547" t="s">
        <v>153</v>
      </c>
      <c r="AK547">
        <v>2050</v>
      </c>
      <c r="AL547" t="s">
        <v>258</v>
      </c>
      <c r="AM547">
        <v>0.55269999999999997</v>
      </c>
      <c r="AN547" t="s">
        <v>195</v>
      </c>
    </row>
    <row r="548" spans="9:40" ht="14.25">
      <c r="I548" t="s">
        <v>167</v>
      </c>
      <c r="J548" t="s">
        <v>209</v>
      </c>
      <c r="K548">
        <v>0</v>
      </c>
      <c r="L548" t="s">
        <v>153</v>
      </c>
      <c r="N548" t="s">
        <v>177</v>
      </c>
      <c r="O548" t="s">
        <v>209</v>
      </c>
      <c r="P548">
        <v>0.00034714555041836668</v>
      </c>
      <c r="Q548" t="s">
        <v>153</v>
      </c>
      <c r="AK548">
        <v>2050</v>
      </c>
      <c r="AL548" t="s">
        <v>259</v>
      </c>
      <c r="AM548">
        <v>0.55269999999999997</v>
      </c>
      <c r="AN548" t="s">
        <v>195</v>
      </c>
    </row>
    <row r="549" spans="9:40" ht="14.25">
      <c r="I549" t="s">
        <v>167</v>
      </c>
      <c r="J549" t="s">
        <v>210</v>
      </c>
      <c r="K549">
        <v>0.00078449369183497346</v>
      </c>
      <c r="L549" t="s">
        <v>153</v>
      </c>
      <c r="N549" t="s">
        <v>177</v>
      </c>
      <c r="O549" t="s">
        <v>210</v>
      </c>
      <c r="P549">
        <v>0.00039787723834864522</v>
      </c>
      <c r="Q549" t="s">
        <v>153</v>
      </c>
      <c r="AK549">
        <v>2050</v>
      </c>
      <c r="AL549" t="s">
        <v>260</v>
      </c>
      <c r="AM549">
        <v>0.56969999999999998</v>
      </c>
      <c r="AN549" t="s">
        <v>195</v>
      </c>
    </row>
    <row r="550" spans="9:40" ht="14.25">
      <c r="I550" t="s">
        <v>167</v>
      </c>
      <c r="J550" t="s">
        <v>211</v>
      </c>
      <c r="K550">
        <v>0.0014489251633187507</v>
      </c>
      <c r="L550" t="s">
        <v>153</v>
      </c>
      <c r="N550" t="s">
        <v>177</v>
      </c>
      <c r="O550" t="s">
        <v>211</v>
      </c>
      <c r="P550">
        <v>0.00040553038906991672</v>
      </c>
      <c r="Q550" t="s">
        <v>153</v>
      </c>
      <c r="AK550">
        <v>2050</v>
      </c>
      <c r="AL550" t="s">
        <v>261</v>
      </c>
      <c r="AM550">
        <v>0.5867</v>
      </c>
      <c r="AN550" t="s">
        <v>195</v>
      </c>
    </row>
    <row r="551" spans="9:40" ht="14.25">
      <c r="I551" t="s">
        <v>167</v>
      </c>
      <c r="J551" t="s">
        <v>212</v>
      </c>
      <c r="K551">
        <v>0.014645350030720239</v>
      </c>
      <c r="L551" t="s">
        <v>153</v>
      </c>
      <c r="N551" t="s">
        <v>177</v>
      </c>
      <c r="O551" t="s">
        <v>212</v>
      </c>
      <c r="P551">
        <v>0.0013295888826971478</v>
      </c>
      <c r="Q551" t="s">
        <v>153</v>
      </c>
      <c r="AK551">
        <v>2050</v>
      </c>
      <c r="AL551" t="s">
        <v>303</v>
      </c>
      <c r="AM551">
        <v>0.5867</v>
      </c>
      <c r="AN551" t="s">
        <v>195</v>
      </c>
    </row>
    <row r="552" spans="9:40" ht="14.25">
      <c r="I552" t="s">
        <v>167</v>
      </c>
      <c r="J552" t="s">
        <v>222</v>
      </c>
      <c r="K552">
        <v>0.0017626268966474605</v>
      </c>
      <c r="L552" t="s">
        <v>153</v>
      </c>
      <c r="N552" t="s">
        <v>177</v>
      </c>
      <c r="O552" t="s">
        <v>222</v>
      </c>
      <c r="P552">
        <v>7.5390658787700859E-05</v>
      </c>
      <c r="Q552" t="s">
        <v>153</v>
      </c>
      <c r="AK552">
        <v>2050</v>
      </c>
      <c r="AL552" t="s">
        <v>304</v>
      </c>
      <c r="AM552">
        <v>0.49646666666666661</v>
      </c>
      <c r="AN552" t="s">
        <v>195</v>
      </c>
    </row>
    <row r="553" spans="9:40" ht="14.25">
      <c r="I553" t="s">
        <v>167</v>
      </c>
      <c r="J553" t="s">
        <v>317</v>
      </c>
      <c r="K553">
        <v>0.001093352661895452</v>
      </c>
      <c r="L553" t="s">
        <v>153</v>
      </c>
      <c r="N553" t="s">
        <v>177</v>
      </c>
      <c r="O553" t="s">
        <v>317</v>
      </c>
      <c r="P553">
        <v>0.00022371254613068933</v>
      </c>
      <c r="Q553" t="s">
        <v>153</v>
      </c>
      <c r="AK553">
        <v>2050</v>
      </c>
      <c r="AL553" t="s">
        <v>305</v>
      </c>
      <c r="AM553">
        <v>0.41220000000000001</v>
      </c>
      <c r="AN553" t="s">
        <v>195</v>
      </c>
    </row>
    <row r="554" spans="9:40" ht="14.25">
      <c r="I554" t="s">
        <v>167</v>
      </c>
      <c r="J554" t="s">
        <v>318</v>
      </c>
      <c r="K554">
        <v>0</v>
      </c>
      <c r="L554" t="s">
        <v>153</v>
      </c>
      <c r="N554" t="s">
        <v>177</v>
      </c>
      <c r="O554" t="s">
        <v>318</v>
      </c>
      <c r="P554">
        <v>0.0037900202792688895</v>
      </c>
      <c r="Q554" t="s">
        <v>153</v>
      </c>
      <c r="AK554">
        <v>2050</v>
      </c>
      <c r="AL554" t="s">
        <v>306</v>
      </c>
      <c r="AM554">
        <v>0.41422500000000001</v>
      </c>
      <c r="AN554" t="s">
        <v>195</v>
      </c>
    </row>
    <row r="555" spans="9:40" ht="14.25">
      <c r="I555" t="s">
        <v>167</v>
      </c>
      <c r="J555" t="s">
        <v>223</v>
      </c>
      <c r="K555">
        <v>0</v>
      </c>
      <c r="L555" t="s">
        <v>153</v>
      </c>
      <c r="N555" t="s">
        <v>177</v>
      </c>
      <c r="O555" t="s">
        <v>223</v>
      </c>
      <c r="P555">
        <v>0.013777532807393106</v>
      </c>
      <c r="Q555" t="s">
        <v>153</v>
      </c>
      <c r="AK555">
        <v>2050</v>
      </c>
      <c r="AL555" t="s">
        <v>307</v>
      </c>
      <c r="AM555">
        <v>0.39979999999999999</v>
      </c>
      <c r="AN555" t="s">
        <v>195</v>
      </c>
    </row>
    <row r="556" spans="9:40" ht="14.25">
      <c r="I556" t="s">
        <v>167</v>
      </c>
      <c r="J556" t="s">
        <v>224</v>
      </c>
      <c r="K556">
        <v>0</v>
      </c>
      <c r="L556" t="s">
        <v>153</v>
      </c>
      <c r="N556" t="s">
        <v>177</v>
      </c>
      <c r="O556" t="s">
        <v>224</v>
      </c>
      <c r="P556">
        <v>0.0020958045075513106</v>
      </c>
      <c r="Q556" t="s">
        <v>153</v>
      </c>
      <c r="AK556">
        <v>2050</v>
      </c>
      <c r="AL556" t="s">
        <v>308</v>
      </c>
      <c r="AM556">
        <v>0.39979999999999999</v>
      </c>
      <c r="AN556" t="s">
        <v>195</v>
      </c>
    </row>
    <row r="557" spans="9:17" ht="14.25">
      <c r="I557" t="s">
        <v>167</v>
      </c>
      <c r="J557" t="s">
        <v>225</v>
      </c>
      <c r="K557">
        <v>0.0011281928545407551</v>
      </c>
      <c r="L557" t="s">
        <v>153</v>
      </c>
      <c r="N557" t="s">
        <v>177</v>
      </c>
      <c r="O557" t="s">
        <v>225</v>
      </c>
      <c r="P557">
        <v>0.0019218946591430452</v>
      </c>
      <c r="Q557" t="s">
        <v>153</v>
      </c>
    </row>
    <row r="558" spans="9:17" ht="14.25">
      <c r="I558" t="s">
        <v>167</v>
      </c>
      <c r="J558" t="s">
        <v>226</v>
      </c>
      <c r="K558">
        <v>0.0019719814068774638</v>
      </c>
      <c r="L558" t="s">
        <v>153</v>
      </c>
      <c r="N558" t="s">
        <v>177</v>
      </c>
      <c r="O558" t="s">
        <v>226</v>
      </c>
      <c r="P558">
        <v>0.0015629431880294859</v>
      </c>
      <c r="Q558" t="s">
        <v>153</v>
      </c>
    </row>
    <row r="559" spans="9:17" ht="14.25">
      <c r="I559" t="s">
        <v>167</v>
      </c>
      <c r="J559" t="s">
        <v>227</v>
      </c>
      <c r="K559">
        <v>0.017325690185901035</v>
      </c>
      <c r="L559" t="s">
        <v>153</v>
      </c>
      <c r="N559" t="s">
        <v>177</v>
      </c>
      <c r="O559" t="s">
        <v>227</v>
      </c>
      <c r="P559">
        <v>0.013771599161155975</v>
      </c>
      <c r="Q559" t="s">
        <v>153</v>
      </c>
    </row>
    <row r="560" spans="9:17" ht="14.25">
      <c r="I560" t="s">
        <v>167</v>
      </c>
      <c r="J560" t="s">
        <v>228</v>
      </c>
      <c r="K560">
        <v>0.0020589743404279561</v>
      </c>
      <c r="L560" t="s">
        <v>153</v>
      </c>
      <c r="N560" t="s">
        <v>177</v>
      </c>
      <c r="O560" t="s">
        <v>228</v>
      </c>
      <c r="P560">
        <v>0.0021252707214836053</v>
      </c>
      <c r="Q560" t="s">
        <v>153</v>
      </c>
    </row>
    <row r="561" spans="9:17" ht="14.25">
      <c r="I561" t="s">
        <v>167</v>
      </c>
      <c r="J561" t="s">
        <v>319</v>
      </c>
      <c r="K561">
        <v>0.0014022351524827382</v>
      </c>
      <c r="L561" t="s">
        <v>153</v>
      </c>
      <c r="N561" t="s">
        <v>177</v>
      </c>
      <c r="O561" t="s">
        <v>319</v>
      </c>
      <c r="P561">
        <v>0.0019582628417319056</v>
      </c>
      <c r="Q561" t="s">
        <v>153</v>
      </c>
    </row>
    <row r="562" spans="9:17" ht="14.25">
      <c r="I562" t="s">
        <v>167</v>
      </c>
      <c r="J562" t="s">
        <v>320</v>
      </c>
      <c r="K562">
        <v>9.9602544956782797E-05</v>
      </c>
      <c r="L562" t="s">
        <v>153</v>
      </c>
      <c r="N562" t="s">
        <v>177</v>
      </c>
      <c r="O562" t="s">
        <v>320</v>
      </c>
      <c r="P562">
        <v>0.011148475554596788</v>
      </c>
      <c r="Q562" t="s">
        <v>153</v>
      </c>
    </row>
    <row r="563" spans="9:17" ht="14.25">
      <c r="I563" t="s">
        <v>167</v>
      </c>
      <c r="J563" t="s">
        <v>235</v>
      </c>
      <c r="K563">
        <v>0</v>
      </c>
      <c r="L563" t="s">
        <v>153</v>
      </c>
      <c r="N563" t="s">
        <v>177</v>
      </c>
      <c r="O563" t="s">
        <v>235</v>
      </c>
      <c r="P563">
        <v>0.0029701902813745388</v>
      </c>
      <c r="Q563" t="s">
        <v>153</v>
      </c>
    </row>
    <row r="564" spans="9:17" ht="14.25">
      <c r="I564" t="s">
        <v>167</v>
      </c>
      <c r="J564" t="s">
        <v>236</v>
      </c>
      <c r="K564">
        <v>0</v>
      </c>
      <c r="L564" t="s">
        <v>153</v>
      </c>
      <c r="N564" t="s">
        <v>177</v>
      </c>
      <c r="O564" t="s">
        <v>236</v>
      </c>
      <c r="P564">
        <v>0.00073698915314691698</v>
      </c>
      <c r="Q564" t="s">
        <v>153</v>
      </c>
    </row>
    <row r="565" spans="9:17" ht="14.25">
      <c r="I565" t="s">
        <v>167</v>
      </c>
      <c r="J565" t="s">
        <v>237</v>
      </c>
      <c r="K565">
        <v>0.00095767832159169479</v>
      </c>
      <c r="L565" t="s">
        <v>153</v>
      </c>
      <c r="N565" t="s">
        <v>177</v>
      </c>
      <c r="O565" t="s">
        <v>237</v>
      </c>
      <c r="P565">
        <v>0.00090383993706710103</v>
      </c>
      <c r="Q565" t="s">
        <v>153</v>
      </c>
    </row>
    <row r="566" spans="9:17" ht="14.25">
      <c r="I566" t="s">
        <v>167</v>
      </c>
      <c r="J566" t="s">
        <v>238</v>
      </c>
      <c r="K566">
        <v>0.0016530392308195601</v>
      </c>
      <c r="L566" t="s">
        <v>153</v>
      </c>
      <c r="N566" t="s">
        <v>177</v>
      </c>
      <c r="O566" t="s">
        <v>238</v>
      </c>
      <c r="P566">
        <v>0.00076755494327482754</v>
      </c>
      <c r="Q566" t="s">
        <v>153</v>
      </c>
    </row>
    <row r="567" spans="9:17" ht="14.25">
      <c r="I567" t="s">
        <v>167</v>
      </c>
      <c r="J567" t="s">
        <v>239</v>
      </c>
      <c r="K567">
        <v>0.015196946739647351</v>
      </c>
      <c r="L567" t="s">
        <v>153</v>
      </c>
      <c r="N567" t="s">
        <v>177</v>
      </c>
      <c r="O567" t="s">
        <v>239</v>
      </c>
      <c r="P567">
        <v>0.0035963715979973714</v>
      </c>
      <c r="Q567" t="s">
        <v>153</v>
      </c>
    </row>
    <row r="568" spans="9:17" ht="14.25">
      <c r="I568" t="s">
        <v>167</v>
      </c>
      <c r="J568" t="s">
        <v>240</v>
      </c>
      <c r="K568">
        <v>0.0018348035955573008</v>
      </c>
      <c r="L568" t="s">
        <v>153</v>
      </c>
      <c r="N568" t="s">
        <v>177</v>
      </c>
      <c r="O568" t="s">
        <v>240</v>
      </c>
      <c r="P568">
        <v>0.00047816499315665522</v>
      </c>
      <c r="Q568" t="s">
        <v>153</v>
      </c>
    </row>
    <row r="569" spans="9:17" ht="14.25">
      <c r="I569" t="s">
        <v>167</v>
      </c>
      <c r="J569" t="s">
        <v>321</v>
      </c>
      <c r="K569">
        <v>0.0012710436804474301</v>
      </c>
      <c r="L569" t="s">
        <v>153</v>
      </c>
      <c r="N569" t="s">
        <v>177</v>
      </c>
      <c r="O569" t="s">
        <v>321</v>
      </c>
      <c r="P569">
        <v>0.00062616608560362135</v>
      </c>
      <c r="Q569" t="s">
        <v>153</v>
      </c>
    </row>
    <row r="570" spans="9:17" ht="14.25">
      <c r="I570" t="s">
        <v>167</v>
      </c>
      <c r="J570" t="s">
        <v>322</v>
      </c>
      <c r="K570">
        <v>0.00045657982913938728</v>
      </c>
      <c r="L570" t="s">
        <v>153</v>
      </c>
      <c r="N570" t="s">
        <v>177</v>
      </c>
      <c r="O570" t="s">
        <v>322</v>
      </c>
      <c r="P570">
        <v>0.0046208592545773398</v>
      </c>
      <c r="Q570" t="s">
        <v>153</v>
      </c>
    </row>
    <row r="571" spans="9:17" ht="14.25">
      <c r="I571" t="s">
        <v>167</v>
      </c>
      <c r="J571" t="s">
        <v>241</v>
      </c>
      <c r="K571">
        <v>0</v>
      </c>
      <c r="L571" t="s">
        <v>153</v>
      </c>
      <c r="N571" t="s">
        <v>177</v>
      </c>
      <c r="O571" t="s">
        <v>241</v>
      </c>
      <c r="P571">
        <v>0.0023017163346538477</v>
      </c>
      <c r="Q571" t="s">
        <v>153</v>
      </c>
    </row>
    <row r="572" spans="9:17" ht="14.25">
      <c r="I572" t="s">
        <v>167</v>
      </c>
      <c r="J572" t="s">
        <v>242</v>
      </c>
      <c r="K572">
        <v>0</v>
      </c>
      <c r="L572" t="s">
        <v>153</v>
      </c>
      <c r="N572" t="s">
        <v>177</v>
      </c>
      <c r="O572" t="s">
        <v>242</v>
      </c>
      <c r="P572">
        <v>0.00023743704091047578</v>
      </c>
      <c r="Q572" t="s">
        <v>153</v>
      </c>
    </row>
    <row r="573" spans="9:17" ht="14.25">
      <c r="I573" t="s">
        <v>167</v>
      </c>
      <c r="J573" t="s">
        <v>243</v>
      </c>
      <c r="K573">
        <v>0.00045967684715852856</v>
      </c>
      <c r="L573" t="s">
        <v>153</v>
      </c>
      <c r="N573" t="s">
        <v>177</v>
      </c>
      <c r="O573" t="s">
        <v>243</v>
      </c>
      <c r="P573">
        <v>0.00024925287259153244</v>
      </c>
      <c r="Q573" t="s">
        <v>153</v>
      </c>
    </row>
    <row r="574" spans="9:17" ht="14.25">
      <c r="I574" t="s">
        <v>167</v>
      </c>
      <c r="J574" t="s">
        <v>244</v>
      </c>
      <c r="K574">
        <v>0.00076494680318555199</v>
      </c>
      <c r="L574" t="s">
        <v>153</v>
      </c>
      <c r="N574" t="s">
        <v>177</v>
      </c>
      <c r="O574" t="s">
        <v>244</v>
      </c>
      <c r="P574">
        <v>0.00032849874608339313</v>
      </c>
      <c r="Q574" t="s">
        <v>153</v>
      </c>
    </row>
    <row r="575" spans="9:17" ht="14.25">
      <c r="I575" t="s">
        <v>167</v>
      </c>
      <c r="J575" t="s">
        <v>245</v>
      </c>
      <c r="K575">
        <v>0.0086089209768308115</v>
      </c>
      <c r="L575" t="s">
        <v>153</v>
      </c>
      <c r="N575" t="s">
        <v>177</v>
      </c>
      <c r="O575" t="s">
        <v>245</v>
      </c>
      <c r="P575">
        <v>0.0030159288688089156</v>
      </c>
      <c r="Q575" t="s">
        <v>153</v>
      </c>
    </row>
    <row r="576" spans="9:17" ht="14.25">
      <c r="I576" t="s">
        <v>167</v>
      </c>
      <c r="J576" t="s">
        <v>246</v>
      </c>
      <c r="K576">
        <v>0.0010285050207132147</v>
      </c>
      <c r="L576" t="s">
        <v>153</v>
      </c>
      <c r="N576" t="s">
        <v>177</v>
      </c>
      <c r="O576" t="s">
        <v>246</v>
      </c>
      <c r="P576">
        <v>0.00075724913691743267</v>
      </c>
      <c r="Q576" t="s">
        <v>153</v>
      </c>
    </row>
    <row r="577" spans="9:17" ht="14.25">
      <c r="I577" t="s">
        <v>167</v>
      </c>
      <c r="J577" t="s">
        <v>323</v>
      </c>
      <c r="K577">
        <v>0.00075720951313434611</v>
      </c>
      <c r="L577" t="s">
        <v>153</v>
      </c>
      <c r="N577" t="s">
        <v>177</v>
      </c>
      <c r="O577" t="s">
        <v>323</v>
      </c>
      <c r="P577">
        <v>0.00075823416592980743</v>
      </c>
      <c r="Q577" t="s">
        <v>153</v>
      </c>
    </row>
    <row r="578" spans="9:17" ht="14.25">
      <c r="I578" t="s">
        <v>167</v>
      </c>
      <c r="J578" t="s">
        <v>324</v>
      </c>
      <c r="K578">
        <v>0.00039471332728498366</v>
      </c>
      <c r="L578" t="s">
        <v>153</v>
      </c>
      <c r="N578" t="s">
        <v>177</v>
      </c>
      <c r="O578" t="s">
        <v>324</v>
      </c>
      <c r="P578">
        <v>0.0024153885327925593</v>
      </c>
      <c r="Q578" t="s">
        <v>153</v>
      </c>
    </row>
    <row r="579" spans="9:17" ht="14.25">
      <c r="I579" t="s">
        <v>167</v>
      </c>
      <c r="J579" t="s">
        <v>247</v>
      </c>
      <c r="K579">
        <v>0</v>
      </c>
      <c r="L579" t="s">
        <v>153</v>
      </c>
      <c r="N579" t="s">
        <v>177</v>
      </c>
      <c r="O579" t="s">
        <v>247</v>
      </c>
      <c r="P579">
        <v>0.0095287547522015705</v>
      </c>
      <c r="Q579" t="s">
        <v>153</v>
      </c>
    </row>
    <row r="580" spans="9:17" ht="14.25">
      <c r="I580" t="s">
        <v>167</v>
      </c>
      <c r="J580" t="s">
        <v>248</v>
      </c>
      <c r="K580">
        <v>0.00063174789174430784</v>
      </c>
      <c r="L580" t="s">
        <v>153</v>
      </c>
      <c r="N580" t="s">
        <v>177</v>
      </c>
      <c r="O580" t="s">
        <v>248</v>
      </c>
      <c r="P580">
        <v>0.0017988021651736913</v>
      </c>
      <c r="Q580" t="s">
        <v>153</v>
      </c>
    </row>
    <row r="581" spans="9:17" ht="14.25">
      <c r="I581" t="s">
        <v>167</v>
      </c>
      <c r="J581" t="s">
        <v>249</v>
      </c>
      <c r="K581">
        <v>0.0022147985893867569</v>
      </c>
      <c r="L581" t="s">
        <v>153</v>
      </c>
      <c r="N581" t="s">
        <v>177</v>
      </c>
      <c r="O581" t="s">
        <v>249</v>
      </c>
      <c r="P581">
        <v>0.0017940216066975611</v>
      </c>
      <c r="Q581" t="s">
        <v>153</v>
      </c>
    </row>
    <row r="582" spans="9:17" ht="14.25">
      <c r="I582" t="s">
        <v>167</v>
      </c>
      <c r="J582" t="s">
        <v>250</v>
      </c>
      <c r="K582">
        <v>0.0031506564598147535</v>
      </c>
      <c r="L582" t="s">
        <v>153</v>
      </c>
      <c r="N582" t="s">
        <v>177</v>
      </c>
      <c r="O582" t="s">
        <v>250</v>
      </c>
      <c r="P582">
        <v>0.0016164597747283366</v>
      </c>
      <c r="Q582" t="s">
        <v>153</v>
      </c>
    </row>
    <row r="583" spans="9:17" ht="14.25">
      <c r="I583" t="s">
        <v>167</v>
      </c>
      <c r="J583" t="s">
        <v>251</v>
      </c>
      <c r="K583">
        <v>0.025642546324659947</v>
      </c>
      <c r="L583" t="s">
        <v>153</v>
      </c>
      <c r="N583" t="s">
        <v>177</v>
      </c>
      <c r="O583" t="s">
        <v>251</v>
      </c>
      <c r="P583">
        <v>0.014233023916268631</v>
      </c>
      <c r="Q583" t="s">
        <v>153</v>
      </c>
    </row>
    <row r="584" spans="9:17" ht="14.25">
      <c r="I584" t="s">
        <v>167</v>
      </c>
      <c r="J584" t="s">
        <v>252</v>
      </c>
      <c r="K584">
        <v>0.0030548926973976353</v>
      </c>
      <c r="L584" t="s">
        <v>153</v>
      </c>
      <c r="N584" t="s">
        <v>177</v>
      </c>
      <c r="O584" t="s">
        <v>252</v>
      </c>
      <c r="P584">
        <v>0.0023541495298318896</v>
      </c>
      <c r="Q584" t="s">
        <v>153</v>
      </c>
    </row>
    <row r="585" spans="9:17" ht="14.25">
      <c r="I585" t="s">
        <v>167</v>
      </c>
      <c r="J585" t="s">
        <v>325</v>
      </c>
      <c r="K585">
        <v>0.0021389310521235877</v>
      </c>
      <c r="L585" t="s">
        <v>153</v>
      </c>
      <c r="N585" t="s">
        <v>177</v>
      </c>
      <c r="O585" t="s">
        <v>325</v>
      </c>
      <c r="P585">
        <v>0.0022566019546605043</v>
      </c>
      <c r="Q585" t="s">
        <v>153</v>
      </c>
    </row>
    <row r="586" spans="9:17" ht="14.25">
      <c r="I586" t="s">
        <v>167</v>
      </c>
      <c r="J586" t="s">
        <v>326</v>
      </c>
      <c r="K586">
        <v>0.0010243129101103416</v>
      </c>
      <c r="L586" t="s">
        <v>153</v>
      </c>
      <c r="N586" t="s">
        <v>177</v>
      </c>
      <c r="O586" t="s">
        <v>326</v>
      </c>
      <c r="P586">
        <v>0.011284869242076447</v>
      </c>
      <c r="Q586" t="s">
        <v>153</v>
      </c>
    </row>
    <row r="587" spans="9:17" ht="14.25">
      <c r="I587" t="s">
        <v>167</v>
      </c>
      <c r="J587" t="s">
        <v>262</v>
      </c>
      <c r="K587">
        <v>0</v>
      </c>
      <c r="L587" t="s">
        <v>153</v>
      </c>
      <c r="N587" t="s">
        <v>177</v>
      </c>
      <c r="O587" t="s">
        <v>262</v>
      </c>
      <c r="P587">
        <v>0.01394286273466888</v>
      </c>
      <c r="Q587" t="s">
        <v>153</v>
      </c>
    </row>
    <row r="588" spans="9:17" ht="14.25">
      <c r="I588" t="s">
        <v>167</v>
      </c>
      <c r="J588" t="s">
        <v>263</v>
      </c>
      <c r="K588">
        <v>0.0015387164110238097</v>
      </c>
      <c r="L588" t="s">
        <v>153</v>
      </c>
      <c r="N588" t="s">
        <v>177</v>
      </c>
      <c r="O588" t="s">
        <v>263</v>
      </c>
      <c r="P588">
        <v>0.0022301710260507973</v>
      </c>
      <c r="Q588" t="s">
        <v>153</v>
      </c>
    </row>
    <row r="589" spans="9:17" ht="14.25">
      <c r="I589" t="s">
        <v>167</v>
      </c>
      <c r="J589" t="s">
        <v>264</v>
      </c>
      <c r="K589">
        <v>0.0034025455710181189</v>
      </c>
      <c r="L589" t="s">
        <v>153</v>
      </c>
      <c r="N589" t="s">
        <v>177</v>
      </c>
      <c r="O589" t="s">
        <v>264</v>
      </c>
      <c r="P589">
        <v>0.001920138498261263</v>
      </c>
      <c r="Q589" t="s">
        <v>153</v>
      </c>
    </row>
    <row r="590" spans="9:17" ht="14.25">
      <c r="I590" t="s">
        <v>167</v>
      </c>
      <c r="J590" t="s">
        <v>265</v>
      </c>
      <c r="K590">
        <v>0.0047406495731887616</v>
      </c>
      <c r="L590" t="s">
        <v>153</v>
      </c>
      <c r="N590" t="s">
        <v>177</v>
      </c>
      <c r="O590" t="s">
        <v>265</v>
      </c>
      <c r="P590">
        <v>0.0014963308157585156</v>
      </c>
      <c r="Q590" t="s">
        <v>153</v>
      </c>
    </row>
    <row r="591" spans="9:17" ht="14.25">
      <c r="I591" t="s">
        <v>167</v>
      </c>
      <c r="J591" t="s">
        <v>266</v>
      </c>
      <c r="K591">
        <v>0.038757003992053445</v>
      </c>
      <c r="L591" t="s">
        <v>153</v>
      </c>
      <c r="N591" t="s">
        <v>177</v>
      </c>
      <c r="O591" t="s">
        <v>266</v>
      </c>
      <c r="P591">
        <v>0.010602934072908266</v>
      </c>
      <c r="Q591" t="s">
        <v>153</v>
      </c>
    </row>
    <row r="592" spans="9:17" ht="14.25">
      <c r="I592" t="s">
        <v>167</v>
      </c>
      <c r="J592" t="s">
        <v>267</v>
      </c>
      <c r="K592">
        <v>0.0043363276822025064</v>
      </c>
      <c r="L592" t="s">
        <v>153</v>
      </c>
      <c r="N592" t="s">
        <v>177</v>
      </c>
      <c r="O592" t="s">
        <v>267</v>
      </c>
      <c r="P592">
        <v>0.0030242553802583543</v>
      </c>
      <c r="Q592" t="s">
        <v>153</v>
      </c>
    </row>
    <row r="593" spans="9:17" ht="14.25">
      <c r="I593" t="s">
        <v>167</v>
      </c>
      <c r="J593" t="s">
        <v>327</v>
      </c>
      <c r="K593">
        <v>0.0030395588692124051</v>
      </c>
      <c r="L593" t="s">
        <v>153</v>
      </c>
      <c r="N593" t="s">
        <v>177</v>
      </c>
      <c r="O593" t="s">
        <v>327</v>
      </c>
      <c r="P593">
        <v>0.0033355968726177993</v>
      </c>
      <c r="Q593" t="s">
        <v>153</v>
      </c>
    </row>
    <row r="594" spans="9:17" ht="14.25">
      <c r="I594" t="s">
        <v>167</v>
      </c>
      <c r="J594" t="s">
        <v>328</v>
      </c>
      <c r="K594">
        <v>0.001332647932228316</v>
      </c>
      <c r="L594" t="s">
        <v>153</v>
      </c>
      <c r="N594" t="s">
        <v>177</v>
      </c>
      <c r="O594" t="s">
        <v>328</v>
      </c>
      <c r="P594">
        <v>0.014707575957820416</v>
      </c>
      <c r="Q594" t="s">
        <v>153</v>
      </c>
    </row>
    <row r="595" spans="9:17" ht="14.25">
      <c r="I595" t="s">
        <v>167</v>
      </c>
      <c r="J595" t="s">
        <v>268</v>
      </c>
      <c r="K595">
        <v>0</v>
      </c>
      <c r="L595" t="s">
        <v>153</v>
      </c>
      <c r="N595" t="s">
        <v>177</v>
      </c>
      <c r="O595" t="s">
        <v>268</v>
      </c>
      <c r="P595">
        <v>0.0036977438014003721</v>
      </c>
      <c r="Q595" t="s">
        <v>153</v>
      </c>
    </row>
    <row r="596" spans="9:17" ht="14.25">
      <c r="I596" t="s">
        <v>167</v>
      </c>
      <c r="J596" t="s">
        <v>269</v>
      </c>
      <c r="K596">
        <v>0.001616838296507714</v>
      </c>
      <c r="L596" t="s">
        <v>153</v>
      </c>
      <c r="N596" t="s">
        <v>177</v>
      </c>
      <c r="O596" t="s">
        <v>269</v>
      </c>
      <c r="P596">
        <v>0.00071253100672833856</v>
      </c>
      <c r="Q596" t="s">
        <v>153</v>
      </c>
    </row>
    <row r="597" spans="9:17" ht="14.25">
      <c r="I597" t="s">
        <v>167</v>
      </c>
      <c r="J597" t="s">
        <v>270</v>
      </c>
      <c r="K597">
        <v>0.0032511883731908497</v>
      </c>
      <c r="L597" t="s">
        <v>153</v>
      </c>
      <c r="N597" t="s">
        <v>177</v>
      </c>
      <c r="O597" t="s">
        <v>270</v>
      </c>
      <c r="P597">
        <v>0.0010421169459857696</v>
      </c>
      <c r="Q597" t="s">
        <v>153</v>
      </c>
    </row>
    <row r="598" spans="9:17" ht="14.25">
      <c r="I598" t="s">
        <v>167</v>
      </c>
      <c r="J598" t="s">
        <v>271</v>
      </c>
      <c r="K598">
        <v>0.0042898347292829476</v>
      </c>
      <c r="L598" t="s">
        <v>153</v>
      </c>
      <c r="N598" t="s">
        <v>177</v>
      </c>
      <c r="O598" t="s">
        <v>271</v>
      </c>
      <c r="P598">
        <v>0.0011818711570421748</v>
      </c>
      <c r="Q598" t="s">
        <v>153</v>
      </c>
    </row>
    <row r="599" spans="9:17" ht="14.25">
      <c r="I599" t="s">
        <v>167</v>
      </c>
      <c r="J599" t="s">
        <v>272</v>
      </c>
      <c r="K599">
        <v>0.03777066396194196</v>
      </c>
      <c r="L599" t="s">
        <v>153</v>
      </c>
      <c r="N599" t="s">
        <v>177</v>
      </c>
      <c r="O599" t="s">
        <v>272</v>
      </c>
      <c r="P599">
        <v>0.012542502923218591</v>
      </c>
      <c r="Q599" t="s">
        <v>153</v>
      </c>
    </row>
    <row r="600" spans="9:17" ht="14.25">
      <c r="I600" t="s">
        <v>167</v>
      </c>
      <c r="J600" t="s">
        <v>273</v>
      </c>
      <c r="K600">
        <v>0.0044519213342022407</v>
      </c>
      <c r="L600" t="s">
        <v>153</v>
      </c>
      <c r="N600" t="s">
        <v>177</v>
      </c>
      <c r="O600" t="s">
        <v>273</v>
      </c>
      <c r="P600">
        <v>0.0020386838981896857</v>
      </c>
      <c r="Q600" t="s">
        <v>153</v>
      </c>
    </row>
    <row r="601" spans="9:17" ht="14.25">
      <c r="I601" t="s">
        <v>167</v>
      </c>
      <c r="J601" t="s">
        <v>329</v>
      </c>
      <c r="K601">
        <v>0.0032793447240737775</v>
      </c>
      <c r="L601" t="s">
        <v>153</v>
      </c>
      <c r="N601" t="s">
        <v>177</v>
      </c>
      <c r="O601" t="s">
        <v>329</v>
      </c>
      <c r="P601">
        <v>0.0019178363102392176</v>
      </c>
      <c r="Q601" t="s">
        <v>153</v>
      </c>
    </row>
    <row r="602" spans="9:17" ht="14.25">
      <c r="I602" t="s">
        <v>167</v>
      </c>
      <c r="J602" t="s">
        <v>330</v>
      </c>
      <c r="K602">
        <v>0.0015134903894984942</v>
      </c>
      <c r="L602" t="s">
        <v>153</v>
      </c>
      <c r="N602" t="s">
        <v>177</v>
      </c>
      <c r="O602" t="s">
        <v>330</v>
      </c>
      <c r="P602">
        <v>0.0071010286917173203</v>
      </c>
      <c r="Q602" t="s">
        <v>153</v>
      </c>
    </row>
    <row r="603" spans="9:17" ht="14.25">
      <c r="I603" t="s">
        <v>167</v>
      </c>
      <c r="J603" t="s">
        <v>274</v>
      </c>
      <c r="K603">
        <v>0</v>
      </c>
      <c r="L603" t="s">
        <v>153</v>
      </c>
      <c r="N603" t="s">
        <v>177</v>
      </c>
      <c r="O603" t="s">
        <v>274</v>
      </c>
      <c r="P603">
        <v>0.0071040405180893421</v>
      </c>
      <c r="Q603" t="s">
        <v>153</v>
      </c>
    </row>
    <row r="604" spans="9:17" ht="14.25">
      <c r="I604" t="s">
        <v>167</v>
      </c>
      <c r="J604" t="s">
        <v>275</v>
      </c>
      <c r="K604">
        <v>0.00072058729189287735</v>
      </c>
      <c r="L604" t="s">
        <v>153</v>
      </c>
      <c r="N604" t="s">
        <v>177</v>
      </c>
      <c r="O604" t="s">
        <v>275</v>
      </c>
      <c r="P604">
        <v>0.001261316076997074</v>
      </c>
      <c r="Q604" t="s">
        <v>153</v>
      </c>
    </row>
    <row r="605" spans="9:17" ht="14.25">
      <c r="I605" t="s">
        <v>167</v>
      </c>
      <c r="J605" t="s">
        <v>276</v>
      </c>
      <c r="K605">
        <v>0.0013819654173003431</v>
      </c>
      <c r="L605" t="s">
        <v>153</v>
      </c>
      <c r="N605" t="s">
        <v>177</v>
      </c>
      <c r="O605" t="s">
        <v>276</v>
      </c>
      <c r="P605">
        <v>0.0012091205606242299</v>
      </c>
      <c r="Q605" t="s">
        <v>153</v>
      </c>
    </row>
    <row r="606" spans="9:17" ht="14.25">
      <c r="I606" t="s">
        <v>167</v>
      </c>
      <c r="J606" t="s">
        <v>277</v>
      </c>
      <c r="K606">
        <v>0.0017677807037145129</v>
      </c>
      <c r="L606" t="s">
        <v>153</v>
      </c>
      <c r="N606" t="s">
        <v>177</v>
      </c>
      <c r="O606" t="s">
        <v>277</v>
      </c>
      <c r="P606">
        <v>0.0011717700367377308</v>
      </c>
      <c r="Q606" t="s">
        <v>153</v>
      </c>
    </row>
    <row r="607" spans="9:17" ht="14.25">
      <c r="I607" t="s">
        <v>167</v>
      </c>
      <c r="J607" t="s">
        <v>278</v>
      </c>
      <c r="K607">
        <v>0.014562085874181454</v>
      </c>
      <c r="L607" t="s">
        <v>153</v>
      </c>
      <c r="N607" t="s">
        <v>177</v>
      </c>
      <c r="O607" t="s">
        <v>278</v>
      </c>
      <c r="P607">
        <v>0.010890325529176223</v>
      </c>
      <c r="Q607" t="s">
        <v>153</v>
      </c>
    </row>
    <row r="608" spans="9:17" ht="14.25">
      <c r="I608" t="s">
        <v>167</v>
      </c>
      <c r="J608" t="s">
        <v>279</v>
      </c>
      <c r="K608">
        <v>0.0016558205502835252</v>
      </c>
      <c r="L608" t="s">
        <v>153</v>
      </c>
      <c r="N608" t="s">
        <v>177</v>
      </c>
      <c r="O608" t="s">
        <v>279</v>
      </c>
      <c r="P608">
        <v>0.0018544527517260587</v>
      </c>
      <c r="Q608" t="s">
        <v>153</v>
      </c>
    </row>
    <row r="609" spans="9:17" ht="14.25">
      <c r="I609" t="s">
        <v>167</v>
      </c>
      <c r="J609" t="s">
        <v>331</v>
      </c>
      <c r="K609">
        <v>0.0012404177903528853</v>
      </c>
      <c r="L609" t="s">
        <v>153</v>
      </c>
      <c r="N609" t="s">
        <v>177</v>
      </c>
      <c r="O609" t="s">
        <v>331</v>
      </c>
      <c r="P609">
        <v>0.0016920532536600936</v>
      </c>
      <c r="Q609" t="s">
        <v>153</v>
      </c>
    </row>
    <row r="610" spans="9:17" ht="14.25">
      <c r="I610" t="s">
        <v>167</v>
      </c>
      <c r="J610" t="s">
        <v>332</v>
      </c>
      <c r="K610">
        <v>0.00058185715014722145</v>
      </c>
      <c r="L610" t="s">
        <v>153</v>
      </c>
      <c r="N610" t="s">
        <v>177</v>
      </c>
      <c r="O610" t="s">
        <v>332</v>
      </c>
      <c r="P610">
        <v>0.0078784278030334647</v>
      </c>
      <c r="Q610" t="s">
        <v>153</v>
      </c>
    </row>
    <row r="611" spans="9:17" ht="14.25">
      <c r="I611" t="s">
        <v>167</v>
      </c>
      <c r="J611" t="s">
        <v>280</v>
      </c>
      <c r="K611">
        <v>0</v>
      </c>
      <c r="L611" t="s">
        <v>153</v>
      </c>
      <c r="N611" t="s">
        <v>177</v>
      </c>
      <c r="O611" t="s">
        <v>280</v>
      </c>
      <c r="P611">
        <v>0.0047531531388295013</v>
      </c>
      <c r="Q611" t="s">
        <v>153</v>
      </c>
    </row>
    <row r="612" spans="9:17" ht="14.25">
      <c r="I612" t="s">
        <v>167</v>
      </c>
      <c r="J612" t="s">
        <v>281</v>
      </c>
      <c r="K612">
        <v>0.000579613930176466</v>
      </c>
      <c r="L612" t="s">
        <v>153</v>
      </c>
      <c r="N612" t="s">
        <v>177</v>
      </c>
      <c r="O612" t="s">
        <v>281</v>
      </c>
      <c r="P612">
        <v>0.00085983661388972909</v>
      </c>
      <c r="Q612" t="s">
        <v>153</v>
      </c>
    </row>
    <row r="613" spans="9:17" ht="14.25">
      <c r="I613" t="s">
        <v>167</v>
      </c>
      <c r="J613" t="s">
        <v>282</v>
      </c>
      <c r="K613">
        <v>0.0011506086400517974</v>
      </c>
      <c r="L613" t="s">
        <v>153</v>
      </c>
      <c r="N613" t="s">
        <v>177</v>
      </c>
      <c r="O613" t="s">
        <v>282</v>
      </c>
      <c r="P613">
        <v>0.00071756236437587381</v>
      </c>
      <c r="Q613" t="s">
        <v>153</v>
      </c>
    </row>
    <row r="614" spans="9:17" ht="14.25">
      <c r="I614" t="s">
        <v>167</v>
      </c>
      <c r="J614" t="s">
        <v>283</v>
      </c>
      <c r="K614">
        <v>0.001490457091592528</v>
      </c>
      <c r="L614" t="s">
        <v>153</v>
      </c>
      <c r="N614" t="s">
        <v>177</v>
      </c>
      <c r="O614" t="s">
        <v>283</v>
      </c>
      <c r="P614">
        <v>0.00066261987323044025</v>
      </c>
      <c r="Q614" t="s">
        <v>153</v>
      </c>
    </row>
    <row r="615" spans="9:17" ht="14.25">
      <c r="I615" t="s">
        <v>167</v>
      </c>
      <c r="J615" t="s">
        <v>284</v>
      </c>
      <c r="K615">
        <v>0.012339724601435727</v>
      </c>
      <c r="L615" t="s">
        <v>153</v>
      </c>
      <c r="N615" t="s">
        <v>177</v>
      </c>
      <c r="O615" t="s">
        <v>284</v>
      </c>
      <c r="P615">
        <v>0.0063346617461560034</v>
      </c>
      <c r="Q615" t="s">
        <v>153</v>
      </c>
    </row>
    <row r="616" spans="9:17" ht="14.25">
      <c r="I616" t="s">
        <v>167</v>
      </c>
      <c r="J616" t="s">
        <v>285</v>
      </c>
      <c r="K616">
        <v>0.0013834152575792815</v>
      </c>
      <c r="L616" t="s">
        <v>153</v>
      </c>
      <c r="N616" t="s">
        <v>177</v>
      </c>
      <c r="O616" t="s">
        <v>285</v>
      </c>
      <c r="P616">
        <v>0.0012958748827199091</v>
      </c>
      <c r="Q616" t="s">
        <v>153</v>
      </c>
    </row>
    <row r="617" spans="9:17" ht="14.25">
      <c r="I617" t="s">
        <v>167</v>
      </c>
      <c r="J617" t="s">
        <v>333</v>
      </c>
      <c r="K617">
        <v>0.001022854853154473</v>
      </c>
      <c r="L617" t="s">
        <v>153</v>
      </c>
      <c r="N617" t="s">
        <v>177</v>
      </c>
      <c r="O617" t="s">
        <v>333</v>
      </c>
      <c r="P617">
        <v>0.0012032541700979459</v>
      </c>
      <c r="Q617" t="s">
        <v>153</v>
      </c>
    </row>
    <row r="618" spans="9:17" ht="14.25">
      <c r="I618" t="s">
        <v>167</v>
      </c>
      <c r="J618" t="s">
        <v>334</v>
      </c>
      <c r="K618">
        <v>0.00046283906048668726</v>
      </c>
      <c r="L618" t="s">
        <v>153</v>
      </c>
      <c r="N618" t="s">
        <v>177</v>
      </c>
      <c r="O618" t="s">
        <v>334</v>
      </c>
      <c r="P618">
        <v>0.0053038106449322889</v>
      </c>
      <c r="Q618" t="s">
        <v>153</v>
      </c>
    </row>
    <row r="619" spans="9:17" ht="14.25">
      <c r="I619" t="s">
        <v>167</v>
      </c>
      <c r="J619" t="s">
        <v>286</v>
      </c>
      <c r="K619">
        <v>0</v>
      </c>
      <c r="L619" t="s">
        <v>153</v>
      </c>
      <c r="N619" t="s">
        <v>177</v>
      </c>
      <c r="O619" t="s">
        <v>286</v>
      </c>
      <c r="P619">
        <v>0.0053893573501139908</v>
      </c>
      <c r="Q619" t="s">
        <v>153</v>
      </c>
    </row>
    <row r="620" spans="9:17" ht="14.25">
      <c r="I620" t="s">
        <v>167</v>
      </c>
      <c r="J620" t="s">
        <v>287</v>
      </c>
      <c r="K620">
        <v>0.00066049606167232209</v>
      </c>
      <c r="L620" t="s">
        <v>153</v>
      </c>
      <c r="N620" t="s">
        <v>177</v>
      </c>
      <c r="O620" t="s">
        <v>287</v>
      </c>
      <c r="P620">
        <v>0.0007409756738053525</v>
      </c>
      <c r="Q620" t="s">
        <v>153</v>
      </c>
    </row>
    <row r="621" spans="9:17" ht="14.25">
      <c r="I621" t="s">
        <v>167</v>
      </c>
      <c r="J621" t="s">
        <v>288</v>
      </c>
      <c r="K621">
        <v>0.0013984554153483634</v>
      </c>
      <c r="L621" t="s">
        <v>153</v>
      </c>
      <c r="N621" t="s">
        <v>177</v>
      </c>
      <c r="O621" t="s">
        <v>288</v>
      </c>
      <c r="P621">
        <v>0.00057485450113418978</v>
      </c>
      <c r="Q621" t="s">
        <v>153</v>
      </c>
    </row>
    <row r="622" spans="9:17" ht="14.25">
      <c r="I622" t="s">
        <v>167</v>
      </c>
      <c r="J622" t="s">
        <v>289</v>
      </c>
      <c r="K622">
        <v>0.0019147236012575356</v>
      </c>
      <c r="L622" t="s">
        <v>153</v>
      </c>
      <c r="N622" t="s">
        <v>177</v>
      </c>
      <c r="O622" t="s">
        <v>289</v>
      </c>
      <c r="P622">
        <v>0.00056155467358754124</v>
      </c>
      <c r="Q622" t="s">
        <v>153</v>
      </c>
    </row>
    <row r="623" spans="9:17" ht="14.25">
      <c r="I623" t="s">
        <v>167</v>
      </c>
      <c r="J623" t="s">
        <v>290</v>
      </c>
      <c r="K623">
        <v>0.017485290892172458</v>
      </c>
      <c r="L623" t="s">
        <v>153</v>
      </c>
      <c r="N623" t="s">
        <v>177</v>
      </c>
      <c r="O623" t="s">
        <v>290</v>
      </c>
      <c r="P623">
        <v>0.011256405513097645</v>
      </c>
      <c r="Q623" t="s">
        <v>153</v>
      </c>
    </row>
    <row r="624" spans="9:17" ht="14.25">
      <c r="I624" t="s">
        <v>167</v>
      </c>
      <c r="J624" t="s">
        <v>291</v>
      </c>
      <c r="K624">
        <v>0.0019547567386144216</v>
      </c>
      <c r="L624" t="s">
        <v>153</v>
      </c>
      <c r="N624" t="s">
        <v>177</v>
      </c>
      <c r="O624" t="s">
        <v>291</v>
      </c>
      <c r="P624">
        <v>0.0025058736519412081</v>
      </c>
      <c r="Q624" t="s">
        <v>153</v>
      </c>
    </row>
    <row r="625" spans="9:17" ht="14.25">
      <c r="I625" t="s">
        <v>167</v>
      </c>
      <c r="J625" t="s">
        <v>335</v>
      </c>
      <c r="K625">
        <v>0.0013832149904730779</v>
      </c>
      <c r="L625" t="s">
        <v>153</v>
      </c>
      <c r="N625" t="s">
        <v>177</v>
      </c>
      <c r="O625" t="s">
        <v>335</v>
      </c>
      <c r="P625">
        <v>0.0021725357309143245</v>
      </c>
      <c r="Q625" t="s">
        <v>153</v>
      </c>
    </row>
    <row r="626" spans="9:17" ht="14.25">
      <c r="I626" t="s">
        <v>167</v>
      </c>
      <c r="J626" t="s">
        <v>336</v>
      </c>
      <c r="K626">
        <v>0.00058958966765031455</v>
      </c>
      <c r="L626" t="s">
        <v>153</v>
      </c>
      <c r="N626" t="s">
        <v>177</v>
      </c>
      <c r="O626" t="s">
        <v>336</v>
      </c>
      <c r="P626">
        <v>0.008306079838355105</v>
      </c>
      <c r="Q626" t="s">
        <v>153</v>
      </c>
    </row>
    <row r="627" spans="9:17" ht="14.25">
      <c r="I627" t="s">
        <v>167</v>
      </c>
      <c r="J627" t="s">
        <v>292</v>
      </c>
      <c r="K627">
        <v>0</v>
      </c>
      <c r="L627" t="s">
        <v>153</v>
      </c>
      <c r="N627" t="s">
        <v>177</v>
      </c>
      <c r="O627" t="s">
        <v>292</v>
      </c>
      <c r="P627">
        <v>0.014124455144742858</v>
      </c>
      <c r="Q627" t="s">
        <v>153</v>
      </c>
    </row>
    <row r="628" spans="9:17" ht="14.25">
      <c r="I628" t="s">
        <v>167</v>
      </c>
      <c r="J628" t="s">
        <v>293</v>
      </c>
      <c r="K628">
        <v>0.00046343497366486302</v>
      </c>
      <c r="L628" t="s">
        <v>153</v>
      </c>
      <c r="N628" t="s">
        <v>177</v>
      </c>
      <c r="O628" t="s">
        <v>293</v>
      </c>
      <c r="P628">
        <v>0.0027604103536401428</v>
      </c>
      <c r="Q628" t="s">
        <v>153</v>
      </c>
    </row>
    <row r="629" spans="9:17" ht="14.25">
      <c r="I629" t="s">
        <v>167</v>
      </c>
      <c r="J629" t="s">
        <v>294</v>
      </c>
      <c r="K629">
        <v>0.0010320090171972991</v>
      </c>
      <c r="L629" t="s">
        <v>153</v>
      </c>
      <c r="N629" t="s">
        <v>177</v>
      </c>
      <c r="O629" t="s">
        <v>294</v>
      </c>
      <c r="P629">
        <v>0.0026941867650943515</v>
      </c>
      <c r="Q629" t="s">
        <v>153</v>
      </c>
    </row>
    <row r="630" spans="9:17" ht="14.25">
      <c r="I630" t="s">
        <v>167</v>
      </c>
      <c r="J630" t="s">
        <v>295</v>
      </c>
      <c r="K630">
        <v>0.0013974016486174713</v>
      </c>
      <c r="L630" t="s">
        <v>153</v>
      </c>
      <c r="N630" t="s">
        <v>177</v>
      </c>
      <c r="O630" t="s">
        <v>295</v>
      </c>
      <c r="P630">
        <v>0.0026595982844375378</v>
      </c>
      <c r="Q630" t="s">
        <v>153</v>
      </c>
    </row>
    <row r="631" spans="9:17" ht="14.25">
      <c r="I631" t="s">
        <v>167</v>
      </c>
      <c r="J631" t="s">
        <v>296</v>
      </c>
      <c r="K631">
        <v>0.012121046212771954</v>
      </c>
      <c r="L631" t="s">
        <v>153</v>
      </c>
      <c r="N631" t="s">
        <v>177</v>
      </c>
      <c r="O631" t="s">
        <v>296</v>
      </c>
      <c r="P631">
        <v>0.019544884716591944</v>
      </c>
      <c r="Q631" t="s">
        <v>153</v>
      </c>
    </row>
    <row r="632" spans="9:17" ht="14.25">
      <c r="I632" t="s">
        <v>167</v>
      </c>
      <c r="J632" t="s">
        <v>297</v>
      </c>
      <c r="K632">
        <v>0.0013302129489484906</v>
      </c>
      <c r="L632" t="s">
        <v>153</v>
      </c>
      <c r="N632" t="s">
        <v>177</v>
      </c>
      <c r="O632" t="s">
        <v>297</v>
      </c>
      <c r="P632">
        <v>0.0026710861326495693</v>
      </c>
      <c r="Q632" t="s">
        <v>153</v>
      </c>
    </row>
    <row r="633" spans="9:17" ht="14.25">
      <c r="I633" t="s">
        <v>167</v>
      </c>
      <c r="J633" t="s">
        <v>337</v>
      </c>
      <c r="K633">
        <v>0.0009619224212633605</v>
      </c>
      <c r="L633" t="s">
        <v>153</v>
      </c>
      <c r="N633" t="s">
        <v>177</v>
      </c>
      <c r="O633" t="s">
        <v>337</v>
      </c>
      <c r="P633">
        <v>0.0024464389952127317</v>
      </c>
      <c r="Q633" t="s">
        <v>153</v>
      </c>
    </row>
    <row r="634" spans="9:17" ht="14.25">
      <c r="I634" t="s">
        <v>167</v>
      </c>
      <c r="J634" t="s">
        <v>338</v>
      </c>
      <c r="K634">
        <v>0.00040845650498361912</v>
      </c>
      <c r="L634" t="s">
        <v>153</v>
      </c>
      <c r="N634" t="s">
        <v>177</v>
      </c>
      <c r="O634" t="s">
        <v>338</v>
      </c>
      <c r="P634">
        <v>0.011347480004578622</v>
      </c>
      <c r="Q634" t="s">
        <v>153</v>
      </c>
    </row>
    <row r="635" spans="9:17" ht="14.25">
      <c r="I635" t="s">
        <v>167</v>
      </c>
      <c r="J635" t="s">
        <v>339</v>
      </c>
      <c r="K635">
        <v>0</v>
      </c>
      <c r="L635" t="s">
        <v>153</v>
      </c>
      <c r="N635" t="s">
        <v>177</v>
      </c>
      <c r="O635" t="s">
        <v>339</v>
      </c>
      <c r="P635">
        <v>0.0082768100198277253</v>
      </c>
      <c r="Q635" t="s">
        <v>153</v>
      </c>
    </row>
    <row r="636" spans="9:17" ht="14.25">
      <c r="I636" t="s">
        <v>167</v>
      </c>
      <c r="J636" t="s">
        <v>340</v>
      </c>
      <c r="K636">
        <v>0.00055509560041445906</v>
      </c>
      <c r="L636" t="s">
        <v>153</v>
      </c>
      <c r="N636" t="s">
        <v>177</v>
      </c>
      <c r="O636" t="s">
        <v>340</v>
      </c>
      <c r="P636">
        <v>0.0013686232110938069</v>
      </c>
      <c r="Q636" t="s">
        <v>153</v>
      </c>
    </row>
    <row r="637" spans="9:17" ht="14.25">
      <c r="I637" t="s">
        <v>167</v>
      </c>
      <c r="J637" t="s">
        <v>341</v>
      </c>
      <c r="K637">
        <v>0.0013458969030558428</v>
      </c>
      <c r="L637" t="s">
        <v>153</v>
      </c>
      <c r="N637" t="s">
        <v>177</v>
      </c>
      <c r="O637" t="s">
        <v>341</v>
      </c>
      <c r="P637">
        <v>0.0011399327013354105</v>
      </c>
      <c r="Q637" t="s">
        <v>153</v>
      </c>
    </row>
    <row r="638" spans="9:17" ht="14.25">
      <c r="I638" t="s">
        <v>167</v>
      </c>
      <c r="J638" t="s">
        <v>342</v>
      </c>
      <c r="K638">
        <v>0.0018942024859414052</v>
      </c>
      <c r="L638" t="s">
        <v>153</v>
      </c>
      <c r="N638" t="s">
        <v>177</v>
      </c>
      <c r="O638" t="s">
        <v>342</v>
      </c>
      <c r="P638">
        <v>0.00095916436715823739</v>
      </c>
      <c r="Q638" t="s">
        <v>153</v>
      </c>
    </row>
    <row r="639" spans="9:17" ht="14.25">
      <c r="I639" t="s">
        <v>167</v>
      </c>
      <c r="J639" t="s">
        <v>343</v>
      </c>
      <c r="K639">
        <v>0.017292273804002584</v>
      </c>
      <c r="L639" t="s">
        <v>153</v>
      </c>
      <c r="N639" t="s">
        <v>177</v>
      </c>
      <c r="O639" t="s">
        <v>343</v>
      </c>
      <c r="P639">
        <v>0.015314208968072012</v>
      </c>
      <c r="Q639" t="s">
        <v>153</v>
      </c>
    </row>
    <row r="640" spans="9:17" ht="14.25">
      <c r="I640" t="s">
        <v>167</v>
      </c>
      <c r="J640" t="s">
        <v>344</v>
      </c>
      <c r="K640">
        <v>0.0018855576039930337</v>
      </c>
      <c r="L640" t="s">
        <v>153</v>
      </c>
      <c r="N640" t="s">
        <v>177</v>
      </c>
      <c r="O640" t="s">
        <v>344</v>
      </c>
      <c r="P640">
        <v>0.0025358704004818104</v>
      </c>
      <c r="Q640" t="s">
        <v>153</v>
      </c>
    </row>
    <row r="641" spans="9:17" ht="14.25">
      <c r="I641" t="s">
        <v>167</v>
      </c>
      <c r="J641" t="s">
        <v>345</v>
      </c>
      <c r="K641">
        <v>0.0013456063917991008</v>
      </c>
      <c r="L641" t="s">
        <v>153</v>
      </c>
      <c r="N641" t="s">
        <v>177</v>
      </c>
      <c r="O641" t="s">
        <v>345</v>
      </c>
      <c r="P641">
        <v>0.0021785569479972769</v>
      </c>
      <c r="Q641" t="s">
        <v>153</v>
      </c>
    </row>
    <row r="642" spans="9:17" ht="14.25">
      <c r="I642" t="s">
        <v>167</v>
      </c>
      <c r="J642" t="s">
        <v>346</v>
      </c>
      <c r="K642">
        <v>0.00055758289417196958</v>
      </c>
      <c r="L642" t="s">
        <v>153</v>
      </c>
      <c r="N642" t="s">
        <v>177</v>
      </c>
      <c r="O642" t="s">
        <v>346</v>
      </c>
      <c r="P642">
        <v>0.0099341179162746648</v>
      </c>
      <c r="Q642" t="s">
        <v>153</v>
      </c>
    </row>
    <row r="643" spans="9:17" ht="14.25">
      <c r="I643" t="s">
        <v>167</v>
      </c>
      <c r="J643" t="s">
        <v>347</v>
      </c>
      <c r="K643">
        <v>0</v>
      </c>
      <c r="L643" t="s">
        <v>153</v>
      </c>
      <c r="N643" t="s">
        <v>177</v>
      </c>
      <c r="O643" t="s">
        <v>347</v>
      </c>
      <c r="P643">
        <v>0.016498388894824152</v>
      </c>
      <c r="Q643" t="s">
        <v>153</v>
      </c>
    </row>
    <row r="644" spans="9:17" ht="14.25">
      <c r="I644" t="s">
        <v>167</v>
      </c>
      <c r="J644" t="s">
        <v>348</v>
      </c>
      <c r="K644">
        <v>0.0020174820764959395</v>
      </c>
      <c r="L644" t="s">
        <v>153</v>
      </c>
      <c r="N644" t="s">
        <v>177</v>
      </c>
      <c r="O644" t="s">
        <v>348</v>
      </c>
      <c r="P644">
        <v>0.0036276561305374684</v>
      </c>
      <c r="Q644" t="s">
        <v>153</v>
      </c>
    </row>
    <row r="645" spans="9:17" ht="14.25">
      <c r="I645" t="s">
        <v>167</v>
      </c>
      <c r="J645" t="s">
        <v>349</v>
      </c>
      <c r="K645">
        <v>0.0055381533291874877</v>
      </c>
      <c r="L645" t="s">
        <v>153</v>
      </c>
      <c r="N645" t="s">
        <v>177</v>
      </c>
      <c r="O645" t="s">
        <v>349</v>
      </c>
      <c r="P645">
        <v>0.0035162019095372221</v>
      </c>
      <c r="Q645" t="s">
        <v>153</v>
      </c>
    </row>
    <row r="646" spans="9:17" ht="14.25">
      <c r="I646" t="s">
        <v>167</v>
      </c>
      <c r="J646" t="s">
        <v>350</v>
      </c>
      <c r="K646">
        <v>0.0082532450713876434</v>
      </c>
      <c r="L646" t="s">
        <v>153</v>
      </c>
      <c r="N646" t="s">
        <v>177</v>
      </c>
      <c r="O646" t="s">
        <v>350</v>
      </c>
      <c r="P646">
        <v>0.0031612192796583614</v>
      </c>
      <c r="Q646" t="s">
        <v>153</v>
      </c>
    </row>
    <row r="647" spans="9:17" ht="14.25">
      <c r="I647" t="s">
        <v>167</v>
      </c>
      <c r="J647" t="s">
        <v>351</v>
      </c>
      <c r="K647">
        <v>0.07673557831379374</v>
      </c>
      <c r="L647" t="s">
        <v>153</v>
      </c>
      <c r="N647" t="s">
        <v>177</v>
      </c>
      <c r="O647" t="s">
        <v>351</v>
      </c>
      <c r="P647">
        <v>0.039718986598994491</v>
      </c>
      <c r="Q647" t="s">
        <v>153</v>
      </c>
    </row>
    <row r="648" spans="9:17" ht="14.25">
      <c r="I648" t="s">
        <v>167</v>
      </c>
      <c r="J648" t="s">
        <v>352</v>
      </c>
      <c r="K648">
        <v>0.008202118158060441</v>
      </c>
      <c r="L648" t="s">
        <v>153</v>
      </c>
      <c r="N648" t="s">
        <v>177</v>
      </c>
      <c r="O648" t="s">
        <v>352</v>
      </c>
      <c r="P648">
        <v>0.0080236987344792857</v>
      </c>
      <c r="Q648" t="s">
        <v>153</v>
      </c>
    </row>
    <row r="649" spans="9:17" ht="14.25">
      <c r="I649" t="s">
        <v>167</v>
      </c>
      <c r="J649" t="s">
        <v>353</v>
      </c>
      <c r="K649">
        <v>0.0058074332905442994</v>
      </c>
      <c r="L649" t="s">
        <v>153</v>
      </c>
      <c r="N649" t="s">
        <v>177</v>
      </c>
      <c r="O649" t="s">
        <v>353</v>
      </c>
      <c r="P649">
        <v>0.0072990618065209385</v>
      </c>
      <c r="Q649" t="s">
        <v>153</v>
      </c>
    </row>
    <row r="650" spans="9:17" ht="14.25">
      <c r="I650" t="s">
        <v>167</v>
      </c>
      <c r="J650" t="s">
        <v>354</v>
      </c>
      <c r="K650">
        <v>0.0023793671166062471</v>
      </c>
      <c r="L650" t="s">
        <v>153</v>
      </c>
      <c r="N650" t="s">
        <v>177</v>
      </c>
      <c r="O650" t="s">
        <v>354</v>
      </c>
      <c r="P650">
        <v>0.024403618200888055</v>
      </c>
      <c r="Q650" t="s">
        <v>153</v>
      </c>
    </row>
    <row r="651" spans="9:17" ht="14.25">
      <c r="I651" t="s">
        <v>167</v>
      </c>
      <c r="J651" t="s">
        <v>355</v>
      </c>
      <c r="K651">
        <v>0</v>
      </c>
      <c r="L651" t="s">
        <v>153</v>
      </c>
      <c r="N651" t="s">
        <v>177</v>
      </c>
      <c r="O651" t="s">
        <v>355</v>
      </c>
      <c r="P651">
        <v>0.017321297053939394</v>
      </c>
      <c r="Q651" t="s">
        <v>153</v>
      </c>
    </row>
    <row r="652" spans="9:17" ht="14.25">
      <c r="I652" t="s">
        <v>167</v>
      </c>
      <c r="J652" t="s">
        <v>356</v>
      </c>
      <c r="K652">
        <v>0.0023931915857575738</v>
      </c>
      <c r="L652" t="s">
        <v>153</v>
      </c>
      <c r="N652" t="s">
        <v>177</v>
      </c>
      <c r="O652" t="s">
        <v>356</v>
      </c>
      <c r="P652">
        <v>0.0029602042454972537</v>
      </c>
      <c r="Q652" t="s">
        <v>153</v>
      </c>
    </row>
    <row r="653" spans="9:17" ht="14.25">
      <c r="I653" t="s">
        <v>167</v>
      </c>
      <c r="J653" t="s">
        <v>357</v>
      </c>
      <c r="K653">
        <v>0.00706012833249689</v>
      </c>
      <c r="L653" t="s">
        <v>153</v>
      </c>
      <c r="N653" t="s">
        <v>177</v>
      </c>
      <c r="O653" t="s">
        <v>357</v>
      </c>
      <c r="P653">
        <v>0.0026109696344045119</v>
      </c>
      <c r="Q653" t="s">
        <v>153</v>
      </c>
    </row>
    <row r="654" spans="9:17" ht="14.25">
      <c r="I654" t="s">
        <v>167</v>
      </c>
      <c r="J654" t="s">
        <v>358</v>
      </c>
      <c r="K654">
        <v>0.010946918860882067</v>
      </c>
      <c r="L654" t="s">
        <v>153</v>
      </c>
      <c r="N654" t="s">
        <v>177</v>
      </c>
      <c r="O654" t="s">
        <v>358</v>
      </c>
      <c r="P654">
        <v>0.0023500204698185842</v>
      </c>
      <c r="Q654" t="s">
        <v>153</v>
      </c>
    </row>
    <row r="655" spans="9:17" ht="14.25">
      <c r="I655" t="s">
        <v>167</v>
      </c>
      <c r="J655" t="s">
        <v>359</v>
      </c>
      <c r="K655">
        <v>0.098346629705896929</v>
      </c>
      <c r="L655" t="s">
        <v>153</v>
      </c>
      <c r="N655" t="s">
        <v>177</v>
      </c>
      <c r="O655" t="s">
        <v>359</v>
      </c>
      <c r="P655">
        <v>0.020152801429500249</v>
      </c>
      <c r="Q655" t="s">
        <v>153</v>
      </c>
    </row>
    <row r="656" spans="9:17" ht="14.25">
      <c r="I656" t="s">
        <v>167</v>
      </c>
      <c r="J656" t="s">
        <v>360</v>
      </c>
      <c r="K656">
        <v>0.0099963798161177442</v>
      </c>
      <c r="L656" t="s">
        <v>153</v>
      </c>
      <c r="N656" t="s">
        <v>177</v>
      </c>
      <c r="O656" t="s">
        <v>360</v>
      </c>
      <c r="P656">
        <v>0.0066635119396130935</v>
      </c>
      <c r="Q656" t="s">
        <v>153</v>
      </c>
    </row>
    <row r="657" spans="9:17" ht="14.25">
      <c r="I657" t="s">
        <v>167</v>
      </c>
      <c r="J657" t="s">
        <v>361</v>
      </c>
      <c r="K657">
        <v>0.0063368605787136921</v>
      </c>
      <c r="L657" t="s">
        <v>153</v>
      </c>
      <c r="N657" t="s">
        <v>177</v>
      </c>
      <c r="O657" t="s">
        <v>361</v>
      </c>
      <c r="P657">
        <v>0.0072805303753044528</v>
      </c>
      <c r="Q657" t="s">
        <v>153</v>
      </c>
    </row>
    <row r="658" spans="9:17" ht="14.25">
      <c r="I658" t="s">
        <v>167</v>
      </c>
      <c r="J658" t="s">
        <v>362</v>
      </c>
      <c r="K658">
        <v>0.0016250867183516548</v>
      </c>
      <c r="L658" t="s">
        <v>153</v>
      </c>
      <c r="N658" t="s">
        <v>177</v>
      </c>
      <c r="O658" t="s">
        <v>362</v>
      </c>
      <c r="P658">
        <v>0.027727705078513503</v>
      </c>
      <c r="Q658" t="s">
        <v>153</v>
      </c>
    </row>
    <row r="659" spans="9:17" ht="14.25">
      <c r="I659" t="s">
        <v>167</v>
      </c>
      <c r="J659" t="s">
        <v>363</v>
      </c>
      <c r="K659">
        <v>0</v>
      </c>
      <c r="L659" t="s">
        <v>153</v>
      </c>
      <c r="N659" t="s">
        <v>177</v>
      </c>
      <c r="O659" t="s">
        <v>363</v>
      </c>
      <c r="P659">
        <v>0.036313317078935078</v>
      </c>
      <c r="Q659" t="s">
        <v>153</v>
      </c>
    </row>
    <row r="660" spans="9:17" ht="14.25">
      <c r="I660" t="s">
        <v>167</v>
      </c>
      <c r="J660" t="s">
        <v>364</v>
      </c>
      <c r="K660">
        <v>0.00097385133535374854</v>
      </c>
      <c r="L660" t="s">
        <v>153</v>
      </c>
      <c r="N660" t="s">
        <v>177</v>
      </c>
      <c r="O660" t="s">
        <v>364</v>
      </c>
      <c r="P660">
        <v>0.005917536572887112</v>
      </c>
      <c r="Q660" t="s">
        <v>153</v>
      </c>
    </row>
    <row r="661" spans="9:17" ht="14.25">
      <c r="I661" t="s">
        <v>167</v>
      </c>
      <c r="J661" t="s">
        <v>365</v>
      </c>
      <c r="K661">
        <v>0.012377807973556735</v>
      </c>
      <c r="L661" t="s">
        <v>153</v>
      </c>
      <c r="N661" t="s">
        <v>177</v>
      </c>
      <c r="O661" t="s">
        <v>365</v>
      </c>
      <c r="P661">
        <v>0.0057254558982603385</v>
      </c>
      <c r="Q661" t="s">
        <v>153</v>
      </c>
    </row>
    <row r="662" spans="9:17" ht="14.25">
      <c r="I662" t="s">
        <v>167</v>
      </c>
      <c r="J662" t="s">
        <v>366</v>
      </c>
      <c r="K662">
        <v>0.019305510451914084</v>
      </c>
      <c r="L662" t="s">
        <v>153</v>
      </c>
      <c r="N662" t="s">
        <v>177</v>
      </c>
      <c r="O662" t="s">
        <v>366</v>
      </c>
      <c r="P662">
        <v>0.0052512600039536428</v>
      </c>
      <c r="Q662" t="s">
        <v>153</v>
      </c>
    </row>
    <row r="663" spans="9:17" ht="14.25">
      <c r="I663" t="s">
        <v>167</v>
      </c>
      <c r="J663" t="s">
        <v>367</v>
      </c>
      <c r="K663">
        <v>0.16097002674081065</v>
      </c>
      <c r="L663" t="s">
        <v>153</v>
      </c>
      <c r="N663" t="s">
        <v>177</v>
      </c>
      <c r="O663" t="s">
        <v>367</v>
      </c>
      <c r="P663">
        <v>0.047840334411143451</v>
      </c>
      <c r="Q663" t="s">
        <v>153</v>
      </c>
    </row>
    <row r="664" spans="9:17" ht="14.25">
      <c r="I664" t="s">
        <v>167</v>
      </c>
      <c r="J664" t="s">
        <v>368</v>
      </c>
      <c r="K664">
        <v>0.016885628485405653</v>
      </c>
      <c r="L664" t="s">
        <v>153</v>
      </c>
      <c r="N664" t="s">
        <v>177</v>
      </c>
      <c r="O664" t="s">
        <v>368</v>
      </c>
      <c r="P664">
        <v>0.0094544256383630957</v>
      </c>
      <c r="Q664" t="s">
        <v>153</v>
      </c>
    </row>
    <row r="665" spans="9:17" ht="14.25">
      <c r="I665" t="s">
        <v>167</v>
      </c>
      <c r="J665" t="s">
        <v>369</v>
      </c>
      <c r="K665">
        <v>0.0097574830573702136</v>
      </c>
      <c r="L665" t="s">
        <v>153</v>
      </c>
      <c r="N665" t="s">
        <v>177</v>
      </c>
      <c r="O665" t="s">
        <v>369</v>
      </c>
      <c r="P665">
        <v>0.010307411236827241</v>
      </c>
      <c r="Q665" t="s">
        <v>153</v>
      </c>
    </row>
    <row r="666" spans="9:17" ht="14.25">
      <c r="I666" t="s">
        <v>167</v>
      </c>
      <c r="J666" t="s">
        <v>370</v>
      </c>
      <c r="K666">
        <v>0</v>
      </c>
      <c r="L666" t="s">
        <v>153</v>
      </c>
      <c r="N666" t="s">
        <v>177</v>
      </c>
      <c r="O666" t="s">
        <v>370</v>
      </c>
      <c r="P666">
        <v>0.047249833655503129</v>
      </c>
      <c r="Q666" t="s">
        <v>153</v>
      </c>
    </row>
    <row r="667" spans="9:17" ht="14.25">
      <c r="I667" t="s">
        <v>167</v>
      </c>
      <c r="J667" t="s">
        <v>371</v>
      </c>
      <c r="K667">
        <v>0</v>
      </c>
      <c r="L667" t="s">
        <v>153</v>
      </c>
      <c r="N667" t="s">
        <v>177</v>
      </c>
      <c r="O667" t="s">
        <v>371</v>
      </c>
      <c r="P667">
        <v>0.0094715582179246624</v>
      </c>
      <c r="Q667" t="s">
        <v>153</v>
      </c>
    </row>
    <row r="668" spans="9:17" ht="14.25">
      <c r="I668" t="s">
        <v>167</v>
      </c>
      <c r="J668" t="s">
        <v>372</v>
      </c>
      <c r="K668">
        <v>0</v>
      </c>
      <c r="L668" t="s">
        <v>153</v>
      </c>
      <c r="N668" t="s">
        <v>177</v>
      </c>
      <c r="O668" t="s">
        <v>372</v>
      </c>
      <c r="P668">
        <v>0.0017358630763651744</v>
      </c>
      <c r="Q668" t="s">
        <v>153</v>
      </c>
    </row>
    <row r="669" spans="9:17" ht="14.25">
      <c r="I669" t="s">
        <v>167</v>
      </c>
      <c r="J669" t="s">
        <v>373</v>
      </c>
      <c r="K669">
        <v>0.00071776924769203934</v>
      </c>
      <c r="L669" t="s">
        <v>153</v>
      </c>
      <c r="N669" t="s">
        <v>177</v>
      </c>
      <c r="O669" t="s">
        <v>373</v>
      </c>
      <c r="P669">
        <v>0.0017870157867275319</v>
      </c>
      <c r="Q669" t="s">
        <v>153</v>
      </c>
    </row>
    <row r="670" spans="9:17" ht="14.25">
      <c r="I670" t="s">
        <v>167</v>
      </c>
      <c r="J670" t="s">
        <v>374</v>
      </c>
      <c r="K670">
        <v>0.0012575176036163905</v>
      </c>
      <c r="L670" t="s">
        <v>153</v>
      </c>
      <c r="N670" t="s">
        <v>177</v>
      </c>
      <c r="O670" t="s">
        <v>374</v>
      </c>
      <c r="P670">
        <v>0.0017703200376198176</v>
      </c>
      <c r="Q670" t="s">
        <v>153</v>
      </c>
    </row>
    <row r="671" spans="9:17" ht="14.25">
      <c r="I671" t="s">
        <v>167</v>
      </c>
      <c r="J671" t="s">
        <v>375</v>
      </c>
      <c r="K671">
        <v>0.012978039461287408</v>
      </c>
      <c r="L671" t="s">
        <v>153</v>
      </c>
      <c r="N671" t="s">
        <v>177</v>
      </c>
      <c r="O671" t="s">
        <v>375</v>
      </c>
      <c r="P671">
        <v>0.014633075740594003</v>
      </c>
      <c r="Q671" t="s">
        <v>153</v>
      </c>
    </row>
    <row r="672" spans="9:17" ht="14.25">
      <c r="I672" t="s">
        <v>167</v>
      </c>
      <c r="J672" t="s">
        <v>376</v>
      </c>
      <c r="K672">
        <v>0.0014526642779919866</v>
      </c>
      <c r="L672" t="s">
        <v>153</v>
      </c>
      <c r="N672" t="s">
        <v>177</v>
      </c>
      <c r="O672" t="s">
        <v>376</v>
      </c>
      <c r="P672">
        <v>0.0020501225598997799</v>
      </c>
      <c r="Q672" t="s">
        <v>153</v>
      </c>
    </row>
    <row r="673" spans="9:17" ht="14.25">
      <c r="I673" t="s">
        <v>167</v>
      </c>
      <c r="J673" t="s">
        <v>377</v>
      </c>
      <c r="K673">
        <v>0.00084185675252255955</v>
      </c>
      <c r="L673" t="s">
        <v>153</v>
      </c>
      <c r="N673" t="s">
        <v>177</v>
      </c>
      <c r="O673" t="s">
        <v>377</v>
      </c>
      <c r="P673">
        <v>0.0019780939571092267</v>
      </c>
      <c r="Q673" t="s">
        <v>153</v>
      </c>
    </row>
    <row r="674" spans="9:17" ht="14.25">
      <c r="I674" t="s">
        <v>167</v>
      </c>
      <c r="J674" t="s">
        <v>378</v>
      </c>
      <c r="K674">
        <v>0</v>
      </c>
      <c r="L674" t="s">
        <v>153</v>
      </c>
      <c r="N674" t="s">
        <v>177</v>
      </c>
      <c r="O674" t="s">
        <v>378</v>
      </c>
      <c r="P674">
        <v>0.011086855759668311</v>
      </c>
      <c r="Q674" t="s">
        <v>153</v>
      </c>
    </row>
    <row r="675" spans="9:17" ht="14.25">
      <c r="I675" t="s">
        <v>167</v>
      </c>
      <c r="J675" t="s">
        <v>379</v>
      </c>
      <c r="K675">
        <v>0</v>
      </c>
      <c r="L675" t="s">
        <v>153</v>
      </c>
      <c r="N675" t="s">
        <v>177</v>
      </c>
      <c r="O675" t="s">
        <v>379</v>
      </c>
      <c r="P675">
        <v>0.0066671815634332648</v>
      </c>
      <c r="Q675" t="s">
        <v>153</v>
      </c>
    </row>
    <row r="676" spans="9:17" ht="14.25">
      <c r="I676" t="s">
        <v>167</v>
      </c>
      <c r="J676" t="s">
        <v>380</v>
      </c>
      <c r="K676">
        <v>0</v>
      </c>
      <c r="L676" t="s">
        <v>153</v>
      </c>
      <c r="N676" t="s">
        <v>177</v>
      </c>
      <c r="O676" t="s">
        <v>380</v>
      </c>
      <c r="P676">
        <v>0.00095993569381018463</v>
      </c>
      <c r="Q676" t="s">
        <v>153</v>
      </c>
    </row>
    <row r="677" spans="9:17" ht="14.25">
      <c r="I677" t="s">
        <v>167</v>
      </c>
      <c r="J677" t="s">
        <v>381</v>
      </c>
      <c r="K677">
        <v>0.0011236251052486558</v>
      </c>
      <c r="L677" t="s">
        <v>153</v>
      </c>
      <c r="N677" t="s">
        <v>177</v>
      </c>
      <c r="O677" t="s">
        <v>381</v>
      </c>
      <c r="P677">
        <v>0.00091532887934622179</v>
      </c>
      <c r="Q677" t="s">
        <v>153</v>
      </c>
    </row>
    <row r="678" spans="9:17" ht="14.25">
      <c r="I678" t="s">
        <v>167</v>
      </c>
      <c r="J678" t="s">
        <v>382</v>
      </c>
      <c r="K678">
        <v>0.0020725921386553136</v>
      </c>
      <c r="L678" t="s">
        <v>153</v>
      </c>
      <c r="N678" t="s">
        <v>177</v>
      </c>
      <c r="O678" t="s">
        <v>382</v>
      </c>
      <c r="P678">
        <v>0.00076871865987606898</v>
      </c>
      <c r="Q678" t="s">
        <v>153</v>
      </c>
    </row>
    <row r="679" spans="9:17" ht="14.25">
      <c r="I679" t="s">
        <v>167</v>
      </c>
      <c r="J679" t="s">
        <v>383</v>
      </c>
      <c r="K679">
        <v>0.019257486971805723</v>
      </c>
      <c r="L679" t="s">
        <v>153</v>
      </c>
      <c r="N679" t="s">
        <v>177</v>
      </c>
      <c r="O679" t="s">
        <v>383</v>
      </c>
      <c r="P679">
        <v>0.0077215644818719176</v>
      </c>
      <c r="Q679" t="s">
        <v>153</v>
      </c>
    </row>
    <row r="680" spans="9:17" ht="14.25">
      <c r="I680" t="s">
        <v>167</v>
      </c>
      <c r="J680" t="s">
        <v>384</v>
      </c>
      <c r="K680">
        <v>0.0021969997213556456</v>
      </c>
      <c r="L680" t="s">
        <v>153</v>
      </c>
      <c r="N680" t="s">
        <v>177</v>
      </c>
      <c r="O680" t="s">
        <v>384</v>
      </c>
      <c r="P680">
        <v>0.0015466502380779622</v>
      </c>
      <c r="Q680" t="s">
        <v>153</v>
      </c>
    </row>
    <row r="681" spans="9:17" ht="14.25">
      <c r="I681" t="s">
        <v>167</v>
      </c>
      <c r="J681" t="s">
        <v>385</v>
      </c>
      <c r="K681">
        <v>0.0012320209486100604</v>
      </c>
      <c r="L681" t="s">
        <v>153</v>
      </c>
      <c r="N681" t="s">
        <v>177</v>
      </c>
      <c r="O681" t="s">
        <v>385</v>
      </c>
      <c r="P681">
        <v>0.0014558718867547459</v>
      </c>
      <c r="Q681" t="s">
        <v>153</v>
      </c>
    </row>
    <row r="682" spans="9:17" ht="14.25">
      <c r="I682" t="s">
        <v>167</v>
      </c>
      <c r="J682" t="s">
        <v>386</v>
      </c>
      <c r="K682">
        <v>0</v>
      </c>
      <c r="L682" t="s">
        <v>153</v>
      </c>
      <c r="N682" t="s">
        <v>177</v>
      </c>
      <c r="O682" t="s">
        <v>386</v>
      </c>
      <c r="P682">
        <v>0.0068303835691242805</v>
      </c>
      <c r="Q682" t="s">
        <v>153</v>
      </c>
    </row>
    <row r="683" spans="9:17" ht="14.25">
      <c r="I683" t="s">
        <v>168</v>
      </c>
      <c r="J683" t="s">
        <v>152</v>
      </c>
      <c r="K683">
        <v>0</v>
      </c>
      <c r="L683" t="s">
        <v>153</v>
      </c>
      <c r="N683" t="s">
        <v>178</v>
      </c>
      <c r="O683" t="s">
        <v>152</v>
      </c>
      <c r="P683">
        <v>0.0096784615141949099</v>
      </c>
      <c r="Q683" t="s">
        <v>153</v>
      </c>
    </row>
    <row r="684" spans="9:17" ht="14.25">
      <c r="I684" t="s">
        <v>168</v>
      </c>
      <c r="J684" t="s">
        <v>154</v>
      </c>
      <c r="K684">
        <v>0</v>
      </c>
      <c r="L684" t="s">
        <v>153</v>
      </c>
      <c r="N684" t="s">
        <v>178</v>
      </c>
      <c r="O684" t="s">
        <v>154</v>
      </c>
      <c r="P684">
        <v>0.001804822685900528</v>
      </c>
      <c r="Q684" t="s">
        <v>153</v>
      </c>
    </row>
    <row r="685" spans="9:17" ht="14.25">
      <c r="I685" t="s">
        <v>168</v>
      </c>
      <c r="J685" t="s">
        <v>155</v>
      </c>
      <c r="K685">
        <v>0.0012103109429070845</v>
      </c>
      <c r="L685" t="s">
        <v>153</v>
      </c>
      <c r="N685" t="s">
        <v>178</v>
      </c>
      <c r="O685" t="s">
        <v>155</v>
      </c>
      <c r="P685">
        <v>0.0019415242399502168</v>
      </c>
      <c r="Q685" t="s">
        <v>153</v>
      </c>
    </row>
    <row r="686" spans="9:17" ht="14.25">
      <c r="I686" t="s">
        <v>168</v>
      </c>
      <c r="J686" t="s">
        <v>200</v>
      </c>
      <c r="K686">
        <v>0.002202457542760819</v>
      </c>
      <c r="L686" t="s">
        <v>153</v>
      </c>
      <c r="N686" t="s">
        <v>178</v>
      </c>
      <c r="O686" t="s">
        <v>200</v>
      </c>
      <c r="P686">
        <v>0.0018154663765912057</v>
      </c>
      <c r="Q686" t="s">
        <v>153</v>
      </c>
    </row>
    <row r="687" spans="9:17" ht="14.25">
      <c r="I687" t="s">
        <v>168</v>
      </c>
      <c r="J687" t="s">
        <v>201</v>
      </c>
      <c r="K687">
        <v>0.019348635183376622</v>
      </c>
      <c r="L687" t="s">
        <v>153</v>
      </c>
      <c r="N687" t="s">
        <v>178</v>
      </c>
      <c r="O687" t="s">
        <v>201</v>
      </c>
      <c r="P687">
        <v>0.0093015806301089826</v>
      </c>
      <c r="Q687" t="s">
        <v>153</v>
      </c>
    </row>
    <row r="688" spans="9:17" ht="14.25">
      <c r="I688" t="s">
        <v>168</v>
      </c>
      <c r="J688" t="s">
        <v>218</v>
      </c>
      <c r="K688">
        <v>0.0021745981386174758</v>
      </c>
      <c r="L688" t="s">
        <v>153</v>
      </c>
      <c r="N688" t="s">
        <v>178</v>
      </c>
      <c r="O688" t="s">
        <v>218</v>
      </c>
      <c r="P688">
        <v>0.00094996539487431184</v>
      </c>
      <c r="Q688" t="s">
        <v>153</v>
      </c>
    </row>
    <row r="689" spans="9:17" ht="14.25">
      <c r="I689" t="s">
        <v>168</v>
      </c>
      <c r="J689" t="s">
        <v>309</v>
      </c>
      <c r="K689">
        <v>0.0011761129335924687</v>
      </c>
      <c r="L689" t="s">
        <v>153</v>
      </c>
      <c r="N689" t="s">
        <v>178</v>
      </c>
      <c r="O689" t="s">
        <v>309</v>
      </c>
      <c r="P689">
        <v>0.00088917896573188922</v>
      </c>
      <c r="Q689" t="s">
        <v>153</v>
      </c>
    </row>
    <row r="690" spans="9:17" ht="14.25">
      <c r="I690" t="s">
        <v>168</v>
      </c>
      <c r="J690" t="s">
        <v>310</v>
      </c>
      <c r="K690">
        <v>0</v>
      </c>
      <c r="L690" t="s">
        <v>153</v>
      </c>
      <c r="N690" t="s">
        <v>178</v>
      </c>
      <c r="O690" t="s">
        <v>310</v>
      </c>
      <c r="P690">
        <v>0.0085241973694768734</v>
      </c>
      <c r="Q690" t="s">
        <v>153</v>
      </c>
    </row>
    <row r="691" spans="9:17" ht="14.25">
      <c r="I691" t="s">
        <v>168</v>
      </c>
      <c r="J691" t="s">
        <v>156</v>
      </c>
      <c r="K691">
        <v>0</v>
      </c>
      <c r="L691" t="s">
        <v>153</v>
      </c>
      <c r="N691" t="s">
        <v>178</v>
      </c>
      <c r="O691" t="s">
        <v>156</v>
      </c>
      <c r="P691">
        <v>0.011677616135414223</v>
      </c>
      <c r="Q691" t="s">
        <v>153</v>
      </c>
    </row>
    <row r="692" spans="9:17" ht="14.25">
      <c r="I692" t="s">
        <v>168</v>
      </c>
      <c r="J692" t="s">
        <v>157</v>
      </c>
      <c r="K692">
        <v>0</v>
      </c>
      <c r="L692" t="s">
        <v>153</v>
      </c>
      <c r="N692" t="s">
        <v>178</v>
      </c>
      <c r="O692" t="s">
        <v>157</v>
      </c>
      <c r="P692">
        <v>0.0020854806337569174</v>
      </c>
      <c r="Q692" t="s">
        <v>153</v>
      </c>
    </row>
    <row r="693" spans="9:17" ht="14.25">
      <c r="I693" t="s">
        <v>168</v>
      </c>
      <c r="J693" t="s">
        <v>158</v>
      </c>
      <c r="K693">
        <v>0.00064677444107246536</v>
      </c>
      <c r="L693" t="s">
        <v>153</v>
      </c>
      <c r="N693" t="s">
        <v>178</v>
      </c>
      <c r="O693" t="s">
        <v>158</v>
      </c>
      <c r="P693">
        <v>0.0020722812199085966</v>
      </c>
      <c r="Q693" t="s">
        <v>153</v>
      </c>
    </row>
    <row r="694" spans="9:17" ht="14.25">
      <c r="I694" t="s">
        <v>168</v>
      </c>
      <c r="J694" t="s">
        <v>202</v>
      </c>
      <c r="K694">
        <v>0.0012447847626937949</v>
      </c>
      <c r="L694" t="s">
        <v>153</v>
      </c>
      <c r="N694" t="s">
        <v>178</v>
      </c>
      <c r="O694" t="s">
        <v>202</v>
      </c>
      <c r="P694">
        <v>0.0019871456434492041</v>
      </c>
      <c r="Q694" t="s">
        <v>153</v>
      </c>
    </row>
    <row r="695" spans="9:17" ht="14.25">
      <c r="I695" t="s">
        <v>168</v>
      </c>
      <c r="J695" t="s">
        <v>203</v>
      </c>
      <c r="K695">
        <v>0.011127850652227938</v>
      </c>
      <c r="L695" t="s">
        <v>153</v>
      </c>
      <c r="N695" t="s">
        <v>178</v>
      </c>
      <c r="O695" t="s">
        <v>203</v>
      </c>
      <c r="P695">
        <v>0.017120273891528721</v>
      </c>
      <c r="Q695" t="s">
        <v>153</v>
      </c>
    </row>
    <row r="696" spans="9:17" ht="14.25">
      <c r="I696" t="s">
        <v>168</v>
      </c>
      <c r="J696" t="s">
        <v>219</v>
      </c>
      <c r="K696">
        <v>0.0012728714008200027</v>
      </c>
      <c r="L696" t="s">
        <v>153</v>
      </c>
      <c r="N696" t="s">
        <v>178</v>
      </c>
      <c r="O696" t="s">
        <v>219</v>
      </c>
      <c r="P696">
        <v>0.0024284924992276167</v>
      </c>
      <c r="Q696" t="s">
        <v>153</v>
      </c>
    </row>
    <row r="697" spans="9:17" ht="14.25">
      <c r="I697" t="s">
        <v>168</v>
      </c>
      <c r="J697" t="s">
        <v>311</v>
      </c>
      <c r="K697">
        <v>0.00073692747678694181</v>
      </c>
      <c r="L697" t="s">
        <v>153</v>
      </c>
      <c r="N697" t="s">
        <v>178</v>
      </c>
      <c r="O697" t="s">
        <v>311</v>
      </c>
      <c r="P697">
        <v>0.0022553849580854561</v>
      </c>
      <c r="Q697" t="s">
        <v>153</v>
      </c>
    </row>
    <row r="698" spans="9:17" ht="14.25">
      <c r="I698" t="s">
        <v>168</v>
      </c>
      <c r="J698" t="s">
        <v>312</v>
      </c>
      <c r="K698">
        <v>0</v>
      </c>
      <c r="L698" t="s">
        <v>153</v>
      </c>
      <c r="N698" t="s">
        <v>178</v>
      </c>
      <c r="O698" t="s">
        <v>312</v>
      </c>
      <c r="P698">
        <v>0.010951985857177743</v>
      </c>
      <c r="Q698" t="s">
        <v>153</v>
      </c>
    </row>
    <row r="699" spans="9:17" ht="14.25">
      <c r="I699" t="s">
        <v>168</v>
      </c>
      <c r="J699" t="s">
        <v>159</v>
      </c>
      <c r="K699">
        <v>0</v>
      </c>
      <c r="L699" t="s">
        <v>153</v>
      </c>
      <c r="N699" t="s">
        <v>178</v>
      </c>
      <c r="O699" t="s">
        <v>159</v>
      </c>
      <c r="P699">
        <v>0.0079837606949263711</v>
      </c>
      <c r="Q699" t="s">
        <v>153</v>
      </c>
    </row>
    <row r="700" spans="9:17" ht="14.25">
      <c r="I700" t="s">
        <v>168</v>
      </c>
      <c r="J700" t="s">
        <v>160</v>
      </c>
      <c r="K700">
        <v>0</v>
      </c>
      <c r="L700" t="s">
        <v>153</v>
      </c>
      <c r="N700" t="s">
        <v>178</v>
      </c>
      <c r="O700" t="s">
        <v>160</v>
      </c>
      <c r="P700">
        <v>0.0012526967665894989</v>
      </c>
      <c r="Q700" t="s">
        <v>153</v>
      </c>
    </row>
    <row r="701" spans="9:17" ht="14.25">
      <c r="I701" t="s">
        <v>168</v>
      </c>
      <c r="J701" t="s">
        <v>161</v>
      </c>
      <c r="K701">
        <v>0.0017464070766450822</v>
      </c>
      <c r="L701" t="s">
        <v>153</v>
      </c>
      <c r="N701" t="s">
        <v>178</v>
      </c>
      <c r="O701" t="s">
        <v>161</v>
      </c>
      <c r="P701">
        <v>0.0012056664371605224</v>
      </c>
      <c r="Q701" t="s">
        <v>153</v>
      </c>
    </row>
    <row r="702" spans="9:17" ht="14.25">
      <c r="I702" t="s">
        <v>168</v>
      </c>
      <c r="J702" t="s">
        <v>204</v>
      </c>
      <c r="K702">
        <v>0.0032717452697717379</v>
      </c>
      <c r="L702" t="s">
        <v>153</v>
      </c>
      <c r="N702" t="s">
        <v>178</v>
      </c>
      <c r="O702" t="s">
        <v>204</v>
      </c>
      <c r="P702">
        <v>0.0010092566010613947</v>
      </c>
      <c r="Q702" t="s">
        <v>153</v>
      </c>
    </row>
    <row r="703" spans="9:17" ht="14.25">
      <c r="I703" t="s">
        <v>168</v>
      </c>
      <c r="J703" t="s">
        <v>205</v>
      </c>
      <c r="K703">
        <v>0.033352180135949136</v>
      </c>
      <c r="L703" t="s">
        <v>153</v>
      </c>
      <c r="N703" t="s">
        <v>178</v>
      </c>
      <c r="O703" t="s">
        <v>205</v>
      </c>
      <c r="P703">
        <v>0.0063964985860604281</v>
      </c>
      <c r="Q703" t="s">
        <v>153</v>
      </c>
    </row>
    <row r="704" spans="9:17" ht="14.25">
      <c r="I704" t="s">
        <v>168</v>
      </c>
      <c r="J704" t="s">
        <v>220</v>
      </c>
      <c r="K704">
        <v>0.0039479452914691236</v>
      </c>
      <c r="L704" t="s">
        <v>153</v>
      </c>
      <c r="N704" t="s">
        <v>178</v>
      </c>
      <c r="O704" t="s">
        <v>220</v>
      </c>
      <c r="P704">
        <v>0.00099686512028077275</v>
      </c>
      <c r="Q704" t="s">
        <v>153</v>
      </c>
    </row>
    <row r="705" spans="9:17" ht="14.25">
      <c r="I705" t="s">
        <v>168</v>
      </c>
      <c r="J705" t="s">
        <v>313</v>
      </c>
      <c r="K705">
        <v>0.0022928241268145018</v>
      </c>
      <c r="L705" t="s">
        <v>153</v>
      </c>
      <c r="N705" t="s">
        <v>178</v>
      </c>
      <c r="O705" t="s">
        <v>313</v>
      </c>
      <c r="P705">
        <v>0.0013446020335302275</v>
      </c>
      <c r="Q705" t="s">
        <v>153</v>
      </c>
    </row>
    <row r="706" spans="9:17" ht="14.25">
      <c r="I706" t="s">
        <v>168</v>
      </c>
      <c r="J706" t="s">
        <v>314</v>
      </c>
      <c r="K706">
        <v>0</v>
      </c>
      <c r="L706" t="s">
        <v>153</v>
      </c>
      <c r="N706" t="s">
        <v>178</v>
      </c>
      <c r="O706" t="s">
        <v>314</v>
      </c>
      <c r="P706">
        <v>0.0093415024650416439</v>
      </c>
      <c r="Q706" t="s">
        <v>153</v>
      </c>
    </row>
    <row r="707" spans="9:17" ht="14.25">
      <c r="I707" t="s">
        <v>168</v>
      </c>
      <c r="J707" t="s">
        <v>162</v>
      </c>
      <c r="K707">
        <v>0</v>
      </c>
      <c r="L707" t="s">
        <v>153</v>
      </c>
      <c r="N707" t="s">
        <v>178</v>
      </c>
      <c r="O707" t="s">
        <v>162</v>
      </c>
      <c r="P707">
        <v>0.01297266676645374</v>
      </c>
      <c r="Q707" t="s">
        <v>153</v>
      </c>
    </row>
    <row r="708" spans="9:17" ht="14.25">
      <c r="I708" t="s">
        <v>168</v>
      </c>
      <c r="J708" t="s">
        <v>163</v>
      </c>
      <c r="K708">
        <v>0</v>
      </c>
      <c r="L708" t="s">
        <v>153</v>
      </c>
      <c r="N708" t="s">
        <v>178</v>
      </c>
      <c r="O708" t="s">
        <v>163</v>
      </c>
      <c r="P708">
        <v>0.0024412936139621435</v>
      </c>
      <c r="Q708" t="s">
        <v>153</v>
      </c>
    </row>
    <row r="709" spans="9:17" ht="14.25">
      <c r="I709" t="s">
        <v>168</v>
      </c>
      <c r="J709" t="s">
        <v>164</v>
      </c>
      <c r="K709">
        <v>0.0027675468950609026</v>
      </c>
      <c r="L709" t="s">
        <v>153</v>
      </c>
      <c r="N709" t="s">
        <v>178</v>
      </c>
      <c r="O709" t="s">
        <v>164</v>
      </c>
      <c r="P709">
        <v>0.0024345195641907492</v>
      </c>
      <c r="Q709" t="s">
        <v>153</v>
      </c>
    </row>
    <row r="710" spans="9:17" ht="14.25">
      <c r="I710" t="s">
        <v>168</v>
      </c>
      <c r="J710" t="s">
        <v>206</v>
      </c>
      <c r="K710">
        <v>0.0050549421356308006</v>
      </c>
      <c r="L710" t="s">
        <v>153</v>
      </c>
      <c r="N710" t="s">
        <v>178</v>
      </c>
      <c r="O710" t="s">
        <v>206</v>
      </c>
      <c r="P710">
        <v>0.002224478150352874</v>
      </c>
      <c r="Q710" t="s">
        <v>153</v>
      </c>
    </row>
    <row r="711" spans="9:17" ht="14.25">
      <c r="I711" t="s">
        <v>168</v>
      </c>
      <c r="J711" t="s">
        <v>207</v>
      </c>
      <c r="K711">
        <v>0.051080549900814592</v>
      </c>
      <c r="L711" t="s">
        <v>153</v>
      </c>
      <c r="N711" t="s">
        <v>178</v>
      </c>
      <c r="O711" t="s">
        <v>207</v>
      </c>
      <c r="P711">
        <v>0.02054770186230994</v>
      </c>
      <c r="Q711" t="s">
        <v>153</v>
      </c>
    </row>
    <row r="712" spans="9:17" ht="14.25">
      <c r="I712" t="s">
        <v>168</v>
      </c>
      <c r="J712" t="s">
        <v>221</v>
      </c>
      <c r="K712">
        <v>0.0063635000264710495</v>
      </c>
      <c r="L712" t="s">
        <v>153</v>
      </c>
      <c r="N712" t="s">
        <v>178</v>
      </c>
      <c r="O712" t="s">
        <v>221</v>
      </c>
      <c r="P712">
        <v>0.00323699132553579</v>
      </c>
      <c r="Q712" t="s">
        <v>153</v>
      </c>
    </row>
    <row r="713" spans="9:17" ht="14.25">
      <c r="I713" t="s">
        <v>168</v>
      </c>
      <c r="J713" t="s">
        <v>315</v>
      </c>
      <c r="K713">
        <v>0.0040940701278859432</v>
      </c>
      <c r="L713" t="s">
        <v>153</v>
      </c>
      <c r="N713" t="s">
        <v>178</v>
      </c>
      <c r="O713" t="s">
        <v>315</v>
      </c>
      <c r="P713">
        <v>0.0034304319798066272</v>
      </c>
      <c r="Q713" t="s">
        <v>153</v>
      </c>
    </row>
    <row r="714" spans="9:17" ht="14.25">
      <c r="I714" t="s">
        <v>168</v>
      </c>
      <c r="J714" t="s">
        <v>316</v>
      </c>
      <c r="K714">
        <v>0</v>
      </c>
      <c r="L714" t="s">
        <v>153</v>
      </c>
      <c r="N714" t="s">
        <v>178</v>
      </c>
      <c r="O714" t="s">
        <v>316</v>
      </c>
      <c r="P714">
        <v>0.01998203241112452</v>
      </c>
      <c r="Q714" t="s">
        <v>153</v>
      </c>
    </row>
    <row r="715" spans="9:17" ht="14.25">
      <c r="I715" t="s">
        <v>168</v>
      </c>
      <c r="J715" t="s">
        <v>208</v>
      </c>
      <c r="K715">
        <v>0</v>
      </c>
      <c r="L715" t="s">
        <v>153</v>
      </c>
      <c r="N715" t="s">
        <v>178</v>
      </c>
      <c r="O715" t="s">
        <v>208</v>
      </c>
      <c r="P715">
        <v>0.003359938489135547</v>
      </c>
      <c r="Q715" t="s">
        <v>153</v>
      </c>
    </row>
    <row r="716" spans="9:17" ht="14.25">
      <c r="I716" t="s">
        <v>168</v>
      </c>
      <c r="J716" t="s">
        <v>209</v>
      </c>
      <c r="K716">
        <v>0</v>
      </c>
      <c r="L716" t="s">
        <v>153</v>
      </c>
      <c r="N716" t="s">
        <v>178</v>
      </c>
      <c r="O716" t="s">
        <v>209</v>
      </c>
      <c r="P716">
        <v>0.00054478251789879834</v>
      </c>
      <c r="Q716" t="s">
        <v>153</v>
      </c>
    </row>
    <row r="717" spans="9:17" ht="14.25">
      <c r="I717" t="s">
        <v>168</v>
      </c>
      <c r="J717" t="s">
        <v>210</v>
      </c>
      <c r="K717">
        <v>0.00080607100669386194</v>
      </c>
      <c r="L717" t="s">
        <v>153</v>
      </c>
      <c r="N717" t="s">
        <v>178</v>
      </c>
      <c r="O717" t="s">
        <v>210</v>
      </c>
      <c r="P717">
        <v>0.0006375280560834603</v>
      </c>
      <c r="Q717" t="s">
        <v>153</v>
      </c>
    </row>
    <row r="718" spans="9:17" ht="14.25">
      <c r="I718" t="s">
        <v>168</v>
      </c>
      <c r="J718" t="s">
        <v>211</v>
      </c>
      <c r="K718">
        <v>0.0014882941101799906</v>
      </c>
      <c r="L718" t="s">
        <v>153</v>
      </c>
      <c r="N718" t="s">
        <v>178</v>
      </c>
      <c r="O718" t="s">
        <v>211</v>
      </c>
      <c r="P718">
        <v>0.00058827638519838815</v>
      </c>
      <c r="Q718" t="s">
        <v>153</v>
      </c>
    </row>
    <row r="719" spans="9:17" ht="14.25">
      <c r="I719" t="s">
        <v>168</v>
      </c>
      <c r="J719" t="s">
        <v>212</v>
      </c>
      <c r="K719">
        <v>0.014767581520859186</v>
      </c>
      <c r="L719" t="s">
        <v>153</v>
      </c>
      <c r="N719" t="s">
        <v>178</v>
      </c>
      <c r="O719" t="s">
        <v>212</v>
      </c>
      <c r="P719">
        <v>0.0015730594740950153</v>
      </c>
      <c r="Q719" t="s">
        <v>153</v>
      </c>
    </row>
    <row r="720" spans="9:17" ht="14.25">
      <c r="I720" t="s">
        <v>168</v>
      </c>
      <c r="J720" t="s">
        <v>222</v>
      </c>
      <c r="K720">
        <v>0.0017850339424210818</v>
      </c>
      <c r="L720" t="s">
        <v>153</v>
      </c>
      <c r="N720" t="s">
        <v>178</v>
      </c>
      <c r="O720" t="s">
        <v>222</v>
      </c>
      <c r="P720">
        <v>8.3890973826579988E-05</v>
      </c>
      <c r="Q720" t="s">
        <v>153</v>
      </c>
    </row>
    <row r="721" spans="9:17" ht="14.25">
      <c r="I721" t="s">
        <v>168</v>
      </c>
      <c r="J721" t="s">
        <v>317</v>
      </c>
      <c r="K721">
        <v>0.0011426098612423888</v>
      </c>
      <c r="L721" t="s">
        <v>153</v>
      </c>
      <c r="N721" t="s">
        <v>178</v>
      </c>
      <c r="O721" t="s">
        <v>317</v>
      </c>
      <c r="P721">
        <v>0.00018347903990813039</v>
      </c>
      <c r="Q721" t="s">
        <v>153</v>
      </c>
    </row>
    <row r="722" spans="9:17" ht="14.25">
      <c r="I722" t="s">
        <v>168</v>
      </c>
      <c r="J722" t="s">
        <v>318</v>
      </c>
      <c r="K722">
        <v>0</v>
      </c>
      <c r="L722" t="s">
        <v>153</v>
      </c>
      <c r="N722" t="s">
        <v>178</v>
      </c>
      <c r="O722" t="s">
        <v>318</v>
      </c>
      <c r="P722">
        <v>0.0037653240834876365</v>
      </c>
      <c r="Q722" t="s">
        <v>153</v>
      </c>
    </row>
    <row r="723" spans="9:17" ht="14.25">
      <c r="I723" t="s">
        <v>168</v>
      </c>
      <c r="J723" t="s">
        <v>223</v>
      </c>
      <c r="K723">
        <v>0</v>
      </c>
      <c r="L723" t="s">
        <v>153</v>
      </c>
      <c r="N723" t="s">
        <v>178</v>
      </c>
      <c r="O723" t="s">
        <v>223</v>
      </c>
      <c r="P723">
        <v>0.011341781681268256</v>
      </c>
      <c r="Q723" t="s">
        <v>153</v>
      </c>
    </row>
    <row r="724" spans="9:17" ht="14.25">
      <c r="I724" t="s">
        <v>168</v>
      </c>
      <c r="J724" t="s">
        <v>224</v>
      </c>
      <c r="K724">
        <v>0</v>
      </c>
      <c r="L724" t="s">
        <v>153</v>
      </c>
      <c r="N724" t="s">
        <v>178</v>
      </c>
      <c r="O724" t="s">
        <v>224</v>
      </c>
      <c r="P724">
        <v>0.0020836015128399611</v>
      </c>
      <c r="Q724" t="s">
        <v>153</v>
      </c>
    </row>
    <row r="725" spans="9:17" ht="14.25">
      <c r="I725" t="s">
        <v>168</v>
      </c>
      <c r="J725" t="s">
        <v>225</v>
      </c>
      <c r="K725">
        <v>0.0012144322798504044</v>
      </c>
      <c r="L725" t="s">
        <v>153</v>
      </c>
      <c r="N725" t="s">
        <v>178</v>
      </c>
      <c r="O725" t="s">
        <v>225</v>
      </c>
      <c r="P725">
        <v>0.0020245015247846751</v>
      </c>
      <c r="Q725" t="s">
        <v>153</v>
      </c>
    </row>
    <row r="726" spans="9:17" ht="14.25">
      <c r="I726" t="s">
        <v>168</v>
      </c>
      <c r="J726" t="s">
        <v>226</v>
      </c>
      <c r="K726">
        <v>0.0020231667802297535</v>
      </c>
      <c r="L726" t="s">
        <v>153</v>
      </c>
      <c r="N726" t="s">
        <v>178</v>
      </c>
      <c r="O726" t="s">
        <v>226</v>
      </c>
      <c r="P726">
        <v>0.00178853851384733</v>
      </c>
      <c r="Q726" t="s">
        <v>153</v>
      </c>
    </row>
    <row r="727" spans="9:17" ht="14.25">
      <c r="I727" t="s">
        <v>168</v>
      </c>
      <c r="J727" t="s">
        <v>227</v>
      </c>
      <c r="K727">
        <v>0.017375698669281976</v>
      </c>
      <c r="L727" t="s">
        <v>153</v>
      </c>
      <c r="N727" t="s">
        <v>178</v>
      </c>
      <c r="O727" t="s">
        <v>227</v>
      </c>
      <c r="P727">
        <v>0.012170490489655128</v>
      </c>
      <c r="Q727" t="s">
        <v>153</v>
      </c>
    </row>
    <row r="728" spans="9:17" ht="14.25">
      <c r="I728" t="s">
        <v>168</v>
      </c>
      <c r="J728" t="s">
        <v>228</v>
      </c>
      <c r="K728">
        <v>0.0020584120664557189</v>
      </c>
      <c r="L728" t="s">
        <v>153</v>
      </c>
      <c r="N728" t="s">
        <v>178</v>
      </c>
      <c r="O728" t="s">
        <v>228</v>
      </c>
      <c r="P728">
        <v>0.0018492865440738536</v>
      </c>
      <c r="Q728" t="s">
        <v>153</v>
      </c>
    </row>
    <row r="729" spans="9:17" ht="14.25">
      <c r="I729" t="s">
        <v>168</v>
      </c>
      <c r="J729" t="s">
        <v>319</v>
      </c>
      <c r="K729">
        <v>0.0013578569424053783</v>
      </c>
      <c r="L729" t="s">
        <v>153</v>
      </c>
      <c r="N729" t="s">
        <v>178</v>
      </c>
      <c r="O729" t="s">
        <v>319</v>
      </c>
      <c r="P729">
        <v>0.0019714947206601777</v>
      </c>
      <c r="Q729" t="s">
        <v>153</v>
      </c>
    </row>
    <row r="730" spans="9:17" ht="14.25">
      <c r="I730" t="s">
        <v>168</v>
      </c>
      <c r="J730" t="s">
        <v>320</v>
      </c>
      <c r="K730">
        <v>0</v>
      </c>
      <c r="L730" t="s">
        <v>153</v>
      </c>
      <c r="N730" t="s">
        <v>178</v>
      </c>
      <c r="O730" t="s">
        <v>320</v>
      </c>
      <c r="P730">
        <v>0.011419299638256527</v>
      </c>
      <c r="Q730" t="s">
        <v>153</v>
      </c>
    </row>
    <row r="731" spans="9:17" ht="14.25">
      <c r="I731" t="s">
        <v>168</v>
      </c>
      <c r="J731" t="s">
        <v>235</v>
      </c>
      <c r="K731">
        <v>0</v>
      </c>
      <c r="L731" t="s">
        <v>153</v>
      </c>
      <c r="N731" t="s">
        <v>178</v>
      </c>
      <c r="O731" t="s">
        <v>235</v>
      </c>
      <c r="P731">
        <v>0.0031120544619274147</v>
      </c>
      <c r="Q731" t="s">
        <v>153</v>
      </c>
    </row>
    <row r="732" spans="9:17" ht="14.25">
      <c r="I732" t="s">
        <v>168</v>
      </c>
      <c r="J732" t="s">
        <v>236</v>
      </c>
      <c r="K732">
        <v>0</v>
      </c>
      <c r="L732" t="s">
        <v>153</v>
      </c>
      <c r="N732" t="s">
        <v>178</v>
      </c>
      <c r="O732" t="s">
        <v>236</v>
      </c>
      <c r="P732">
        <v>0.0010857586673606735</v>
      </c>
      <c r="Q732" t="s">
        <v>153</v>
      </c>
    </row>
    <row r="733" spans="9:17" ht="14.25">
      <c r="I733" t="s">
        <v>168</v>
      </c>
      <c r="J733" t="s">
        <v>237</v>
      </c>
      <c r="K733">
        <v>0.0010293694031891451</v>
      </c>
      <c r="L733" t="s">
        <v>153</v>
      </c>
      <c r="N733" t="s">
        <v>178</v>
      </c>
      <c r="O733" t="s">
        <v>237</v>
      </c>
      <c r="P733">
        <v>0.00129612884579547</v>
      </c>
      <c r="Q733" t="s">
        <v>153</v>
      </c>
    </row>
    <row r="734" spans="9:17" ht="14.25">
      <c r="I734" t="s">
        <v>168</v>
      </c>
      <c r="J734" t="s">
        <v>238</v>
      </c>
      <c r="K734">
        <v>0.0016896440057321198</v>
      </c>
      <c r="L734" t="s">
        <v>153</v>
      </c>
      <c r="N734" t="s">
        <v>178</v>
      </c>
      <c r="O734" t="s">
        <v>238</v>
      </c>
      <c r="P734">
        <v>0.0010649104359114652</v>
      </c>
      <c r="Q734" t="s">
        <v>153</v>
      </c>
    </row>
    <row r="735" spans="9:17" ht="14.25">
      <c r="I735" t="s">
        <v>168</v>
      </c>
      <c r="J735" t="s">
        <v>239</v>
      </c>
      <c r="K735">
        <v>0.015287451997227931</v>
      </c>
      <c r="L735" t="s">
        <v>153</v>
      </c>
      <c r="N735" t="s">
        <v>178</v>
      </c>
      <c r="O735" t="s">
        <v>239</v>
      </c>
      <c r="P735">
        <v>0.0047427425536781045</v>
      </c>
      <c r="Q735" t="s">
        <v>153</v>
      </c>
    </row>
    <row r="736" spans="9:17" ht="14.25">
      <c r="I736" t="s">
        <v>168</v>
      </c>
      <c r="J736" t="s">
        <v>240</v>
      </c>
      <c r="K736">
        <v>0.0018087849283591724</v>
      </c>
      <c r="L736" t="s">
        <v>153</v>
      </c>
      <c r="N736" t="s">
        <v>178</v>
      </c>
      <c r="O736" t="s">
        <v>240</v>
      </c>
      <c r="P736">
        <v>0.00037782278826185628</v>
      </c>
      <c r="Q736" t="s">
        <v>153</v>
      </c>
    </row>
    <row r="737" spans="9:17" ht="14.25">
      <c r="I737" t="s">
        <v>168</v>
      </c>
      <c r="J737" t="s">
        <v>321</v>
      </c>
      <c r="K737">
        <v>0.0012337353694733618</v>
      </c>
      <c r="L737" t="s">
        <v>153</v>
      </c>
      <c r="N737" t="s">
        <v>178</v>
      </c>
      <c r="O737" t="s">
        <v>321</v>
      </c>
      <c r="P737">
        <v>0.00040027144732368005</v>
      </c>
      <c r="Q737" t="s">
        <v>153</v>
      </c>
    </row>
    <row r="738" spans="9:17" ht="14.25">
      <c r="I738" t="s">
        <v>168</v>
      </c>
      <c r="J738" t="s">
        <v>322</v>
      </c>
      <c r="K738">
        <v>5.8974274394902099E-05</v>
      </c>
      <c r="L738" t="s">
        <v>153</v>
      </c>
      <c r="N738" t="s">
        <v>178</v>
      </c>
      <c r="O738" t="s">
        <v>322</v>
      </c>
      <c r="P738">
        <v>0.0037358764381275884</v>
      </c>
      <c r="Q738" t="s">
        <v>153</v>
      </c>
    </row>
    <row r="739" spans="9:17" ht="14.25">
      <c r="I739" t="s">
        <v>168</v>
      </c>
      <c r="J739" t="s">
        <v>241</v>
      </c>
      <c r="K739">
        <v>0</v>
      </c>
      <c r="L739" t="s">
        <v>153</v>
      </c>
      <c r="N739" t="s">
        <v>178</v>
      </c>
      <c r="O739" t="s">
        <v>241</v>
      </c>
      <c r="P739">
        <v>0.0026912153303485621</v>
      </c>
      <c r="Q739" t="s">
        <v>153</v>
      </c>
    </row>
    <row r="740" spans="9:17" ht="14.25">
      <c r="I740" t="s">
        <v>168</v>
      </c>
      <c r="J740" t="s">
        <v>242</v>
      </c>
      <c r="K740">
        <v>5.6726068943476618E-08</v>
      </c>
      <c r="L740" t="s">
        <v>153</v>
      </c>
      <c r="N740" t="s">
        <v>178</v>
      </c>
      <c r="O740" t="s">
        <v>242</v>
      </c>
      <c r="P740">
        <v>0.00030238007982935871</v>
      </c>
      <c r="Q740" t="s">
        <v>153</v>
      </c>
    </row>
    <row r="741" spans="9:17" ht="14.25">
      <c r="I741" t="s">
        <v>168</v>
      </c>
      <c r="J741" t="s">
        <v>243</v>
      </c>
      <c r="K741">
        <v>0.00050809150484196956</v>
      </c>
      <c r="L741" t="s">
        <v>153</v>
      </c>
      <c r="N741" t="s">
        <v>178</v>
      </c>
      <c r="O741" t="s">
        <v>243</v>
      </c>
      <c r="P741">
        <v>0.00031477513724889546</v>
      </c>
      <c r="Q741" t="s">
        <v>153</v>
      </c>
    </row>
    <row r="742" spans="9:17" ht="14.25">
      <c r="I742" t="s">
        <v>168</v>
      </c>
      <c r="J742" t="s">
        <v>244</v>
      </c>
      <c r="K742">
        <v>0.00083512534879091752</v>
      </c>
      <c r="L742" t="s">
        <v>153</v>
      </c>
      <c r="N742" t="s">
        <v>178</v>
      </c>
      <c r="O742" t="s">
        <v>244</v>
      </c>
      <c r="P742">
        <v>0.00030625187187467137</v>
      </c>
      <c r="Q742" t="s">
        <v>153</v>
      </c>
    </row>
    <row r="743" spans="9:17" ht="14.25">
      <c r="I743" t="s">
        <v>168</v>
      </c>
      <c r="J743" t="s">
        <v>245</v>
      </c>
      <c r="K743">
        <v>0.0084469775646007338</v>
      </c>
      <c r="L743" t="s">
        <v>153</v>
      </c>
      <c r="N743" t="s">
        <v>178</v>
      </c>
      <c r="O743" t="s">
        <v>245</v>
      </c>
      <c r="P743">
        <v>0.003821776659772329</v>
      </c>
      <c r="Q743" t="s">
        <v>153</v>
      </c>
    </row>
    <row r="744" spans="9:17" ht="14.25">
      <c r="I744" t="s">
        <v>168</v>
      </c>
      <c r="J744" t="s">
        <v>246</v>
      </c>
      <c r="K744">
        <v>0.00093318937005341755</v>
      </c>
      <c r="L744" t="s">
        <v>153</v>
      </c>
      <c r="N744" t="s">
        <v>178</v>
      </c>
      <c r="O744" t="s">
        <v>246</v>
      </c>
      <c r="P744">
        <v>0.00065476808858354275</v>
      </c>
      <c r="Q744" t="s">
        <v>153</v>
      </c>
    </row>
    <row r="745" spans="9:17" ht="14.25">
      <c r="I745" t="s">
        <v>168</v>
      </c>
      <c r="J745" t="s">
        <v>323</v>
      </c>
      <c r="K745">
        <v>0.000633866666340191</v>
      </c>
      <c r="L745" t="s">
        <v>153</v>
      </c>
      <c r="N745" t="s">
        <v>178</v>
      </c>
      <c r="O745" t="s">
        <v>323</v>
      </c>
      <c r="P745">
        <v>0.00065021903747803993</v>
      </c>
      <c r="Q745" t="s">
        <v>153</v>
      </c>
    </row>
    <row r="746" spans="9:17" ht="14.25">
      <c r="I746" t="s">
        <v>168</v>
      </c>
      <c r="J746" t="s">
        <v>324</v>
      </c>
      <c r="K746">
        <v>0.00013007733399908697</v>
      </c>
      <c r="L746" t="s">
        <v>153</v>
      </c>
      <c r="N746" t="s">
        <v>178</v>
      </c>
      <c r="O746" t="s">
        <v>324</v>
      </c>
      <c r="P746">
        <v>0.0024168801123132812</v>
      </c>
      <c r="Q746" t="s">
        <v>153</v>
      </c>
    </row>
    <row r="747" spans="9:17" ht="14.25">
      <c r="I747" t="s">
        <v>168</v>
      </c>
      <c r="J747" t="s">
        <v>247</v>
      </c>
      <c r="K747">
        <v>0</v>
      </c>
      <c r="L747" t="s">
        <v>153</v>
      </c>
      <c r="N747" t="s">
        <v>178</v>
      </c>
      <c r="O747" t="s">
        <v>247</v>
      </c>
      <c r="P747">
        <v>0.009293865507209351</v>
      </c>
      <c r="Q747" t="s">
        <v>153</v>
      </c>
    </row>
    <row r="748" spans="9:17" ht="14.25">
      <c r="I748" t="s">
        <v>168</v>
      </c>
      <c r="J748" t="s">
        <v>248</v>
      </c>
      <c r="K748">
        <v>0.0010276457302720826</v>
      </c>
      <c r="L748" t="s">
        <v>153</v>
      </c>
      <c r="N748" t="s">
        <v>178</v>
      </c>
      <c r="O748" t="s">
        <v>248</v>
      </c>
      <c r="P748">
        <v>0.002017394851602058</v>
      </c>
      <c r="Q748" t="s">
        <v>153</v>
      </c>
    </row>
    <row r="749" spans="9:17" ht="14.25">
      <c r="I749" t="s">
        <v>168</v>
      </c>
      <c r="J749" t="s">
        <v>249</v>
      </c>
      <c r="K749">
        <v>0.0023736024603507283</v>
      </c>
      <c r="L749" t="s">
        <v>153</v>
      </c>
      <c r="N749" t="s">
        <v>178</v>
      </c>
      <c r="O749" t="s">
        <v>249</v>
      </c>
      <c r="P749">
        <v>0.0020033736532995869</v>
      </c>
      <c r="Q749" t="s">
        <v>153</v>
      </c>
    </row>
    <row r="750" spans="9:17" ht="14.25">
      <c r="I750" t="s">
        <v>168</v>
      </c>
      <c r="J750" t="s">
        <v>250</v>
      </c>
      <c r="K750">
        <v>0.0032824823071102393</v>
      </c>
      <c r="L750" t="s">
        <v>153</v>
      </c>
      <c r="N750" t="s">
        <v>178</v>
      </c>
      <c r="O750" t="s">
        <v>250</v>
      </c>
      <c r="P750">
        <v>0.0017366565100398901</v>
      </c>
      <c r="Q750" t="s">
        <v>153</v>
      </c>
    </row>
    <row r="751" spans="9:17" ht="14.25">
      <c r="I751" t="s">
        <v>168</v>
      </c>
      <c r="J751" t="s">
        <v>251</v>
      </c>
      <c r="K751">
        <v>0.026162289772657502</v>
      </c>
      <c r="L751" t="s">
        <v>153</v>
      </c>
      <c r="N751" t="s">
        <v>178</v>
      </c>
      <c r="O751" t="s">
        <v>251</v>
      </c>
      <c r="P751">
        <v>0.015871566202194758</v>
      </c>
      <c r="Q751" t="s">
        <v>153</v>
      </c>
    </row>
    <row r="752" spans="9:17" ht="14.25">
      <c r="I752" t="s">
        <v>168</v>
      </c>
      <c r="J752" t="s">
        <v>252</v>
      </c>
      <c r="K752">
        <v>0.0029798759994322252</v>
      </c>
      <c r="L752" t="s">
        <v>153</v>
      </c>
      <c r="N752" t="s">
        <v>178</v>
      </c>
      <c r="O752" t="s">
        <v>252</v>
      </c>
      <c r="P752">
        <v>0.0028579933445297924</v>
      </c>
      <c r="Q752" t="s">
        <v>153</v>
      </c>
    </row>
    <row r="753" spans="9:17" ht="14.25">
      <c r="I753" t="s">
        <v>168</v>
      </c>
      <c r="J753" t="s">
        <v>325</v>
      </c>
      <c r="K753">
        <v>0.0020888378203200945</v>
      </c>
      <c r="L753" t="s">
        <v>153</v>
      </c>
      <c r="N753" t="s">
        <v>178</v>
      </c>
      <c r="O753" t="s">
        <v>325</v>
      </c>
      <c r="P753">
        <v>0.0026961089459397085</v>
      </c>
      <c r="Q753" t="s">
        <v>153</v>
      </c>
    </row>
    <row r="754" spans="9:17" ht="14.25">
      <c r="I754" t="s">
        <v>168</v>
      </c>
      <c r="J754" t="s">
        <v>326</v>
      </c>
      <c r="K754">
        <v>0.00095203766613229188</v>
      </c>
      <c r="L754" t="s">
        <v>153</v>
      </c>
      <c r="N754" t="s">
        <v>178</v>
      </c>
      <c r="O754" t="s">
        <v>326</v>
      </c>
      <c r="P754">
        <v>0.012404950139220603</v>
      </c>
      <c r="Q754" t="s">
        <v>153</v>
      </c>
    </row>
    <row r="755" spans="9:17" ht="14.25">
      <c r="I755" t="s">
        <v>168</v>
      </c>
      <c r="J755" t="s">
        <v>262</v>
      </c>
      <c r="K755">
        <v>0</v>
      </c>
      <c r="L755" t="s">
        <v>153</v>
      </c>
      <c r="N755" t="s">
        <v>178</v>
      </c>
      <c r="O755" t="s">
        <v>262</v>
      </c>
      <c r="P755">
        <v>0.010460195087483425</v>
      </c>
      <c r="Q755" t="s">
        <v>153</v>
      </c>
    </row>
    <row r="756" spans="9:17" ht="14.25">
      <c r="I756" t="s">
        <v>168</v>
      </c>
      <c r="J756" t="s">
        <v>263</v>
      </c>
      <c r="K756">
        <v>0.0016687233961535143</v>
      </c>
      <c r="L756" t="s">
        <v>153</v>
      </c>
      <c r="N756" t="s">
        <v>178</v>
      </c>
      <c r="O756" t="s">
        <v>263</v>
      </c>
      <c r="P756">
        <v>0.0015444621828957039</v>
      </c>
      <c r="Q756" t="s">
        <v>153</v>
      </c>
    </row>
    <row r="757" spans="9:17" ht="14.25">
      <c r="I757" t="s">
        <v>168</v>
      </c>
      <c r="J757" t="s">
        <v>264</v>
      </c>
      <c r="K757">
        <v>0.0035719565128850715</v>
      </c>
      <c r="L757" t="s">
        <v>153</v>
      </c>
      <c r="N757" t="s">
        <v>178</v>
      </c>
      <c r="O757" t="s">
        <v>264</v>
      </c>
      <c r="P757">
        <v>0.0014604320692490594</v>
      </c>
      <c r="Q757" t="s">
        <v>153</v>
      </c>
    </row>
    <row r="758" spans="9:17" ht="14.25">
      <c r="I758" t="s">
        <v>168</v>
      </c>
      <c r="J758" t="s">
        <v>265</v>
      </c>
      <c r="K758">
        <v>0.0047669182796935715</v>
      </c>
      <c r="L758" t="s">
        <v>153</v>
      </c>
      <c r="N758" t="s">
        <v>178</v>
      </c>
      <c r="O758" t="s">
        <v>265</v>
      </c>
      <c r="P758">
        <v>0.0011109639432617146</v>
      </c>
      <c r="Q758" t="s">
        <v>153</v>
      </c>
    </row>
    <row r="759" spans="9:17" ht="14.25">
      <c r="I759" t="s">
        <v>168</v>
      </c>
      <c r="J759" t="s">
        <v>266</v>
      </c>
      <c r="K759">
        <v>0.038034610114784005</v>
      </c>
      <c r="L759" t="s">
        <v>153</v>
      </c>
      <c r="N759" t="s">
        <v>178</v>
      </c>
      <c r="O759" t="s">
        <v>266</v>
      </c>
      <c r="P759">
        <v>0.0073500314067178685</v>
      </c>
      <c r="Q759" t="s">
        <v>153</v>
      </c>
    </row>
    <row r="760" spans="9:17" ht="14.25">
      <c r="I760" t="s">
        <v>168</v>
      </c>
      <c r="J760" t="s">
        <v>267</v>
      </c>
      <c r="K760">
        <v>0.0041488573616196654</v>
      </c>
      <c r="L760" t="s">
        <v>153</v>
      </c>
      <c r="N760" t="s">
        <v>178</v>
      </c>
      <c r="O760" t="s">
        <v>267</v>
      </c>
      <c r="P760">
        <v>0.0019395948743925037</v>
      </c>
      <c r="Q760" t="s">
        <v>153</v>
      </c>
    </row>
    <row r="761" spans="9:17" ht="14.25">
      <c r="I761" t="s">
        <v>168</v>
      </c>
      <c r="J761" t="s">
        <v>327</v>
      </c>
      <c r="K761">
        <v>0.0029138121887613191</v>
      </c>
      <c r="L761" t="s">
        <v>153</v>
      </c>
      <c r="N761" t="s">
        <v>178</v>
      </c>
      <c r="O761" t="s">
        <v>327</v>
      </c>
      <c r="P761">
        <v>0.0024952945270120654</v>
      </c>
      <c r="Q761" t="s">
        <v>153</v>
      </c>
    </row>
    <row r="762" spans="9:17" ht="14.25">
      <c r="I762" t="s">
        <v>168</v>
      </c>
      <c r="J762" t="s">
        <v>328</v>
      </c>
      <c r="K762">
        <v>0.001353273199891439</v>
      </c>
      <c r="L762" t="s">
        <v>153</v>
      </c>
      <c r="N762" t="s">
        <v>178</v>
      </c>
      <c r="O762" t="s">
        <v>328</v>
      </c>
      <c r="P762">
        <v>0.014886817966283846</v>
      </c>
      <c r="Q762" t="s">
        <v>153</v>
      </c>
    </row>
    <row r="763" spans="9:17" ht="14.25">
      <c r="I763" t="s">
        <v>168</v>
      </c>
      <c r="J763" t="s">
        <v>268</v>
      </c>
      <c r="K763">
        <v>0</v>
      </c>
      <c r="L763" t="s">
        <v>153</v>
      </c>
      <c r="N763" t="s">
        <v>178</v>
      </c>
      <c r="O763" t="s">
        <v>268</v>
      </c>
      <c r="P763">
        <v>0.0039300843679947097</v>
      </c>
      <c r="Q763" t="s">
        <v>153</v>
      </c>
    </row>
    <row r="764" spans="9:17" ht="14.25">
      <c r="I764" t="s">
        <v>168</v>
      </c>
      <c r="J764" t="s">
        <v>269</v>
      </c>
      <c r="K764">
        <v>0.0018871964762494247</v>
      </c>
      <c r="L764" t="s">
        <v>153</v>
      </c>
      <c r="N764" t="s">
        <v>178</v>
      </c>
      <c r="O764" t="s">
        <v>269</v>
      </c>
      <c r="P764">
        <v>0.00051051174063969406</v>
      </c>
      <c r="Q764" t="s">
        <v>153</v>
      </c>
    </row>
    <row r="765" spans="9:17" ht="14.25">
      <c r="I765" t="s">
        <v>168</v>
      </c>
      <c r="J765" t="s">
        <v>270</v>
      </c>
      <c r="K765">
        <v>0.0036269196439325337</v>
      </c>
      <c r="L765" t="s">
        <v>153</v>
      </c>
      <c r="N765" t="s">
        <v>178</v>
      </c>
      <c r="O765" t="s">
        <v>270</v>
      </c>
      <c r="P765">
        <v>0.00050380883604929361</v>
      </c>
      <c r="Q765" t="s">
        <v>153</v>
      </c>
    </row>
    <row r="766" spans="9:17" ht="14.25">
      <c r="I766" t="s">
        <v>168</v>
      </c>
      <c r="J766" t="s">
        <v>271</v>
      </c>
      <c r="K766">
        <v>0.0046351683552844185</v>
      </c>
      <c r="L766" t="s">
        <v>153</v>
      </c>
      <c r="N766" t="s">
        <v>178</v>
      </c>
      <c r="O766" t="s">
        <v>271</v>
      </c>
      <c r="P766">
        <v>0.00064237738956677778</v>
      </c>
      <c r="Q766" t="s">
        <v>153</v>
      </c>
    </row>
    <row r="767" spans="9:17" ht="14.25">
      <c r="I767" t="s">
        <v>168</v>
      </c>
      <c r="J767" t="s">
        <v>272</v>
      </c>
      <c r="K767">
        <v>0.036711163723061623</v>
      </c>
      <c r="L767" t="s">
        <v>153</v>
      </c>
      <c r="N767" t="s">
        <v>178</v>
      </c>
      <c r="O767" t="s">
        <v>272</v>
      </c>
      <c r="P767">
        <v>0.0161983559821978</v>
      </c>
      <c r="Q767" t="s">
        <v>153</v>
      </c>
    </row>
    <row r="768" spans="9:17" ht="14.25">
      <c r="I768" t="s">
        <v>168</v>
      </c>
      <c r="J768" t="s">
        <v>273</v>
      </c>
      <c r="K768">
        <v>0.004134002289359587</v>
      </c>
      <c r="L768" t="s">
        <v>153</v>
      </c>
      <c r="N768" t="s">
        <v>178</v>
      </c>
      <c r="O768" t="s">
        <v>273</v>
      </c>
      <c r="P768">
        <v>0.0028884990259968684</v>
      </c>
      <c r="Q768" t="s">
        <v>153</v>
      </c>
    </row>
    <row r="769" spans="9:17" ht="14.25">
      <c r="I769" t="s">
        <v>168</v>
      </c>
      <c r="J769" t="s">
        <v>329</v>
      </c>
      <c r="K769">
        <v>0.0029677398976417938</v>
      </c>
      <c r="L769" t="s">
        <v>153</v>
      </c>
      <c r="N769" t="s">
        <v>178</v>
      </c>
      <c r="O769" t="s">
        <v>329</v>
      </c>
      <c r="P769">
        <v>0.002757918223979596</v>
      </c>
      <c r="Q769" t="s">
        <v>153</v>
      </c>
    </row>
    <row r="770" spans="9:17" ht="14.25">
      <c r="I770" t="s">
        <v>168</v>
      </c>
      <c r="J770" t="s">
        <v>330</v>
      </c>
      <c r="K770">
        <v>0.0013310197321779358</v>
      </c>
      <c r="L770" t="s">
        <v>153</v>
      </c>
      <c r="N770" t="s">
        <v>178</v>
      </c>
      <c r="O770" t="s">
        <v>330</v>
      </c>
      <c r="P770">
        <v>0.0098938851838126507</v>
      </c>
      <c r="Q770" t="s">
        <v>153</v>
      </c>
    </row>
    <row r="771" spans="9:17" ht="14.25">
      <c r="I771" t="s">
        <v>168</v>
      </c>
      <c r="J771" t="s">
        <v>274</v>
      </c>
      <c r="K771">
        <v>0</v>
      </c>
      <c r="L771" t="s">
        <v>153</v>
      </c>
      <c r="N771" t="s">
        <v>178</v>
      </c>
      <c r="O771" t="s">
        <v>274</v>
      </c>
      <c r="P771">
        <v>0.0051168394112585044</v>
      </c>
      <c r="Q771" t="s">
        <v>153</v>
      </c>
    </row>
    <row r="772" spans="9:17" ht="14.25">
      <c r="I772" t="s">
        <v>168</v>
      </c>
      <c r="J772" t="s">
        <v>275</v>
      </c>
      <c r="K772">
        <v>0.00077812500394057211</v>
      </c>
      <c r="L772" t="s">
        <v>153</v>
      </c>
      <c r="N772" t="s">
        <v>178</v>
      </c>
      <c r="O772" t="s">
        <v>275</v>
      </c>
      <c r="P772">
        <v>0.00093356145634224726</v>
      </c>
      <c r="Q772" t="s">
        <v>153</v>
      </c>
    </row>
    <row r="773" spans="9:17" ht="14.25">
      <c r="I773" t="s">
        <v>168</v>
      </c>
      <c r="J773" t="s">
        <v>276</v>
      </c>
      <c r="K773">
        <v>0.0014308476687022416</v>
      </c>
      <c r="L773" t="s">
        <v>153</v>
      </c>
      <c r="N773" t="s">
        <v>178</v>
      </c>
      <c r="O773" t="s">
        <v>276</v>
      </c>
      <c r="P773">
        <v>0.00088015792756162745</v>
      </c>
      <c r="Q773" t="s">
        <v>153</v>
      </c>
    </row>
    <row r="774" spans="9:17" ht="14.25">
      <c r="I774" t="s">
        <v>168</v>
      </c>
      <c r="J774" t="s">
        <v>277</v>
      </c>
      <c r="K774">
        <v>0.0017987293704879723</v>
      </c>
      <c r="L774" t="s">
        <v>153</v>
      </c>
      <c r="N774" t="s">
        <v>178</v>
      </c>
      <c r="O774" t="s">
        <v>277</v>
      </c>
      <c r="P774">
        <v>0.0010200667950516641</v>
      </c>
      <c r="Q774" t="s">
        <v>153</v>
      </c>
    </row>
    <row r="775" spans="9:17" ht="14.25">
      <c r="I775" t="s">
        <v>168</v>
      </c>
      <c r="J775" t="s">
        <v>278</v>
      </c>
      <c r="K775">
        <v>0.014614491016960546</v>
      </c>
      <c r="L775" t="s">
        <v>153</v>
      </c>
      <c r="N775" t="s">
        <v>178</v>
      </c>
      <c r="O775" t="s">
        <v>278</v>
      </c>
      <c r="P775">
        <v>0.010370688381731942</v>
      </c>
      <c r="Q775" t="s">
        <v>153</v>
      </c>
    </row>
    <row r="776" spans="9:17" ht="14.25">
      <c r="I776" t="s">
        <v>168</v>
      </c>
      <c r="J776" t="s">
        <v>279</v>
      </c>
      <c r="K776">
        <v>0.0016371483367880115</v>
      </c>
      <c r="L776" t="s">
        <v>153</v>
      </c>
      <c r="N776" t="s">
        <v>178</v>
      </c>
      <c r="O776" t="s">
        <v>279</v>
      </c>
      <c r="P776">
        <v>0.0019167352158035861</v>
      </c>
      <c r="Q776" t="s">
        <v>153</v>
      </c>
    </row>
    <row r="777" spans="9:17" ht="14.25">
      <c r="I777" t="s">
        <v>168</v>
      </c>
      <c r="J777" t="s">
        <v>331</v>
      </c>
      <c r="K777">
        <v>0.0012042496150689772</v>
      </c>
      <c r="L777" t="s">
        <v>153</v>
      </c>
      <c r="N777" t="s">
        <v>178</v>
      </c>
      <c r="O777" t="s">
        <v>331</v>
      </c>
      <c r="P777">
        <v>0.0018798495107084112</v>
      </c>
      <c r="Q777" t="s">
        <v>153</v>
      </c>
    </row>
    <row r="778" spans="9:17" ht="14.25">
      <c r="I778" t="s">
        <v>168</v>
      </c>
      <c r="J778" t="s">
        <v>332</v>
      </c>
      <c r="K778">
        <v>0.00054340594360213258</v>
      </c>
      <c r="L778" t="s">
        <v>153</v>
      </c>
      <c r="N778" t="s">
        <v>178</v>
      </c>
      <c r="O778" t="s">
        <v>332</v>
      </c>
      <c r="P778">
        <v>0.0076573433766395377</v>
      </c>
      <c r="Q778" t="s">
        <v>153</v>
      </c>
    </row>
    <row r="779" spans="9:17" ht="14.25">
      <c r="I779" t="s">
        <v>168</v>
      </c>
      <c r="J779" t="s">
        <v>280</v>
      </c>
      <c r="K779">
        <v>0</v>
      </c>
      <c r="L779" t="s">
        <v>153</v>
      </c>
      <c r="N779" t="s">
        <v>178</v>
      </c>
      <c r="O779" t="s">
        <v>280</v>
      </c>
      <c r="P779">
        <v>0.0049365213086751628</v>
      </c>
      <c r="Q779" t="s">
        <v>153</v>
      </c>
    </row>
    <row r="780" spans="9:17" ht="14.25">
      <c r="I780" t="s">
        <v>168</v>
      </c>
      <c r="J780" t="s">
        <v>281</v>
      </c>
      <c r="K780">
        <v>0.00061842685200466955</v>
      </c>
      <c r="L780" t="s">
        <v>153</v>
      </c>
      <c r="N780" t="s">
        <v>178</v>
      </c>
      <c r="O780" t="s">
        <v>281</v>
      </c>
      <c r="P780">
        <v>0.00092802093345465428</v>
      </c>
      <c r="Q780" t="s">
        <v>153</v>
      </c>
    </row>
    <row r="781" spans="9:17" ht="14.25">
      <c r="I781" t="s">
        <v>168</v>
      </c>
      <c r="J781" t="s">
        <v>282</v>
      </c>
      <c r="K781">
        <v>0.0011774902111475194</v>
      </c>
      <c r="L781" t="s">
        <v>153</v>
      </c>
      <c r="N781" t="s">
        <v>178</v>
      </c>
      <c r="O781" t="s">
        <v>282</v>
      </c>
      <c r="P781">
        <v>0.00077754725437703415</v>
      </c>
      <c r="Q781" t="s">
        <v>153</v>
      </c>
    </row>
    <row r="782" spans="9:17" ht="14.25">
      <c r="I782" t="s">
        <v>168</v>
      </c>
      <c r="J782" t="s">
        <v>283</v>
      </c>
      <c r="K782">
        <v>0.0015048830570185176</v>
      </c>
      <c r="L782" t="s">
        <v>153</v>
      </c>
      <c r="N782" t="s">
        <v>178</v>
      </c>
      <c r="O782" t="s">
        <v>283</v>
      </c>
      <c r="P782">
        <v>0.00080428870256172322</v>
      </c>
      <c r="Q782" t="s">
        <v>153</v>
      </c>
    </row>
    <row r="783" spans="9:17" ht="14.25">
      <c r="I783" t="s">
        <v>168</v>
      </c>
      <c r="J783" t="s">
        <v>284</v>
      </c>
      <c r="K783">
        <v>0.012398485381523248</v>
      </c>
      <c r="L783" t="s">
        <v>153</v>
      </c>
      <c r="N783" t="s">
        <v>178</v>
      </c>
      <c r="O783" t="s">
        <v>284</v>
      </c>
      <c r="P783">
        <v>0.0052655179194609257</v>
      </c>
      <c r="Q783" t="s">
        <v>153</v>
      </c>
    </row>
    <row r="784" spans="9:17" ht="14.25">
      <c r="I784" t="s">
        <v>168</v>
      </c>
      <c r="J784" t="s">
        <v>285</v>
      </c>
      <c r="K784">
        <v>0.0013647252197666621</v>
      </c>
      <c r="L784" t="s">
        <v>153</v>
      </c>
      <c r="N784" t="s">
        <v>178</v>
      </c>
      <c r="O784" t="s">
        <v>285</v>
      </c>
      <c r="P784">
        <v>0.0011821165573756768</v>
      </c>
      <c r="Q784" t="s">
        <v>153</v>
      </c>
    </row>
    <row r="785" spans="9:17" ht="14.25">
      <c r="I785" t="s">
        <v>168</v>
      </c>
      <c r="J785" t="s">
        <v>333</v>
      </c>
      <c r="K785">
        <v>0.00099034896507914187</v>
      </c>
      <c r="L785" t="s">
        <v>153</v>
      </c>
      <c r="N785" t="s">
        <v>178</v>
      </c>
      <c r="O785" t="s">
        <v>333</v>
      </c>
      <c r="P785">
        <v>0.0013608490010201526</v>
      </c>
      <c r="Q785" t="s">
        <v>153</v>
      </c>
    </row>
    <row r="786" spans="9:17" ht="14.25">
      <c r="I786" t="s">
        <v>168</v>
      </c>
      <c r="J786" t="s">
        <v>334</v>
      </c>
      <c r="K786">
        <v>0.00042505645459078184</v>
      </c>
      <c r="L786" t="s">
        <v>153</v>
      </c>
      <c r="N786" t="s">
        <v>178</v>
      </c>
      <c r="O786" t="s">
        <v>334</v>
      </c>
      <c r="P786">
        <v>0.0067494589627540968</v>
      </c>
      <c r="Q786" t="s">
        <v>153</v>
      </c>
    </row>
    <row r="787" spans="9:17" ht="14.25">
      <c r="I787" t="s">
        <v>168</v>
      </c>
      <c r="J787" t="s">
        <v>286</v>
      </c>
      <c r="K787">
        <v>0</v>
      </c>
      <c r="L787" t="s">
        <v>153</v>
      </c>
      <c r="N787" t="s">
        <v>178</v>
      </c>
      <c r="O787" t="s">
        <v>286</v>
      </c>
      <c r="P787">
        <v>0.0040398064225737563</v>
      </c>
      <c r="Q787" t="s">
        <v>153</v>
      </c>
    </row>
    <row r="788" spans="9:17" ht="14.25">
      <c r="I788" t="s">
        <v>168</v>
      </c>
      <c r="J788" t="s">
        <v>287</v>
      </c>
      <c r="K788">
        <v>0.00076642339654704999</v>
      </c>
      <c r="L788" t="s">
        <v>153</v>
      </c>
      <c r="N788" t="s">
        <v>178</v>
      </c>
      <c r="O788" t="s">
        <v>287</v>
      </c>
      <c r="P788">
        <v>0.00042799566970416801</v>
      </c>
      <c r="Q788" t="s">
        <v>153</v>
      </c>
    </row>
    <row r="789" spans="9:17" ht="14.25">
      <c r="I789" t="s">
        <v>168</v>
      </c>
      <c r="J789" t="s">
        <v>288</v>
      </c>
      <c r="K789">
        <v>0.001521810780550316</v>
      </c>
      <c r="L789" t="s">
        <v>153</v>
      </c>
      <c r="N789" t="s">
        <v>178</v>
      </c>
      <c r="O789" t="s">
        <v>288</v>
      </c>
      <c r="P789">
        <v>0.00028942412329134224</v>
      </c>
      <c r="Q789" t="s">
        <v>153</v>
      </c>
    </row>
    <row r="790" spans="9:17" ht="14.25">
      <c r="I790" t="s">
        <v>168</v>
      </c>
      <c r="J790" t="s">
        <v>289</v>
      </c>
      <c r="K790">
        <v>0.0019987007935013843</v>
      </c>
      <c r="L790" t="s">
        <v>153</v>
      </c>
      <c r="N790" t="s">
        <v>178</v>
      </c>
      <c r="O790" t="s">
        <v>289</v>
      </c>
      <c r="P790">
        <v>0.00028015775718785821</v>
      </c>
      <c r="Q790" t="s">
        <v>153</v>
      </c>
    </row>
    <row r="791" spans="9:17" ht="14.25">
      <c r="I791" t="s">
        <v>168</v>
      </c>
      <c r="J791" t="s">
        <v>290</v>
      </c>
      <c r="K791">
        <v>0.017583350037102936</v>
      </c>
      <c r="L791" t="s">
        <v>153</v>
      </c>
      <c r="N791" t="s">
        <v>178</v>
      </c>
      <c r="O791" t="s">
        <v>290</v>
      </c>
      <c r="P791">
        <v>0.0055466191402517096</v>
      </c>
      <c r="Q791" t="s">
        <v>153</v>
      </c>
    </row>
    <row r="792" spans="9:17" ht="14.25">
      <c r="I792" t="s">
        <v>168</v>
      </c>
      <c r="J792" t="s">
        <v>291</v>
      </c>
      <c r="K792">
        <v>0.0018556882915197093</v>
      </c>
      <c r="L792" t="s">
        <v>153</v>
      </c>
      <c r="N792" t="s">
        <v>178</v>
      </c>
      <c r="O792" t="s">
        <v>291</v>
      </c>
      <c r="P792">
        <v>0.0020159186508449897</v>
      </c>
      <c r="Q792" t="s">
        <v>153</v>
      </c>
    </row>
    <row r="793" spans="9:17" ht="14.25">
      <c r="I793" t="s">
        <v>168</v>
      </c>
      <c r="J793" t="s">
        <v>335</v>
      </c>
      <c r="K793">
        <v>0.0013078253359919223</v>
      </c>
      <c r="L793" t="s">
        <v>153</v>
      </c>
      <c r="N793" t="s">
        <v>178</v>
      </c>
      <c r="O793" t="s">
        <v>335</v>
      </c>
      <c r="P793">
        <v>0.0023363018758075934</v>
      </c>
      <c r="Q793" t="s">
        <v>153</v>
      </c>
    </row>
    <row r="794" spans="9:17" ht="14.25">
      <c r="I794" t="s">
        <v>168</v>
      </c>
      <c r="J794" t="s">
        <v>336</v>
      </c>
      <c r="K794">
        <v>0.00053591660873778283</v>
      </c>
      <c r="L794" t="s">
        <v>153</v>
      </c>
      <c r="N794" t="s">
        <v>178</v>
      </c>
      <c r="O794" t="s">
        <v>336</v>
      </c>
      <c r="P794">
        <v>0.010365801232203683</v>
      </c>
      <c r="Q794" t="s">
        <v>153</v>
      </c>
    </row>
    <row r="795" spans="9:17" ht="14.25">
      <c r="I795" t="s">
        <v>168</v>
      </c>
      <c r="J795" t="s">
        <v>292</v>
      </c>
      <c r="K795">
        <v>0</v>
      </c>
      <c r="L795" t="s">
        <v>153</v>
      </c>
      <c r="N795" t="s">
        <v>178</v>
      </c>
      <c r="O795" t="s">
        <v>292</v>
      </c>
      <c r="P795">
        <v>0.010132513045640739</v>
      </c>
      <c r="Q795" t="s">
        <v>153</v>
      </c>
    </row>
    <row r="796" spans="9:17" ht="14.25">
      <c r="I796" t="s">
        <v>168</v>
      </c>
      <c r="J796" t="s">
        <v>293</v>
      </c>
      <c r="K796">
        <v>0.00050014291446639038</v>
      </c>
      <c r="L796" t="s">
        <v>153</v>
      </c>
      <c r="N796" t="s">
        <v>178</v>
      </c>
      <c r="O796" t="s">
        <v>293</v>
      </c>
      <c r="P796">
        <v>0.0017525135046906008</v>
      </c>
      <c r="Q796" t="s">
        <v>153</v>
      </c>
    </row>
    <row r="797" spans="9:17" ht="14.25">
      <c r="I797" t="s">
        <v>168</v>
      </c>
      <c r="J797" t="s">
        <v>294</v>
      </c>
      <c r="K797">
        <v>0.0010568119267453427</v>
      </c>
      <c r="L797" t="s">
        <v>153</v>
      </c>
      <c r="N797" t="s">
        <v>178</v>
      </c>
      <c r="O797" t="s">
        <v>294</v>
      </c>
      <c r="P797">
        <v>0.0015914077243081707</v>
      </c>
      <c r="Q797" t="s">
        <v>153</v>
      </c>
    </row>
    <row r="798" spans="9:17" ht="14.25">
      <c r="I798" t="s">
        <v>168</v>
      </c>
      <c r="J798" t="s">
        <v>295</v>
      </c>
      <c r="K798">
        <v>0.001404013603951937</v>
      </c>
      <c r="L798" t="s">
        <v>153</v>
      </c>
      <c r="N798" t="s">
        <v>178</v>
      </c>
      <c r="O798" t="s">
        <v>295</v>
      </c>
      <c r="P798">
        <v>0.0018119691710603979</v>
      </c>
      <c r="Q798" t="s">
        <v>153</v>
      </c>
    </row>
    <row r="799" spans="9:17" ht="14.25">
      <c r="I799" t="s">
        <v>168</v>
      </c>
      <c r="J799" t="s">
        <v>296</v>
      </c>
      <c r="K799">
        <v>0.0120674819566095</v>
      </c>
      <c r="L799" t="s">
        <v>153</v>
      </c>
      <c r="N799" t="s">
        <v>178</v>
      </c>
      <c r="O799" t="s">
        <v>296</v>
      </c>
      <c r="P799">
        <v>0.017470423698716715</v>
      </c>
      <c r="Q799" t="s">
        <v>153</v>
      </c>
    </row>
    <row r="800" spans="9:17" ht="14.25">
      <c r="I800" t="s">
        <v>168</v>
      </c>
      <c r="J800" t="s">
        <v>297</v>
      </c>
      <c r="K800">
        <v>0.00130600469062338</v>
      </c>
      <c r="L800" t="s">
        <v>153</v>
      </c>
      <c r="N800" t="s">
        <v>178</v>
      </c>
      <c r="O800" t="s">
        <v>297</v>
      </c>
      <c r="P800">
        <v>0.0028063294700227098</v>
      </c>
      <c r="Q800" t="s">
        <v>153</v>
      </c>
    </row>
    <row r="801" spans="9:17" ht="14.25">
      <c r="I801" t="s">
        <v>168</v>
      </c>
      <c r="J801" t="s">
        <v>337</v>
      </c>
      <c r="K801">
        <v>0.00092996157940376735</v>
      </c>
      <c r="L801" t="s">
        <v>153</v>
      </c>
      <c r="N801" t="s">
        <v>178</v>
      </c>
      <c r="O801" t="s">
        <v>337</v>
      </c>
      <c r="P801">
        <v>0.002694030639106055</v>
      </c>
      <c r="Q801" t="s">
        <v>153</v>
      </c>
    </row>
    <row r="802" spans="9:17" ht="14.25">
      <c r="I802" t="s">
        <v>168</v>
      </c>
      <c r="J802" t="s">
        <v>338</v>
      </c>
      <c r="K802">
        <v>0.00037382005220990889</v>
      </c>
      <c r="L802" t="s">
        <v>153</v>
      </c>
      <c r="N802" t="s">
        <v>178</v>
      </c>
      <c r="O802" t="s">
        <v>338</v>
      </c>
      <c r="P802">
        <v>0.011412717047383985</v>
      </c>
      <c r="Q802" t="s">
        <v>153</v>
      </c>
    </row>
    <row r="803" spans="9:17" ht="14.25">
      <c r="I803" t="s">
        <v>168</v>
      </c>
      <c r="J803" t="s">
        <v>339</v>
      </c>
      <c r="K803">
        <v>0</v>
      </c>
      <c r="L803" t="s">
        <v>153</v>
      </c>
      <c r="N803" t="s">
        <v>178</v>
      </c>
      <c r="O803" t="s">
        <v>339</v>
      </c>
      <c r="P803">
        <v>0.0041986464361088811</v>
      </c>
      <c r="Q803" t="s">
        <v>153</v>
      </c>
    </row>
    <row r="804" spans="9:17" ht="14.25">
      <c r="I804" t="s">
        <v>168</v>
      </c>
      <c r="J804" t="s">
        <v>340</v>
      </c>
      <c r="K804">
        <v>0.00058941444698556197</v>
      </c>
      <c r="L804" t="s">
        <v>153</v>
      </c>
      <c r="N804" t="s">
        <v>178</v>
      </c>
      <c r="O804" t="s">
        <v>340</v>
      </c>
      <c r="P804">
        <v>0.00043100419963088791</v>
      </c>
      <c r="Q804" t="s">
        <v>153</v>
      </c>
    </row>
    <row r="805" spans="9:17" ht="14.25">
      <c r="I805" t="s">
        <v>168</v>
      </c>
      <c r="J805" t="s">
        <v>341</v>
      </c>
      <c r="K805">
        <v>0.0013545350595445562</v>
      </c>
      <c r="L805" t="s">
        <v>153</v>
      </c>
      <c r="N805" t="s">
        <v>178</v>
      </c>
      <c r="O805" t="s">
        <v>341</v>
      </c>
      <c r="P805">
        <v>0.00029709001204292104</v>
      </c>
      <c r="Q805" t="s">
        <v>153</v>
      </c>
    </row>
    <row r="806" spans="9:17" ht="14.25">
      <c r="I806" t="s">
        <v>168</v>
      </c>
      <c r="J806" t="s">
        <v>342</v>
      </c>
      <c r="K806">
        <v>0.0018593613619345896</v>
      </c>
      <c r="L806" t="s">
        <v>153</v>
      </c>
      <c r="N806" t="s">
        <v>178</v>
      </c>
      <c r="O806" t="s">
        <v>342</v>
      </c>
      <c r="P806">
        <v>0.00022117662870159487</v>
      </c>
      <c r="Q806" t="s">
        <v>153</v>
      </c>
    </row>
    <row r="807" spans="9:17" ht="14.25">
      <c r="I807" t="s">
        <v>168</v>
      </c>
      <c r="J807" t="s">
        <v>343</v>
      </c>
      <c r="K807">
        <v>0.01735283322132784</v>
      </c>
      <c r="L807" t="s">
        <v>153</v>
      </c>
      <c r="N807" t="s">
        <v>178</v>
      </c>
      <c r="O807" t="s">
        <v>343</v>
      </c>
      <c r="P807">
        <v>0.0093419644645153614</v>
      </c>
      <c r="Q807" t="s">
        <v>153</v>
      </c>
    </row>
    <row r="808" spans="9:17" ht="14.25">
      <c r="I808" t="s">
        <v>168</v>
      </c>
      <c r="J808" t="s">
        <v>344</v>
      </c>
      <c r="K808">
        <v>0.0018597182921788597</v>
      </c>
      <c r="L808" t="s">
        <v>153</v>
      </c>
      <c r="N808" t="s">
        <v>178</v>
      </c>
      <c r="O808" t="s">
        <v>344</v>
      </c>
      <c r="P808">
        <v>0.0023617846098111708</v>
      </c>
      <c r="Q808" t="s">
        <v>153</v>
      </c>
    </row>
    <row r="809" spans="9:17" ht="14.25">
      <c r="I809" t="s">
        <v>168</v>
      </c>
      <c r="J809" t="s">
        <v>345</v>
      </c>
      <c r="K809">
        <v>0.0013062588114011583</v>
      </c>
      <c r="L809" t="s">
        <v>153</v>
      </c>
      <c r="N809" t="s">
        <v>178</v>
      </c>
      <c r="O809" t="s">
        <v>345</v>
      </c>
      <c r="P809">
        <v>0.0023081096829197429</v>
      </c>
      <c r="Q809" t="s">
        <v>153</v>
      </c>
    </row>
    <row r="810" spans="9:17" ht="14.25">
      <c r="I810" t="s">
        <v>168</v>
      </c>
      <c r="J810" t="s">
        <v>346</v>
      </c>
      <c r="K810">
        <v>0.00051175190417345915</v>
      </c>
      <c r="L810" t="s">
        <v>153</v>
      </c>
      <c r="N810" t="s">
        <v>178</v>
      </c>
      <c r="O810" t="s">
        <v>346</v>
      </c>
      <c r="P810">
        <v>0.0089704060721768238</v>
      </c>
      <c r="Q810" t="s">
        <v>153</v>
      </c>
    </row>
    <row r="811" spans="9:17" ht="14.25">
      <c r="I811" t="s">
        <v>168</v>
      </c>
      <c r="J811" t="s">
        <v>347</v>
      </c>
      <c r="K811">
        <v>0</v>
      </c>
      <c r="L811" t="s">
        <v>153</v>
      </c>
      <c r="N811" t="s">
        <v>178</v>
      </c>
      <c r="O811" t="s">
        <v>347</v>
      </c>
      <c r="P811">
        <v>0.01664323838021067</v>
      </c>
      <c r="Q811" t="s">
        <v>153</v>
      </c>
    </row>
    <row r="812" spans="9:17" ht="14.25">
      <c r="I812" t="s">
        <v>168</v>
      </c>
      <c r="J812" t="s">
        <v>348</v>
      </c>
      <c r="K812">
        <v>0.0021541550711657656</v>
      </c>
      <c r="L812" t="s">
        <v>153</v>
      </c>
      <c r="N812" t="s">
        <v>178</v>
      </c>
      <c r="O812" t="s">
        <v>348</v>
      </c>
      <c r="P812">
        <v>0.0036114846285820279</v>
      </c>
      <c r="Q812" t="s">
        <v>153</v>
      </c>
    </row>
    <row r="813" spans="9:17" ht="14.25">
      <c r="I813" t="s">
        <v>168</v>
      </c>
      <c r="J813" t="s">
        <v>349</v>
      </c>
      <c r="K813">
        <v>0.0056669733974294787</v>
      </c>
      <c r="L813" t="s">
        <v>153</v>
      </c>
      <c r="N813" t="s">
        <v>178</v>
      </c>
      <c r="O813" t="s">
        <v>349</v>
      </c>
      <c r="P813">
        <v>0.0035948947380890998</v>
      </c>
      <c r="Q813" t="s">
        <v>153</v>
      </c>
    </row>
    <row r="814" spans="9:17" ht="14.25">
      <c r="I814" t="s">
        <v>168</v>
      </c>
      <c r="J814" t="s">
        <v>350</v>
      </c>
      <c r="K814">
        <v>0.0083049959645415845</v>
      </c>
      <c r="L814" t="s">
        <v>153</v>
      </c>
      <c r="N814" t="s">
        <v>178</v>
      </c>
      <c r="O814" t="s">
        <v>350</v>
      </c>
      <c r="P814">
        <v>0.0034834196670302125</v>
      </c>
      <c r="Q814" t="s">
        <v>153</v>
      </c>
    </row>
    <row r="815" spans="9:17" ht="14.25">
      <c r="I815" t="s">
        <v>168</v>
      </c>
      <c r="J815" t="s">
        <v>351</v>
      </c>
      <c r="K815">
        <v>0.076529306099428332</v>
      </c>
      <c r="L815" t="s">
        <v>153</v>
      </c>
      <c r="N815" t="s">
        <v>178</v>
      </c>
      <c r="O815" t="s">
        <v>351</v>
      </c>
      <c r="P815">
        <v>0.033138051326482565</v>
      </c>
      <c r="Q815" t="s">
        <v>153</v>
      </c>
    </row>
    <row r="816" spans="9:17" ht="14.25">
      <c r="I816" t="s">
        <v>168</v>
      </c>
      <c r="J816" t="s">
        <v>352</v>
      </c>
      <c r="K816">
        <v>0.00780478582149085</v>
      </c>
      <c r="L816" t="s">
        <v>153</v>
      </c>
      <c r="N816" t="s">
        <v>178</v>
      </c>
      <c r="O816" t="s">
        <v>352</v>
      </c>
      <c r="P816">
        <v>0.0074989130466943275</v>
      </c>
      <c r="Q816" t="s">
        <v>153</v>
      </c>
    </row>
    <row r="817" spans="9:17" ht="14.25">
      <c r="I817" t="s">
        <v>168</v>
      </c>
      <c r="J817" t="s">
        <v>353</v>
      </c>
      <c r="K817">
        <v>0.0053769521305606421</v>
      </c>
      <c r="L817" t="s">
        <v>153</v>
      </c>
      <c r="N817" t="s">
        <v>178</v>
      </c>
      <c r="O817" t="s">
        <v>353</v>
      </c>
      <c r="P817">
        <v>0.0080366185475705537</v>
      </c>
      <c r="Q817" t="s">
        <v>153</v>
      </c>
    </row>
    <row r="818" spans="9:17" ht="14.25">
      <c r="I818" t="s">
        <v>168</v>
      </c>
      <c r="J818" t="s">
        <v>354</v>
      </c>
      <c r="K818">
        <v>0.0020155427052122921</v>
      </c>
      <c r="L818" t="s">
        <v>153</v>
      </c>
      <c r="N818" t="s">
        <v>178</v>
      </c>
      <c r="O818" t="s">
        <v>354</v>
      </c>
      <c r="P818">
        <v>0.031192801299777397</v>
      </c>
      <c r="Q818" t="s">
        <v>153</v>
      </c>
    </row>
    <row r="819" spans="9:17" ht="14.25">
      <c r="I819" t="s">
        <v>168</v>
      </c>
      <c r="J819" t="s">
        <v>355</v>
      </c>
      <c r="K819">
        <v>0</v>
      </c>
      <c r="L819" t="s">
        <v>153</v>
      </c>
      <c r="N819" t="s">
        <v>178</v>
      </c>
      <c r="O819" t="s">
        <v>355</v>
      </c>
      <c r="P819">
        <v>0.025786121250134839</v>
      </c>
      <c r="Q819" t="s">
        <v>153</v>
      </c>
    </row>
    <row r="820" spans="9:17" ht="14.25">
      <c r="I820" t="s">
        <v>168</v>
      </c>
      <c r="J820" t="s">
        <v>356</v>
      </c>
      <c r="K820">
        <v>0.0025054949690812059</v>
      </c>
      <c r="L820" t="s">
        <v>153</v>
      </c>
      <c r="N820" t="s">
        <v>178</v>
      </c>
      <c r="O820" t="s">
        <v>356</v>
      </c>
      <c r="P820">
        <v>0.0062543115686012236</v>
      </c>
      <c r="Q820" t="s">
        <v>153</v>
      </c>
    </row>
    <row r="821" spans="9:17" ht="14.25">
      <c r="I821" t="s">
        <v>168</v>
      </c>
      <c r="J821" t="s">
        <v>357</v>
      </c>
      <c r="K821">
        <v>0.0071878567774426713</v>
      </c>
      <c r="L821" t="s">
        <v>153</v>
      </c>
      <c r="N821" t="s">
        <v>178</v>
      </c>
      <c r="O821" t="s">
        <v>357</v>
      </c>
      <c r="P821">
        <v>0.0060517930123140619</v>
      </c>
      <c r="Q821" t="s">
        <v>153</v>
      </c>
    </row>
    <row r="822" spans="9:17" ht="14.25">
      <c r="I822" t="s">
        <v>168</v>
      </c>
      <c r="J822" t="s">
        <v>358</v>
      </c>
      <c r="K822">
        <v>0.010915536846899783</v>
      </c>
      <c r="L822" t="s">
        <v>153</v>
      </c>
      <c r="N822" t="s">
        <v>178</v>
      </c>
      <c r="O822" t="s">
        <v>358</v>
      </c>
      <c r="P822">
        <v>0.0060073811496211176</v>
      </c>
      <c r="Q822" t="s">
        <v>153</v>
      </c>
    </row>
    <row r="823" spans="9:17" ht="14.25">
      <c r="I823" t="s">
        <v>168</v>
      </c>
      <c r="J823" t="s">
        <v>359</v>
      </c>
      <c r="K823">
        <v>0.097786751686339463</v>
      </c>
      <c r="L823" t="s">
        <v>153</v>
      </c>
      <c r="N823" t="s">
        <v>178</v>
      </c>
      <c r="O823" t="s">
        <v>359</v>
      </c>
      <c r="P823">
        <v>0.023648898319317126</v>
      </c>
      <c r="Q823" t="s">
        <v>153</v>
      </c>
    </row>
    <row r="824" spans="9:17" ht="14.25">
      <c r="I824" t="s">
        <v>168</v>
      </c>
      <c r="J824" t="s">
        <v>360</v>
      </c>
      <c r="K824">
        <v>0.0097473710428365029</v>
      </c>
      <c r="L824" t="s">
        <v>153</v>
      </c>
      <c r="N824" t="s">
        <v>178</v>
      </c>
      <c r="O824" t="s">
        <v>360</v>
      </c>
      <c r="P824">
        <v>0.0042507281353484404</v>
      </c>
      <c r="Q824" t="s">
        <v>153</v>
      </c>
    </row>
    <row r="825" spans="9:17" ht="14.25">
      <c r="I825" t="s">
        <v>168</v>
      </c>
      <c r="J825" t="s">
        <v>361</v>
      </c>
      <c r="K825">
        <v>0.0059719800108612416</v>
      </c>
      <c r="L825" t="s">
        <v>153</v>
      </c>
      <c r="N825" t="s">
        <v>178</v>
      </c>
      <c r="O825" t="s">
        <v>361</v>
      </c>
      <c r="P825">
        <v>0.0053488745383362159</v>
      </c>
      <c r="Q825" t="s">
        <v>153</v>
      </c>
    </row>
    <row r="826" spans="9:17" ht="14.25">
      <c r="I826" t="s">
        <v>168</v>
      </c>
      <c r="J826" t="s">
        <v>362</v>
      </c>
      <c r="K826">
        <v>0.0012841341098490916</v>
      </c>
      <c r="L826" t="s">
        <v>153</v>
      </c>
      <c r="N826" t="s">
        <v>178</v>
      </c>
      <c r="O826" t="s">
        <v>362</v>
      </c>
      <c r="P826">
        <v>0.030599017212303747</v>
      </c>
      <c r="Q826" t="s">
        <v>153</v>
      </c>
    </row>
    <row r="827" spans="9:17" ht="14.25">
      <c r="I827" t="s">
        <v>168</v>
      </c>
      <c r="J827" t="s">
        <v>363</v>
      </c>
      <c r="K827">
        <v>0</v>
      </c>
      <c r="L827" t="s">
        <v>153</v>
      </c>
      <c r="N827" t="s">
        <v>178</v>
      </c>
      <c r="O827" t="s">
        <v>363</v>
      </c>
      <c r="P827">
        <v>0.034449854333014548</v>
      </c>
      <c r="Q827" t="s">
        <v>153</v>
      </c>
    </row>
    <row r="828" spans="9:17" ht="14.25">
      <c r="I828" t="s">
        <v>168</v>
      </c>
      <c r="J828" t="s">
        <v>364</v>
      </c>
      <c r="K828">
        <v>0.0018748861879563589</v>
      </c>
      <c r="L828" t="s">
        <v>153</v>
      </c>
      <c r="N828" t="s">
        <v>178</v>
      </c>
      <c r="O828" t="s">
        <v>364</v>
      </c>
      <c r="P828">
        <v>0.0054625118970292865</v>
      </c>
      <c r="Q828" t="s">
        <v>153</v>
      </c>
    </row>
    <row r="829" spans="9:17" ht="14.25">
      <c r="I829" t="s">
        <v>168</v>
      </c>
      <c r="J829" t="s">
        <v>365</v>
      </c>
      <c r="K829">
        <v>0.013154059445692933</v>
      </c>
      <c r="L829" t="s">
        <v>153</v>
      </c>
      <c r="N829" t="s">
        <v>178</v>
      </c>
      <c r="O829" t="s">
        <v>365</v>
      </c>
      <c r="P829">
        <v>0.0052971841363316742</v>
      </c>
      <c r="Q829" t="s">
        <v>153</v>
      </c>
    </row>
    <row r="830" spans="9:17" ht="14.25">
      <c r="I830" t="s">
        <v>168</v>
      </c>
      <c r="J830" t="s">
        <v>366</v>
      </c>
      <c r="K830">
        <v>0.019864292740883891</v>
      </c>
      <c r="L830" t="s">
        <v>153</v>
      </c>
      <c r="N830" t="s">
        <v>178</v>
      </c>
      <c r="O830" t="s">
        <v>366</v>
      </c>
      <c r="P830">
        <v>0.004411864921756996</v>
      </c>
      <c r="Q830" t="s">
        <v>153</v>
      </c>
    </row>
    <row r="831" spans="9:17" ht="14.25">
      <c r="I831" t="s">
        <v>168</v>
      </c>
      <c r="J831" t="s">
        <v>367</v>
      </c>
      <c r="K831">
        <v>0.1615973239286454</v>
      </c>
      <c r="L831" t="s">
        <v>153</v>
      </c>
      <c r="N831" t="s">
        <v>178</v>
      </c>
      <c r="O831" t="s">
        <v>367</v>
      </c>
      <c r="P831">
        <v>0.039622547264925256</v>
      </c>
      <c r="Q831" t="s">
        <v>153</v>
      </c>
    </row>
    <row r="832" spans="9:17" ht="14.25">
      <c r="I832" t="s">
        <v>168</v>
      </c>
      <c r="J832" t="s">
        <v>368</v>
      </c>
      <c r="K832">
        <v>0.016507567727572083</v>
      </c>
      <c r="L832" t="s">
        <v>153</v>
      </c>
      <c r="N832" t="s">
        <v>178</v>
      </c>
      <c r="O832" t="s">
        <v>368</v>
      </c>
      <c r="P832">
        <v>0.0085619840125527816</v>
      </c>
      <c r="Q832" t="s">
        <v>153</v>
      </c>
    </row>
    <row r="833" spans="9:17" ht="14.25">
      <c r="I833" t="s">
        <v>168</v>
      </c>
      <c r="J833" t="s">
        <v>369</v>
      </c>
      <c r="K833">
        <v>0.008201245171880445</v>
      </c>
      <c r="L833" t="s">
        <v>153</v>
      </c>
      <c r="N833" t="s">
        <v>178</v>
      </c>
      <c r="O833" t="s">
        <v>369</v>
      </c>
      <c r="P833">
        <v>0.010140092395131126</v>
      </c>
      <c r="Q833" t="s">
        <v>153</v>
      </c>
    </row>
    <row r="834" spans="9:17" ht="14.25">
      <c r="I834" t="s">
        <v>168</v>
      </c>
      <c r="J834" t="s">
        <v>370</v>
      </c>
      <c r="K834">
        <v>0</v>
      </c>
      <c r="L834" t="s">
        <v>153</v>
      </c>
      <c r="N834" t="s">
        <v>178</v>
      </c>
      <c r="O834" t="s">
        <v>370</v>
      </c>
      <c r="P834">
        <v>0.054482643504141191</v>
      </c>
      <c r="Q834" t="s">
        <v>153</v>
      </c>
    </row>
    <row r="835" spans="9:17" ht="14.25">
      <c r="I835" t="s">
        <v>168</v>
      </c>
      <c r="J835" t="s">
        <v>371</v>
      </c>
      <c r="K835">
        <v>0</v>
      </c>
      <c r="L835" t="s">
        <v>153</v>
      </c>
      <c r="N835" t="s">
        <v>178</v>
      </c>
      <c r="O835" t="s">
        <v>371</v>
      </c>
      <c r="P835">
        <v>0.00953265358382018</v>
      </c>
      <c r="Q835" t="s">
        <v>153</v>
      </c>
    </row>
    <row r="836" spans="9:17" ht="14.25">
      <c r="I836" t="s">
        <v>168</v>
      </c>
      <c r="J836" t="s">
        <v>372</v>
      </c>
      <c r="K836">
        <v>0</v>
      </c>
      <c r="L836" t="s">
        <v>153</v>
      </c>
      <c r="N836" t="s">
        <v>178</v>
      </c>
      <c r="O836" t="s">
        <v>372</v>
      </c>
      <c r="P836">
        <v>0.0014928257384447567</v>
      </c>
      <c r="Q836" t="s">
        <v>153</v>
      </c>
    </row>
    <row r="837" spans="9:17" ht="14.25">
      <c r="I837" t="s">
        <v>168</v>
      </c>
      <c r="J837" t="s">
        <v>373</v>
      </c>
      <c r="K837">
        <v>0.00084716642409232072</v>
      </c>
      <c r="L837" t="s">
        <v>153</v>
      </c>
      <c r="N837" t="s">
        <v>178</v>
      </c>
      <c r="O837" t="s">
        <v>373</v>
      </c>
      <c r="P837">
        <v>0.0014339892866948971</v>
      </c>
      <c r="Q837" t="s">
        <v>153</v>
      </c>
    </row>
    <row r="838" spans="9:17" ht="14.25">
      <c r="I838" t="s">
        <v>168</v>
      </c>
      <c r="J838" t="s">
        <v>374</v>
      </c>
      <c r="K838">
        <v>0.0014744159340086902</v>
      </c>
      <c r="L838" t="s">
        <v>153</v>
      </c>
      <c r="N838" t="s">
        <v>178</v>
      </c>
      <c r="O838" t="s">
        <v>374</v>
      </c>
      <c r="P838">
        <v>0.0013360214274396186</v>
      </c>
      <c r="Q838" t="s">
        <v>153</v>
      </c>
    </row>
    <row r="839" spans="9:17" ht="14.25">
      <c r="I839" t="s">
        <v>168</v>
      </c>
      <c r="J839" t="s">
        <v>375</v>
      </c>
      <c r="K839">
        <v>0.013277043099324282</v>
      </c>
      <c r="L839" t="s">
        <v>153</v>
      </c>
      <c r="N839" t="s">
        <v>178</v>
      </c>
      <c r="O839" t="s">
        <v>375</v>
      </c>
      <c r="P839">
        <v>0.013960510393174762</v>
      </c>
      <c r="Q839" t="s">
        <v>153</v>
      </c>
    </row>
    <row r="840" spans="9:17" ht="14.25">
      <c r="I840" t="s">
        <v>168</v>
      </c>
      <c r="J840" t="s">
        <v>376</v>
      </c>
      <c r="K840">
        <v>0.0014457248744411885</v>
      </c>
      <c r="L840" t="s">
        <v>153</v>
      </c>
      <c r="N840" t="s">
        <v>178</v>
      </c>
      <c r="O840" t="s">
        <v>376</v>
      </c>
      <c r="P840">
        <v>0.0021732616749828293</v>
      </c>
      <c r="Q840" t="s">
        <v>153</v>
      </c>
    </row>
    <row r="841" spans="9:17" ht="14.25">
      <c r="I841" t="s">
        <v>168</v>
      </c>
      <c r="J841" t="s">
        <v>377</v>
      </c>
      <c r="K841">
        <v>0.00091457512322844876</v>
      </c>
      <c r="L841" t="s">
        <v>153</v>
      </c>
      <c r="N841" t="s">
        <v>178</v>
      </c>
      <c r="O841" t="s">
        <v>377</v>
      </c>
      <c r="P841">
        <v>0.0021189432685443954</v>
      </c>
      <c r="Q841" t="s">
        <v>153</v>
      </c>
    </row>
    <row r="842" spans="9:17" ht="14.25">
      <c r="I842" t="s">
        <v>168</v>
      </c>
      <c r="J842" t="s">
        <v>378</v>
      </c>
      <c r="K842">
        <v>0</v>
      </c>
      <c r="L842" t="s">
        <v>153</v>
      </c>
      <c r="N842" t="s">
        <v>178</v>
      </c>
      <c r="O842" t="s">
        <v>378</v>
      </c>
      <c r="P842">
        <v>0.011933060092770998</v>
      </c>
      <c r="Q842" t="s">
        <v>153</v>
      </c>
    </row>
    <row r="843" spans="9:17" ht="14.25">
      <c r="I843" t="s">
        <v>168</v>
      </c>
      <c r="J843" t="s">
        <v>379</v>
      </c>
      <c r="K843">
        <v>0</v>
      </c>
      <c r="L843" t="s">
        <v>153</v>
      </c>
      <c r="N843" t="s">
        <v>178</v>
      </c>
      <c r="O843" t="s">
        <v>379</v>
      </c>
      <c r="P843">
        <v>0.0082403220408795077</v>
      </c>
      <c r="Q843" t="s">
        <v>153</v>
      </c>
    </row>
    <row r="844" spans="9:17" ht="14.25">
      <c r="I844" t="s">
        <v>168</v>
      </c>
      <c r="J844" t="s">
        <v>380</v>
      </c>
      <c r="K844">
        <v>0</v>
      </c>
      <c r="L844" t="s">
        <v>153</v>
      </c>
      <c r="N844" t="s">
        <v>178</v>
      </c>
      <c r="O844" t="s">
        <v>380</v>
      </c>
      <c r="P844">
        <v>0.0012477206331402099</v>
      </c>
      <c r="Q844" t="s">
        <v>153</v>
      </c>
    </row>
    <row r="845" spans="9:17" ht="14.25">
      <c r="I845" t="s">
        <v>168</v>
      </c>
      <c r="J845" t="s">
        <v>381</v>
      </c>
      <c r="K845">
        <v>0.0013175635674892009</v>
      </c>
      <c r="L845" t="s">
        <v>153</v>
      </c>
      <c r="N845" t="s">
        <v>178</v>
      </c>
      <c r="O845" t="s">
        <v>381</v>
      </c>
      <c r="P845">
        <v>0.0012178778689244227</v>
      </c>
      <c r="Q845" t="s">
        <v>153</v>
      </c>
    </row>
    <row r="846" spans="9:17" ht="14.25">
      <c r="I846" t="s">
        <v>168</v>
      </c>
      <c r="J846" t="s">
        <v>382</v>
      </c>
      <c r="K846">
        <v>0.002272490470320711</v>
      </c>
      <c r="L846" t="s">
        <v>153</v>
      </c>
      <c r="N846" t="s">
        <v>178</v>
      </c>
      <c r="O846" t="s">
        <v>382</v>
      </c>
      <c r="P846">
        <v>0.0010364573609104107</v>
      </c>
      <c r="Q846" t="s">
        <v>153</v>
      </c>
    </row>
    <row r="847" spans="9:17" ht="14.25">
      <c r="I847" t="s">
        <v>168</v>
      </c>
      <c r="J847" t="s">
        <v>383</v>
      </c>
      <c r="K847">
        <v>0.019703965763870662</v>
      </c>
      <c r="L847" t="s">
        <v>153</v>
      </c>
      <c r="N847" t="s">
        <v>178</v>
      </c>
      <c r="O847" t="s">
        <v>383</v>
      </c>
      <c r="P847">
        <v>0.0068839460981318604</v>
      </c>
      <c r="Q847" t="s">
        <v>153</v>
      </c>
    </row>
    <row r="848" spans="9:17" ht="14.25">
      <c r="I848" t="s">
        <v>168</v>
      </c>
      <c r="J848" t="s">
        <v>384</v>
      </c>
      <c r="K848">
        <v>0.0021677661759438964</v>
      </c>
      <c r="L848" t="s">
        <v>153</v>
      </c>
      <c r="N848" t="s">
        <v>178</v>
      </c>
      <c r="O848" t="s">
        <v>384</v>
      </c>
      <c r="P848">
        <v>0.0014877147994083622</v>
      </c>
      <c r="Q848" t="s">
        <v>153</v>
      </c>
    </row>
    <row r="849" spans="9:17" ht="14.25">
      <c r="I849" t="s">
        <v>168</v>
      </c>
      <c r="J849" t="s">
        <v>385</v>
      </c>
      <c r="K849">
        <v>0.0012541695074875746</v>
      </c>
      <c r="L849" t="s">
        <v>153</v>
      </c>
      <c r="N849" t="s">
        <v>178</v>
      </c>
      <c r="O849" t="s">
        <v>385</v>
      </c>
      <c r="P849">
        <v>0.0017368459038014658</v>
      </c>
      <c r="Q849" t="s">
        <v>153</v>
      </c>
    </row>
    <row r="850" spans="9:17" ht="14.25">
      <c r="I850" t="s">
        <v>168</v>
      </c>
      <c r="J850" t="s">
        <v>386</v>
      </c>
      <c r="K850">
        <v>0</v>
      </c>
      <c r="L850" t="s">
        <v>153</v>
      </c>
      <c r="N850" t="s">
        <v>178</v>
      </c>
      <c r="O850" t="s">
        <v>386</v>
      </c>
      <c r="P850">
        <v>0.0096098765939682737</v>
      </c>
      <c r="Q850" t="s">
        <v>153</v>
      </c>
    </row>
    <row r="851" spans="9:17" ht="14.25">
      <c r="I851" t="s">
        <v>169</v>
      </c>
      <c r="J851" t="s">
        <v>152</v>
      </c>
      <c r="K851">
        <v>0</v>
      </c>
      <c r="L851" t="s">
        <v>153</v>
      </c>
      <c r="N851" t="s">
        <v>179</v>
      </c>
      <c r="O851" t="s">
        <v>152</v>
      </c>
      <c r="P851">
        <v>0.0045201385143004277</v>
      </c>
      <c r="Q851" t="s">
        <v>153</v>
      </c>
    </row>
    <row r="852" spans="9:17" ht="14.25">
      <c r="I852" t="s">
        <v>169</v>
      </c>
      <c r="J852" t="s">
        <v>154</v>
      </c>
      <c r="K852">
        <v>0</v>
      </c>
      <c r="L852" t="s">
        <v>153</v>
      </c>
      <c r="N852" t="s">
        <v>179</v>
      </c>
      <c r="O852" t="s">
        <v>154</v>
      </c>
      <c r="P852">
        <v>0.00074988991607544207</v>
      </c>
      <c r="Q852" t="s">
        <v>153</v>
      </c>
    </row>
    <row r="853" spans="9:17" ht="14.25">
      <c r="I853" t="s">
        <v>169</v>
      </c>
      <c r="J853" t="s">
        <v>155</v>
      </c>
      <c r="K853">
        <v>0.0010673591699952225</v>
      </c>
      <c r="L853" t="s">
        <v>153</v>
      </c>
      <c r="N853" t="s">
        <v>179</v>
      </c>
      <c r="O853" t="s">
        <v>155</v>
      </c>
      <c r="P853">
        <v>0.0007160557959734929</v>
      </c>
      <c r="Q853" t="s">
        <v>153</v>
      </c>
    </row>
    <row r="854" spans="9:17" ht="14.25">
      <c r="I854" t="s">
        <v>169</v>
      </c>
      <c r="J854" t="s">
        <v>200</v>
      </c>
      <c r="K854">
        <v>0.0019559892219249827</v>
      </c>
      <c r="L854" t="s">
        <v>153</v>
      </c>
      <c r="N854" t="s">
        <v>179</v>
      </c>
      <c r="O854" t="s">
        <v>200</v>
      </c>
      <c r="P854">
        <v>0.00051185521696801633</v>
      </c>
      <c r="Q854" t="s">
        <v>153</v>
      </c>
    </row>
    <row r="855" spans="9:17" ht="14.25">
      <c r="I855" t="s">
        <v>169</v>
      </c>
      <c r="J855" t="s">
        <v>201</v>
      </c>
      <c r="K855">
        <v>0.018369179020756875</v>
      </c>
      <c r="L855" t="s">
        <v>153</v>
      </c>
      <c r="N855" t="s">
        <v>179</v>
      </c>
      <c r="O855" t="s">
        <v>201</v>
      </c>
      <c r="P855">
        <v>0.0082205528577182895</v>
      </c>
      <c r="Q855" t="s">
        <v>153</v>
      </c>
    </row>
    <row r="856" spans="9:17" ht="14.25">
      <c r="I856" t="s">
        <v>169</v>
      </c>
      <c r="J856" t="s">
        <v>218</v>
      </c>
      <c r="K856">
        <v>0.0018606171184204275</v>
      </c>
      <c r="L856" t="s">
        <v>153</v>
      </c>
      <c r="N856" t="s">
        <v>179</v>
      </c>
      <c r="O856" t="s">
        <v>218</v>
      </c>
      <c r="P856">
        <v>0.0012460924511354303</v>
      </c>
      <c r="Q856" t="s">
        <v>153</v>
      </c>
    </row>
    <row r="857" spans="9:17" ht="14.25">
      <c r="I857" t="s">
        <v>169</v>
      </c>
      <c r="J857" t="s">
        <v>309</v>
      </c>
      <c r="K857">
        <v>0.0011206381763254087</v>
      </c>
      <c r="L857" t="s">
        <v>153</v>
      </c>
      <c r="N857" t="s">
        <v>179</v>
      </c>
      <c r="O857" t="s">
        <v>309</v>
      </c>
      <c r="P857">
        <v>0.0011099747627925829</v>
      </c>
      <c r="Q857" t="s">
        <v>153</v>
      </c>
    </row>
    <row r="858" spans="9:17" ht="14.25">
      <c r="I858" t="s">
        <v>169</v>
      </c>
      <c r="J858" t="s">
        <v>310</v>
      </c>
      <c r="K858">
        <v>0</v>
      </c>
      <c r="L858" t="s">
        <v>153</v>
      </c>
      <c r="N858" t="s">
        <v>179</v>
      </c>
      <c r="O858" t="s">
        <v>310</v>
      </c>
      <c r="P858">
        <v>0.0036877165437496804</v>
      </c>
      <c r="Q858" t="s">
        <v>153</v>
      </c>
    </row>
    <row r="859" spans="9:17" ht="14.25">
      <c r="I859" t="s">
        <v>169</v>
      </c>
      <c r="J859" t="s">
        <v>156</v>
      </c>
      <c r="K859">
        <v>0</v>
      </c>
      <c r="L859" t="s">
        <v>153</v>
      </c>
      <c r="N859" t="s">
        <v>179</v>
      </c>
      <c r="O859" t="s">
        <v>156</v>
      </c>
      <c r="P859">
        <v>0.015988237596001171</v>
      </c>
      <c r="Q859" t="s">
        <v>153</v>
      </c>
    </row>
    <row r="860" spans="9:17" ht="14.25">
      <c r="I860" t="s">
        <v>169</v>
      </c>
      <c r="J860" t="s">
        <v>157</v>
      </c>
      <c r="K860">
        <v>0</v>
      </c>
      <c r="L860" t="s">
        <v>153</v>
      </c>
      <c r="N860" t="s">
        <v>179</v>
      </c>
      <c r="O860" t="s">
        <v>157</v>
      </c>
      <c r="P860">
        <v>0.0024856716447953574</v>
      </c>
      <c r="Q860" t="s">
        <v>153</v>
      </c>
    </row>
    <row r="861" spans="9:17" ht="14.25">
      <c r="I861" t="s">
        <v>169</v>
      </c>
      <c r="J861" t="s">
        <v>158</v>
      </c>
      <c r="K861">
        <v>0.00061263298704890756</v>
      </c>
      <c r="L861" t="s">
        <v>153</v>
      </c>
      <c r="N861" t="s">
        <v>179</v>
      </c>
      <c r="O861" t="s">
        <v>158</v>
      </c>
      <c r="P861">
        <v>0.0024227604090543537</v>
      </c>
      <c r="Q861" t="s">
        <v>153</v>
      </c>
    </row>
    <row r="862" spans="9:17" ht="14.25">
      <c r="I862" t="s">
        <v>169</v>
      </c>
      <c r="J862" t="s">
        <v>202</v>
      </c>
      <c r="K862">
        <v>0.0011277327113950741</v>
      </c>
      <c r="L862" t="s">
        <v>153</v>
      </c>
      <c r="N862" t="s">
        <v>179</v>
      </c>
      <c r="O862" t="s">
        <v>202</v>
      </c>
      <c r="P862">
        <v>0.0027749424889068086</v>
      </c>
      <c r="Q862" t="s">
        <v>153</v>
      </c>
    </row>
    <row r="863" spans="9:17" ht="14.25">
      <c r="I863" t="s">
        <v>169</v>
      </c>
      <c r="J863" t="s">
        <v>203</v>
      </c>
      <c r="K863">
        <v>0.010161212174012084</v>
      </c>
      <c r="L863" t="s">
        <v>153</v>
      </c>
      <c r="N863" t="s">
        <v>179</v>
      </c>
      <c r="O863" t="s">
        <v>203</v>
      </c>
      <c r="P863">
        <v>0.027037536256775491</v>
      </c>
      <c r="Q863" t="s">
        <v>153</v>
      </c>
    </row>
    <row r="864" spans="9:17" ht="14.25">
      <c r="I864" t="s">
        <v>169</v>
      </c>
      <c r="J864" t="s">
        <v>219</v>
      </c>
      <c r="K864">
        <v>0.0011562217772681873</v>
      </c>
      <c r="L864" t="s">
        <v>153</v>
      </c>
      <c r="N864" t="s">
        <v>179</v>
      </c>
      <c r="O864" t="s">
        <v>219</v>
      </c>
      <c r="P864">
        <v>0.0033749948282682726</v>
      </c>
      <c r="Q864" t="s">
        <v>153</v>
      </c>
    </row>
    <row r="865" spans="9:17" ht="14.25">
      <c r="I865" t="s">
        <v>169</v>
      </c>
      <c r="J865" t="s">
        <v>311</v>
      </c>
      <c r="K865">
        <v>0.00070149000003529797</v>
      </c>
      <c r="L865" t="s">
        <v>153</v>
      </c>
      <c r="N865" t="s">
        <v>179</v>
      </c>
      <c r="O865" t="s">
        <v>311</v>
      </c>
      <c r="P865">
        <v>0.0030963922325511158</v>
      </c>
      <c r="Q865" t="s">
        <v>153</v>
      </c>
    </row>
    <row r="866" spans="9:17" ht="14.25">
      <c r="I866" t="s">
        <v>169</v>
      </c>
      <c r="J866" t="s">
        <v>312</v>
      </c>
      <c r="K866">
        <v>0</v>
      </c>
      <c r="L866" t="s">
        <v>153</v>
      </c>
      <c r="N866" t="s">
        <v>179</v>
      </c>
      <c r="O866" t="s">
        <v>312</v>
      </c>
      <c r="P866">
        <v>0.017674767690867472</v>
      </c>
      <c r="Q866" t="s">
        <v>153</v>
      </c>
    </row>
    <row r="867" spans="9:17" ht="14.25">
      <c r="I867" t="s">
        <v>169</v>
      </c>
      <c r="J867" t="s">
        <v>159</v>
      </c>
      <c r="K867">
        <v>0</v>
      </c>
      <c r="L867" t="s">
        <v>153</v>
      </c>
      <c r="N867" t="s">
        <v>179</v>
      </c>
      <c r="O867" t="s">
        <v>159</v>
      </c>
      <c r="P867">
        <v>0.0045569755157383431</v>
      </c>
      <c r="Q867" t="s">
        <v>153</v>
      </c>
    </row>
    <row r="868" spans="9:17" ht="14.25">
      <c r="I868" t="s">
        <v>169</v>
      </c>
      <c r="J868" t="s">
        <v>160</v>
      </c>
      <c r="K868">
        <v>0</v>
      </c>
      <c r="L868" t="s">
        <v>153</v>
      </c>
      <c r="N868" t="s">
        <v>179</v>
      </c>
      <c r="O868" t="s">
        <v>160</v>
      </c>
      <c r="P868">
        <v>0.00071377748022308067</v>
      </c>
      <c r="Q868" t="s">
        <v>153</v>
      </c>
    </row>
    <row r="869" spans="9:17" ht="14.25">
      <c r="I869" t="s">
        <v>169</v>
      </c>
      <c r="J869" t="s">
        <v>161</v>
      </c>
      <c r="K869">
        <v>0.0014220862387114457</v>
      </c>
      <c r="L869" t="s">
        <v>153</v>
      </c>
      <c r="N869" t="s">
        <v>179</v>
      </c>
      <c r="O869" t="s">
        <v>161</v>
      </c>
      <c r="P869">
        <v>0.00070471071814034872</v>
      </c>
      <c r="Q869" t="s">
        <v>153</v>
      </c>
    </row>
    <row r="870" spans="9:17" ht="14.25">
      <c r="I870" t="s">
        <v>169</v>
      </c>
      <c r="J870" t="s">
        <v>204</v>
      </c>
      <c r="K870">
        <v>0.002976541113217612</v>
      </c>
      <c r="L870" t="s">
        <v>153</v>
      </c>
      <c r="N870" t="s">
        <v>179</v>
      </c>
      <c r="O870" t="s">
        <v>204</v>
      </c>
      <c r="P870">
        <v>0.00065699860086858568</v>
      </c>
      <c r="Q870" t="s">
        <v>153</v>
      </c>
    </row>
    <row r="871" spans="9:17" ht="14.25">
      <c r="I871" t="s">
        <v>169</v>
      </c>
      <c r="J871" t="s">
        <v>205</v>
      </c>
      <c r="K871">
        <v>0.032327529144311681</v>
      </c>
      <c r="L871" t="s">
        <v>153</v>
      </c>
      <c r="N871" t="s">
        <v>179</v>
      </c>
      <c r="O871" t="s">
        <v>205</v>
      </c>
      <c r="P871">
        <v>0.0086696290104364988</v>
      </c>
      <c r="Q871" t="s">
        <v>153</v>
      </c>
    </row>
    <row r="872" spans="9:17" ht="14.25">
      <c r="I872" t="s">
        <v>169</v>
      </c>
      <c r="J872" t="s">
        <v>220</v>
      </c>
      <c r="K872">
        <v>0.0035864873194139959</v>
      </c>
      <c r="L872" t="s">
        <v>153</v>
      </c>
      <c r="N872" t="s">
        <v>179</v>
      </c>
      <c r="O872" t="s">
        <v>220</v>
      </c>
      <c r="P872">
        <v>0.0011344683530022514</v>
      </c>
      <c r="Q872" t="s">
        <v>153</v>
      </c>
    </row>
    <row r="873" spans="9:17" ht="14.25">
      <c r="I873" t="s">
        <v>169</v>
      </c>
      <c r="J873" t="s">
        <v>313</v>
      </c>
      <c r="K873">
        <v>0.0019446985415664884</v>
      </c>
      <c r="L873" t="s">
        <v>153</v>
      </c>
      <c r="N873" t="s">
        <v>179</v>
      </c>
      <c r="O873" t="s">
        <v>313</v>
      </c>
      <c r="P873">
        <v>0.0013422697823732657</v>
      </c>
      <c r="Q873" t="s">
        <v>153</v>
      </c>
    </row>
    <row r="874" spans="9:17" ht="14.25">
      <c r="I874" t="s">
        <v>169</v>
      </c>
      <c r="J874" t="s">
        <v>314</v>
      </c>
      <c r="K874">
        <v>0</v>
      </c>
      <c r="L874" t="s">
        <v>153</v>
      </c>
      <c r="N874" t="s">
        <v>179</v>
      </c>
      <c r="O874" t="s">
        <v>314</v>
      </c>
      <c r="P874">
        <v>0.0066006616607401352</v>
      </c>
      <c r="Q874" t="s">
        <v>153</v>
      </c>
    </row>
    <row r="875" spans="9:17" ht="14.25">
      <c r="I875" t="s">
        <v>169</v>
      </c>
      <c r="J875" t="s">
        <v>162</v>
      </c>
      <c r="K875">
        <v>0</v>
      </c>
      <c r="L875" t="s">
        <v>153</v>
      </c>
      <c r="N875" t="s">
        <v>179</v>
      </c>
      <c r="O875" t="s">
        <v>162</v>
      </c>
      <c r="P875">
        <v>0.019772460617705184</v>
      </c>
      <c r="Q875" t="s">
        <v>153</v>
      </c>
    </row>
    <row r="876" spans="9:17" ht="14.25">
      <c r="I876" t="s">
        <v>169</v>
      </c>
      <c r="J876" t="s">
        <v>163</v>
      </c>
      <c r="K876">
        <v>0</v>
      </c>
      <c r="L876" t="s">
        <v>153</v>
      </c>
      <c r="N876" t="s">
        <v>179</v>
      </c>
      <c r="O876" t="s">
        <v>163</v>
      </c>
      <c r="P876">
        <v>0.0030220535092524837</v>
      </c>
      <c r="Q876" t="s">
        <v>153</v>
      </c>
    </row>
    <row r="877" spans="9:17" ht="14.25">
      <c r="I877" t="s">
        <v>169</v>
      </c>
      <c r="J877" t="s">
        <v>164</v>
      </c>
      <c r="K877">
        <v>0.0029842887946847823</v>
      </c>
      <c r="L877" t="s">
        <v>153</v>
      </c>
      <c r="N877" t="s">
        <v>179</v>
      </c>
      <c r="O877" t="s">
        <v>164</v>
      </c>
      <c r="P877">
        <v>0.0027783061978156041</v>
      </c>
      <c r="Q877" t="s">
        <v>153</v>
      </c>
    </row>
    <row r="878" spans="9:17" ht="14.25">
      <c r="I878" t="s">
        <v>169</v>
      </c>
      <c r="J878" t="s">
        <v>206</v>
      </c>
      <c r="K878">
        <v>0.0050963034647340984</v>
      </c>
      <c r="L878" t="s">
        <v>153</v>
      </c>
      <c r="N878" t="s">
        <v>179</v>
      </c>
      <c r="O878" t="s">
        <v>206</v>
      </c>
      <c r="P878">
        <v>0.0022481162953880938</v>
      </c>
      <c r="Q878" t="s">
        <v>153</v>
      </c>
    </row>
    <row r="879" spans="9:17" ht="14.25">
      <c r="I879" t="s">
        <v>169</v>
      </c>
      <c r="J879" t="s">
        <v>207</v>
      </c>
      <c r="K879">
        <v>0.050867510830137165</v>
      </c>
      <c r="L879" t="s">
        <v>153</v>
      </c>
      <c r="N879" t="s">
        <v>179</v>
      </c>
      <c r="O879" t="s">
        <v>207</v>
      </c>
      <c r="P879">
        <v>0.028479762463459454</v>
      </c>
      <c r="Q879" t="s">
        <v>153</v>
      </c>
    </row>
    <row r="880" spans="9:17" ht="14.25">
      <c r="I880" t="s">
        <v>169</v>
      </c>
      <c r="J880" t="s">
        <v>221</v>
      </c>
      <c r="K880">
        <v>0.0060723653296763424</v>
      </c>
      <c r="L880" t="s">
        <v>153</v>
      </c>
      <c r="N880" t="s">
        <v>179</v>
      </c>
      <c r="O880" t="s">
        <v>221</v>
      </c>
      <c r="P880">
        <v>0.0045979998225031049</v>
      </c>
      <c r="Q880" t="s">
        <v>153</v>
      </c>
    </row>
    <row r="881" spans="9:17" ht="14.25">
      <c r="I881" t="s">
        <v>169</v>
      </c>
      <c r="J881" t="s">
        <v>315</v>
      </c>
      <c r="K881">
        <v>0.0037895514104748147</v>
      </c>
      <c r="L881" t="s">
        <v>153</v>
      </c>
      <c r="N881" t="s">
        <v>179</v>
      </c>
      <c r="O881" t="s">
        <v>315</v>
      </c>
      <c r="P881">
        <v>0.0045578103668130338</v>
      </c>
      <c r="Q881" t="s">
        <v>153</v>
      </c>
    </row>
    <row r="882" spans="9:17" ht="14.25">
      <c r="I882" t="s">
        <v>169</v>
      </c>
      <c r="J882" t="s">
        <v>316</v>
      </c>
      <c r="K882">
        <v>0</v>
      </c>
      <c r="L882" t="s">
        <v>153</v>
      </c>
      <c r="N882" t="s">
        <v>179</v>
      </c>
      <c r="O882" t="s">
        <v>316</v>
      </c>
      <c r="P882">
        <v>0.019339798865821572</v>
      </c>
      <c r="Q882" t="s">
        <v>153</v>
      </c>
    </row>
    <row r="883" spans="9:17" ht="14.25">
      <c r="I883" t="s">
        <v>169</v>
      </c>
      <c r="J883" t="s">
        <v>208</v>
      </c>
      <c r="K883">
        <v>0</v>
      </c>
      <c r="L883" t="s">
        <v>153</v>
      </c>
      <c r="N883" t="s">
        <v>179</v>
      </c>
      <c r="O883" t="s">
        <v>208</v>
      </c>
      <c r="P883">
        <v>0.001840864949016179</v>
      </c>
      <c r="Q883" t="s">
        <v>153</v>
      </c>
    </row>
    <row r="884" spans="9:17" ht="14.25">
      <c r="I884" t="s">
        <v>169</v>
      </c>
      <c r="J884" t="s">
        <v>209</v>
      </c>
      <c r="K884">
        <v>0</v>
      </c>
      <c r="L884" t="s">
        <v>153</v>
      </c>
      <c r="N884" t="s">
        <v>179</v>
      </c>
      <c r="O884" t="s">
        <v>209</v>
      </c>
      <c r="P884">
        <v>0.0002911726107037492</v>
      </c>
      <c r="Q884" t="s">
        <v>153</v>
      </c>
    </row>
    <row r="885" spans="9:17" ht="14.25">
      <c r="I885" t="s">
        <v>169</v>
      </c>
      <c r="J885" t="s">
        <v>210</v>
      </c>
      <c r="K885">
        <v>0.00089263061290191308</v>
      </c>
      <c r="L885" t="s">
        <v>153</v>
      </c>
      <c r="N885" t="s">
        <v>179</v>
      </c>
      <c r="O885" t="s">
        <v>210</v>
      </c>
      <c r="P885">
        <v>0.00028353791730884368</v>
      </c>
      <c r="Q885" t="s">
        <v>153</v>
      </c>
    </row>
    <row r="886" spans="9:17" ht="14.25">
      <c r="I886" t="s">
        <v>169</v>
      </c>
      <c r="J886" t="s">
        <v>211</v>
      </c>
      <c r="K886">
        <v>0.0015405908451501665</v>
      </c>
      <c r="L886" t="s">
        <v>153</v>
      </c>
      <c r="N886" t="s">
        <v>179</v>
      </c>
      <c r="O886" t="s">
        <v>211</v>
      </c>
      <c r="P886">
        <v>0.00020750162852096861</v>
      </c>
      <c r="Q886" t="s">
        <v>153</v>
      </c>
    </row>
    <row r="887" spans="9:17" ht="14.25">
      <c r="I887" t="s">
        <v>169</v>
      </c>
      <c r="J887" t="s">
        <v>212</v>
      </c>
      <c r="K887">
        <v>0.015154237021525433</v>
      </c>
      <c r="L887" t="s">
        <v>153</v>
      </c>
      <c r="N887" t="s">
        <v>179</v>
      </c>
      <c r="O887" t="s">
        <v>212</v>
      </c>
      <c r="P887">
        <v>0.0011916774695384744</v>
      </c>
      <c r="Q887" t="s">
        <v>153</v>
      </c>
    </row>
    <row r="888" spans="9:17" ht="14.25">
      <c r="I888" t="s">
        <v>169</v>
      </c>
      <c r="J888" t="s">
        <v>222</v>
      </c>
      <c r="K888">
        <v>0.0018162640248375224</v>
      </c>
      <c r="L888" t="s">
        <v>153</v>
      </c>
      <c r="N888" t="s">
        <v>179</v>
      </c>
      <c r="O888" t="s">
        <v>222</v>
      </c>
      <c r="P888">
        <v>0.00040157734416102159</v>
      </c>
      <c r="Q888" t="s">
        <v>153</v>
      </c>
    </row>
    <row r="889" spans="9:17" ht="14.25">
      <c r="I889" t="s">
        <v>169</v>
      </c>
      <c r="J889" t="s">
        <v>317</v>
      </c>
      <c r="K889">
        <v>0.0011375171743068782</v>
      </c>
      <c r="L889" t="s">
        <v>153</v>
      </c>
      <c r="N889" t="s">
        <v>179</v>
      </c>
      <c r="O889" t="s">
        <v>317</v>
      </c>
      <c r="P889">
        <v>0.00051505054188655513</v>
      </c>
      <c r="Q889" t="s">
        <v>153</v>
      </c>
    </row>
    <row r="890" spans="9:17" ht="14.25">
      <c r="I890" t="s">
        <v>169</v>
      </c>
      <c r="J890" t="s">
        <v>318</v>
      </c>
      <c r="K890">
        <v>0</v>
      </c>
      <c r="L890" t="s">
        <v>153</v>
      </c>
      <c r="N890" t="s">
        <v>179</v>
      </c>
      <c r="O890" t="s">
        <v>318</v>
      </c>
      <c r="P890">
        <v>0.0020861628386252442</v>
      </c>
      <c r="Q890" t="s">
        <v>153</v>
      </c>
    </row>
    <row r="891" spans="9:17" ht="14.25">
      <c r="I891" t="s">
        <v>169</v>
      </c>
      <c r="J891" t="s">
        <v>223</v>
      </c>
      <c r="K891">
        <v>0</v>
      </c>
      <c r="L891" t="s">
        <v>153</v>
      </c>
      <c r="N891" t="s">
        <v>179</v>
      </c>
      <c r="O891" t="s">
        <v>223</v>
      </c>
      <c r="P891">
        <v>0.004556005483160209</v>
      </c>
      <c r="Q891" t="s">
        <v>153</v>
      </c>
    </row>
    <row r="892" spans="9:17" ht="14.25">
      <c r="I892" t="s">
        <v>169</v>
      </c>
      <c r="J892" t="s">
        <v>224</v>
      </c>
      <c r="K892">
        <v>0</v>
      </c>
      <c r="L892" t="s">
        <v>153</v>
      </c>
      <c r="N892" t="s">
        <v>179</v>
      </c>
      <c r="O892" t="s">
        <v>224</v>
      </c>
      <c r="P892">
        <v>0.00083479978765824939</v>
      </c>
      <c r="Q892" t="s">
        <v>153</v>
      </c>
    </row>
    <row r="893" spans="9:17" ht="14.25">
      <c r="I893" t="s">
        <v>169</v>
      </c>
      <c r="J893" t="s">
        <v>225</v>
      </c>
      <c r="K893">
        <v>0.0013451183755408313</v>
      </c>
      <c r="L893" t="s">
        <v>153</v>
      </c>
      <c r="N893" t="s">
        <v>179</v>
      </c>
      <c r="O893" t="s">
        <v>225</v>
      </c>
      <c r="P893">
        <v>0.00076308724431984731</v>
      </c>
      <c r="Q893" t="s">
        <v>153</v>
      </c>
    </row>
    <row r="894" spans="9:17" ht="14.25">
      <c r="I894" t="s">
        <v>169</v>
      </c>
      <c r="J894" t="s">
        <v>226</v>
      </c>
      <c r="K894">
        <v>0.0021047597649028037</v>
      </c>
      <c r="L894" t="s">
        <v>153</v>
      </c>
      <c r="N894" t="s">
        <v>179</v>
      </c>
      <c r="O894" t="s">
        <v>226</v>
      </c>
      <c r="P894">
        <v>0.00092284432897820994</v>
      </c>
      <c r="Q894" t="s">
        <v>153</v>
      </c>
    </row>
    <row r="895" spans="9:17" ht="14.25">
      <c r="I895" t="s">
        <v>169</v>
      </c>
      <c r="J895" t="s">
        <v>227</v>
      </c>
      <c r="K895">
        <v>0.017474692371939233</v>
      </c>
      <c r="L895" t="s">
        <v>153</v>
      </c>
      <c r="N895" t="s">
        <v>179</v>
      </c>
      <c r="O895" t="s">
        <v>227</v>
      </c>
      <c r="P895">
        <v>0.012600556058545927</v>
      </c>
      <c r="Q895" t="s">
        <v>153</v>
      </c>
    </row>
    <row r="896" spans="9:17" ht="14.25">
      <c r="I896" t="s">
        <v>169</v>
      </c>
      <c r="J896" t="s">
        <v>228</v>
      </c>
      <c r="K896">
        <v>0.0019112927523885644</v>
      </c>
      <c r="L896" t="s">
        <v>153</v>
      </c>
      <c r="N896" t="s">
        <v>179</v>
      </c>
      <c r="O896" t="s">
        <v>228</v>
      </c>
      <c r="P896">
        <v>0.001971605690864959</v>
      </c>
      <c r="Q896" t="s">
        <v>153</v>
      </c>
    </row>
    <row r="897" spans="9:17" ht="14.25">
      <c r="I897" t="s">
        <v>169</v>
      </c>
      <c r="J897" t="s">
        <v>319</v>
      </c>
      <c r="K897">
        <v>0.0012232572273317562</v>
      </c>
      <c r="L897" t="s">
        <v>153</v>
      </c>
      <c r="N897" t="s">
        <v>179</v>
      </c>
      <c r="O897" t="s">
        <v>319</v>
      </c>
      <c r="P897">
        <v>0.0017685929878620021</v>
      </c>
      <c r="Q897" t="s">
        <v>153</v>
      </c>
    </row>
    <row r="898" spans="9:17" ht="14.25">
      <c r="I898" t="s">
        <v>169</v>
      </c>
      <c r="J898" t="s">
        <v>320</v>
      </c>
      <c r="K898">
        <v>0</v>
      </c>
      <c r="L898" t="s">
        <v>153</v>
      </c>
      <c r="N898" t="s">
        <v>179</v>
      </c>
      <c r="O898" t="s">
        <v>320</v>
      </c>
      <c r="P898">
        <v>0.0069263916826547093</v>
      </c>
      <c r="Q898" t="s">
        <v>153</v>
      </c>
    </row>
    <row r="899" spans="9:17" ht="14.25">
      <c r="I899" t="s">
        <v>169</v>
      </c>
      <c r="J899" t="s">
        <v>235</v>
      </c>
      <c r="K899">
        <v>0</v>
      </c>
      <c r="L899" t="s">
        <v>153</v>
      </c>
      <c r="N899" t="s">
        <v>179</v>
      </c>
      <c r="O899" t="s">
        <v>235</v>
      </c>
      <c r="P899">
        <v>0.00020125779997640336</v>
      </c>
      <c r="Q899" t="s">
        <v>153</v>
      </c>
    </row>
    <row r="900" spans="9:17" ht="14.25">
      <c r="I900" t="s">
        <v>169</v>
      </c>
      <c r="J900" t="s">
        <v>236</v>
      </c>
      <c r="K900">
        <v>0</v>
      </c>
      <c r="L900" t="s">
        <v>153</v>
      </c>
      <c r="N900" t="s">
        <v>179</v>
      </c>
      <c r="O900" t="s">
        <v>236</v>
      </c>
      <c r="P900">
        <v>0.00019114877587048852</v>
      </c>
      <c r="Q900" t="s">
        <v>153</v>
      </c>
    </row>
    <row r="901" spans="9:17" ht="14.25">
      <c r="I901" t="s">
        <v>169</v>
      </c>
      <c r="J901" t="s">
        <v>237</v>
      </c>
      <c r="K901">
        <v>0.001062729290627129</v>
      </c>
      <c r="L901" t="s">
        <v>153</v>
      </c>
      <c r="N901" t="s">
        <v>179</v>
      </c>
      <c r="O901" t="s">
        <v>237</v>
      </c>
      <c r="P901">
        <v>0.00024910964966051225</v>
      </c>
      <c r="Q901" t="s">
        <v>153</v>
      </c>
    </row>
    <row r="902" spans="9:17" ht="14.25">
      <c r="I902" t="s">
        <v>169</v>
      </c>
      <c r="J902" t="s">
        <v>238</v>
      </c>
      <c r="K902">
        <v>0.0016652763592569318</v>
      </c>
      <c r="L902" t="s">
        <v>153</v>
      </c>
      <c r="N902" t="s">
        <v>179</v>
      </c>
      <c r="O902" t="s">
        <v>238</v>
      </c>
      <c r="P902">
        <v>0.00022221505140448817</v>
      </c>
      <c r="Q902" t="s">
        <v>153</v>
      </c>
    </row>
    <row r="903" spans="9:17" ht="14.25">
      <c r="I903" t="s">
        <v>169</v>
      </c>
      <c r="J903" t="s">
        <v>239</v>
      </c>
      <c r="K903">
        <v>0.015246774503260667</v>
      </c>
      <c r="L903" t="s">
        <v>153</v>
      </c>
      <c r="N903" t="s">
        <v>179</v>
      </c>
      <c r="O903" t="s">
        <v>239</v>
      </c>
      <c r="P903">
        <v>0.0011997644057314262</v>
      </c>
      <c r="Q903" t="s">
        <v>153</v>
      </c>
    </row>
    <row r="904" spans="9:17" ht="14.25">
      <c r="I904" t="s">
        <v>169</v>
      </c>
      <c r="J904" t="s">
        <v>240</v>
      </c>
      <c r="K904">
        <v>0.0017682085466668993</v>
      </c>
      <c r="L904" t="s">
        <v>153</v>
      </c>
      <c r="N904" t="s">
        <v>179</v>
      </c>
      <c r="O904" t="s">
        <v>240</v>
      </c>
      <c r="P904">
        <v>0.0002701407148969712</v>
      </c>
      <c r="Q904" t="s">
        <v>153</v>
      </c>
    </row>
    <row r="905" spans="9:17" ht="14.25">
      <c r="I905" t="s">
        <v>169</v>
      </c>
      <c r="J905" t="s">
        <v>321</v>
      </c>
      <c r="K905">
        <v>0.0011377164422990175</v>
      </c>
      <c r="L905" t="s">
        <v>153</v>
      </c>
      <c r="N905" t="s">
        <v>179</v>
      </c>
      <c r="O905" t="s">
        <v>321</v>
      </c>
      <c r="P905">
        <v>0.00024368026358188632</v>
      </c>
      <c r="Q905" t="s">
        <v>153</v>
      </c>
    </row>
    <row r="906" spans="9:17" ht="14.25">
      <c r="I906" t="s">
        <v>169</v>
      </c>
      <c r="J906" t="s">
        <v>322</v>
      </c>
      <c r="K906">
        <v>0</v>
      </c>
      <c r="L906" t="s">
        <v>153</v>
      </c>
      <c r="N906" t="s">
        <v>179</v>
      </c>
      <c r="O906" t="s">
        <v>322</v>
      </c>
      <c r="P906">
        <v>0.00054427117748333395</v>
      </c>
      <c r="Q906" t="s">
        <v>153</v>
      </c>
    </row>
    <row r="907" spans="9:17" ht="14.25">
      <c r="I907" t="s">
        <v>169</v>
      </c>
      <c r="J907" t="s">
        <v>241</v>
      </c>
      <c r="K907">
        <v>0</v>
      </c>
      <c r="L907" t="s">
        <v>153</v>
      </c>
      <c r="N907" t="s">
        <v>179</v>
      </c>
      <c r="O907" t="s">
        <v>241</v>
      </c>
      <c r="P907">
        <v>0.001224008462204594</v>
      </c>
      <c r="Q907" t="s">
        <v>153</v>
      </c>
    </row>
    <row r="908" spans="9:17" ht="14.25">
      <c r="I908" t="s">
        <v>169</v>
      </c>
      <c r="J908" t="s">
        <v>242</v>
      </c>
      <c r="K908">
        <v>0.00013867052753331643</v>
      </c>
      <c r="L908" t="s">
        <v>153</v>
      </c>
      <c r="N908" t="s">
        <v>179</v>
      </c>
      <c r="O908" t="s">
        <v>242</v>
      </c>
      <c r="P908">
        <v>0.00013089057458434803</v>
      </c>
      <c r="Q908" t="s">
        <v>153</v>
      </c>
    </row>
    <row r="909" spans="9:17" ht="14.25">
      <c r="I909" t="s">
        <v>169</v>
      </c>
      <c r="J909" t="s">
        <v>243</v>
      </c>
      <c r="K909">
        <v>0.00048495447098507511</v>
      </c>
      <c r="L909" t="s">
        <v>153</v>
      </c>
      <c r="N909" t="s">
        <v>179</v>
      </c>
      <c r="O909" t="s">
        <v>243</v>
      </c>
      <c r="P909">
        <v>0.00015410053897467298</v>
      </c>
      <c r="Q909" t="s">
        <v>153</v>
      </c>
    </row>
    <row r="910" spans="9:17" ht="14.25">
      <c r="I910" t="s">
        <v>169</v>
      </c>
      <c r="J910" t="s">
        <v>244</v>
      </c>
      <c r="K910">
        <v>0.00082516412435455419</v>
      </c>
      <c r="L910" t="s">
        <v>153</v>
      </c>
      <c r="N910" t="s">
        <v>179</v>
      </c>
      <c r="O910" t="s">
        <v>244</v>
      </c>
      <c r="P910">
        <v>0.00052714008480953271</v>
      </c>
      <c r="Q910" t="s">
        <v>153</v>
      </c>
    </row>
    <row r="911" spans="9:17" ht="14.25">
      <c r="I911" t="s">
        <v>169</v>
      </c>
      <c r="J911" t="s">
        <v>245</v>
      </c>
      <c r="K911">
        <v>0.0081831249862707508</v>
      </c>
      <c r="L911" t="s">
        <v>153</v>
      </c>
      <c r="N911" t="s">
        <v>179</v>
      </c>
      <c r="O911" t="s">
        <v>245</v>
      </c>
      <c r="P911">
        <v>0.012471388700429794</v>
      </c>
      <c r="Q911" t="s">
        <v>153</v>
      </c>
    </row>
    <row r="912" spans="9:17" ht="14.25">
      <c r="I912" t="s">
        <v>169</v>
      </c>
      <c r="J912" t="s">
        <v>246</v>
      </c>
      <c r="K912">
        <v>0.00077756599104055097</v>
      </c>
      <c r="L912" t="s">
        <v>153</v>
      </c>
      <c r="N912" t="s">
        <v>179</v>
      </c>
      <c r="O912" t="s">
        <v>246</v>
      </c>
      <c r="P912">
        <v>0.00177727921196804</v>
      </c>
      <c r="Q912" t="s">
        <v>153</v>
      </c>
    </row>
    <row r="913" spans="9:17" ht="14.25">
      <c r="I913" t="s">
        <v>169</v>
      </c>
      <c r="J913" t="s">
        <v>323</v>
      </c>
      <c r="K913">
        <v>0.00043972648205644721</v>
      </c>
      <c r="L913" t="s">
        <v>153</v>
      </c>
      <c r="N913" t="s">
        <v>179</v>
      </c>
      <c r="O913" t="s">
        <v>323</v>
      </c>
      <c r="P913">
        <v>0.0016716061011627348</v>
      </c>
      <c r="Q913" t="s">
        <v>153</v>
      </c>
    </row>
    <row r="914" spans="9:17" ht="14.25">
      <c r="I914" t="s">
        <v>169</v>
      </c>
      <c r="J914" t="s">
        <v>324</v>
      </c>
      <c r="K914">
        <v>0</v>
      </c>
      <c r="L914" t="s">
        <v>153</v>
      </c>
      <c r="N914" t="s">
        <v>179</v>
      </c>
      <c r="O914" t="s">
        <v>324</v>
      </c>
      <c r="P914">
        <v>0.0035697821653888485</v>
      </c>
      <c r="Q914" t="s">
        <v>153</v>
      </c>
    </row>
    <row r="915" spans="9:17" ht="14.25">
      <c r="I915" t="s">
        <v>169</v>
      </c>
      <c r="J915" t="s">
        <v>247</v>
      </c>
      <c r="K915">
        <v>0</v>
      </c>
      <c r="L915" t="s">
        <v>153</v>
      </c>
      <c r="N915" t="s">
        <v>179</v>
      </c>
      <c r="O915" t="s">
        <v>247</v>
      </c>
      <c r="P915">
        <v>0.0043823676413220708</v>
      </c>
      <c r="Q915" t="s">
        <v>153</v>
      </c>
    </row>
    <row r="916" spans="9:17" ht="14.25">
      <c r="I916" t="s">
        <v>169</v>
      </c>
      <c r="J916" t="s">
        <v>248</v>
      </c>
      <c r="K916">
        <v>0.0011118043235831818</v>
      </c>
      <c r="L916" t="s">
        <v>153</v>
      </c>
      <c r="N916" t="s">
        <v>179</v>
      </c>
      <c r="O916" t="s">
        <v>248</v>
      </c>
      <c r="P916">
        <v>0.00090712021951391028</v>
      </c>
      <c r="Q916" t="s">
        <v>153</v>
      </c>
    </row>
    <row r="917" spans="9:17" ht="14.25">
      <c r="I917" t="s">
        <v>169</v>
      </c>
      <c r="J917" t="s">
        <v>249</v>
      </c>
      <c r="K917">
        <v>0.00231897229154032</v>
      </c>
      <c r="L917" t="s">
        <v>153</v>
      </c>
      <c r="N917" t="s">
        <v>179</v>
      </c>
      <c r="O917" t="s">
        <v>249</v>
      </c>
      <c r="P917">
        <v>0.00070284144942816206</v>
      </c>
      <c r="Q917" t="s">
        <v>153</v>
      </c>
    </row>
    <row r="918" spans="9:17" ht="14.25">
      <c r="I918" t="s">
        <v>169</v>
      </c>
      <c r="J918" t="s">
        <v>250</v>
      </c>
      <c r="K918">
        <v>0.0031722368544008679</v>
      </c>
      <c r="L918" t="s">
        <v>153</v>
      </c>
      <c r="N918" t="s">
        <v>179</v>
      </c>
      <c r="O918" t="s">
        <v>250</v>
      </c>
      <c r="P918">
        <v>0.00086212528285305341</v>
      </c>
      <c r="Q918" t="s">
        <v>153</v>
      </c>
    </row>
    <row r="919" spans="9:17" ht="14.25">
      <c r="I919" t="s">
        <v>169</v>
      </c>
      <c r="J919" t="s">
        <v>251</v>
      </c>
      <c r="K919">
        <v>0.026937352909853319</v>
      </c>
      <c r="L919" t="s">
        <v>153</v>
      </c>
      <c r="N919" t="s">
        <v>179</v>
      </c>
      <c r="O919" t="s">
        <v>251</v>
      </c>
      <c r="P919">
        <v>0.011591880333563705</v>
      </c>
      <c r="Q919" t="s">
        <v>153</v>
      </c>
    </row>
    <row r="920" spans="9:17" ht="14.25">
      <c r="I920" t="s">
        <v>169</v>
      </c>
      <c r="J920" t="s">
        <v>252</v>
      </c>
      <c r="K920">
        <v>0.0029546115966994232</v>
      </c>
      <c r="L920" t="s">
        <v>153</v>
      </c>
      <c r="N920" t="s">
        <v>179</v>
      </c>
      <c r="O920" t="s">
        <v>252</v>
      </c>
      <c r="P920">
        <v>0.0022898300579869257</v>
      </c>
      <c r="Q920" t="s">
        <v>153</v>
      </c>
    </row>
    <row r="921" spans="9:17" ht="14.25">
      <c r="I921" t="s">
        <v>169</v>
      </c>
      <c r="J921" t="s">
        <v>325</v>
      </c>
      <c r="K921">
        <v>0.0019601043934224954</v>
      </c>
      <c r="L921" t="s">
        <v>153</v>
      </c>
      <c r="N921" t="s">
        <v>179</v>
      </c>
      <c r="O921" t="s">
        <v>325</v>
      </c>
      <c r="P921">
        <v>0.0027471760337905637</v>
      </c>
      <c r="Q921" t="s">
        <v>153</v>
      </c>
    </row>
    <row r="922" spans="9:17" ht="14.25">
      <c r="I922" t="s">
        <v>169</v>
      </c>
      <c r="J922" t="s">
        <v>326</v>
      </c>
      <c r="K922">
        <v>0.00012653186260181993</v>
      </c>
      <c r="L922" t="s">
        <v>153</v>
      </c>
      <c r="N922" t="s">
        <v>179</v>
      </c>
      <c r="O922" t="s">
        <v>326</v>
      </c>
      <c r="P922">
        <v>0.0073138629617159161</v>
      </c>
      <c r="Q922" t="s">
        <v>153</v>
      </c>
    </row>
    <row r="923" spans="9:17" ht="14.25">
      <c r="I923" t="s">
        <v>169</v>
      </c>
      <c r="J923" t="s">
        <v>262</v>
      </c>
      <c r="K923">
        <v>0</v>
      </c>
      <c r="L923" t="s">
        <v>153</v>
      </c>
      <c r="N923" t="s">
        <v>179</v>
      </c>
      <c r="O923" t="s">
        <v>262</v>
      </c>
      <c r="P923">
        <v>0.0071583300469346212</v>
      </c>
      <c r="Q923" t="s">
        <v>153</v>
      </c>
    </row>
    <row r="924" spans="9:17" ht="14.25">
      <c r="I924" t="s">
        <v>169</v>
      </c>
      <c r="J924" t="s">
        <v>263</v>
      </c>
      <c r="K924">
        <v>0.0019183565384579175</v>
      </c>
      <c r="L924" t="s">
        <v>153</v>
      </c>
      <c r="N924" t="s">
        <v>179</v>
      </c>
      <c r="O924" t="s">
        <v>263</v>
      </c>
      <c r="P924">
        <v>0.0011813167465602303</v>
      </c>
      <c r="Q924" t="s">
        <v>153</v>
      </c>
    </row>
    <row r="925" spans="9:17" ht="14.25">
      <c r="I925" t="s">
        <v>169</v>
      </c>
      <c r="J925" t="s">
        <v>264</v>
      </c>
      <c r="K925">
        <v>0.0037556506116015621</v>
      </c>
      <c r="L925" t="s">
        <v>153</v>
      </c>
      <c r="N925" t="s">
        <v>179</v>
      </c>
      <c r="O925" t="s">
        <v>264</v>
      </c>
      <c r="P925">
        <v>0.0010808461763951028</v>
      </c>
      <c r="Q925" t="s">
        <v>153</v>
      </c>
    </row>
    <row r="926" spans="9:17" ht="14.25">
      <c r="I926" t="s">
        <v>169</v>
      </c>
      <c r="J926" t="s">
        <v>265</v>
      </c>
      <c r="K926">
        <v>0.0048101230999007087</v>
      </c>
      <c r="L926" t="s">
        <v>153</v>
      </c>
      <c r="N926" t="s">
        <v>179</v>
      </c>
      <c r="O926" t="s">
        <v>265</v>
      </c>
      <c r="P926">
        <v>0.0015162864551589916</v>
      </c>
      <c r="Q926" t="s">
        <v>153</v>
      </c>
    </row>
    <row r="927" spans="9:17" ht="14.25">
      <c r="I927" t="s">
        <v>169</v>
      </c>
      <c r="J927" t="s">
        <v>266</v>
      </c>
      <c r="K927">
        <v>0.039739934524519231</v>
      </c>
      <c r="L927" t="s">
        <v>153</v>
      </c>
      <c r="N927" t="s">
        <v>179</v>
      </c>
      <c r="O927" t="s">
        <v>266</v>
      </c>
      <c r="P927">
        <v>0.029372495569002104</v>
      </c>
      <c r="Q927" t="s">
        <v>153</v>
      </c>
    </row>
    <row r="928" spans="9:17" ht="14.25">
      <c r="I928" t="s">
        <v>169</v>
      </c>
      <c r="J928" t="s">
        <v>267</v>
      </c>
      <c r="K928">
        <v>0.0044807158175620134</v>
      </c>
      <c r="L928" t="s">
        <v>153</v>
      </c>
      <c r="N928" t="s">
        <v>179</v>
      </c>
      <c r="O928" t="s">
        <v>267</v>
      </c>
      <c r="P928">
        <v>0.0050344270316452101</v>
      </c>
      <c r="Q928" t="s">
        <v>153</v>
      </c>
    </row>
    <row r="929" spans="9:17" ht="14.25">
      <c r="I929" t="s">
        <v>169</v>
      </c>
      <c r="J929" t="s">
        <v>327</v>
      </c>
      <c r="K929">
        <v>0.0030847029027806215</v>
      </c>
      <c r="L929" t="s">
        <v>153</v>
      </c>
      <c r="N929" t="s">
        <v>179</v>
      </c>
      <c r="O929" t="s">
        <v>327</v>
      </c>
      <c r="P929">
        <v>0.004694825384373681</v>
      </c>
      <c r="Q929" t="s">
        <v>153</v>
      </c>
    </row>
    <row r="930" spans="9:17" ht="14.25">
      <c r="I930" t="s">
        <v>169</v>
      </c>
      <c r="J930" t="s">
        <v>328</v>
      </c>
      <c r="K930">
        <v>0.0014883525364125991</v>
      </c>
      <c r="L930" t="s">
        <v>153</v>
      </c>
      <c r="N930" t="s">
        <v>179</v>
      </c>
      <c r="O930" t="s">
        <v>328</v>
      </c>
      <c r="P930">
        <v>0.010287391983703447</v>
      </c>
      <c r="Q930" t="s">
        <v>153</v>
      </c>
    </row>
    <row r="931" spans="9:17" ht="14.25">
      <c r="I931" t="s">
        <v>169</v>
      </c>
      <c r="J931" t="s">
        <v>268</v>
      </c>
      <c r="K931">
        <v>0</v>
      </c>
      <c r="L931" t="s">
        <v>153</v>
      </c>
      <c r="N931" t="s">
        <v>179</v>
      </c>
      <c r="O931" t="s">
        <v>268</v>
      </c>
      <c r="P931">
        <v>0.011332400598063379</v>
      </c>
      <c r="Q931" t="s">
        <v>153</v>
      </c>
    </row>
    <row r="932" spans="9:17" ht="14.25">
      <c r="I932" t="s">
        <v>169</v>
      </c>
      <c r="J932" t="s">
        <v>269</v>
      </c>
      <c r="K932">
        <v>0.002158097361918322</v>
      </c>
      <c r="L932" t="s">
        <v>153</v>
      </c>
      <c r="N932" t="s">
        <v>179</v>
      </c>
      <c r="O932" t="s">
        <v>269</v>
      </c>
      <c r="P932">
        <v>0.0015744422876351868</v>
      </c>
      <c r="Q932" t="s">
        <v>153</v>
      </c>
    </row>
    <row r="933" spans="9:17" ht="14.25">
      <c r="I933" t="s">
        <v>169</v>
      </c>
      <c r="J933" t="s">
        <v>270</v>
      </c>
      <c r="K933">
        <v>0.0038457419606304374</v>
      </c>
      <c r="L933" t="s">
        <v>153</v>
      </c>
      <c r="N933" t="s">
        <v>179</v>
      </c>
      <c r="O933" t="s">
        <v>270</v>
      </c>
      <c r="P933">
        <v>0.0011781472269859019</v>
      </c>
      <c r="Q933" t="s">
        <v>153</v>
      </c>
    </row>
    <row r="934" spans="9:17" ht="14.25">
      <c r="I934" t="s">
        <v>169</v>
      </c>
      <c r="J934" t="s">
        <v>271</v>
      </c>
      <c r="K934">
        <v>0.0049728981307535346</v>
      </c>
      <c r="L934" t="s">
        <v>153</v>
      </c>
      <c r="N934" t="s">
        <v>179</v>
      </c>
      <c r="O934" t="s">
        <v>271</v>
      </c>
      <c r="P934">
        <v>0.0022315211655410281</v>
      </c>
      <c r="Q934" t="s">
        <v>153</v>
      </c>
    </row>
    <row r="935" spans="9:17" ht="14.25">
      <c r="I935" t="s">
        <v>169</v>
      </c>
      <c r="J935" t="s">
        <v>272</v>
      </c>
      <c r="K935">
        <v>0.038690310897834618</v>
      </c>
      <c r="L935" t="s">
        <v>153</v>
      </c>
      <c r="N935" t="s">
        <v>179</v>
      </c>
      <c r="O935" t="s">
        <v>272</v>
      </c>
      <c r="P935">
        <v>0.057663049457784221</v>
      </c>
      <c r="Q935" t="s">
        <v>153</v>
      </c>
    </row>
    <row r="936" spans="9:17" ht="14.25">
      <c r="I936" t="s">
        <v>169</v>
      </c>
      <c r="J936" t="s">
        <v>273</v>
      </c>
      <c r="K936">
        <v>0.0038124480958591834</v>
      </c>
      <c r="L936" t="s">
        <v>153</v>
      </c>
      <c r="N936" t="s">
        <v>179</v>
      </c>
      <c r="O936" t="s">
        <v>273</v>
      </c>
      <c r="P936">
        <v>0.0091249475017786338</v>
      </c>
      <c r="Q936" t="s">
        <v>153</v>
      </c>
    </row>
    <row r="937" spans="9:17" ht="14.25">
      <c r="I937" t="s">
        <v>169</v>
      </c>
      <c r="J937" t="s">
        <v>329</v>
      </c>
      <c r="K937">
        <v>0.0027059888945954323</v>
      </c>
      <c r="L937" t="s">
        <v>153</v>
      </c>
      <c r="N937" t="s">
        <v>179</v>
      </c>
      <c r="O937" t="s">
        <v>329</v>
      </c>
      <c r="P937">
        <v>0.0076137088789147867</v>
      </c>
      <c r="Q937" t="s">
        <v>153</v>
      </c>
    </row>
    <row r="938" spans="9:17" ht="14.25">
      <c r="I938" t="s">
        <v>169</v>
      </c>
      <c r="J938" t="s">
        <v>330</v>
      </c>
      <c r="K938">
        <v>0.0011647210073542752</v>
      </c>
      <c r="L938" t="s">
        <v>153</v>
      </c>
      <c r="N938" t="s">
        <v>179</v>
      </c>
      <c r="O938" t="s">
        <v>330</v>
      </c>
      <c r="P938">
        <v>0.016017714874271585</v>
      </c>
      <c r="Q938" t="s">
        <v>153</v>
      </c>
    </row>
    <row r="939" spans="9:17" ht="14.25">
      <c r="I939" t="s">
        <v>169</v>
      </c>
      <c r="J939" t="s">
        <v>274</v>
      </c>
      <c r="K939">
        <v>0</v>
      </c>
      <c r="L939" t="s">
        <v>153</v>
      </c>
      <c r="N939" t="s">
        <v>179</v>
      </c>
      <c r="O939" t="s">
        <v>274</v>
      </c>
      <c r="P939">
        <v>0.0053865771727652735</v>
      </c>
      <c r="Q939" t="s">
        <v>153</v>
      </c>
    </row>
    <row r="940" spans="9:17" ht="14.25">
      <c r="I940" t="s">
        <v>169</v>
      </c>
      <c r="J940" t="s">
        <v>275</v>
      </c>
      <c r="K940">
        <v>0.00086526561528537543</v>
      </c>
      <c r="L940" t="s">
        <v>153</v>
      </c>
      <c r="N940" t="s">
        <v>179</v>
      </c>
      <c r="O940" t="s">
        <v>275</v>
      </c>
      <c r="P940">
        <v>0.00089723746254563249</v>
      </c>
      <c r="Q940" t="s">
        <v>153</v>
      </c>
    </row>
    <row r="941" spans="9:17" ht="14.25">
      <c r="I941" t="s">
        <v>169</v>
      </c>
      <c r="J941" t="s">
        <v>276</v>
      </c>
      <c r="K941">
        <v>0.0014839207834563832</v>
      </c>
      <c r="L941" t="s">
        <v>153</v>
      </c>
      <c r="N941" t="s">
        <v>179</v>
      </c>
      <c r="O941" t="s">
        <v>276</v>
      </c>
      <c r="P941">
        <v>0.00091005674327717799</v>
      </c>
      <c r="Q941" t="s">
        <v>153</v>
      </c>
    </row>
    <row r="942" spans="9:17" ht="14.25">
      <c r="I942" t="s">
        <v>169</v>
      </c>
      <c r="J942" t="s">
        <v>277</v>
      </c>
      <c r="K942">
        <v>0.00183740239931296</v>
      </c>
      <c r="L942" t="s">
        <v>153</v>
      </c>
      <c r="N942" t="s">
        <v>179</v>
      </c>
      <c r="O942" t="s">
        <v>277</v>
      </c>
      <c r="P942">
        <v>0.0015498514068052979</v>
      </c>
      <c r="Q942" t="s">
        <v>153</v>
      </c>
    </row>
    <row r="943" spans="9:17" ht="14.25">
      <c r="I943" t="s">
        <v>169</v>
      </c>
      <c r="J943" t="s">
        <v>278</v>
      </c>
      <c r="K943">
        <v>0.015132021537073177</v>
      </c>
      <c r="L943" t="s">
        <v>153</v>
      </c>
      <c r="N943" t="s">
        <v>179</v>
      </c>
      <c r="O943" t="s">
        <v>278</v>
      </c>
      <c r="P943">
        <v>0.01847248339482303</v>
      </c>
      <c r="Q943" t="s">
        <v>153</v>
      </c>
    </row>
    <row r="944" spans="9:17" ht="14.25">
      <c r="I944" t="s">
        <v>169</v>
      </c>
      <c r="J944" t="s">
        <v>279</v>
      </c>
      <c r="K944">
        <v>0.0016693342990448383</v>
      </c>
      <c r="L944" t="s">
        <v>153</v>
      </c>
      <c r="N944" t="s">
        <v>179</v>
      </c>
      <c r="O944" t="s">
        <v>279</v>
      </c>
      <c r="P944">
        <v>0.0034368575131089952</v>
      </c>
      <c r="Q944" t="s">
        <v>153</v>
      </c>
    </row>
    <row r="945" spans="9:17" ht="14.25">
      <c r="I945" t="s">
        <v>169</v>
      </c>
      <c r="J945" t="s">
        <v>331</v>
      </c>
      <c r="K945">
        <v>0.0012167410007462812</v>
      </c>
      <c r="L945" t="s">
        <v>153</v>
      </c>
      <c r="N945" t="s">
        <v>179</v>
      </c>
      <c r="O945" t="s">
        <v>331</v>
      </c>
      <c r="P945">
        <v>0.0032770447850294696</v>
      </c>
      <c r="Q945" t="s">
        <v>153</v>
      </c>
    </row>
    <row r="946" spans="9:17" ht="14.25">
      <c r="I946" t="s">
        <v>169</v>
      </c>
      <c r="J946" t="s">
        <v>332</v>
      </c>
      <c r="K946">
        <v>0.00053163637927106815</v>
      </c>
      <c r="L946" t="s">
        <v>153</v>
      </c>
      <c r="N946" t="s">
        <v>179</v>
      </c>
      <c r="O946" t="s">
        <v>332</v>
      </c>
      <c r="P946">
        <v>0.010947504117146255</v>
      </c>
      <c r="Q946" t="s">
        <v>153</v>
      </c>
    </row>
    <row r="947" spans="9:17" ht="14.25">
      <c r="I947" t="s">
        <v>169</v>
      </c>
      <c r="J947" t="s">
        <v>280</v>
      </c>
      <c r="K947">
        <v>0</v>
      </c>
      <c r="L947" t="s">
        <v>153</v>
      </c>
      <c r="N947" t="s">
        <v>179</v>
      </c>
      <c r="O947" t="s">
        <v>280</v>
      </c>
      <c r="P947">
        <v>0.0047374068552314659</v>
      </c>
      <c r="Q947" t="s">
        <v>153</v>
      </c>
    </row>
    <row r="948" spans="9:17" ht="14.25">
      <c r="I948" t="s">
        <v>169</v>
      </c>
      <c r="J948" t="s">
        <v>281</v>
      </c>
      <c r="K948">
        <v>0.00064133233034179959</v>
      </c>
      <c r="L948" t="s">
        <v>153</v>
      </c>
      <c r="N948" t="s">
        <v>179</v>
      </c>
      <c r="O948" t="s">
        <v>281</v>
      </c>
      <c r="P948">
        <v>0.00077557779167251319</v>
      </c>
      <c r="Q948" t="s">
        <v>153</v>
      </c>
    </row>
    <row r="949" spans="9:17" ht="14.25">
      <c r="I949" t="s">
        <v>169</v>
      </c>
      <c r="J949" t="s">
        <v>282</v>
      </c>
      <c r="K949">
        <v>0.0011534748372400388</v>
      </c>
      <c r="L949" t="s">
        <v>153</v>
      </c>
      <c r="N949" t="s">
        <v>179</v>
      </c>
      <c r="O949" t="s">
        <v>282</v>
      </c>
      <c r="P949">
        <v>0.00063032116960232045</v>
      </c>
      <c r="Q949" t="s">
        <v>153</v>
      </c>
    </row>
    <row r="950" spans="9:17" ht="14.25">
      <c r="I950" t="s">
        <v>169</v>
      </c>
      <c r="J950" t="s">
        <v>283</v>
      </c>
      <c r="K950">
        <v>0.001504904491729126</v>
      </c>
      <c r="L950" t="s">
        <v>153</v>
      </c>
      <c r="N950" t="s">
        <v>179</v>
      </c>
      <c r="O950" t="s">
        <v>283</v>
      </c>
      <c r="P950">
        <v>0.0008570588815928101</v>
      </c>
      <c r="Q950" t="s">
        <v>153</v>
      </c>
    </row>
    <row r="951" spans="9:17" ht="14.25">
      <c r="I951" t="s">
        <v>169</v>
      </c>
      <c r="J951" t="s">
        <v>284</v>
      </c>
      <c r="K951">
        <v>0.012615716259614699</v>
      </c>
      <c r="L951" t="s">
        <v>153</v>
      </c>
      <c r="N951" t="s">
        <v>179</v>
      </c>
      <c r="O951" t="s">
        <v>284</v>
      </c>
      <c r="P951">
        <v>0.007443314320596861</v>
      </c>
      <c r="Q951" t="s">
        <v>153</v>
      </c>
    </row>
    <row r="952" spans="9:17" ht="14.25">
      <c r="I952" t="s">
        <v>169</v>
      </c>
      <c r="J952" t="s">
        <v>285</v>
      </c>
      <c r="K952">
        <v>0.0013628788679129152</v>
      </c>
      <c r="L952" t="s">
        <v>153</v>
      </c>
      <c r="N952" t="s">
        <v>179</v>
      </c>
      <c r="O952" t="s">
        <v>285</v>
      </c>
      <c r="P952">
        <v>0.0013615846835377328</v>
      </c>
      <c r="Q952" t="s">
        <v>153</v>
      </c>
    </row>
    <row r="953" spans="9:17" ht="14.25">
      <c r="I953" t="s">
        <v>169</v>
      </c>
      <c r="J953" t="s">
        <v>333</v>
      </c>
      <c r="K953">
        <v>0.00098348678616957193</v>
      </c>
      <c r="L953" t="s">
        <v>153</v>
      </c>
      <c r="N953" t="s">
        <v>179</v>
      </c>
      <c r="O953" t="s">
        <v>333</v>
      </c>
      <c r="P953">
        <v>0.0012692563010374032</v>
      </c>
      <c r="Q953" t="s">
        <v>153</v>
      </c>
    </row>
    <row r="954" spans="9:17" ht="14.25">
      <c r="I954" t="s">
        <v>169</v>
      </c>
      <c r="J954" t="s">
        <v>334</v>
      </c>
      <c r="K954">
        <v>0.00041465944227808905</v>
      </c>
      <c r="L954" t="s">
        <v>153</v>
      </c>
      <c r="N954" t="s">
        <v>179</v>
      </c>
      <c r="O954" t="s">
        <v>334</v>
      </c>
      <c r="P954">
        <v>0.0042291474529055567</v>
      </c>
      <c r="Q954" t="s">
        <v>153</v>
      </c>
    </row>
    <row r="955" spans="9:17" ht="14.25">
      <c r="I955" t="s">
        <v>169</v>
      </c>
      <c r="J955" t="s">
        <v>286</v>
      </c>
      <c r="K955">
        <v>0</v>
      </c>
      <c r="L955" t="s">
        <v>153</v>
      </c>
      <c r="N955" t="s">
        <v>179</v>
      </c>
      <c r="O955" t="s">
        <v>286</v>
      </c>
      <c r="P955">
        <v>0.0036224608411380694</v>
      </c>
      <c r="Q955" t="s">
        <v>153</v>
      </c>
    </row>
    <row r="956" spans="9:17" ht="14.25">
      <c r="I956" t="s">
        <v>169</v>
      </c>
      <c r="J956" t="s">
        <v>287</v>
      </c>
      <c r="K956">
        <v>0.00089636809891712214</v>
      </c>
      <c r="L956" t="s">
        <v>153</v>
      </c>
      <c r="N956" t="s">
        <v>179</v>
      </c>
      <c r="O956" t="s">
        <v>287</v>
      </c>
      <c r="P956">
        <v>0.00086592034408447581</v>
      </c>
      <c r="Q956" t="s">
        <v>153</v>
      </c>
    </row>
    <row r="957" spans="9:17" ht="14.25">
      <c r="I957" t="s">
        <v>169</v>
      </c>
      <c r="J957" t="s">
        <v>288</v>
      </c>
      <c r="K957">
        <v>0.0016601723363765745</v>
      </c>
      <c r="L957" t="s">
        <v>153</v>
      </c>
      <c r="N957" t="s">
        <v>179</v>
      </c>
      <c r="O957" t="s">
        <v>288</v>
      </c>
      <c r="P957">
        <v>0.0008386147984022935</v>
      </c>
      <c r="Q957" t="s">
        <v>153</v>
      </c>
    </row>
    <row r="958" spans="9:17" ht="14.25">
      <c r="I958" t="s">
        <v>169</v>
      </c>
      <c r="J958" t="s">
        <v>289</v>
      </c>
      <c r="K958">
        <v>0.00215464149964602</v>
      </c>
      <c r="L958" t="s">
        <v>153</v>
      </c>
      <c r="N958" t="s">
        <v>179</v>
      </c>
      <c r="O958" t="s">
        <v>289</v>
      </c>
      <c r="P958">
        <v>0.001098766854572333</v>
      </c>
      <c r="Q958" t="s">
        <v>153</v>
      </c>
    </row>
    <row r="959" spans="9:17" ht="14.25">
      <c r="I959" t="s">
        <v>169</v>
      </c>
      <c r="J959" t="s">
        <v>290</v>
      </c>
      <c r="K959">
        <v>0.018574284859568902</v>
      </c>
      <c r="L959" t="s">
        <v>153</v>
      </c>
      <c r="N959" t="s">
        <v>179</v>
      </c>
      <c r="O959" t="s">
        <v>290</v>
      </c>
      <c r="P959">
        <v>0.0082526445303866287</v>
      </c>
      <c r="Q959" t="s">
        <v>153</v>
      </c>
    </row>
    <row r="960" spans="9:17" ht="14.25">
      <c r="I960" t="s">
        <v>169</v>
      </c>
      <c r="J960" t="s">
        <v>291</v>
      </c>
      <c r="K960">
        <v>0.0019719834518392835</v>
      </c>
      <c r="L960" t="s">
        <v>153</v>
      </c>
      <c r="N960" t="s">
        <v>179</v>
      </c>
      <c r="O960" t="s">
        <v>291</v>
      </c>
      <c r="P960">
        <v>0.0014241788185187423</v>
      </c>
      <c r="Q960" t="s">
        <v>153</v>
      </c>
    </row>
    <row r="961" spans="9:17" ht="14.25">
      <c r="I961" t="s">
        <v>169</v>
      </c>
      <c r="J961" t="s">
        <v>335</v>
      </c>
      <c r="K961">
        <v>0.001400591496205016</v>
      </c>
      <c r="L961" t="s">
        <v>153</v>
      </c>
      <c r="N961" t="s">
        <v>179</v>
      </c>
      <c r="O961" t="s">
        <v>335</v>
      </c>
      <c r="P961">
        <v>0.0014442339149381045</v>
      </c>
      <c r="Q961" t="s">
        <v>153</v>
      </c>
    </row>
    <row r="962" spans="9:17" ht="14.25">
      <c r="I962" t="s">
        <v>169</v>
      </c>
      <c r="J962" t="s">
        <v>336</v>
      </c>
      <c r="K962">
        <v>0.00057009707160402988</v>
      </c>
      <c r="L962" t="s">
        <v>153</v>
      </c>
      <c r="N962" t="s">
        <v>179</v>
      </c>
      <c r="O962" t="s">
        <v>336</v>
      </c>
      <c r="P962">
        <v>0.0038703088084849706</v>
      </c>
      <c r="Q962" t="s">
        <v>153</v>
      </c>
    </row>
    <row r="963" spans="9:17" ht="14.25">
      <c r="I963" t="s">
        <v>169</v>
      </c>
      <c r="J963" t="s">
        <v>292</v>
      </c>
      <c r="K963">
        <v>0</v>
      </c>
      <c r="L963" t="s">
        <v>153</v>
      </c>
      <c r="N963" t="s">
        <v>179</v>
      </c>
      <c r="O963" t="s">
        <v>292</v>
      </c>
      <c r="P963">
        <v>0.0060996392881979954</v>
      </c>
      <c r="Q963" t="s">
        <v>153</v>
      </c>
    </row>
    <row r="964" spans="9:17" ht="14.25">
      <c r="I964" t="s">
        <v>169</v>
      </c>
      <c r="J964" t="s">
        <v>293</v>
      </c>
      <c r="K964">
        <v>0.000572671944675733</v>
      </c>
      <c r="L964" t="s">
        <v>153</v>
      </c>
      <c r="N964" t="s">
        <v>179</v>
      </c>
      <c r="O964" t="s">
        <v>293</v>
      </c>
      <c r="P964">
        <v>0.00061484797751893186</v>
      </c>
      <c r="Q964" t="s">
        <v>153</v>
      </c>
    </row>
    <row r="965" spans="9:17" ht="14.25">
      <c r="I965" t="s">
        <v>169</v>
      </c>
      <c r="J965" t="s">
        <v>294</v>
      </c>
      <c r="K965">
        <v>0.0010928872306958692</v>
      </c>
      <c r="L965" t="s">
        <v>153</v>
      </c>
      <c r="N965" t="s">
        <v>179</v>
      </c>
      <c r="O965" t="s">
        <v>294</v>
      </c>
      <c r="P965">
        <v>0.00039375244212513027</v>
      </c>
      <c r="Q965" t="s">
        <v>153</v>
      </c>
    </row>
    <row r="966" spans="9:17" ht="14.25">
      <c r="I966" t="s">
        <v>169</v>
      </c>
      <c r="J966" t="s">
        <v>295</v>
      </c>
      <c r="K966">
        <v>0.0014258605724000422</v>
      </c>
      <c r="L966" t="s">
        <v>153</v>
      </c>
      <c r="N966" t="s">
        <v>179</v>
      </c>
      <c r="O966" t="s">
        <v>295</v>
      </c>
      <c r="P966">
        <v>0.0003683575021571952</v>
      </c>
      <c r="Q966" t="s">
        <v>153</v>
      </c>
    </row>
    <row r="967" spans="9:17" ht="14.25">
      <c r="I967" t="s">
        <v>169</v>
      </c>
      <c r="J967" t="s">
        <v>296</v>
      </c>
      <c r="K967">
        <v>0.012334468886287815</v>
      </c>
      <c r="L967" t="s">
        <v>153</v>
      </c>
      <c r="N967" t="s">
        <v>179</v>
      </c>
      <c r="O967" t="s">
        <v>296</v>
      </c>
      <c r="P967">
        <v>0.0037358906382901347</v>
      </c>
      <c r="Q967" t="s">
        <v>153</v>
      </c>
    </row>
    <row r="968" spans="9:17" ht="14.25">
      <c r="I968" t="s">
        <v>169</v>
      </c>
      <c r="J968" t="s">
        <v>297</v>
      </c>
      <c r="K968">
        <v>0.0013090385212293867</v>
      </c>
      <c r="L968" t="s">
        <v>153</v>
      </c>
      <c r="N968" t="s">
        <v>179</v>
      </c>
      <c r="O968" t="s">
        <v>297</v>
      </c>
      <c r="P968">
        <v>0.0012635881874672092</v>
      </c>
      <c r="Q968" t="s">
        <v>153</v>
      </c>
    </row>
    <row r="969" spans="9:17" ht="14.25">
      <c r="I969" t="s">
        <v>169</v>
      </c>
      <c r="J969" t="s">
        <v>337</v>
      </c>
      <c r="K969">
        <v>0.00092038164894784171</v>
      </c>
      <c r="L969" t="s">
        <v>153</v>
      </c>
      <c r="N969" t="s">
        <v>179</v>
      </c>
      <c r="O969" t="s">
        <v>337</v>
      </c>
      <c r="P969">
        <v>0.0017729187900486719</v>
      </c>
      <c r="Q969" t="s">
        <v>153</v>
      </c>
    </row>
    <row r="970" spans="9:17" ht="14.25">
      <c r="I970" t="s">
        <v>169</v>
      </c>
      <c r="J970" t="s">
        <v>338</v>
      </c>
      <c r="K970">
        <v>0.0003654107494803777</v>
      </c>
      <c r="L970" t="s">
        <v>153</v>
      </c>
      <c r="N970" t="s">
        <v>179</v>
      </c>
      <c r="O970" t="s">
        <v>338</v>
      </c>
      <c r="P970">
        <v>0.0077294158603143292</v>
      </c>
      <c r="Q970" t="s">
        <v>153</v>
      </c>
    </row>
    <row r="971" spans="9:17" ht="14.25">
      <c r="I971" t="s">
        <v>169</v>
      </c>
      <c r="J971" t="s">
        <v>339</v>
      </c>
      <c r="K971">
        <v>0</v>
      </c>
      <c r="L971" t="s">
        <v>153</v>
      </c>
      <c r="N971" t="s">
        <v>179</v>
      </c>
      <c r="O971" t="s">
        <v>339</v>
      </c>
      <c r="P971">
        <v>0.00029696494205200578</v>
      </c>
      <c r="Q971" t="s">
        <v>153</v>
      </c>
    </row>
    <row r="972" spans="9:17" ht="14.25">
      <c r="I972" t="s">
        <v>169</v>
      </c>
      <c r="J972" t="s">
        <v>340</v>
      </c>
      <c r="K972">
        <v>0.00069717477233798009</v>
      </c>
      <c r="L972" t="s">
        <v>153</v>
      </c>
      <c r="N972" t="s">
        <v>179</v>
      </c>
      <c r="O972" t="s">
        <v>340</v>
      </c>
      <c r="P972">
        <v>0.000234589121882004</v>
      </c>
      <c r="Q972" t="s">
        <v>153</v>
      </c>
    </row>
    <row r="973" spans="9:17" ht="14.25">
      <c r="I973" t="s">
        <v>169</v>
      </c>
      <c r="J973" t="s">
        <v>341</v>
      </c>
      <c r="K973">
        <v>0.0014526622172514746</v>
      </c>
      <c r="L973" t="s">
        <v>153</v>
      </c>
      <c r="N973" t="s">
        <v>179</v>
      </c>
      <c r="O973" t="s">
        <v>341</v>
      </c>
      <c r="P973">
        <v>0.00026978087495395467</v>
      </c>
      <c r="Q973" t="s">
        <v>153</v>
      </c>
    </row>
    <row r="974" spans="9:17" ht="14.25">
      <c r="I974" t="s">
        <v>169</v>
      </c>
      <c r="J974" t="s">
        <v>342</v>
      </c>
      <c r="K974">
        <v>0.0020214960855412319</v>
      </c>
      <c r="L974" t="s">
        <v>153</v>
      </c>
      <c r="N974" t="s">
        <v>179</v>
      </c>
      <c r="O974" t="s">
        <v>342</v>
      </c>
      <c r="P974">
        <v>0.00030835400810624289</v>
      </c>
      <c r="Q974" t="s">
        <v>153</v>
      </c>
    </row>
    <row r="975" spans="9:17" ht="14.25">
      <c r="I975" t="s">
        <v>169</v>
      </c>
      <c r="J975" t="s">
        <v>343</v>
      </c>
      <c r="K975">
        <v>0.018053123251462556</v>
      </c>
      <c r="L975" t="s">
        <v>153</v>
      </c>
      <c r="N975" t="s">
        <v>179</v>
      </c>
      <c r="O975" t="s">
        <v>343</v>
      </c>
      <c r="P975">
        <v>0.002758230336179811</v>
      </c>
      <c r="Q975" t="s">
        <v>153</v>
      </c>
    </row>
    <row r="976" spans="9:17" ht="14.25">
      <c r="I976" t="s">
        <v>169</v>
      </c>
      <c r="J976" t="s">
        <v>344</v>
      </c>
      <c r="K976">
        <v>0.0018882799340545241</v>
      </c>
      <c r="L976" t="s">
        <v>153</v>
      </c>
      <c r="N976" t="s">
        <v>179</v>
      </c>
      <c r="O976" t="s">
        <v>344</v>
      </c>
      <c r="P976">
        <v>0.00041504248848998838</v>
      </c>
      <c r="Q976" t="s">
        <v>153</v>
      </c>
    </row>
    <row r="977" spans="9:17" ht="14.25">
      <c r="I977" t="s">
        <v>169</v>
      </c>
      <c r="J977" t="s">
        <v>345</v>
      </c>
      <c r="K977">
        <v>0.0013201732094190964</v>
      </c>
      <c r="L977" t="s">
        <v>153</v>
      </c>
      <c r="N977" t="s">
        <v>179</v>
      </c>
      <c r="O977" t="s">
        <v>345</v>
      </c>
      <c r="P977">
        <v>0.00028848709230292196</v>
      </c>
      <c r="Q977" t="s">
        <v>153</v>
      </c>
    </row>
    <row r="978" spans="9:17" ht="14.25">
      <c r="I978" t="s">
        <v>169</v>
      </c>
      <c r="J978" t="s">
        <v>346</v>
      </c>
      <c r="K978">
        <v>0.00051928853554018784</v>
      </c>
      <c r="L978" t="s">
        <v>153</v>
      </c>
      <c r="N978" t="s">
        <v>179</v>
      </c>
      <c r="O978" t="s">
        <v>346</v>
      </c>
      <c r="P978">
        <v>0.00077326730350048181</v>
      </c>
      <c r="Q978" t="s">
        <v>153</v>
      </c>
    </row>
    <row r="979" spans="9:17" ht="14.25">
      <c r="I979" t="s">
        <v>169</v>
      </c>
      <c r="J979" t="s">
        <v>347</v>
      </c>
      <c r="K979">
        <v>0</v>
      </c>
      <c r="L979" t="s">
        <v>153</v>
      </c>
      <c r="N979" t="s">
        <v>179</v>
      </c>
      <c r="O979" t="s">
        <v>347</v>
      </c>
      <c r="P979">
        <v>0.020766605295550997</v>
      </c>
      <c r="Q979" t="s">
        <v>153</v>
      </c>
    </row>
    <row r="980" spans="9:17" ht="14.25">
      <c r="I980" t="s">
        <v>169</v>
      </c>
      <c r="J980" t="s">
        <v>348</v>
      </c>
      <c r="K980">
        <v>0.0026997412962159822</v>
      </c>
      <c r="L980" t="s">
        <v>153</v>
      </c>
      <c r="N980" t="s">
        <v>179</v>
      </c>
      <c r="O980" t="s">
        <v>348</v>
      </c>
      <c r="P980">
        <v>0.0042688681922181749</v>
      </c>
      <c r="Q980" t="s">
        <v>153</v>
      </c>
    </row>
    <row r="981" spans="9:17" ht="14.25">
      <c r="I981" t="s">
        <v>169</v>
      </c>
      <c r="J981" t="s">
        <v>349</v>
      </c>
      <c r="K981">
        <v>0.0062771895581109341</v>
      </c>
      <c r="L981" t="s">
        <v>153</v>
      </c>
      <c r="N981" t="s">
        <v>179</v>
      </c>
      <c r="O981" t="s">
        <v>349</v>
      </c>
      <c r="P981">
        <v>0.0040458336333582482</v>
      </c>
      <c r="Q981" t="s">
        <v>153</v>
      </c>
    </row>
    <row r="982" spans="9:17" ht="14.25">
      <c r="I982" t="s">
        <v>169</v>
      </c>
      <c r="J982" t="s">
        <v>350</v>
      </c>
      <c r="K982">
        <v>0.008767827937998603</v>
      </c>
      <c r="L982" t="s">
        <v>153</v>
      </c>
      <c r="N982" t="s">
        <v>179</v>
      </c>
      <c r="O982" t="s">
        <v>350</v>
      </c>
      <c r="P982">
        <v>0.0044113622270498618</v>
      </c>
      <c r="Q982" t="s">
        <v>153</v>
      </c>
    </row>
    <row r="983" spans="9:17" ht="14.25">
      <c r="I983" t="s">
        <v>169</v>
      </c>
      <c r="J983" t="s">
        <v>351</v>
      </c>
      <c r="K983">
        <v>0.079198158604631586</v>
      </c>
      <c r="L983" t="s">
        <v>153</v>
      </c>
      <c r="N983" t="s">
        <v>179</v>
      </c>
      <c r="O983" t="s">
        <v>351</v>
      </c>
      <c r="P983">
        <v>0.027006548681415866</v>
      </c>
      <c r="Q983" t="s">
        <v>153</v>
      </c>
    </row>
    <row r="984" spans="9:17" ht="14.25">
      <c r="I984" t="s">
        <v>169</v>
      </c>
      <c r="J984" t="s">
        <v>352</v>
      </c>
      <c r="K984">
        <v>0.0080534879497752895</v>
      </c>
      <c r="L984" t="s">
        <v>153</v>
      </c>
      <c r="N984" t="s">
        <v>179</v>
      </c>
      <c r="O984" t="s">
        <v>352</v>
      </c>
      <c r="P984">
        <v>0.0047869297677043971</v>
      </c>
      <c r="Q984" t="s">
        <v>153</v>
      </c>
    </row>
    <row r="985" spans="9:17" ht="14.25">
      <c r="I985" t="s">
        <v>169</v>
      </c>
      <c r="J985" t="s">
        <v>353</v>
      </c>
      <c r="K985">
        <v>0.0055841984957019294</v>
      </c>
      <c r="L985" t="s">
        <v>153</v>
      </c>
      <c r="N985" t="s">
        <v>179</v>
      </c>
      <c r="O985" t="s">
        <v>353</v>
      </c>
      <c r="P985">
        <v>0.0051530370473798432</v>
      </c>
      <c r="Q985" t="s">
        <v>153</v>
      </c>
    </row>
    <row r="986" spans="9:17" ht="14.25">
      <c r="I986" t="s">
        <v>169</v>
      </c>
      <c r="J986" t="s">
        <v>354</v>
      </c>
      <c r="K986">
        <v>0.0021359380205382499</v>
      </c>
      <c r="L986" t="s">
        <v>153</v>
      </c>
      <c r="N986" t="s">
        <v>179</v>
      </c>
      <c r="O986" t="s">
        <v>354</v>
      </c>
      <c r="P986">
        <v>0.021079022987960053</v>
      </c>
      <c r="Q986" t="s">
        <v>153</v>
      </c>
    </row>
    <row r="987" spans="9:17" ht="14.25">
      <c r="I987" t="s">
        <v>169</v>
      </c>
      <c r="J987" t="s">
        <v>355</v>
      </c>
      <c r="K987">
        <v>0</v>
      </c>
      <c r="L987" t="s">
        <v>153</v>
      </c>
      <c r="N987" t="s">
        <v>179</v>
      </c>
      <c r="O987" t="s">
        <v>355</v>
      </c>
      <c r="P987">
        <v>0.024141005956105837</v>
      </c>
      <c r="Q987" t="s">
        <v>153</v>
      </c>
    </row>
    <row r="988" spans="9:17" ht="14.25">
      <c r="I988" t="s">
        <v>169</v>
      </c>
      <c r="J988" t="s">
        <v>356</v>
      </c>
      <c r="K988">
        <v>0.0030821186582451437</v>
      </c>
      <c r="L988" t="s">
        <v>153</v>
      </c>
      <c r="N988" t="s">
        <v>179</v>
      </c>
      <c r="O988" t="s">
        <v>356</v>
      </c>
      <c r="P988">
        <v>0.0052356215553304433</v>
      </c>
      <c r="Q988" t="s">
        <v>153</v>
      </c>
    </row>
    <row r="989" spans="9:17" ht="14.25">
      <c r="I989" t="s">
        <v>169</v>
      </c>
      <c r="J989" t="s">
        <v>357</v>
      </c>
      <c r="K989">
        <v>0.0079440180841822694</v>
      </c>
      <c r="L989" t="s">
        <v>153</v>
      </c>
      <c r="N989" t="s">
        <v>179</v>
      </c>
      <c r="O989" t="s">
        <v>357</v>
      </c>
      <c r="P989">
        <v>0.0045630377071011839</v>
      </c>
      <c r="Q989" t="s">
        <v>153</v>
      </c>
    </row>
    <row r="990" spans="9:17" ht="14.25">
      <c r="I990" t="s">
        <v>169</v>
      </c>
      <c r="J990" t="s">
        <v>358</v>
      </c>
      <c r="K990">
        <v>0.011470508986396061</v>
      </c>
      <c r="L990" t="s">
        <v>153</v>
      </c>
      <c r="N990" t="s">
        <v>179</v>
      </c>
      <c r="O990" t="s">
        <v>358</v>
      </c>
      <c r="P990">
        <v>0.0050945296406130465</v>
      </c>
      <c r="Q990" t="s">
        <v>153</v>
      </c>
    </row>
    <row r="991" spans="9:17" ht="14.25">
      <c r="I991" t="s">
        <v>169</v>
      </c>
      <c r="J991" t="s">
        <v>359</v>
      </c>
      <c r="K991">
        <v>0.10090050594193117</v>
      </c>
      <c r="L991" t="s">
        <v>153</v>
      </c>
      <c r="N991" t="s">
        <v>179</v>
      </c>
      <c r="O991" t="s">
        <v>359</v>
      </c>
      <c r="P991">
        <v>0.023843951146550014</v>
      </c>
      <c r="Q991" t="s">
        <v>153</v>
      </c>
    </row>
    <row r="992" spans="9:17" ht="14.25">
      <c r="I992" t="s">
        <v>169</v>
      </c>
      <c r="J992" t="s">
        <v>360</v>
      </c>
      <c r="K992">
        <v>0.0097693639334330944</v>
      </c>
      <c r="L992" t="s">
        <v>153</v>
      </c>
      <c r="N992" t="s">
        <v>179</v>
      </c>
      <c r="O992" t="s">
        <v>360</v>
      </c>
      <c r="P992">
        <v>0.0046115036024610189</v>
      </c>
      <c r="Q992" t="s">
        <v>153</v>
      </c>
    </row>
    <row r="993" spans="9:17" ht="14.25">
      <c r="I993" t="s">
        <v>169</v>
      </c>
      <c r="J993" t="s">
        <v>361</v>
      </c>
      <c r="K993">
        <v>0.0059332212427936322</v>
      </c>
      <c r="L993" t="s">
        <v>153</v>
      </c>
      <c r="N993" t="s">
        <v>179</v>
      </c>
      <c r="O993" t="s">
        <v>361</v>
      </c>
      <c r="P993">
        <v>0.0049918650794583026</v>
      </c>
      <c r="Q993" t="s">
        <v>153</v>
      </c>
    </row>
    <row r="994" spans="9:17" ht="14.25">
      <c r="I994" t="s">
        <v>169</v>
      </c>
      <c r="J994" t="s">
        <v>362</v>
      </c>
      <c r="K994">
        <v>0.0013030292548018513</v>
      </c>
      <c r="L994" t="s">
        <v>153</v>
      </c>
      <c r="N994" t="s">
        <v>179</v>
      </c>
      <c r="O994" t="s">
        <v>362</v>
      </c>
      <c r="P994">
        <v>0.021801426926951827</v>
      </c>
      <c r="Q994" t="s">
        <v>153</v>
      </c>
    </row>
    <row r="995" spans="9:17" ht="14.25">
      <c r="I995" t="s">
        <v>169</v>
      </c>
      <c r="J995" t="s">
        <v>363</v>
      </c>
      <c r="K995">
        <v>0</v>
      </c>
      <c r="L995" t="s">
        <v>153</v>
      </c>
      <c r="N995" t="s">
        <v>179</v>
      </c>
      <c r="O995" t="s">
        <v>363</v>
      </c>
      <c r="P995">
        <v>0.025399266225351068</v>
      </c>
      <c r="Q995" t="s">
        <v>153</v>
      </c>
    </row>
    <row r="996" spans="9:17" ht="14.25">
      <c r="I996" t="s">
        <v>169</v>
      </c>
      <c r="J996" t="s">
        <v>364</v>
      </c>
      <c r="K996">
        <v>0.0024678934353294124</v>
      </c>
      <c r="L996" t="s">
        <v>153</v>
      </c>
      <c r="N996" t="s">
        <v>179</v>
      </c>
      <c r="O996" t="s">
        <v>364</v>
      </c>
      <c r="P996">
        <v>0.0038930970444350553</v>
      </c>
      <c r="Q996" t="s">
        <v>153</v>
      </c>
    </row>
    <row r="997" spans="9:17" ht="14.25">
      <c r="I997" t="s">
        <v>169</v>
      </c>
      <c r="J997" t="s">
        <v>365</v>
      </c>
      <c r="K997">
        <v>0.013033232748864261</v>
      </c>
      <c r="L997" t="s">
        <v>153</v>
      </c>
      <c r="N997" t="s">
        <v>179</v>
      </c>
      <c r="O997" t="s">
        <v>365</v>
      </c>
      <c r="P997">
        <v>0.0036234326092334035</v>
      </c>
      <c r="Q997" t="s">
        <v>153</v>
      </c>
    </row>
    <row r="998" spans="9:17" ht="14.25">
      <c r="I998" t="s">
        <v>169</v>
      </c>
      <c r="J998" t="s">
        <v>366</v>
      </c>
      <c r="K998">
        <v>0.019443494240494765</v>
      </c>
      <c r="L998" t="s">
        <v>153</v>
      </c>
      <c r="N998" t="s">
        <v>179</v>
      </c>
      <c r="O998" t="s">
        <v>366</v>
      </c>
      <c r="P998">
        <v>0.0036723898369082132</v>
      </c>
      <c r="Q998" t="s">
        <v>153</v>
      </c>
    </row>
    <row r="999" spans="9:17" ht="14.25">
      <c r="I999" t="s">
        <v>169</v>
      </c>
      <c r="J999" t="s">
        <v>367</v>
      </c>
      <c r="K999">
        <v>0.15740143358337816</v>
      </c>
      <c r="L999" t="s">
        <v>153</v>
      </c>
      <c r="N999" t="s">
        <v>179</v>
      </c>
      <c r="O999" t="s">
        <v>367</v>
      </c>
      <c r="P999">
        <v>0.055411630207025955</v>
      </c>
      <c r="Q999" t="s">
        <v>153</v>
      </c>
    </row>
    <row r="1000" spans="9:17" ht="14.25">
      <c r="I1000" t="s">
        <v>169</v>
      </c>
      <c r="J1000" t="s">
        <v>368</v>
      </c>
      <c r="K1000">
        <v>0.014952252224609346</v>
      </c>
      <c r="L1000" t="s">
        <v>153</v>
      </c>
      <c r="N1000" t="s">
        <v>179</v>
      </c>
      <c r="O1000" t="s">
        <v>368</v>
      </c>
      <c r="P1000">
        <v>0.011667144721263798</v>
      </c>
      <c r="Q1000" t="s">
        <v>153</v>
      </c>
    </row>
    <row r="1001" spans="9:17" ht="14.25">
      <c r="I1001" t="s">
        <v>169</v>
      </c>
      <c r="J1001" t="s">
        <v>369</v>
      </c>
      <c r="K1001">
        <v>0.0041890822524912165</v>
      </c>
      <c r="L1001" t="s">
        <v>153</v>
      </c>
      <c r="N1001" t="s">
        <v>179</v>
      </c>
      <c r="O1001" t="s">
        <v>369</v>
      </c>
      <c r="P1001">
        <v>0.012033031810671972</v>
      </c>
      <c r="Q1001" t="s">
        <v>153</v>
      </c>
    </row>
    <row r="1002" spans="9:17" ht="14.25">
      <c r="I1002" t="s">
        <v>169</v>
      </c>
      <c r="J1002" t="s">
        <v>370</v>
      </c>
      <c r="K1002">
        <v>0</v>
      </c>
      <c r="L1002" t="s">
        <v>153</v>
      </c>
      <c r="N1002" t="s">
        <v>179</v>
      </c>
      <c r="O1002" t="s">
        <v>370</v>
      </c>
      <c r="P1002">
        <v>0.039621726045313728</v>
      </c>
      <c r="Q1002" t="s">
        <v>153</v>
      </c>
    </row>
    <row r="1003" spans="9:17" ht="14.25">
      <c r="I1003" t="s">
        <v>169</v>
      </c>
      <c r="J1003" t="s">
        <v>371</v>
      </c>
      <c r="K1003">
        <v>0</v>
      </c>
      <c r="L1003" t="s">
        <v>153</v>
      </c>
      <c r="N1003" t="s">
        <v>179</v>
      </c>
      <c r="O1003" t="s">
        <v>371</v>
      </c>
      <c r="P1003">
        <v>0.0072381082926907944</v>
      </c>
      <c r="Q1003" t="s">
        <v>153</v>
      </c>
    </row>
    <row r="1004" spans="9:17" ht="14.25">
      <c r="I1004" t="s">
        <v>169</v>
      </c>
      <c r="J1004" t="s">
        <v>372</v>
      </c>
      <c r="K1004">
        <v>0</v>
      </c>
      <c r="L1004" t="s">
        <v>153</v>
      </c>
      <c r="N1004" t="s">
        <v>179</v>
      </c>
      <c r="O1004" t="s">
        <v>372</v>
      </c>
      <c r="P1004">
        <v>0.00083554427977354582</v>
      </c>
      <c r="Q1004" t="s">
        <v>153</v>
      </c>
    </row>
    <row r="1005" spans="9:17" ht="14.25">
      <c r="I1005" t="s">
        <v>169</v>
      </c>
      <c r="J1005" t="s">
        <v>373</v>
      </c>
      <c r="K1005">
        <v>0.00091192232596027495</v>
      </c>
      <c r="L1005" t="s">
        <v>153</v>
      </c>
      <c r="N1005" t="s">
        <v>179</v>
      </c>
      <c r="O1005" t="s">
        <v>373</v>
      </c>
      <c r="P1005">
        <v>0.00065974563039229673</v>
      </c>
      <c r="Q1005" t="s">
        <v>153</v>
      </c>
    </row>
    <row r="1006" spans="9:17" ht="14.25">
      <c r="I1006" t="s">
        <v>169</v>
      </c>
      <c r="J1006" t="s">
        <v>374</v>
      </c>
      <c r="K1006">
        <v>0.0015618606091991234</v>
      </c>
      <c r="L1006" t="s">
        <v>153</v>
      </c>
      <c r="N1006" t="s">
        <v>179</v>
      </c>
      <c r="O1006" t="s">
        <v>374</v>
      </c>
      <c r="P1006">
        <v>0.00056505952231570514</v>
      </c>
      <c r="Q1006" t="s">
        <v>153</v>
      </c>
    </row>
    <row r="1007" spans="9:17" ht="14.25">
      <c r="I1007" t="s">
        <v>169</v>
      </c>
      <c r="J1007" t="s">
        <v>375</v>
      </c>
      <c r="K1007">
        <v>0.013265382763971122</v>
      </c>
      <c r="L1007" t="s">
        <v>153</v>
      </c>
      <c r="N1007" t="s">
        <v>179</v>
      </c>
      <c r="O1007" t="s">
        <v>375</v>
      </c>
      <c r="P1007">
        <v>0.012262562251604475</v>
      </c>
      <c r="Q1007" t="s">
        <v>153</v>
      </c>
    </row>
    <row r="1008" spans="9:17" ht="14.25">
      <c r="I1008" t="s">
        <v>169</v>
      </c>
      <c r="J1008" t="s">
        <v>376</v>
      </c>
      <c r="K1008">
        <v>0.0013111457509374454</v>
      </c>
      <c r="L1008" t="s">
        <v>153</v>
      </c>
      <c r="N1008" t="s">
        <v>179</v>
      </c>
      <c r="O1008" t="s">
        <v>376</v>
      </c>
      <c r="P1008">
        <v>0.0022759332624704724</v>
      </c>
      <c r="Q1008" t="s">
        <v>153</v>
      </c>
    </row>
    <row r="1009" spans="9:17" ht="14.25">
      <c r="I1009" t="s">
        <v>169</v>
      </c>
      <c r="J1009" t="s">
        <v>377</v>
      </c>
      <c r="K1009">
        <v>3.1809395839774308E-07</v>
      </c>
      <c r="L1009" t="s">
        <v>153</v>
      </c>
      <c r="N1009" t="s">
        <v>179</v>
      </c>
      <c r="O1009" t="s">
        <v>377</v>
      </c>
      <c r="P1009">
        <v>0.0020302308679595298</v>
      </c>
      <c r="Q1009" t="s">
        <v>153</v>
      </c>
    </row>
    <row r="1010" spans="9:17" ht="14.25">
      <c r="I1010" t="s">
        <v>169</v>
      </c>
      <c r="J1010" t="s">
        <v>378</v>
      </c>
      <c r="K1010">
        <v>0</v>
      </c>
      <c r="L1010" t="s">
        <v>153</v>
      </c>
      <c r="N1010" t="s">
        <v>179</v>
      </c>
      <c r="O1010" t="s">
        <v>378</v>
      </c>
      <c r="P1010">
        <v>0.0099073724179093939</v>
      </c>
      <c r="Q1010" t="s">
        <v>153</v>
      </c>
    </row>
    <row r="1011" spans="9:17" ht="14.25">
      <c r="I1011" t="s">
        <v>169</v>
      </c>
      <c r="J1011" t="s">
        <v>379</v>
      </c>
      <c r="K1011">
        <v>0</v>
      </c>
      <c r="L1011" t="s">
        <v>153</v>
      </c>
      <c r="N1011" t="s">
        <v>179</v>
      </c>
      <c r="O1011" t="s">
        <v>379</v>
      </c>
      <c r="P1011">
        <v>0.0093395657653049229</v>
      </c>
      <c r="Q1011" t="s">
        <v>153</v>
      </c>
    </row>
    <row r="1012" spans="9:17" ht="14.25">
      <c r="I1012" t="s">
        <v>169</v>
      </c>
      <c r="J1012" t="s">
        <v>380</v>
      </c>
      <c r="K1012">
        <v>0</v>
      </c>
      <c r="L1012" t="s">
        <v>153</v>
      </c>
      <c r="N1012" t="s">
        <v>179</v>
      </c>
      <c r="O1012" t="s">
        <v>380</v>
      </c>
      <c r="P1012">
        <v>0.0017966043735010845</v>
      </c>
      <c r="Q1012" t="s">
        <v>153</v>
      </c>
    </row>
    <row r="1013" spans="9:17" ht="14.25">
      <c r="I1013" t="s">
        <v>169</v>
      </c>
      <c r="J1013" t="s">
        <v>381</v>
      </c>
      <c r="K1013">
        <v>0.0012561032369861884</v>
      </c>
      <c r="L1013" t="s">
        <v>153</v>
      </c>
      <c r="N1013" t="s">
        <v>179</v>
      </c>
      <c r="O1013" t="s">
        <v>381</v>
      </c>
      <c r="P1013">
        <v>0.0018987818149941711</v>
      </c>
      <c r="Q1013" t="s">
        <v>153</v>
      </c>
    </row>
    <row r="1014" spans="9:17" ht="14.25">
      <c r="I1014" t="s">
        <v>169</v>
      </c>
      <c r="J1014" t="s">
        <v>382</v>
      </c>
      <c r="K1014">
        <v>0.0022017909293489831</v>
      </c>
      <c r="L1014" t="s">
        <v>153</v>
      </c>
      <c r="N1014" t="s">
        <v>179</v>
      </c>
      <c r="O1014" t="s">
        <v>382</v>
      </c>
      <c r="P1014">
        <v>0.0020164379936354181</v>
      </c>
      <c r="Q1014" t="s">
        <v>153</v>
      </c>
    </row>
    <row r="1015" spans="9:17" ht="14.25">
      <c r="I1015" t="s">
        <v>169</v>
      </c>
      <c r="J1015" t="s">
        <v>383</v>
      </c>
      <c r="K1015">
        <v>0.018967184518898554</v>
      </c>
      <c r="L1015" t="s">
        <v>153</v>
      </c>
      <c r="N1015" t="s">
        <v>179</v>
      </c>
      <c r="O1015" t="s">
        <v>383</v>
      </c>
      <c r="P1015">
        <v>0.014159008380495977</v>
      </c>
      <c r="Q1015" t="s">
        <v>153</v>
      </c>
    </row>
    <row r="1016" spans="9:17" ht="14.25">
      <c r="I1016" t="s">
        <v>169</v>
      </c>
      <c r="J1016" t="s">
        <v>384</v>
      </c>
      <c r="K1016">
        <v>0.0018663248382219247</v>
      </c>
      <c r="L1016" t="s">
        <v>153</v>
      </c>
      <c r="N1016" t="s">
        <v>179</v>
      </c>
      <c r="O1016" t="s">
        <v>384</v>
      </c>
      <c r="P1016">
        <v>0.0018416763380832884</v>
      </c>
      <c r="Q1016" t="s">
        <v>153</v>
      </c>
    </row>
    <row r="1017" spans="9:17" ht="14.25">
      <c r="I1017" t="s">
        <v>169</v>
      </c>
      <c r="J1017" t="s">
        <v>385</v>
      </c>
      <c r="K1017">
        <v>0.00069707602806974556</v>
      </c>
      <c r="L1017" t="s">
        <v>153</v>
      </c>
      <c r="N1017" t="s">
        <v>179</v>
      </c>
      <c r="O1017" t="s">
        <v>385</v>
      </c>
      <c r="P1017">
        <v>0.0022447908151463098</v>
      </c>
      <c r="Q1017" t="s">
        <v>153</v>
      </c>
    </row>
    <row r="1018" spans="9:17" ht="14.25">
      <c r="I1018" t="s">
        <v>169</v>
      </c>
      <c r="J1018" t="s">
        <v>386</v>
      </c>
      <c r="K1018">
        <v>0</v>
      </c>
      <c r="L1018" t="s">
        <v>153</v>
      </c>
      <c r="N1018" t="s">
        <v>179</v>
      </c>
      <c r="O1018" t="s">
        <v>386</v>
      </c>
      <c r="P1018">
        <v>0.010422528157446369</v>
      </c>
      <c r="Q1018" t="s">
        <v>153</v>
      </c>
    </row>
    <row r="1019" spans="9:17" ht="14.25">
      <c r="I1019" t="s">
        <v>170</v>
      </c>
      <c r="J1019" t="s">
        <v>152</v>
      </c>
      <c r="K1019">
        <v>0</v>
      </c>
      <c r="L1019" t="s">
        <v>153</v>
      </c>
      <c r="N1019" t="s">
        <v>180</v>
      </c>
      <c r="O1019" t="s">
        <v>152</v>
      </c>
      <c r="P1019">
        <v>0.0094850332995472415</v>
      </c>
      <c r="Q1019" t="s">
        <v>153</v>
      </c>
    </row>
    <row r="1020" spans="9:17" ht="14.25">
      <c r="I1020" t="s">
        <v>170</v>
      </c>
      <c r="J1020" t="s">
        <v>154</v>
      </c>
      <c r="K1020">
        <v>0</v>
      </c>
      <c r="L1020" t="s">
        <v>153</v>
      </c>
      <c r="N1020" t="s">
        <v>180</v>
      </c>
      <c r="O1020" t="s">
        <v>154</v>
      </c>
      <c r="P1020">
        <v>0.0017729274185724394</v>
      </c>
      <c r="Q1020" t="s">
        <v>153</v>
      </c>
    </row>
    <row r="1021" spans="9:17" ht="14.25">
      <c r="I1021" t="s">
        <v>170</v>
      </c>
      <c r="J1021" t="s">
        <v>155</v>
      </c>
      <c r="K1021">
        <v>0.0011626982869330244</v>
      </c>
      <c r="L1021" t="s">
        <v>153</v>
      </c>
      <c r="N1021" t="s">
        <v>180</v>
      </c>
      <c r="O1021" t="s">
        <v>155</v>
      </c>
      <c r="P1021">
        <v>0.0019365100730563691</v>
      </c>
      <c r="Q1021" t="s">
        <v>153</v>
      </c>
    </row>
    <row r="1022" spans="9:17" ht="14.25">
      <c r="I1022" t="s">
        <v>170</v>
      </c>
      <c r="J1022" t="s">
        <v>200</v>
      </c>
      <c r="K1022">
        <v>0.0020611697444273213</v>
      </c>
      <c r="L1022" t="s">
        <v>153</v>
      </c>
      <c r="N1022" t="s">
        <v>180</v>
      </c>
      <c r="O1022" t="s">
        <v>200</v>
      </c>
      <c r="P1022">
        <v>0.0019367157224024923</v>
      </c>
      <c r="Q1022" t="s">
        <v>153</v>
      </c>
    </row>
    <row r="1023" spans="9:17" ht="14.25">
      <c r="I1023" t="s">
        <v>170</v>
      </c>
      <c r="J1023" t="s">
        <v>201</v>
      </c>
      <c r="K1023">
        <v>0.018564998079865416</v>
      </c>
      <c r="L1023" t="s">
        <v>153</v>
      </c>
      <c r="N1023" t="s">
        <v>180</v>
      </c>
      <c r="O1023" t="s">
        <v>201</v>
      </c>
      <c r="P1023">
        <v>0.0113438653255543</v>
      </c>
      <c r="Q1023" t="s">
        <v>153</v>
      </c>
    </row>
    <row r="1024" spans="9:17" ht="14.25">
      <c r="I1024" t="s">
        <v>170</v>
      </c>
      <c r="J1024" t="s">
        <v>218</v>
      </c>
      <c r="K1024">
        <v>0.0018281409405542142</v>
      </c>
      <c r="L1024" t="s">
        <v>153</v>
      </c>
      <c r="N1024" t="s">
        <v>180</v>
      </c>
      <c r="O1024" t="s">
        <v>218</v>
      </c>
      <c r="P1024">
        <v>0.00098657322350847727</v>
      </c>
      <c r="Q1024" t="s">
        <v>153</v>
      </c>
    </row>
    <row r="1025" spans="9:17" ht="14.25">
      <c r="I1025" t="s">
        <v>170</v>
      </c>
      <c r="J1025" t="s">
        <v>309</v>
      </c>
      <c r="K1025">
        <v>0.001068981500949358</v>
      </c>
      <c r="L1025" t="s">
        <v>153</v>
      </c>
      <c r="N1025" t="s">
        <v>180</v>
      </c>
      <c r="O1025" t="s">
        <v>309</v>
      </c>
      <c r="P1025">
        <v>0.0009897571183904697</v>
      </c>
      <c r="Q1025" t="s">
        <v>153</v>
      </c>
    </row>
    <row r="1026" spans="9:17" ht="14.25">
      <c r="I1026" t="s">
        <v>170</v>
      </c>
      <c r="J1026" t="s">
        <v>310</v>
      </c>
      <c r="K1026">
        <v>0</v>
      </c>
      <c r="L1026" t="s">
        <v>153</v>
      </c>
      <c r="N1026" t="s">
        <v>180</v>
      </c>
      <c r="O1026" t="s">
        <v>310</v>
      </c>
      <c r="P1026">
        <v>0.0064982974263575735</v>
      </c>
      <c r="Q1026" t="s">
        <v>153</v>
      </c>
    </row>
    <row r="1027" spans="9:17" ht="14.25">
      <c r="I1027" t="s">
        <v>170</v>
      </c>
      <c r="J1027" t="s">
        <v>156</v>
      </c>
      <c r="K1027">
        <v>0</v>
      </c>
      <c r="L1027" t="s">
        <v>153</v>
      </c>
      <c r="N1027" t="s">
        <v>180</v>
      </c>
      <c r="O1027" t="s">
        <v>156</v>
      </c>
      <c r="P1027">
        <v>0.010587996220782301</v>
      </c>
      <c r="Q1027" t="s">
        <v>153</v>
      </c>
    </row>
    <row r="1028" spans="9:17" ht="14.25">
      <c r="I1028" t="s">
        <v>170</v>
      </c>
      <c r="J1028" t="s">
        <v>157</v>
      </c>
      <c r="K1028">
        <v>0</v>
      </c>
      <c r="L1028" t="s">
        <v>153</v>
      </c>
      <c r="N1028" t="s">
        <v>180</v>
      </c>
      <c r="O1028" t="s">
        <v>157</v>
      </c>
      <c r="P1028">
        <v>0.0018736841044441339</v>
      </c>
      <c r="Q1028" t="s">
        <v>153</v>
      </c>
    </row>
    <row r="1029" spans="9:17" ht="14.25">
      <c r="I1029" t="s">
        <v>170</v>
      </c>
      <c r="J1029" t="s">
        <v>158</v>
      </c>
      <c r="K1029">
        <v>0.00069240806922265369</v>
      </c>
      <c r="L1029" t="s">
        <v>153</v>
      </c>
      <c r="N1029" t="s">
        <v>180</v>
      </c>
      <c r="O1029" t="s">
        <v>158</v>
      </c>
      <c r="P1029">
        <v>0.0019012902363706001</v>
      </c>
      <c r="Q1029" t="s">
        <v>153</v>
      </c>
    </row>
    <row r="1030" spans="9:17" ht="14.25">
      <c r="I1030" t="s">
        <v>170</v>
      </c>
      <c r="J1030" t="s">
        <v>202</v>
      </c>
      <c r="K1030">
        <v>0.0012382784610097167</v>
      </c>
      <c r="L1030" t="s">
        <v>153</v>
      </c>
      <c r="N1030" t="s">
        <v>180</v>
      </c>
      <c r="O1030" t="s">
        <v>202</v>
      </c>
      <c r="P1030">
        <v>0.0020318112868865108</v>
      </c>
      <c r="Q1030" t="s">
        <v>153</v>
      </c>
    </row>
    <row r="1031" spans="9:17" ht="14.25">
      <c r="I1031" t="s">
        <v>170</v>
      </c>
      <c r="J1031" t="s">
        <v>203</v>
      </c>
      <c r="K1031">
        <v>0.010550163930881576</v>
      </c>
      <c r="L1031" t="s">
        <v>153</v>
      </c>
      <c r="N1031" t="s">
        <v>180</v>
      </c>
      <c r="O1031" t="s">
        <v>203</v>
      </c>
      <c r="P1031">
        <v>0.019290253640375284</v>
      </c>
      <c r="Q1031" t="s">
        <v>153</v>
      </c>
    </row>
    <row r="1032" spans="9:17" ht="14.25">
      <c r="I1032" t="s">
        <v>170</v>
      </c>
      <c r="J1032" t="s">
        <v>219</v>
      </c>
      <c r="K1032">
        <v>0.0011162525405699457</v>
      </c>
      <c r="L1032" t="s">
        <v>153</v>
      </c>
      <c r="N1032" t="s">
        <v>180</v>
      </c>
      <c r="O1032" t="s">
        <v>219</v>
      </c>
      <c r="P1032">
        <v>0.0023846002038021554</v>
      </c>
      <c r="Q1032" t="s">
        <v>153</v>
      </c>
    </row>
    <row r="1033" spans="9:17" ht="14.25">
      <c r="I1033" t="s">
        <v>170</v>
      </c>
      <c r="J1033" t="s">
        <v>311</v>
      </c>
      <c r="K1033">
        <v>0.00073584765327647001</v>
      </c>
      <c r="L1033" t="s">
        <v>153</v>
      </c>
      <c r="N1033" t="s">
        <v>180</v>
      </c>
      <c r="O1033" t="s">
        <v>311</v>
      </c>
      <c r="P1033">
        <v>0.0021269062943502217</v>
      </c>
      <c r="Q1033" t="s">
        <v>153</v>
      </c>
    </row>
    <row r="1034" spans="9:17" ht="14.25">
      <c r="I1034" t="s">
        <v>170</v>
      </c>
      <c r="J1034" t="s">
        <v>312</v>
      </c>
      <c r="K1034">
        <v>0</v>
      </c>
      <c r="L1034" t="s">
        <v>153</v>
      </c>
      <c r="N1034" t="s">
        <v>180</v>
      </c>
      <c r="O1034" t="s">
        <v>312</v>
      </c>
      <c r="P1034">
        <v>0.011903882221256389</v>
      </c>
      <c r="Q1034" t="s">
        <v>153</v>
      </c>
    </row>
    <row r="1035" spans="9:17" ht="14.25">
      <c r="I1035" t="s">
        <v>170</v>
      </c>
      <c r="J1035" t="s">
        <v>159</v>
      </c>
      <c r="K1035">
        <v>0</v>
      </c>
      <c r="L1035" t="s">
        <v>153</v>
      </c>
      <c r="N1035" t="s">
        <v>180</v>
      </c>
      <c r="O1035" t="s">
        <v>159</v>
      </c>
      <c r="P1035">
        <v>0.0073135206029813432</v>
      </c>
      <c r="Q1035" t="s">
        <v>153</v>
      </c>
    </row>
    <row r="1036" spans="9:17" ht="14.25">
      <c r="I1036" t="s">
        <v>170</v>
      </c>
      <c r="J1036" t="s">
        <v>160</v>
      </c>
      <c r="K1036">
        <v>0</v>
      </c>
      <c r="L1036" t="s">
        <v>153</v>
      </c>
      <c r="N1036" t="s">
        <v>180</v>
      </c>
      <c r="O1036" t="s">
        <v>160</v>
      </c>
      <c r="P1036">
        <v>0.0016428489099976427</v>
      </c>
      <c r="Q1036" t="s">
        <v>153</v>
      </c>
    </row>
    <row r="1037" spans="9:17" ht="14.25">
      <c r="I1037" t="s">
        <v>170</v>
      </c>
      <c r="J1037" t="s">
        <v>161</v>
      </c>
      <c r="K1037">
        <v>0.0016952337135618385</v>
      </c>
      <c r="L1037" t="s">
        <v>153</v>
      </c>
      <c r="N1037" t="s">
        <v>180</v>
      </c>
      <c r="O1037" t="s">
        <v>161</v>
      </c>
      <c r="P1037">
        <v>0.0016017110806660051</v>
      </c>
      <c r="Q1037" t="s">
        <v>153</v>
      </c>
    </row>
    <row r="1038" spans="9:17" ht="14.25">
      <c r="I1038" t="s">
        <v>170</v>
      </c>
      <c r="J1038" t="s">
        <v>204</v>
      </c>
      <c r="K1038">
        <v>0.0032688973735059005</v>
      </c>
      <c r="L1038" t="s">
        <v>153</v>
      </c>
      <c r="N1038" t="s">
        <v>180</v>
      </c>
      <c r="O1038" t="s">
        <v>204</v>
      </c>
      <c r="P1038">
        <v>0.0013721622761352695</v>
      </c>
      <c r="Q1038" t="s">
        <v>153</v>
      </c>
    </row>
    <row r="1039" spans="9:17" ht="14.25">
      <c r="I1039" t="s">
        <v>170</v>
      </c>
      <c r="J1039" t="s">
        <v>205</v>
      </c>
      <c r="K1039">
        <v>0.032148388821030167</v>
      </c>
      <c r="L1039" t="s">
        <v>153</v>
      </c>
      <c r="N1039" t="s">
        <v>180</v>
      </c>
      <c r="O1039" t="s">
        <v>205</v>
      </c>
      <c r="P1039">
        <v>0.0081034368015985223</v>
      </c>
      <c r="Q1039" t="s">
        <v>153</v>
      </c>
    </row>
    <row r="1040" spans="9:17" ht="14.25">
      <c r="I1040" t="s">
        <v>170</v>
      </c>
      <c r="J1040" t="s">
        <v>220</v>
      </c>
      <c r="K1040">
        <v>0.0034318046097370938</v>
      </c>
      <c r="L1040" t="s">
        <v>153</v>
      </c>
      <c r="N1040" t="s">
        <v>180</v>
      </c>
      <c r="O1040" t="s">
        <v>220</v>
      </c>
      <c r="P1040">
        <v>0.0010789868919156638</v>
      </c>
      <c r="Q1040" t="s">
        <v>153</v>
      </c>
    </row>
    <row r="1041" spans="9:17" ht="14.25">
      <c r="I1041" t="s">
        <v>170</v>
      </c>
      <c r="J1041" t="s">
        <v>313</v>
      </c>
      <c r="K1041">
        <v>0.0018036570674280603</v>
      </c>
      <c r="L1041" t="s">
        <v>153</v>
      </c>
      <c r="N1041" t="s">
        <v>180</v>
      </c>
      <c r="O1041" t="s">
        <v>313</v>
      </c>
      <c r="P1041">
        <v>0.001549659464512184</v>
      </c>
      <c r="Q1041" t="s">
        <v>153</v>
      </c>
    </row>
    <row r="1042" spans="9:17" ht="14.25">
      <c r="I1042" t="s">
        <v>170</v>
      </c>
      <c r="J1042" t="s">
        <v>314</v>
      </c>
      <c r="K1042">
        <v>0</v>
      </c>
      <c r="L1042" t="s">
        <v>153</v>
      </c>
      <c r="N1042" t="s">
        <v>180</v>
      </c>
      <c r="O1042" t="s">
        <v>314</v>
      </c>
      <c r="P1042">
        <v>0.0080241877549548091</v>
      </c>
      <c r="Q1042" t="s">
        <v>153</v>
      </c>
    </row>
    <row r="1043" spans="9:17" ht="14.25">
      <c r="I1043" t="s">
        <v>170</v>
      </c>
      <c r="J1043" t="s">
        <v>162</v>
      </c>
      <c r="K1043">
        <v>0</v>
      </c>
      <c r="L1043" t="s">
        <v>153</v>
      </c>
      <c r="N1043" t="s">
        <v>180</v>
      </c>
      <c r="O1043" t="s">
        <v>162</v>
      </c>
      <c r="P1043">
        <v>0.015454831624498769</v>
      </c>
      <c r="Q1043" t="s">
        <v>153</v>
      </c>
    </row>
    <row r="1044" spans="9:17" ht="14.25">
      <c r="I1044" t="s">
        <v>170</v>
      </c>
      <c r="J1044" t="s">
        <v>163</v>
      </c>
      <c r="K1044">
        <v>0</v>
      </c>
      <c r="L1044" t="s">
        <v>153</v>
      </c>
      <c r="N1044" t="s">
        <v>180</v>
      </c>
      <c r="O1044" t="s">
        <v>163</v>
      </c>
      <c r="P1044">
        <v>0.0029345363807826348</v>
      </c>
      <c r="Q1044" t="s">
        <v>153</v>
      </c>
    </row>
    <row r="1045" spans="9:17" ht="14.25">
      <c r="I1045" t="s">
        <v>170</v>
      </c>
      <c r="J1045" t="s">
        <v>164</v>
      </c>
      <c r="K1045">
        <v>0.0033999129564615217</v>
      </c>
      <c r="L1045" t="s">
        <v>153</v>
      </c>
      <c r="N1045" t="s">
        <v>180</v>
      </c>
      <c r="O1045" t="s">
        <v>164</v>
      </c>
      <c r="P1045">
        <v>0.0028571527113706568</v>
      </c>
      <c r="Q1045" t="s">
        <v>153</v>
      </c>
    </row>
    <row r="1046" spans="9:17" ht="14.25">
      <c r="I1046" t="s">
        <v>170</v>
      </c>
      <c r="J1046" t="s">
        <v>206</v>
      </c>
      <c r="K1046">
        <v>0.0056054747498523747</v>
      </c>
      <c r="L1046" t="s">
        <v>153</v>
      </c>
      <c r="N1046" t="s">
        <v>180</v>
      </c>
      <c r="O1046" t="s">
        <v>206</v>
      </c>
      <c r="P1046">
        <v>0.0023477306967747674</v>
      </c>
      <c r="Q1046" t="s">
        <v>153</v>
      </c>
    </row>
    <row r="1047" spans="9:17" ht="14.25">
      <c r="I1047" t="s">
        <v>170</v>
      </c>
      <c r="J1047" t="s">
        <v>207</v>
      </c>
      <c r="K1047">
        <v>0.051007704779844683</v>
      </c>
      <c r="L1047" t="s">
        <v>153</v>
      </c>
      <c r="N1047" t="s">
        <v>180</v>
      </c>
      <c r="O1047" t="s">
        <v>207</v>
      </c>
      <c r="P1047">
        <v>0.022005332340950822</v>
      </c>
      <c r="Q1047" t="s">
        <v>153</v>
      </c>
    </row>
    <row r="1048" spans="9:17" ht="14.25">
      <c r="I1048" t="s">
        <v>170</v>
      </c>
      <c r="J1048" t="s">
        <v>221</v>
      </c>
      <c r="K1048">
        <v>0.0058810348445078589</v>
      </c>
      <c r="L1048" t="s">
        <v>153</v>
      </c>
      <c r="N1048" t="s">
        <v>180</v>
      </c>
      <c r="O1048" t="s">
        <v>221</v>
      </c>
      <c r="P1048">
        <v>0.0035181143759763114</v>
      </c>
      <c r="Q1048" t="s">
        <v>153</v>
      </c>
    </row>
    <row r="1049" spans="9:17" ht="14.25">
      <c r="I1049" t="s">
        <v>170</v>
      </c>
      <c r="J1049" t="s">
        <v>315</v>
      </c>
      <c r="K1049">
        <v>0.0036543653915520006</v>
      </c>
      <c r="L1049" t="s">
        <v>153</v>
      </c>
      <c r="N1049" t="s">
        <v>180</v>
      </c>
      <c r="O1049" t="s">
        <v>315</v>
      </c>
      <c r="P1049">
        <v>0.004091487962893616</v>
      </c>
      <c r="Q1049" t="s">
        <v>153</v>
      </c>
    </row>
    <row r="1050" spans="9:17" ht="14.25">
      <c r="I1050" t="s">
        <v>170</v>
      </c>
      <c r="J1050" t="s">
        <v>316</v>
      </c>
      <c r="K1050">
        <v>0</v>
      </c>
      <c r="L1050" t="s">
        <v>153</v>
      </c>
      <c r="N1050" t="s">
        <v>180</v>
      </c>
      <c r="O1050" t="s">
        <v>316</v>
      </c>
      <c r="P1050">
        <v>0.020246143921798677</v>
      </c>
      <c r="Q1050" t="s">
        <v>153</v>
      </c>
    </row>
    <row r="1051" spans="9:17" ht="14.25">
      <c r="I1051" t="s">
        <v>170</v>
      </c>
      <c r="J1051" t="s">
        <v>208</v>
      </c>
      <c r="K1051">
        <v>0</v>
      </c>
      <c r="L1051" t="s">
        <v>153</v>
      </c>
      <c r="N1051" t="s">
        <v>180</v>
      </c>
      <c r="O1051" t="s">
        <v>208</v>
      </c>
      <c r="P1051">
        <v>0.0034137155203466207</v>
      </c>
      <c r="Q1051" t="s">
        <v>153</v>
      </c>
    </row>
    <row r="1052" spans="9:17" ht="14.25">
      <c r="I1052" t="s">
        <v>170</v>
      </c>
      <c r="J1052" t="s">
        <v>209</v>
      </c>
      <c r="K1052">
        <v>0</v>
      </c>
      <c r="L1052" t="s">
        <v>153</v>
      </c>
      <c r="N1052" t="s">
        <v>180</v>
      </c>
      <c r="O1052" t="s">
        <v>209</v>
      </c>
      <c r="P1052">
        <v>0.00056538926055512524</v>
      </c>
      <c r="Q1052" t="s">
        <v>153</v>
      </c>
    </row>
    <row r="1053" spans="9:17" ht="14.25">
      <c r="I1053" t="s">
        <v>170</v>
      </c>
      <c r="J1053" t="s">
        <v>210</v>
      </c>
      <c r="K1053">
        <v>0.0010232111470894188</v>
      </c>
      <c r="L1053" t="s">
        <v>153</v>
      </c>
      <c r="N1053" t="s">
        <v>180</v>
      </c>
      <c r="O1053" t="s">
        <v>210</v>
      </c>
      <c r="P1053">
        <v>0.00054204168857374115</v>
      </c>
      <c r="Q1053" t="s">
        <v>153</v>
      </c>
    </row>
    <row r="1054" spans="9:17" ht="14.25">
      <c r="I1054" t="s">
        <v>170</v>
      </c>
      <c r="J1054" t="s">
        <v>211</v>
      </c>
      <c r="K1054">
        <v>0.0017206798152494369</v>
      </c>
      <c r="L1054" t="s">
        <v>153</v>
      </c>
      <c r="N1054" t="s">
        <v>180</v>
      </c>
      <c r="O1054" t="s">
        <v>211</v>
      </c>
      <c r="P1054">
        <v>0.00035690983975207656</v>
      </c>
      <c r="Q1054" t="s">
        <v>153</v>
      </c>
    </row>
    <row r="1055" spans="9:17" ht="14.25">
      <c r="I1055" t="s">
        <v>170</v>
      </c>
      <c r="J1055" t="s">
        <v>212</v>
      </c>
      <c r="K1055">
        <v>0.015255013226758176</v>
      </c>
      <c r="L1055" t="s">
        <v>153</v>
      </c>
      <c r="N1055" t="s">
        <v>180</v>
      </c>
      <c r="O1055" t="s">
        <v>212</v>
      </c>
      <c r="P1055">
        <v>0.00099249051859174675</v>
      </c>
      <c r="Q1055" t="s">
        <v>153</v>
      </c>
    </row>
    <row r="1056" spans="9:17" ht="14.25">
      <c r="I1056" t="s">
        <v>170</v>
      </c>
      <c r="J1056" t="s">
        <v>222</v>
      </c>
      <c r="K1056">
        <v>0.0017915339399867472</v>
      </c>
      <c r="L1056" t="s">
        <v>153</v>
      </c>
      <c r="N1056" t="s">
        <v>180</v>
      </c>
      <c r="O1056" t="s">
        <v>222</v>
      </c>
      <c r="P1056">
        <v>0.00046080758689691717</v>
      </c>
      <c r="Q1056" t="s">
        <v>153</v>
      </c>
    </row>
    <row r="1057" spans="9:17" ht="14.25">
      <c r="I1057" t="s">
        <v>170</v>
      </c>
      <c r="J1057" t="s">
        <v>317</v>
      </c>
      <c r="K1057">
        <v>0.0011313026553529083</v>
      </c>
      <c r="L1057" t="s">
        <v>153</v>
      </c>
      <c r="N1057" t="s">
        <v>180</v>
      </c>
      <c r="O1057" t="s">
        <v>317</v>
      </c>
      <c r="P1057">
        <v>0.00090268518633884482</v>
      </c>
      <c r="Q1057" t="s">
        <v>153</v>
      </c>
    </row>
    <row r="1058" spans="9:17" ht="14.25">
      <c r="I1058" t="s">
        <v>170</v>
      </c>
      <c r="J1058" t="s">
        <v>318</v>
      </c>
      <c r="K1058">
        <v>0</v>
      </c>
      <c r="L1058" t="s">
        <v>153</v>
      </c>
      <c r="N1058" t="s">
        <v>180</v>
      </c>
      <c r="O1058" t="s">
        <v>318</v>
      </c>
      <c r="P1058">
        <v>0.0055676189243061428</v>
      </c>
      <c r="Q1058" t="s">
        <v>153</v>
      </c>
    </row>
    <row r="1059" spans="9:17" ht="14.25">
      <c r="I1059" t="s">
        <v>170</v>
      </c>
      <c r="J1059" t="s">
        <v>223</v>
      </c>
      <c r="K1059">
        <v>0</v>
      </c>
      <c r="L1059" t="s">
        <v>153</v>
      </c>
      <c r="N1059" t="s">
        <v>180</v>
      </c>
      <c r="O1059" t="s">
        <v>223</v>
      </c>
      <c r="P1059">
        <v>0.0072292738569939294</v>
      </c>
      <c r="Q1059" t="s">
        <v>153</v>
      </c>
    </row>
    <row r="1060" spans="9:17" ht="14.25">
      <c r="I1060" t="s">
        <v>170</v>
      </c>
      <c r="J1060" t="s">
        <v>224</v>
      </c>
      <c r="K1060">
        <v>0</v>
      </c>
      <c r="L1060" t="s">
        <v>153</v>
      </c>
      <c r="N1060" t="s">
        <v>180</v>
      </c>
      <c r="O1060" t="s">
        <v>224</v>
      </c>
      <c r="P1060">
        <v>0.0015059957131407888</v>
      </c>
      <c r="Q1060" t="s">
        <v>153</v>
      </c>
    </row>
    <row r="1061" spans="9:17" ht="14.25">
      <c r="I1061" t="s">
        <v>170</v>
      </c>
      <c r="J1061" t="s">
        <v>225</v>
      </c>
      <c r="K1061">
        <v>0.001385245685890634</v>
      </c>
      <c r="L1061" t="s">
        <v>153</v>
      </c>
      <c r="N1061" t="s">
        <v>180</v>
      </c>
      <c r="O1061" t="s">
        <v>225</v>
      </c>
      <c r="P1061">
        <v>0.0014286280278602629</v>
      </c>
      <c r="Q1061" t="s">
        <v>153</v>
      </c>
    </row>
    <row r="1062" spans="9:17" ht="14.25">
      <c r="I1062" t="s">
        <v>170</v>
      </c>
      <c r="J1062" t="s">
        <v>226</v>
      </c>
      <c r="K1062">
        <v>0.0021256148895154084</v>
      </c>
      <c r="L1062" t="s">
        <v>153</v>
      </c>
      <c r="N1062" t="s">
        <v>180</v>
      </c>
      <c r="O1062" t="s">
        <v>226</v>
      </c>
      <c r="P1062">
        <v>0.0013275941535366368</v>
      </c>
      <c r="Q1062" t="s">
        <v>153</v>
      </c>
    </row>
    <row r="1063" spans="9:17" ht="14.25">
      <c r="I1063" t="s">
        <v>170</v>
      </c>
      <c r="J1063" t="s">
        <v>227</v>
      </c>
      <c r="K1063">
        <v>0.017408097006341251</v>
      </c>
      <c r="L1063" t="s">
        <v>153</v>
      </c>
      <c r="N1063" t="s">
        <v>180</v>
      </c>
      <c r="O1063" t="s">
        <v>227</v>
      </c>
      <c r="P1063">
        <v>0.010259269734207561</v>
      </c>
      <c r="Q1063" t="s">
        <v>153</v>
      </c>
    </row>
    <row r="1064" spans="9:17" ht="14.25">
      <c r="I1064" t="s">
        <v>170</v>
      </c>
      <c r="J1064" t="s">
        <v>228</v>
      </c>
      <c r="K1064">
        <v>0.0018555682282845711</v>
      </c>
      <c r="L1064" t="s">
        <v>153</v>
      </c>
      <c r="N1064" t="s">
        <v>180</v>
      </c>
      <c r="O1064" t="s">
        <v>228</v>
      </c>
      <c r="P1064">
        <v>0.0013700166976372715</v>
      </c>
      <c r="Q1064" t="s">
        <v>153</v>
      </c>
    </row>
    <row r="1065" spans="9:17" ht="14.25">
      <c r="I1065" t="s">
        <v>170</v>
      </c>
      <c r="J1065" t="s">
        <v>319</v>
      </c>
      <c r="K1065">
        <v>0.0011641690365173595</v>
      </c>
      <c r="L1065" t="s">
        <v>153</v>
      </c>
      <c r="N1065" t="s">
        <v>180</v>
      </c>
      <c r="O1065" t="s">
        <v>319</v>
      </c>
      <c r="P1065">
        <v>0.0014565045265600594</v>
      </c>
      <c r="Q1065" t="s">
        <v>153</v>
      </c>
    </row>
    <row r="1066" spans="9:17" ht="14.25">
      <c r="I1066" t="s">
        <v>170</v>
      </c>
      <c r="J1066" t="s">
        <v>320</v>
      </c>
      <c r="K1066">
        <v>0</v>
      </c>
      <c r="L1066" t="s">
        <v>153</v>
      </c>
      <c r="N1066" t="s">
        <v>180</v>
      </c>
      <c r="O1066" t="s">
        <v>320</v>
      </c>
      <c r="P1066">
        <v>0.0084284632849000642</v>
      </c>
      <c r="Q1066" t="s">
        <v>153</v>
      </c>
    </row>
    <row r="1067" spans="9:17" ht="14.25">
      <c r="I1067" t="s">
        <v>170</v>
      </c>
      <c r="J1067" t="s">
        <v>235</v>
      </c>
      <c r="K1067">
        <v>0</v>
      </c>
      <c r="L1067" t="s">
        <v>153</v>
      </c>
      <c r="N1067" t="s">
        <v>180</v>
      </c>
      <c r="O1067" t="s">
        <v>235</v>
      </c>
      <c r="P1067">
        <v>0.0016923842563848837</v>
      </c>
      <c r="Q1067" t="s">
        <v>153</v>
      </c>
    </row>
    <row r="1068" spans="9:17" ht="14.25">
      <c r="I1068" t="s">
        <v>170</v>
      </c>
      <c r="J1068" t="s">
        <v>236</v>
      </c>
      <c r="K1068">
        <v>0.00012099843009390007</v>
      </c>
      <c r="L1068" t="s">
        <v>153</v>
      </c>
      <c r="N1068" t="s">
        <v>180</v>
      </c>
      <c r="O1068" t="s">
        <v>236</v>
      </c>
      <c r="P1068">
        <v>0.0010239424815301061</v>
      </c>
      <c r="Q1068" t="s">
        <v>153</v>
      </c>
    </row>
    <row r="1069" spans="9:17" ht="14.25">
      <c r="I1069" t="s">
        <v>170</v>
      </c>
      <c r="J1069" t="s">
        <v>237</v>
      </c>
      <c r="K1069">
        <v>0.0012853465022573086</v>
      </c>
      <c r="L1069" t="s">
        <v>153</v>
      </c>
      <c r="N1069" t="s">
        <v>180</v>
      </c>
      <c r="O1069" t="s">
        <v>237</v>
      </c>
      <c r="P1069">
        <v>0.0013686931125071746</v>
      </c>
      <c r="Q1069" t="s">
        <v>153</v>
      </c>
    </row>
    <row r="1070" spans="9:17" ht="14.25">
      <c r="I1070" t="s">
        <v>170</v>
      </c>
      <c r="J1070" t="s">
        <v>238</v>
      </c>
      <c r="K1070">
        <v>0.0018516560107366058</v>
      </c>
      <c r="L1070" t="s">
        <v>153</v>
      </c>
      <c r="N1070" t="s">
        <v>180</v>
      </c>
      <c r="O1070" t="s">
        <v>238</v>
      </c>
      <c r="P1070">
        <v>0.0012683147183557915</v>
      </c>
      <c r="Q1070" t="s">
        <v>153</v>
      </c>
    </row>
    <row r="1071" spans="9:17" ht="14.25">
      <c r="I1071" t="s">
        <v>170</v>
      </c>
      <c r="J1071" t="s">
        <v>239</v>
      </c>
      <c r="K1071">
        <v>0.015345157987292758</v>
      </c>
      <c r="L1071" t="s">
        <v>153</v>
      </c>
      <c r="N1071" t="s">
        <v>180</v>
      </c>
      <c r="O1071" t="s">
        <v>239</v>
      </c>
      <c r="P1071">
        <v>0.0042563623661660598</v>
      </c>
      <c r="Q1071" t="s">
        <v>153</v>
      </c>
    </row>
    <row r="1072" spans="9:17" ht="14.25">
      <c r="I1072" t="s">
        <v>170</v>
      </c>
      <c r="J1072" t="s">
        <v>240</v>
      </c>
      <c r="K1072">
        <v>0.0017299986869484317</v>
      </c>
      <c r="L1072" t="s">
        <v>153</v>
      </c>
      <c r="N1072" t="s">
        <v>180</v>
      </c>
      <c r="O1072" t="s">
        <v>240</v>
      </c>
      <c r="P1072">
        <v>0.00060374079503528225</v>
      </c>
      <c r="Q1072" t="s">
        <v>153</v>
      </c>
    </row>
    <row r="1073" spans="9:17" ht="14.25">
      <c r="I1073" t="s">
        <v>170</v>
      </c>
      <c r="J1073" t="s">
        <v>321</v>
      </c>
      <c r="K1073">
        <v>0.0010981100000865018</v>
      </c>
      <c r="L1073" t="s">
        <v>153</v>
      </c>
      <c r="N1073" t="s">
        <v>180</v>
      </c>
      <c r="O1073" t="s">
        <v>321</v>
      </c>
      <c r="P1073">
        <v>0.00093750267352306002</v>
      </c>
      <c r="Q1073" t="s">
        <v>153</v>
      </c>
    </row>
    <row r="1074" spans="9:17" ht="14.25">
      <c r="I1074" t="s">
        <v>170</v>
      </c>
      <c r="J1074" t="s">
        <v>322</v>
      </c>
      <c r="K1074">
        <v>0</v>
      </c>
      <c r="L1074" t="s">
        <v>153</v>
      </c>
      <c r="N1074" t="s">
        <v>180</v>
      </c>
      <c r="O1074" t="s">
        <v>322</v>
      </c>
      <c r="P1074">
        <v>0.0046690827007291168</v>
      </c>
      <c r="Q1074" t="s">
        <v>153</v>
      </c>
    </row>
    <row r="1075" spans="9:17" ht="14.25">
      <c r="I1075" t="s">
        <v>170</v>
      </c>
      <c r="J1075" t="s">
        <v>241</v>
      </c>
      <c r="K1075">
        <v>0</v>
      </c>
      <c r="L1075" t="s">
        <v>153</v>
      </c>
      <c r="N1075" t="s">
        <v>180</v>
      </c>
      <c r="O1075" t="s">
        <v>241</v>
      </c>
      <c r="P1075">
        <v>0.0022173388351922198</v>
      </c>
      <c r="Q1075" t="s">
        <v>153</v>
      </c>
    </row>
    <row r="1076" spans="9:17" ht="14.25">
      <c r="I1076" t="s">
        <v>170</v>
      </c>
      <c r="J1076" t="s">
        <v>242</v>
      </c>
      <c r="K1076">
        <v>0.00026552913982969456</v>
      </c>
      <c r="L1076" t="s">
        <v>153</v>
      </c>
      <c r="N1076" t="s">
        <v>180</v>
      </c>
      <c r="O1076" t="s">
        <v>242</v>
      </c>
      <c r="P1076">
        <v>0.00057975281160281642</v>
      </c>
      <c r="Q1076" t="s">
        <v>153</v>
      </c>
    </row>
    <row r="1077" spans="9:17" ht="14.25">
      <c r="I1077" t="s">
        <v>170</v>
      </c>
      <c r="J1077" t="s">
        <v>243</v>
      </c>
      <c r="K1077">
        <v>0.00054429185035477653</v>
      </c>
      <c r="L1077" t="s">
        <v>153</v>
      </c>
      <c r="N1077" t="s">
        <v>180</v>
      </c>
      <c r="O1077" t="s">
        <v>243</v>
      </c>
      <c r="P1077">
        <v>0.0006503749991947674</v>
      </c>
      <c r="Q1077" t="s">
        <v>153</v>
      </c>
    </row>
    <row r="1078" spans="9:17" ht="14.25">
      <c r="I1078" t="s">
        <v>170</v>
      </c>
      <c r="J1078" t="s">
        <v>244</v>
      </c>
      <c r="K1078">
        <v>0.00088140796120882462</v>
      </c>
      <c r="L1078" t="s">
        <v>153</v>
      </c>
      <c r="N1078" t="s">
        <v>180</v>
      </c>
      <c r="O1078" t="s">
        <v>244</v>
      </c>
      <c r="P1078">
        <v>0.00073160841025700287</v>
      </c>
      <c r="Q1078" t="s">
        <v>153</v>
      </c>
    </row>
    <row r="1079" spans="9:17" ht="14.25">
      <c r="I1079" t="s">
        <v>170</v>
      </c>
      <c r="J1079" t="s">
        <v>245</v>
      </c>
      <c r="K1079">
        <v>0.0084987592164438366</v>
      </c>
      <c r="L1079" t="s">
        <v>153</v>
      </c>
      <c r="N1079" t="s">
        <v>180</v>
      </c>
      <c r="O1079" t="s">
        <v>245</v>
      </c>
      <c r="P1079">
        <v>0.0069573792500233177</v>
      </c>
      <c r="Q1079" t="s">
        <v>153</v>
      </c>
    </row>
    <row r="1080" spans="9:17" ht="14.25">
      <c r="I1080" t="s">
        <v>170</v>
      </c>
      <c r="J1080" t="s">
        <v>246</v>
      </c>
      <c r="K1080">
        <v>0.00075649284177857273</v>
      </c>
      <c r="L1080" t="s">
        <v>153</v>
      </c>
      <c r="N1080" t="s">
        <v>180</v>
      </c>
      <c r="O1080" t="s">
        <v>246</v>
      </c>
      <c r="P1080">
        <v>0.0011924066798385919</v>
      </c>
      <c r="Q1080" t="s">
        <v>153</v>
      </c>
    </row>
    <row r="1081" spans="9:17" ht="14.25">
      <c r="I1081" t="s">
        <v>170</v>
      </c>
      <c r="J1081" t="s">
        <v>323</v>
      </c>
      <c r="K1081">
        <v>0.00044359452716889768</v>
      </c>
      <c r="L1081" t="s">
        <v>153</v>
      </c>
      <c r="N1081" t="s">
        <v>180</v>
      </c>
      <c r="O1081" t="s">
        <v>323</v>
      </c>
      <c r="P1081">
        <v>0.0011940196042577655</v>
      </c>
      <c r="Q1081" t="s">
        <v>153</v>
      </c>
    </row>
    <row r="1082" spans="9:17" ht="14.25">
      <c r="I1082" t="s">
        <v>170</v>
      </c>
      <c r="J1082" t="s">
        <v>324</v>
      </c>
      <c r="K1082">
        <v>0</v>
      </c>
      <c r="L1082" t="s">
        <v>153</v>
      </c>
      <c r="N1082" t="s">
        <v>180</v>
      </c>
      <c r="O1082" t="s">
        <v>324</v>
      </c>
      <c r="P1082">
        <v>0.0028353380905989331</v>
      </c>
      <c r="Q1082" t="s">
        <v>153</v>
      </c>
    </row>
    <row r="1083" spans="9:17" ht="14.25">
      <c r="I1083" t="s">
        <v>170</v>
      </c>
      <c r="J1083" t="s">
        <v>247</v>
      </c>
      <c r="K1083">
        <v>0</v>
      </c>
      <c r="L1083" t="s">
        <v>153</v>
      </c>
      <c r="N1083" t="s">
        <v>180</v>
      </c>
      <c r="O1083" t="s">
        <v>247</v>
      </c>
      <c r="P1083">
        <v>0.0083705398465029977</v>
      </c>
      <c r="Q1083" t="s">
        <v>153</v>
      </c>
    </row>
    <row r="1084" spans="9:17" ht="14.25">
      <c r="I1084" t="s">
        <v>170</v>
      </c>
      <c r="J1084" t="s">
        <v>248</v>
      </c>
      <c r="K1084">
        <v>0.0011574143994079866</v>
      </c>
      <c r="L1084" t="s">
        <v>153</v>
      </c>
      <c r="N1084" t="s">
        <v>180</v>
      </c>
      <c r="O1084" t="s">
        <v>248</v>
      </c>
      <c r="P1084">
        <v>0.002053235908963268</v>
      </c>
      <c r="Q1084" t="s">
        <v>153</v>
      </c>
    </row>
    <row r="1085" spans="9:17" ht="14.25">
      <c r="I1085" t="s">
        <v>170</v>
      </c>
      <c r="J1085" t="s">
        <v>249</v>
      </c>
      <c r="K1085">
        <v>0.002467483163334522</v>
      </c>
      <c r="L1085" t="s">
        <v>153</v>
      </c>
      <c r="N1085" t="s">
        <v>180</v>
      </c>
      <c r="O1085" t="s">
        <v>249</v>
      </c>
      <c r="P1085">
        <v>0.0018403414216464982</v>
      </c>
      <c r="Q1085" t="s">
        <v>153</v>
      </c>
    </row>
    <row r="1086" spans="9:17" ht="14.25">
      <c r="I1086" t="s">
        <v>170</v>
      </c>
      <c r="J1086" t="s">
        <v>250</v>
      </c>
      <c r="K1086">
        <v>0.0032819371583775632</v>
      </c>
      <c r="L1086" t="s">
        <v>153</v>
      </c>
      <c r="N1086" t="s">
        <v>180</v>
      </c>
      <c r="O1086" t="s">
        <v>250</v>
      </c>
      <c r="P1086">
        <v>0.0016223811367702039</v>
      </c>
      <c r="Q1086" t="s">
        <v>153</v>
      </c>
    </row>
    <row r="1087" spans="9:17" ht="14.25">
      <c r="I1087" t="s">
        <v>170</v>
      </c>
      <c r="J1087" t="s">
        <v>251</v>
      </c>
      <c r="K1087">
        <v>0.026912159522577337</v>
      </c>
      <c r="L1087" t="s">
        <v>153</v>
      </c>
      <c r="N1087" t="s">
        <v>180</v>
      </c>
      <c r="O1087" t="s">
        <v>251</v>
      </c>
      <c r="P1087">
        <v>0.011740159567174139</v>
      </c>
      <c r="Q1087" t="s">
        <v>153</v>
      </c>
    </row>
    <row r="1088" spans="9:17" ht="14.25">
      <c r="I1088" t="s">
        <v>170</v>
      </c>
      <c r="J1088" t="s">
        <v>252</v>
      </c>
      <c r="K1088">
        <v>0.0029259636731799178</v>
      </c>
      <c r="L1088" t="s">
        <v>153</v>
      </c>
      <c r="N1088" t="s">
        <v>180</v>
      </c>
      <c r="O1088" t="s">
        <v>252</v>
      </c>
      <c r="P1088">
        <v>0.0024089277322242625</v>
      </c>
      <c r="Q1088" t="s">
        <v>153</v>
      </c>
    </row>
    <row r="1089" spans="9:17" ht="14.25">
      <c r="I1089" t="s">
        <v>170</v>
      </c>
      <c r="J1089" t="s">
        <v>325</v>
      </c>
      <c r="K1089">
        <v>0.0019067916718208911</v>
      </c>
      <c r="L1089" t="s">
        <v>153</v>
      </c>
      <c r="N1089" t="s">
        <v>180</v>
      </c>
      <c r="O1089" t="s">
        <v>325</v>
      </c>
      <c r="P1089">
        <v>0.0026181064939208932</v>
      </c>
      <c r="Q1089" t="s">
        <v>153</v>
      </c>
    </row>
    <row r="1090" spans="9:17" ht="14.25">
      <c r="I1090" t="s">
        <v>170</v>
      </c>
      <c r="J1090" t="s">
        <v>326</v>
      </c>
      <c r="K1090">
        <v>0</v>
      </c>
      <c r="L1090" t="s">
        <v>153</v>
      </c>
      <c r="N1090" t="s">
        <v>180</v>
      </c>
      <c r="O1090" t="s">
        <v>326</v>
      </c>
      <c r="P1090">
        <v>0.0098863935946659487</v>
      </c>
      <c r="Q1090" t="s">
        <v>153</v>
      </c>
    </row>
    <row r="1091" spans="9:17" ht="14.25">
      <c r="I1091" t="s">
        <v>170</v>
      </c>
      <c r="J1091" t="s">
        <v>262</v>
      </c>
      <c r="K1091">
        <v>0</v>
      </c>
      <c r="L1091" t="s">
        <v>153</v>
      </c>
      <c r="N1091" t="s">
        <v>180</v>
      </c>
      <c r="O1091" t="s">
        <v>262</v>
      </c>
      <c r="P1091">
        <v>0.0059740995949755281</v>
      </c>
      <c r="Q1091" t="s">
        <v>153</v>
      </c>
    </row>
    <row r="1092" spans="9:17" ht="14.25">
      <c r="I1092" t="s">
        <v>170</v>
      </c>
      <c r="J1092" t="s">
        <v>263</v>
      </c>
      <c r="K1092">
        <v>0.002028420175398127</v>
      </c>
      <c r="L1092" t="s">
        <v>153</v>
      </c>
      <c r="N1092" t="s">
        <v>180</v>
      </c>
      <c r="O1092" t="s">
        <v>263</v>
      </c>
      <c r="P1092">
        <v>0.00098740729570067514</v>
      </c>
      <c r="Q1092" t="s">
        <v>153</v>
      </c>
    </row>
    <row r="1093" spans="9:17" ht="14.25">
      <c r="I1093" t="s">
        <v>170</v>
      </c>
      <c r="J1093" t="s">
        <v>264</v>
      </c>
      <c r="K1093">
        <v>0.0039530782577874915</v>
      </c>
      <c r="L1093" t="s">
        <v>153</v>
      </c>
      <c r="N1093" t="s">
        <v>180</v>
      </c>
      <c r="O1093" t="s">
        <v>264</v>
      </c>
      <c r="P1093">
        <v>0.0010491808155144871</v>
      </c>
      <c r="Q1093" t="s">
        <v>153</v>
      </c>
    </row>
    <row r="1094" spans="9:17" ht="14.25">
      <c r="I1094" t="s">
        <v>170</v>
      </c>
      <c r="J1094" t="s">
        <v>265</v>
      </c>
      <c r="K1094">
        <v>0.0049373876427173946</v>
      </c>
      <c r="L1094" t="s">
        <v>153</v>
      </c>
      <c r="N1094" t="s">
        <v>180</v>
      </c>
      <c r="O1094" t="s">
        <v>265</v>
      </c>
      <c r="P1094">
        <v>0.0011102860821869316</v>
      </c>
      <c r="Q1094" t="s">
        <v>153</v>
      </c>
    </row>
    <row r="1095" spans="9:17" ht="14.25">
      <c r="I1095" t="s">
        <v>170</v>
      </c>
      <c r="J1095" t="s">
        <v>266</v>
      </c>
      <c r="K1095">
        <v>0.039064408490099414</v>
      </c>
      <c r="L1095" t="s">
        <v>153</v>
      </c>
      <c r="N1095" t="s">
        <v>180</v>
      </c>
      <c r="O1095" t="s">
        <v>266</v>
      </c>
      <c r="P1095">
        <v>0.012438115219461733</v>
      </c>
      <c r="Q1095" t="s">
        <v>153</v>
      </c>
    </row>
    <row r="1096" spans="9:17" ht="14.25">
      <c r="I1096" t="s">
        <v>170</v>
      </c>
      <c r="J1096" t="s">
        <v>267</v>
      </c>
      <c r="K1096">
        <v>0.0042289230869109028</v>
      </c>
      <c r="L1096" t="s">
        <v>153</v>
      </c>
      <c r="N1096" t="s">
        <v>180</v>
      </c>
      <c r="O1096" t="s">
        <v>267</v>
      </c>
      <c r="P1096">
        <v>0.0027976290166098461</v>
      </c>
      <c r="Q1096" t="s">
        <v>153</v>
      </c>
    </row>
    <row r="1097" spans="9:17" ht="14.25">
      <c r="I1097" t="s">
        <v>170</v>
      </c>
      <c r="J1097" t="s">
        <v>327</v>
      </c>
      <c r="K1097">
        <v>0.0029472164517359433</v>
      </c>
      <c r="L1097" t="s">
        <v>153</v>
      </c>
      <c r="N1097" t="s">
        <v>180</v>
      </c>
      <c r="O1097" t="s">
        <v>327</v>
      </c>
      <c r="P1097">
        <v>0.0029671172082257669</v>
      </c>
      <c r="Q1097" t="s">
        <v>153</v>
      </c>
    </row>
    <row r="1098" spans="9:17" ht="14.25">
      <c r="I1098" t="s">
        <v>170</v>
      </c>
      <c r="J1098" t="s">
        <v>328</v>
      </c>
      <c r="K1098">
        <v>0.0011760323696094217</v>
      </c>
      <c r="L1098" t="s">
        <v>153</v>
      </c>
      <c r="N1098" t="s">
        <v>180</v>
      </c>
      <c r="O1098" t="s">
        <v>328</v>
      </c>
      <c r="P1098">
        <v>0.011060560514849745</v>
      </c>
      <c r="Q1098" t="s">
        <v>153</v>
      </c>
    </row>
    <row r="1099" spans="9:17" ht="14.25">
      <c r="I1099" t="s">
        <v>170</v>
      </c>
      <c r="J1099" t="s">
        <v>268</v>
      </c>
      <c r="K1099">
        <v>0</v>
      </c>
      <c r="L1099" t="s">
        <v>153</v>
      </c>
      <c r="N1099" t="s">
        <v>180</v>
      </c>
      <c r="O1099" t="s">
        <v>268</v>
      </c>
      <c r="P1099">
        <v>0.0062723055319732152</v>
      </c>
      <c r="Q1099" t="s">
        <v>153</v>
      </c>
    </row>
    <row r="1100" spans="9:17" ht="14.25">
      <c r="I1100" t="s">
        <v>170</v>
      </c>
      <c r="J1100" t="s">
        <v>269</v>
      </c>
      <c r="K1100">
        <v>0.0023957587921037958</v>
      </c>
      <c r="L1100" t="s">
        <v>153</v>
      </c>
      <c r="N1100" t="s">
        <v>180</v>
      </c>
      <c r="O1100" t="s">
        <v>269</v>
      </c>
      <c r="P1100">
        <v>0.00077603319001843662</v>
      </c>
      <c r="Q1100" t="s">
        <v>153</v>
      </c>
    </row>
    <row r="1101" spans="9:17" ht="14.25">
      <c r="I1101" t="s">
        <v>170</v>
      </c>
      <c r="J1101" t="s">
        <v>270</v>
      </c>
      <c r="K1101">
        <v>0.0041527824038427655</v>
      </c>
      <c r="L1101" t="s">
        <v>153</v>
      </c>
      <c r="N1101" t="s">
        <v>180</v>
      </c>
      <c r="O1101" t="s">
        <v>270</v>
      </c>
      <c r="P1101">
        <v>0.00066330187735739868</v>
      </c>
      <c r="Q1101" t="s">
        <v>153</v>
      </c>
    </row>
    <row r="1102" spans="9:17" ht="14.25">
      <c r="I1102" t="s">
        <v>170</v>
      </c>
      <c r="J1102" t="s">
        <v>271</v>
      </c>
      <c r="K1102">
        <v>0.005153474703580639</v>
      </c>
      <c r="L1102" t="s">
        <v>153</v>
      </c>
      <c r="N1102" t="s">
        <v>180</v>
      </c>
      <c r="O1102" t="s">
        <v>271</v>
      </c>
      <c r="P1102">
        <v>0.0008563420659541516</v>
      </c>
      <c r="Q1102" t="s">
        <v>153</v>
      </c>
    </row>
    <row r="1103" spans="9:17" ht="14.25">
      <c r="I1103" t="s">
        <v>170</v>
      </c>
      <c r="J1103" t="s">
        <v>272</v>
      </c>
      <c r="K1103">
        <v>0.039536029582202731</v>
      </c>
      <c r="L1103" t="s">
        <v>153</v>
      </c>
      <c r="N1103" t="s">
        <v>180</v>
      </c>
      <c r="O1103" t="s">
        <v>272</v>
      </c>
      <c r="P1103">
        <v>0.028574690993912365</v>
      </c>
      <c r="Q1103" t="s">
        <v>153</v>
      </c>
    </row>
    <row r="1104" spans="9:17" ht="14.25">
      <c r="I1104" t="s">
        <v>170</v>
      </c>
      <c r="J1104" t="s">
        <v>273</v>
      </c>
      <c r="K1104">
        <v>0.0036962217333879029</v>
      </c>
      <c r="L1104" t="s">
        <v>153</v>
      </c>
      <c r="N1104" t="s">
        <v>180</v>
      </c>
      <c r="O1104" t="s">
        <v>273</v>
      </c>
      <c r="P1104">
        <v>0.0046817913555986827</v>
      </c>
      <c r="Q1104" t="s">
        <v>153</v>
      </c>
    </row>
    <row r="1105" spans="9:17" ht="14.25">
      <c r="I1105" t="s">
        <v>170</v>
      </c>
      <c r="J1105" t="s">
        <v>329</v>
      </c>
      <c r="K1105">
        <v>0.0024746800669945262</v>
      </c>
      <c r="L1105" t="s">
        <v>153</v>
      </c>
      <c r="N1105" t="s">
        <v>180</v>
      </c>
      <c r="O1105" t="s">
        <v>329</v>
      </c>
      <c r="P1105">
        <v>0.0037411677435606138</v>
      </c>
      <c r="Q1105" t="s">
        <v>153</v>
      </c>
    </row>
    <row r="1106" spans="9:17" ht="14.25">
      <c r="I1106" t="s">
        <v>170</v>
      </c>
      <c r="J1106" t="s">
        <v>330</v>
      </c>
      <c r="K1106">
        <v>0.0010253127119668071</v>
      </c>
      <c r="L1106" t="s">
        <v>153</v>
      </c>
      <c r="N1106" t="s">
        <v>180</v>
      </c>
      <c r="O1106" t="s">
        <v>330</v>
      </c>
      <c r="P1106">
        <v>0.010793653067728958</v>
      </c>
      <c r="Q1106" t="s">
        <v>153</v>
      </c>
    </row>
    <row r="1107" spans="9:17" ht="14.25">
      <c r="I1107" t="s">
        <v>170</v>
      </c>
      <c r="J1107" t="s">
        <v>274</v>
      </c>
      <c r="K1107">
        <v>0</v>
      </c>
      <c r="L1107" t="s">
        <v>153</v>
      </c>
      <c r="N1107" t="s">
        <v>180</v>
      </c>
      <c r="O1107" t="s">
        <v>274</v>
      </c>
      <c r="P1107">
        <v>0.0044188391774647165</v>
      </c>
      <c r="Q1107" t="s">
        <v>153</v>
      </c>
    </row>
    <row r="1108" spans="9:17" ht="14.25">
      <c r="I1108" t="s">
        <v>170</v>
      </c>
      <c r="J1108" t="s">
        <v>275</v>
      </c>
      <c r="K1108">
        <v>0.00091918142282652589</v>
      </c>
      <c r="L1108" t="s">
        <v>153</v>
      </c>
      <c r="N1108" t="s">
        <v>180</v>
      </c>
      <c r="O1108" t="s">
        <v>275</v>
      </c>
      <c r="P1108">
        <v>0.00080681051983778787</v>
      </c>
      <c r="Q1108" t="s">
        <v>153</v>
      </c>
    </row>
    <row r="1109" spans="9:17" ht="14.25">
      <c r="I1109" t="s">
        <v>170</v>
      </c>
      <c r="J1109" t="s">
        <v>276</v>
      </c>
      <c r="K1109">
        <v>0.0015233447668909451</v>
      </c>
      <c r="L1109" t="s">
        <v>153</v>
      </c>
      <c r="N1109" t="s">
        <v>180</v>
      </c>
      <c r="O1109" t="s">
        <v>276</v>
      </c>
      <c r="P1109">
        <v>0.00077196596416402217</v>
      </c>
      <c r="Q1109" t="s">
        <v>153</v>
      </c>
    </row>
    <row r="1110" spans="9:17" ht="14.25">
      <c r="I1110" t="s">
        <v>170</v>
      </c>
      <c r="J1110" t="s">
        <v>277</v>
      </c>
      <c r="K1110">
        <v>0.0018633000661954229</v>
      </c>
      <c r="L1110" t="s">
        <v>153</v>
      </c>
      <c r="N1110" t="s">
        <v>180</v>
      </c>
      <c r="O1110" t="s">
        <v>277</v>
      </c>
      <c r="P1110">
        <v>0.0010035132702421715</v>
      </c>
      <c r="Q1110" t="s">
        <v>153</v>
      </c>
    </row>
    <row r="1111" spans="9:17" ht="14.25">
      <c r="I1111" t="s">
        <v>170</v>
      </c>
      <c r="J1111" t="s">
        <v>278</v>
      </c>
      <c r="K1111">
        <v>0.015149648277945941</v>
      </c>
      <c r="L1111" t="s">
        <v>153</v>
      </c>
      <c r="N1111" t="s">
        <v>180</v>
      </c>
      <c r="O1111" t="s">
        <v>278</v>
      </c>
      <c r="P1111">
        <v>0.010965377009050904</v>
      </c>
      <c r="Q1111" t="s">
        <v>153</v>
      </c>
    </row>
    <row r="1112" spans="9:17" ht="14.25">
      <c r="I1112" t="s">
        <v>170</v>
      </c>
      <c r="J1112" t="s">
        <v>279</v>
      </c>
      <c r="K1112">
        <v>0.0016469790251560134</v>
      </c>
      <c r="L1112" t="s">
        <v>153</v>
      </c>
      <c r="N1112" t="s">
        <v>180</v>
      </c>
      <c r="O1112" t="s">
        <v>279</v>
      </c>
      <c r="P1112">
        <v>0.0021016664832159884</v>
      </c>
      <c r="Q1112" t="s">
        <v>153</v>
      </c>
    </row>
    <row r="1113" spans="9:17" ht="14.25">
      <c r="I1113" t="s">
        <v>170</v>
      </c>
      <c r="J1113" t="s">
        <v>331</v>
      </c>
      <c r="K1113">
        <v>0.0011917476199606882</v>
      </c>
      <c r="L1113" t="s">
        <v>153</v>
      </c>
      <c r="N1113" t="s">
        <v>180</v>
      </c>
      <c r="O1113" t="s">
        <v>331</v>
      </c>
      <c r="P1113">
        <v>0.0019960642957973463</v>
      </c>
      <c r="Q1113" t="s">
        <v>153</v>
      </c>
    </row>
    <row r="1114" spans="9:17" ht="14.25">
      <c r="I1114" t="s">
        <v>170</v>
      </c>
      <c r="J1114" t="s">
        <v>332</v>
      </c>
      <c r="K1114">
        <v>0.00051177617170836262</v>
      </c>
      <c r="L1114" t="s">
        <v>153</v>
      </c>
      <c r="N1114" t="s">
        <v>180</v>
      </c>
      <c r="O1114" t="s">
        <v>332</v>
      </c>
      <c r="P1114">
        <v>0.00751778057089913</v>
      </c>
      <c r="Q1114" t="s">
        <v>153</v>
      </c>
    </row>
    <row r="1115" spans="9:17" ht="14.25">
      <c r="I1115" t="s">
        <v>170</v>
      </c>
      <c r="J1115" t="s">
        <v>280</v>
      </c>
      <c r="K1115">
        <v>0</v>
      </c>
      <c r="L1115" t="s">
        <v>153</v>
      </c>
      <c r="N1115" t="s">
        <v>180</v>
      </c>
      <c r="O1115" t="s">
        <v>280</v>
      </c>
      <c r="P1115">
        <v>0.0054565263988084383</v>
      </c>
      <c r="Q1115" t="s">
        <v>153</v>
      </c>
    </row>
    <row r="1116" spans="9:17" ht="14.25">
      <c r="I1116" t="s">
        <v>170</v>
      </c>
      <c r="J1116" t="s">
        <v>281</v>
      </c>
      <c r="K1116">
        <v>0.00073226833141194791</v>
      </c>
      <c r="L1116" t="s">
        <v>153</v>
      </c>
      <c r="N1116" t="s">
        <v>180</v>
      </c>
      <c r="O1116" t="s">
        <v>281</v>
      </c>
      <c r="P1116">
        <v>0.0012884721176228972</v>
      </c>
      <c r="Q1116" t="s">
        <v>153</v>
      </c>
    </row>
    <row r="1117" spans="9:17" ht="14.25">
      <c r="I1117" t="s">
        <v>170</v>
      </c>
      <c r="J1117" t="s">
        <v>282</v>
      </c>
      <c r="K1117">
        <v>0.0012358368332955655</v>
      </c>
      <c r="L1117" t="s">
        <v>153</v>
      </c>
      <c r="N1117" t="s">
        <v>180</v>
      </c>
      <c r="O1117" t="s">
        <v>282</v>
      </c>
      <c r="P1117">
        <v>0.00099263845697575596</v>
      </c>
      <c r="Q1117" t="s">
        <v>153</v>
      </c>
    </row>
    <row r="1118" spans="9:17" ht="14.25">
      <c r="I1118" t="s">
        <v>170</v>
      </c>
      <c r="J1118" t="s">
        <v>283</v>
      </c>
      <c r="K1118">
        <v>0.0015281507719653656</v>
      </c>
      <c r="L1118" t="s">
        <v>153</v>
      </c>
      <c r="N1118" t="s">
        <v>180</v>
      </c>
      <c r="O1118" t="s">
        <v>283</v>
      </c>
      <c r="P1118">
        <v>0.00096528106834674787</v>
      </c>
      <c r="Q1118" t="s">
        <v>153</v>
      </c>
    </row>
    <row r="1119" spans="9:17" ht="14.25">
      <c r="I1119" t="s">
        <v>170</v>
      </c>
      <c r="J1119" t="s">
        <v>284</v>
      </c>
      <c r="K1119">
        <v>0.012645157474503196</v>
      </c>
      <c r="L1119" t="s">
        <v>153</v>
      </c>
      <c r="N1119" t="s">
        <v>180</v>
      </c>
      <c r="O1119" t="s">
        <v>284</v>
      </c>
      <c r="P1119">
        <v>0.0052796883458602383</v>
      </c>
      <c r="Q1119" t="s">
        <v>153</v>
      </c>
    </row>
    <row r="1120" spans="9:17" ht="14.25">
      <c r="I1120" t="s">
        <v>170</v>
      </c>
      <c r="J1120" t="s">
        <v>285</v>
      </c>
      <c r="K1120">
        <v>0.0013462260575074091</v>
      </c>
      <c r="L1120" t="s">
        <v>153</v>
      </c>
      <c r="N1120" t="s">
        <v>180</v>
      </c>
      <c r="O1120" t="s">
        <v>285</v>
      </c>
      <c r="P1120">
        <v>0.0013332774887584505</v>
      </c>
      <c r="Q1120" t="s">
        <v>153</v>
      </c>
    </row>
    <row r="1121" spans="9:17" ht="14.25">
      <c r="I1121" t="s">
        <v>170</v>
      </c>
      <c r="J1121" t="s">
        <v>333</v>
      </c>
      <c r="K1121">
        <v>0.00096298442937513534</v>
      </c>
      <c r="L1121" t="s">
        <v>153</v>
      </c>
      <c r="N1121" t="s">
        <v>180</v>
      </c>
      <c r="O1121" t="s">
        <v>333</v>
      </c>
      <c r="P1121">
        <v>0.0015184285530623811</v>
      </c>
      <c r="Q1121" t="s">
        <v>153</v>
      </c>
    </row>
    <row r="1122" spans="9:17" ht="14.25">
      <c r="I1122" t="s">
        <v>170</v>
      </c>
      <c r="J1122" t="s">
        <v>334</v>
      </c>
      <c r="K1122">
        <v>0.00040191899913093225</v>
      </c>
      <c r="L1122" t="s">
        <v>153</v>
      </c>
      <c r="N1122" t="s">
        <v>180</v>
      </c>
      <c r="O1122" t="s">
        <v>334</v>
      </c>
      <c r="P1122">
        <v>0.0050860072684038018</v>
      </c>
      <c r="Q1122" t="s">
        <v>153</v>
      </c>
    </row>
    <row r="1123" spans="9:17" ht="14.25">
      <c r="I1123" t="s">
        <v>170</v>
      </c>
      <c r="J1123" t="s">
        <v>286</v>
      </c>
      <c r="K1123">
        <v>0</v>
      </c>
      <c r="L1123" t="s">
        <v>153</v>
      </c>
      <c r="N1123" t="s">
        <v>180</v>
      </c>
      <c r="O1123" t="s">
        <v>286</v>
      </c>
      <c r="P1123">
        <v>0.005671841442694522</v>
      </c>
      <c r="Q1123" t="s">
        <v>153</v>
      </c>
    </row>
    <row r="1124" spans="9:17" ht="14.25">
      <c r="I1124" t="s">
        <v>170</v>
      </c>
      <c r="J1124" t="s">
        <v>287</v>
      </c>
      <c r="K1124">
        <v>0.00096195578702641508</v>
      </c>
      <c r="L1124" t="s">
        <v>153</v>
      </c>
      <c r="N1124" t="s">
        <v>180</v>
      </c>
      <c r="O1124" t="s">
        <v>287</v>
      </c>
      <c r="P1124">
        <v>0.0014164771739845798</v>
      </c>
      <c r="Q1124" t="s">
        <v>153</v>
      </c>
    </row>
    <row r="1125" spans="9:17" ht="14.25">
      <c r="I1125" t="s">
        <v>170</v>
      </c>
      <c r="J1125" t="s">
        <v>288</v>
      </c>
      <c r="K1125">
        <v>0.0017040851179557677</v>
      </c>
      <c r="L1125" t="s">
        <v>153</v>
      </c>
      <c r="N1125" t="s">
        <v>180</v>
      </c>
      <c r="O1125" t="s">
        <v>288</v>
      </c>
      <c r="P1125">
        <v>0.0011554291697691518</v>
      </c>
      <c r="Q1125" t="s">
        <v>153</v>
      </c>
    </row>
    <row r="1126" spans="9:17" ht="14.25">
      <c r="I1126" t="s">
        <v>170</v>
      </c>
      <c r="J1126" t="s">
        <v>289</v>
      </c>
      <c r="K1126">
        <v>0.002163853683497152</v>
      </c>
      <c r="L1126" t="s">
        <v>153</v>
      </c>
      <c r="N1126" t="s">
        <v>180</v>
      </c>
      <c r="O1126" t="s">
        <v>289</v>
      </c>
      <c r="P1126">
        <v>0.0011989324107973039</v>
      </c>
      <c r="Q1126" t="s">
        <v>153</v>
      </c>
    </row>
    <row r="1127" spans="9:17" ht="14.25">
      <c r="I1127" t="s">
        <v>170</v>
      </c>
      <c r="J1127" t="s">
        <v>290</v>
      </c>
      <c r="K1127">
        <v>0.01837431690387149</v>
      </c>
      <c r="L1127" t="s">
        <v>153</v>
      </c>
      <c r="N1127" t="s">
        <v>180</v>
      </c>
      <c r="O1127" t="s">
        <v>290</v>
      </c>
      <c r="P1127">
        <v>0.0059820773525319981</v>
      </c>
      <c r="Q1127" t="s">
        <v>153</v>
      </c>
    </row>
    <row r="1128" spans="9:17" ht="14.25">
      <c r="I1128" t="s">
        <v>170</v>
      </c>
      <c r="J1128" t="s">
        <v>291</v>
      </c>
      <c r="K1128">
        <v>0.0019190396109044683</v>
      </c>
      <c r="L1128" t="s">
        <v>153</v>
      </c>
      <c r="N1128" t="s">
        <v>180</v>
      </c>
      <c r="O1128" t="s">
        <v>291</v>
      </c>
      <c r="P1128">
        <v>0.0014790160042949024</v>
      </c>
      <c r="Q1128" t="s">
        <v>153</v>
      </c>
    </row>
    <row r="1129" spans="9:17" ht="14.25">
      <c r="I1129" t="s">
        <v>170</v>
      </c>
      <c r="J1129" t="s">
        <v>335</v>
      </c>
      <c r="K1129">
        <v>0.0013499003885314579</v>
      </c>
      <c r="L1129" t="s">
        <v>153</v>
      </c>
      <c r="N1129" t="s">
        <v>180</v>
      </c>
      <c r="O1129" t="s">
        <v>335</v>
      </c>
      <c r="P1129">
        <v>0.0016677307918204168</v>
      </c>
      <c r="Q1129" t="s">
        <v>153</v>
      </c>
    </row>
    <row r="1130" spans="9:17" ht="14.25">
      <c r="I1130" t="s">
        <v>170</v>
      </c>
      <c r="J1130" t="s">
        <v>336</v>
      </c>
      <c r="K1130">
        <v>0.00054733626366346166</v>
      </c>
      <c r="L1130" t="s">
        <v>153</v>
      </c>
      <c r="N1130" t="s">
        <v>180</v>
      </c>
      <c r="O1130" t="s">
        <v>336</v>
      </c>
      <c r="P1130">
        <v>0.0063458181170696591</v>
      </c>
      <c r="Q1130" t="s">
        <v>153</v>
      </c>
    </row>
    <row r="1131" spans="9:17" ht="14.25">
      <c r="I1131" t="s">
        <v>170</v>
      </c>
      <c r="J1131" t="s">
        <v>292</v>
      </c>
      <c r="K1131">
        <v>0</v>
      </c>
      <c r="L1131" t="s">
        <v>153</v>
      </c>
      <c r="N1131" t="s">
        <v>180</v>
      </c>
      <c r="O1131" t="s">
        <v>292</v>
      </c>
      <c r="P1131">
        <v>0.006382289224328601</v>
      </c>
      <c r="Q1131" t="s">
        <v>153</v>
      </c>
    </row>
    <row r="1132" spans="9:17" ht="14.25">
      <c r="I1132" t="s">
        <v>170</v>
      </c>
      <c r="J1132" t="s">
        <v>293</v>
      </c>
      <c r="K1132">
        <v>0.0006210737341878406</v>
      </c>
      <c r="L1132" t="s">
        <v>153</v>
      </c>
      <c r="N1132" t="s">
        <v>180</v>
      </c>
      <c r="O1132" t="s">
        <v>293</v>
      </c>
      <c r="P1132">
        <v>0.0010052756300508773</v>
      </c>
      <c r="Q1132" t="s">
        <v>153</v>
      </c>
    </row>
    <row r="1133" spans="9:17" ht="14.25">
      <c r="I1133" t="s">
        <v>170</v>
      </c>
      <c r="J1133" t="s">
        <v>294</v>
      </c>
      <c r="K1133">
        <v>0.0011334714493988643</v>
      </c>
      <c r="L1133" t="s">
        <v>153</v>
      </c>
      <c r="N1133" t="s">
        <v>180</v>
      </c>
      <c r="O1133" t="s">
        <v>294</v>
      </c>
      <c r="P1133">
        <v>0.00071811138406285705</v>
      </c>
      <c r="Q1133" t="s">
        <v>153</v>
      </c>
    </row>
    <row r="1134" spans="9:17" ht="14.25">
      <c r="I1134" t="s">
        <v>170</v>
      </c>
      <c r="J1134" t="s">
        <v>295</v>
      </c>
      <c r="K1134">
        <v>0.0014544950986849375</v>
      </c>
      <c r="L1134" t="s">
        <v>153</v>
      </c>
      <c r="N1134" t="s">
        <v>180</v>
      </c>
      <c r="O1134" t="s">
        <v>295</v>
      </c>
      <c r="P1134">
        <v>0.00063390418106311493</v>
      </c>
      <c r="Q1134" t="s">
        <v>153</v>
      </c>
    </row>
    <row r="1135" spans="9:17" ht="14.25">
      <c r="I1135" t="s">
        <v>170</v>
      </c>
      <c r="J1135" t="s">
        <v>296</v>
      </c>
      <c r="K1135">
        <v>0.01228886512184846</v>
      </c>
      <c r="L1135" t="s">
        <v>153</v>
      </c>
      <c r="N1135" t="s">
        <v>180</v>
      </c>
      <c r="O1135" t="s">
        <v>296</v>
      </c>
      <c r="P1135">
        <v>0.00596911603979475</v>
      </c>
      <c r="Q1135" t="s">
        <v>153</v>
      </c>
    </row>
    <row r="1136" spans="9:17" ht="14.25">
      <c r="I1136" t="s">
        <v>170</v>
      </c>
      <c r="J1136" t="s">
        <v>297</v>
      </c>
      <c r="K1136">
        <v>0.0012798445688163855</v>
      </c>
      <c r="L1136" t="s">
        <v>153</v>
      </c>
      <c r="N1136" t="s">
        <v>180</v>
      </c>
      <c r="O1136" t="s">
        <v>297</v>
      </c>
      <c r="P1136">
        <v>0.0016160264483540004</v>
      </c>
      <c r="Q1136" t="s">
        <v>153</v>
      </c>
    </row>
    <row r="1137" spans="9:17" ht="14.25">
      <c r="I1137" t="s">
        <v>170</v>
      </c>
      <c r="J1137" t="s">
        <v>337</v>
      </c>
      <c r="K1137">
        <v>0.00089372576562332575</v>
      </c>
      <c r="L1137" t="s">
        <v>153</v>
      </c>
      <c r="N1137" t="s">
        <v>180</v>
      </c>
      <c r="O1137" t="s">
        <v>337</v>
      </c>
      <c r="P1137">
        <v>0.0018925627404179327</v>
      </c>
      <c r="Q1137" t="s">
        <v>153</v>
      </c>
    </row>
    <row r="1138" spans="9:17" ht="14.25">
      <c r="I1138" t="s">
        <v>170</v>
      </c>
      <c r="J1138" t="s">
        <v>338</v>
      </c>
      <c r="K1138">
        <v>0.00035040891001005204</v>
      </c>
      <c r="L1138" t="s">
        <v>153</v>
      </c>
      <c r="N1138" t="s">
        <v>180</v>
      </c>
      <c r="O1138" t="s">
        <v>338</v>
      </c>
      <c r="P1138">
        <v>0.0072443163955836498</v>
      </c>
      <c r="Q1138" t="s">
        <v>153</v>
      </c>
    </row>
    <row r="1139" spans="9:17" ht="14.25">
      <c r="I1139" t="s">
        <v>170</v>
      </c>
      <c r="J1139" t="s">
        <v>339</v>
      </c>
      <c r="K1139">
        <v>0</v>
      </c>
      <c r="L1139" t="s">
        <v>153</v>
      </c>
      <c r="N1139" t="s">
        <v>180</v>
      </c>
      <c r="O1139" t="s">
        <v>339</v>
      </c>
      <c r="P1139">
        <v>0.00070557953354661814</v>
      </c>
      <c r="Q1139" t="s">
        <v>153</v>
      </c>
    </row>
    <row r="1140" spans="9:17" ht="14.25">
      <c r="I1140" t="s">
        <v>170</v>
      </c>
      <c r="J1140" t="s">
        <v>340</v>
      </c>
      <c r="K1140">
        <v>0.00077113553810639879</v>
      </c>
      <c r="L1140" t="s">
        <v>153</v>
      </c>
      <c r="N1140" t="s">
        <v>180</v>
      </c>
      <c r="O1140" t="s">
        <v>340</v>
      </c>
      <c r="P1140">
        <v>0.00014163775551045835</v>
      </c>
      <c r="Q1140" t="s">
        <v>153</v>
      </c>
    </row>
    <row r="1141" spans="9:17" ht="14.25">
      <c r="I1141" t="s">
        <v>170</v>
      </c>
      <c r="J1141" t="s">
        <v>341</v>
      </c>
      <c r="K1141">
        <v>0.0014797324665450499</v>
      </c>
      <c r="L1141" t="s">
        <v>153</v>
      </c>
      <c r="N1141" t="s">
        <v>180</v>
      </c>
      <c r="O1141" t="s">
        <v>341</v>
      </c>
      <c r="P1141">
        <v>9.3625494374494832E-05</v>
      </c>
      <c r="Q1141" t="s">
        <v>153</v>
      </c>
    </row>
    <row r="1142" spans="9:17" ht="14.25">
      <c r="I1142" t="s">
        <v>170</v>
      </c>
      <c r="J1142" t="s">
        <v>342</v>
      </c>
      <c r="K1142">
        <v>0.001991681452746202</v>
      </c>
      <c r="L1142" t="s">
        <v>153</v>
      </c>
      <c r="N1142" t="s">
        <v>180</v>
      </c>
      <c r="O1142" t="s">
        <v>342</v>
      </c>
      <c r="P1142">
        <v>6.8112910867812302E-05</v>
      </c>
      <c r="Q1142" t="s">
        <v>153</v>
      </c>
    </row>
    <row r="1143" spans="9:17" ht="14.25">
      <c r="I1143" t="s">
        <v>170</v>
      </c>
      <c r="J1143" t="s">
        <v>343</v>
      </c>
      <c r="K1143">
        <v>0.017612762004546662</v>
      </c>
      <c r="L1143" t="s">
        <v>153</v>
      </c>
      <c r="N1143" t="s">
        <v>180</v>
      </c>
      <c r="O1143" t="s">
        <v>343</v>
      </c>
      <c r="P1143">
        <v>0.0031867038571516985</v>
      </c>
      <c r="Q1143" t="s">
        <v>153</v>
      </c>
    </row>
    <row r="1144" spans="9:17" ht="14.25">
      <c r="I1144" t="s">
        <v>170</v>
      </c>
      <c r="J1144" t="s">
        <v>344</v>
      </c>
      <c r="K1144">
        <v>0.0018262770195622306</v>
      </c>
      <c r="L1144" t="s">
        <v>153</v>
      </c>
      <c r="N1144" t="s">
        <v>180</v>
      </c>
      <c r="O1144" t="s">
        <v>344</v>
      </c>
      <c r="P1144">
        <v>0.0014617896757048686</v>
      </c>
      <c r="Q1144" t="s">
        <v>153</v>
      </c>
    </row>
    <row r="1145" spans="9:17" ht="14.25">
      <c r="I1145" t="s">
        <v>170</v>
      </c>
      <c r="J1145" t="s">
        <v>345</v>
      </c>
      <c r="K1145">
        <v>0.0012578284233157361</v>
      </c>
      <c r="L1145" t="s">
        <v>153</v>
      </c>
      <c r="N1145" t="s">
        <v>180</v>
      </c>
      <c r="O1145" t="s">
        <v>345</v>
      </c>
      <c r="P1145">
        <v>0.001714227374524117</v>
      </c>
      <c r="Q1145" t="s">
        <v>153</v>
      </c>
    </row>
    <row r="1146" spans="9:17" ht="14.25">
      <c r="I1146" t="s">
        <v>170</v>
      </c>
      <c r="J1146" t="s">
        <v>346</v>
      </c>
      <c r="K1146">
        <v>0.00048485177235106397</v>
      </c>
      <c r="L1146" t="s">
        <v>153</v>
      </c>
      <c r="N1146" t="s">
        <v>180</v>
      </c>
      <c r="O1146" t="s">
        <v>346</v>
      </c>
      <c r="P1146">
        <v>0.005332061119936244</v>
      </c>
      <c r="Q1146" t="s">
        <v>153</v>
      </c>
    </row>
    <row r="1147" spans="9:17" ht="14.25">
      <c r="I1147" t="s">
        <v>170</v>
      </c>
      <c r="J1147" t="s">
        <v>347</v>
      </c>
      <c r="K1147">
        <v>0</v>
      </c>
      <c r="L1147" t="s">
        <v>153</v>
      </c>
      <c r="N1147" t="s">
        <v>180</v>
      </c>
      <c r="O1147" t="s">
        <v>347</v>
      </c>
      <c r="P1147">
        <v>0.025865970347337158</v>
      </c>
      <c r="Q1147" t="s">
        <v>153</v>
      </c>
    </row>
    <row r="1148" spans="9:17" ht="14.25">
      <c r="I1148" t="s">
        <v>170</v>
      </c>
      <c r="J1148" t="s">
        <v>348</v>
      </c>
      <c r="K1148">
        <v>0.0029263442320535569</v>
      </c>
      <c r="L1148" t="s">
        <v>153</v>
      </c>
      <c r="N1148" t="s">
        <v>180</v>
      </c>
      <c r="O1148" t="s">
        <v>348</v>
      </c>
      <c r="P1148">
        <v>0.0056069369691401994</v>
      </c>
      <c r="Q1148" t="s">
        <v>153</v>
      </c>
    </row>
    <row r="1149" spans="9:17" ht="14.25">
      <c r="I1149" t="s">
        <v>170</v>
      </c>
      <c r="J1149" t="s">
        <v>349</v>
      </c>
      <c r="K1149">
        <v>0.0064568794700351735</v>
      </c>
      <c r="L1149" t="s">
        <v>153</v>
      </c>
      <c r="N1149" t="s">
        <v>180</v>
      </c>
      <c r="O1149" t="s">
        <v>349</v>
      </c>
      <c r="P1149">
        <v>0.0046941515998868899</v>
      </c>
      <c r="Q1149" t="s">
        <v>153</v>
      </c>
    </row>
    <row r="1150" spans="9:17" ht="14.25">
      <c r="I1150" t="s">
        <v>170</v>
      </c>
      <c r="J1150" t="s">
        <v>350</v>
      </c>
      <c r="K1150">
        <v>0.0088830402998821226</v>
      </c>
      <c r="L1150" t="s">
        <v>153</v>
      </c>
      <c r="N1150" t="s">
        <v>180</v>
      </c>
      <c r="O1150" t="s">
        <v>350</v>
      </c>
      <c r="P1150">
        <v>0.0044204902988003386</v>
      </c>
      <c r="Q1150" t="s">
        <v>153</v>
      </c>
    </row>
    <row r="1151" spans="9:17" ht="14.25">
      <c r="I1151" t="s">
        <v>170</v>
      </c>
      <c r="J1151" t="s">
        <v>351</v>
      </c>
      <c r="K1151">
        <v>0.079098390811424515</v>
      </c>
      <c r="L1151" t="s">
        <v>153</v>
      </c>
      <c r="N1151" t="s">
        <v>180</v>
      </c>
      <c r="O1151" t="s">
        <v>351</v>
      </c>
      <c r="P1151">
        <v>0.022394672616244546</v>
      </c>
      <c r="Q1151" t="s">
        <v>153</v>
      </c>
    </row>
    <row r="1152" spans="9:17" ht="14.25">
      <c r="I1152" t="s">
        <v>170</v>
      </c>
      <c r="J1152" t="s">
        <v>352</v>
      </c>
      <c r="K1152">
        <v>0.0079949291865167287</v>
      </c>
      <c r="L1152" t="s">
        <v>153</v>
      </c>
      <c r="N1152" t="s">
        <v>180</v>
      </c>
      <c r="O1152" t="s">
        <v>352</v>
      </c>
      <c r="P1152">
        <v>0.0061343127199080206</v>
      </c>
      <c r="Q1152" t="s">
        <v>153</v>
      </c>
    </row>
    <row r="1153" spans="9:17" ht="14.25">
      <c r="I1153" t="s">
        <v>170</v>
      </c>
      <c r="J1153" t="s">
        <v>353</v>
      </c>
      <c r="K1153">
        <v>0.0054910022993336803</v>
      </c>
      <c r="L1153" t="s">
        <v>153</v>
      </c>
      <c r="N1153" t="s">
        <v>180</v>
      </c>
      <c r="O1153" t="s">
        <v>353</v>
      </c>
      <c r="P1153">
        <v>0.0077043039359386625</v>
      </c>
      <c r="Q1153" t="s">
        <v>153</v>
      </c>
    </row>
    <row r="1154" spans="9:17" ht="14.25">
      <c r="I1154" t="s">
        <v>170</v>
      </c>
      <c r="J1154" t="s">
        <v>354</v>
      </c>
      <c r="K1154">
        <v>0.0020545954645713091</v>
      </c>
      <c r="L1154" t="s">
        <v>153</v>
      </c>
      <c r="N1154" t="s">
        <v>180</v>
      </c>
      <c r="O1154" t="s">
        <v>354</v>
      </c>
      <c r="P1154">
        <v>0.034635592164333678</v>
      </c>
      <c r="Q1154" t="s">
        <v>153</v>
      </c>
    </row>
    <row r="1155" spans="9:17" ht="14.25">
      <c r="I1155" t="s">
        <v>170</v>
      </c>
      <c r="J1155" t="s">
        <v>355</v>
      </c>
      <c r="K1155">
        <v>0</v>
      </c>
      <c r="L1155" t="s">
        <v>153</v>
      </c>
      <c r="N1155" t="s">
        <v>180</v>
      </c>
      <c r="O1155" t="s">
        <v>355</v>
      </c>
      <c r="P1155">
        <v>0.03785469666782397</v>
      </c>
      <c r="Q1155" t="s">
        <v>153</v>
      </c>
    </row>
    <row r="1156" spans="9:17" ht="14.25">
      <c r="I1156" t="s">
        <v>170</v>
      </c>
      <c r="J1156" t="s">
        <v>356</v>
      </c>
      <c r="K1156">
        <v>0.0033315382528359611</v>
      </c>
      <c r="L1156" t="s">
        <v>153</v>
      </c>
      <c r="N1156" t="s">
        <v>180</v>
      </c>
      <c r="O1156" t="s">
        <v>356</v>
      </c>
      <c r="P1156">
        <v>0.0098871658763683024</v>
      </c>
      <c r="Q1156" t="s">
        <v>153</v>
      </c>
    </row>
    <row r="1157" spans="9:17" ht="14.25">
      <c r="I1157" t="s">
        <v>170</v>
      </c>
      <c r="J1157" t="s">
        <v>357</v>
      </c>
      <c r="K1157">
        <v>0.008215299880878657</v>
      </c>
      <c r="L1157" t="s">
        <v>153</v>
      </c>
      <c r="N1157" t="s">
        <v>180</v>
      </c>
      <c r="O1157" t="s">
        <v>357</v>
      </c>
      <c r="P1157">
        <v>0.0089661798963470499</v>
      </c>
      <c r="Q1157" t="s">
        <v>153</v>
      </c>
    </row>
    <row r="1158" spans="9:17" ht="14.25">
      <c r="I1158" t="s">
        <v>170</v>
      </c>
      <c r="J1158" t="s">
        <v>358</v>
      </c>
      <c r="K1158">
        <v>0.011626473107792331</v>
      </c>
      <c r="L1158" t="s">
        <v>153</v>
      </c>
      <c r="N1158" t="s">
        <v>180</v>
      </c>
      <c r="O1158" t="s">
        <v>358</v>
      </c>
      <c r="P1158">
        <v>0.0093724579491250657</v>
      </c>
      <c r="Q1158" t="s">
        <v>153</v>
      </c>
    </row>
    <row r="1159" spans="9:17" ht="14.25">
      <c r="I1159" t="s">
        <v>170</v>
      </c>
      <c r="J1159" t="s">
        <v>359</v>
      </c>
      <c r="K1159">
        <v>0.099041010496947635</v>
      </c>
      <c r="L1159" t="s">
        <v>153</v>
      </c>
      <c r="N1159" t="s">
        <v>180</v>
      </c>
      <c r="O1159" t="s">
        <v>359</v>
      </c>
      <c r="P1159">
        <v>0.030813477424061785</v>
      </c>
      <c r="Q1159" t="s">
        <v>153</v>
      </c>
    </row>
    <row r="1160" spans="9:17" ht="14.25">
      <c r="I1160" t="s">
        <v>170</v>
      </c>
      <c r="J1160" t="s">
        <v>360</v>
      </c>
      <c r="K1160">
        <v>0.0092701901800632865</v>
      </c>
      <c r="L1160" t="s">
        <v>153</v>
      </c>
      <c r="N1160" t="s">
        <v>180</v>
      </c>
      <c r="O1160" t="s">
        <v>360</v>
      </c>
      <c r="P1160">
        <v>0.004745479034531444</v>
      </c>
      <c r="Q1160" t="s">
        <v>153</v>
      </c>
    </row>
    <row r="1161" spans="9:17" ht="14.25">
      <c r="I1161" t="s">
        <v>170</v>
      </c>
      <c r="J1161" t="s">
        <v>361</v>
      </c>
      <c r="K1161">
        <v>0.0056122472138796101</v>
      </c>
      <c r="L1161" t="s">
        <v>153</v>
      </c>
      <c r="N1161" t="s">
        <v>180</v>
      </c>
      <c r="O1161" t="s">
        <v>361</v>
      </c>
      <c r="P1161">
        <v>0.0060951971471836838</v>
      </c>
      <c r="Q1161" t="s">
        <v>153</v>
      </c>
    </row>
    <row r="1162" spans="9:17" ht="14.25">
      <c r="I1162" t="s">
        <v>170</v>
      </c>
      <c r="J1162" t="s">
        <v>362</v>
      </c>
      <c r="K1162">
        <v>0.0011111505786996873</v>
      </c>
      <c r="L1162" t="s">
        <v>153</v>
      </c>
      <c r="N1162" t="s">
        <v>180</v>
      </c>
      <c r="O1162" t="s">
        <v>362</v>
      </c>
      <c r="P1162">
        <v>0.034552702466589209</v>
      </c>
      <c r="Q1162" t="s">
        <v>153</v>
      </c>
    </row>
    <row r="1163" spans="9:17" ht="14.25">
      <c r="I1163" t="s">
        <v>170</v>
      </c>
      <c r="J1163" t="s">
        <v>363</v>
      </c>
      <c r="K1163">
        <v>0</v>
      </c>
      <c r="L1163" t="s">
        <v>153</v>
      </c>
      <c r="N1163" t="s">
        <v>180</v>
      </c>
      <c r="O1163" t="s">
        <v>363</v>
      </c>
      <c r="P1163">
        <v>0.032710375553792387</v>
      </c>
      <c r="Q1163" t="s">
        <v>153</v>
      </c>
    </row>
    <row r="1164" spans="9:17" ht="14.25">
      <c r="I1164" t="s">
        <v>170</v>
      </c>
      <c r="J1164" t="s">
        <v>364</v>
      </c>
      <c r="K1164">
        <v>0.0031036090311575789</v>
      </c>
      <c r="L1164" t="s">
        <v>153</v>
      </c>
      <c r="N1164" t="s">
        <v>180</v>
      </c>
      <c r="O1164" t="s">
        <v>364</v>
      </c>
      <c r="P1164">
        <v>0.0056648078432875674</v>
      </c>
      <c r="Q1164" t="s">
        <v>153</v>
      </c>
    </row>
    <row r="1165" spans="9:17" ht="14.25">
      <c r="I1165" t="s">
        <v>170</v>
      </c>
      <c r="J1165" t="s">
        <v>365</v>
      </c>
      <c r="K1165">
        <v>0.013854472916483167</v>
      </c>
      <c r="L1165" t="s">
        <v>153</v>
      </c>
      <c r="N1165" t="s">
        <v>180</v>
      </c>
      <c r="O1165" t="s">
        <v>365</v>
      </c>
      <c r="P1165">
        <v>0.0054779195365191264</v>
      </c>
      <c r="Q1165" t="s">
        <v>153</v>
      </c>
    </row>
    <row r="1166" spans="9:17" ht="14.25">
      <c r="I1166" t="s">
        <v>170</v>
      </c>
      <c r="J1166" t="s">
        <v>366</v>
      </c>
      <c r="K1166">
        <v>0.020054510284226751</v>
      </c>
      <c r="L1166" t="s">
        <v>153</v>
      </c>
      <c r="N1166" t="s">
        <v>180</v>
      </c>
      <c r="O1166" t="s">
        <v>366</v>
      </c>
      <c r="P1166">
        <v>0.0043220002945844943</v>
      </c>
      <c r="Q1166" t="s">
        <v>153</v>
      </c>
    </row>
    <row r="1167" spans="9:17" ht="14.25">
      <c r="I1167" t="s">
        <v>170</v>
      </c>
      <c r="J1167" t="s">
        <v>367</v>
      </c>
      <c r="K1167">
        <v>0.15681350301618555</v>
      </c>
      <c r="L1167" t="s">
        <v>153</v>
      </c>
      <c r="N1167" t="s">
        <v>180</v>
      </c>
      <c r="O1167" t="s">
        <v>367</v>
      </c>
      <c r="P1167">
        <v>0.03574078456509993</v>
      </c>
      <c r="Q1167" t="s">
        <v>153</v>
      </c>
    </row>
    <row r="1168" spans="9:17" ht="14.25">
      <c r="I1168" t="s">
        <v>170</v>
      </c>
      <c r="J1168" t="s">
        <v>368</v>
      </c>
      <c r="K1168">
        <v>0.014294872259091687</v>
      </c>
      <c r="L1168" t="s">
        <v>153</v>
      </c>
      <c r="N1168" t="s">
        <v>180</v>
      </c>
      <c r="O1168" t="s">
        <v>368</v>
      </c>
      <c r="P1168">
        <v>0.0098058219846780693</v>
      </c>
      <c r="Q1168" t="s">
        <v>153</v>
      </c>
    </row>
    <row r="1169" spans="9:17" ht="14.25">
      <c r="I1169" t="s">
        <v>170</v>
      </c>
      <c r="J1169" t="s">
        <v>369</v>
      </c>
      <c r="K1169">
        <v>0.0034987082884910814</v>
      </c>
      <c r="L1169" t="s">
        <v>153</v>
      </c>
      <c r="N1169" t="s">
        <v>180</v>
      </c>
      <c r="O1169" t="s">
        <v>369</v>
      </c>
      <c r="P1169">
        <v>0.012561627140428617</v>
      </c>
      <c r="Q1169" t="s">
        <v>153</v>
      </c>
    </row>
    <row r="1170" spans="9:17" ht="14.25">
      <c r="I1170" t="s">
        <v>170</v>
      </c>
      <c r="J1170" t="s">
        <v>370</v>
      </c>
      <c r="K1170">
        <v>0</v>
      </c>
      <c r="L1170" t="s">
        <v>153</v>
      </c>
      <c r="N1170" t="s">
        <v>180</v>
      </c>
      <c r="O1170" t="s">
        <v>370</v>
      </c>
      <c r="P1170">
        <v>0.053031552444344883</v>
      </c>
      <c r="Q1170" t="s">
        <v>153</v>
      </c>
    </row>
    <row r="1171" spans="9:17" ht="14.25">
      <c r="I1171" t="s">
        <v>170</v>
      </c>
      <c r="J1171" t="s">
        <v>371</v>
      </c>
      <c r="K1171">
        <v>0</v>
      </c>
      <c r="L1171" t="s">
        <v>153</v>
      </c>
      <c r="N1171" t="s">
        <v>180</v>
      </c>
      <c r="O1171" t="s">
        <v>371</v>
      </c>
      <c r="P1171">
        <v>0.0065174578226199218</v>
      </c>
      <c r="Q1171" t="s">
        <v>153</v>
      </c>
    </row>
    <row r="1172" spans="9:17" ht="14.25">
      <c r="I1172" t="s">
        <v>170</v>
      </c>
      <c r="J1172" t="s">
        <v>372</v>
      </c>
      <c r="K1172">
        <v>0</v>
      </c>
      <c r="L1172" t="s">
        <v>153</v>
      </c>
      <c r="N1172" t="s">
        <v>180</v>
      </c>
      <c r="O1172" t="s">
        <v>372</v>
      </c>
      <c r="P1172">
        <v>0.00080622368670691833</v>
      </c>
      <c r="Q1172" t="s">
        <v>153</v>
      </c>
    </row>
    <row r="1173" spans="9:17" ht="14.25">
      <c r="I1173" t="s">
        <v>170</v>
      </c>
      <c r="J1173" t="s">
        <v>373</v>
      </c>
      <c r="K1173">
        <v>0.00096791038347730047</v>
      </c>
      <c r="L1173" t="s">
        <v>153</v>
      </c>
      <c r="N1173" t="s">
        <v>180</v>
      </c>
      <c r="O1173" t="s">
        <v>373</v>
      </c>
      <c r="P1173">
        <v>0.00067485133022424375</v>
      </c>
      <c r="Q1173" t="s">
        <v>153</v>
      </c>
    </row>
    <row r="1174" spans="9:17" ht="14.25">
      <c r="I1174" t="s">
        <v>170</v>
      </c>
      <c r="J1174" t="s">
        <v>374</v>
      </c>
      <c r="K1174">
        <v>0.001626579325569604</v>
      </c>
      <c r="L1174" t="s">
        <v>153</v>
      </c>
      <c r="N1174" t="s">
        <v>180</v>
      </c>
      <c r="O1174" t="s">
        <v>374</v>
      </c>
      <c r="P1174">
        <v>0.0006204992894355305</v>
      </c>
      <c r="Q1174" t="s">
        <v>153</v>
      </c>
    </row>
    <row r="1175" spans="9:17" ht="14.25">
      <c r="I1175" t="s">
        <v>170</v>
      </c>
      <c r="J1175" t="s">
        <v>375</v>
      </c>
      <c r="K1175">
        <v>0.01333223688263826</v>
      </c>
      <c r="L1175" t="s">
        <v>153</v>
      </c>
      <c r="N1175" t="s">
        <v>180</v>
      </c>
      <c r="O1175" t="s">
        <v>375</v>
      </c>
      <c r="P1175">
        <v>0.0092553942239971369</v>
      </c>
      <c r="Q1175" t="s">
        <v>153</v>
      </c>
    </row>
    <row r="1176" spans="9:17" ht="14.25">
      <c r="I1176" t="s">
        <v>170</v>
      </c>
      <c r="J1176" t="s">
        <v>376</v>
      </c>
      <c r="K1176">
        <v>0.0012808161609859383</v>
      </c>
      <c r="L1176" t="s">
        <v>153</v>
      </c>
      <c r="N1176" t="s">
        <v>180</v>
      </c>
      <c r="O1176" t="s">
        <v>376</v>
      </c>
      <c r="P1176">
        <v>0.0015825108103769401</v>
      </c>
      <c r="Q1176" t="s">
        <v>153</v>
      </c>
    </row>
    <row r="1177" spans="9:17" ht="14.25">
      <c r="I1177" t="s">
        <v>170</v>
      </c>
      <c r="J1177" t="s">
        <v>377</v>
      </c>
      <c r="K1177">
        <v>0</v>
      </c>
      <c r="L1177" t="s">
        <v>153</v>
      </c>
      <c r="N1177" t="s">
        <v>180</v>
      </c>
      <c r="O1177" t="s">
        <v>377</v>
      </c>
      <c r="P1177">
        <v>0.001623736188795677</v>
      </c>
      <c r="Q1177" t="s">
        <v>153</v>
      </c>
    </row>
    <row r="1178" spans="9:17" ht="14.25">
      <c r="I1178" t="s">
        <v>170</v>
      </c>
      <c r="J1178" t="s">
        <v>378</v>
      </c>
      <c r="K1178">
        <v>0</v>
      </c>
      <c r="L1178" t="s">
        <v>153</v>
      </c>
      <c r="N1178" t="s">
        <v>180</v>
      </c>
      <c r="O1178" t="s">
        <v>378</v>
      </c>
      <c r="P1178">
        <v>0.0086610611640562957</v>
      </c>
      <c r="Q1178" t="s">
        <v>153</v>
      </c>
    </row>
    <row r="1179" spans="9:17" ht="14.25">
      <c r="I1179" t="s">
        <v>170</v>
      </c>
      <c r="J1179" t="s">
        <v>379</v>
      </c>
      <c r="K1179">
        <v>0</v>
      </c>
      <c r="L1179" t="s">
        <v>153</v>
      </c>
      <c r="N1179" t="s">
        <v>180</v>
      </c>
      <c r="O1179" t="s">
        <v>379</v>
      </c>
      <c r="P1179">
        <v>0.0083102952610940427</v>
      </c>
      <c r="Q1179" t="s">
        <v>153</v>
      </c>
    </row>
    <row r="1180" spans="9:17" ht="14.25">
      <c r="I1180" t="s">
        <v>170</v>
      </c>
      <c r="J1180" t="s">
        <v>380</v>
      </c>
      <c r="K1180">
        <v>0</v>
      </c>
      <c r="L1180" t="s">
        <v>153</v>
      </c>
      <c r="N1180" t="s">
        <v>180</v>
      </c>
      <c r="O1180" t="s">
        <v>380</v>
      </c>
      <c r="P1180">
        <v>0.0016998750659324607</v>
      </c>
      <c r="Q1180" t="s">
        <v>153</v>
      </c>
    </row>
    <row r="1181" spans="9:17" ht="14.25">
      <c r="I1181" t="s">
        <v>170</v>
      </c>
      <c r="J1181" t="s">
        <v>381</v>
      </c>
      <c r="K1181">
        <v>0.0013196824095592107</v>
      </c>
      <c r="L1181" t="s">
        <v>153</v>
      </c>
      <c r="N1181" t="s">
        <v>180</v>
      </c>
      <c r="O1181" t="s">
        <v>381</v>
      </c>
      <c r="P1181">
        <v>0.0016783677510331843</v>
      </c>
      <c r="Q1181" t="s">
        <v>153</v>
      </c>
    </row>
    <row r="1182" spans="9:17" ht="14.25">
      <c r="I1182" t="s">
        <v>170</v>
      </c>
      <c r="J1182" t="s">
        <v>382</v>
      </c>
      <c r="K1182">
        <v>0.0022113814376918707</v>
      </c>
      <c r="L1182" t="s">
        <v>153</v>
      </c>
      <c r="N1182" t="s">
        <v>180</v>
      </c>
      <c r="O1182" t="s">
        <v>382</v>
      </c>
      <c r="P1182">
        <v>0.0014349947017427921</v>
      </c>
      <c r="Q1182" t="s">
        <v>153</v>
      </c>
    </row>
    <row r="1183" spans="9:17" ht="14.25">
      <c r="I1183" t="s">
        <v>170</v>
      </c>
      <c r="J1183" t="s">
        <v>383</v>
      </c>
      <c r="K1183">
        <v>0.018521929273785806</v>
      </c>
      <c r="L1183" t="s">
        <v>153</v>
      </c>
      <c r="N1183" t="s">
        <v>180</v>
      </c>
      <c r="O1183" t="s">
        <v>383</v>
      </c>
      <c r="P1183">
        <v>0.0081989616964620541</v>
      </c>
      <c r="Q1183" t="s">
        <v>153</v>
      </c>
    </row>
    <row r="1184" spans="9:17" ht="14.25">
      <c r="I1184" t="s">
        <v>170</v>
      </c>
      <c r="J1184" t="s">
        <v>384</v>
      </c>
      <c r="K1184">
        <v>0.0017895331127097181</v>
      </c>
      <c r="L1184" t="s">
        <v>153</v>
      </c>
      <c r="N1184" t="s">
        <v>180</v>
      </c>
      <c r="O1184" t="s">
        <v>384</v>
      </c>
      <c r="P1184">
        <v>0.0017302160430652446</v>
      </c>
      <c r="Q1184" t="s">
        <v>153</v>
      </c>
    </row>
    <row r="1185" spans="9:17" ht="14.25">
      <c r="I1185" t="s">
        <v>170</v>
      </c>
      <c r="J1185" t="s">
        <v>385</v>
      </c>
      <c r="K1185">
        <v>7.3334056571409706E-05</v>
      </c>
      <c r="L1185" t="s">
        <v>153</v>
      </c>
      <c r="N1185" t="s">
        <v>180</v>
      </c>
      <c r="O1185" t="s">
        <v>385</v>
      </c>
      <c r="P1185">
        <v>0.0023454129075655521</v>
      </c>
      <c r="Q1185" t="s">
        <v>153</v>
      </c>
    </row>
    <row r="1186" spans="9:17" ht="14.25">
      <c r="I1186" t="s">
        <v>170</v>
      </c>
      <c r="J1186" t="s">
        <v>386</v>
      </c>
      <c r="K1186">
        <v>0</v>
      </c>
      <c r="L1186" t="s">
        <v>153</v>
      </c>
      <c r="N1186" t="s">
        <v>180</v>
      </c>
      <c r="O1186" t="s">
        <v>386</v>
      </c>
      <c r="P1186">
        <v>0.012755105169437153</v>
      </c>
      <c r="Q1186" t="s">
        <v>153</v>
      </c>
    </row>
    <row r="1187" spans="9:17" ht="14.25">
      <c r="I1187" t="s">
        <v>171</v>
      </c>
      <c r="J1187" t="s">
        <v>152</v>
      </c>
      <c r="K1187">
        <v>0</v>
      </c>
      <c r="L1187" t="s">
        <v>153</v>
      </c>
      <c r="N1187" t="s">
        <v>181</v>
      </c>
      <c r="O1187" t="s">
        <v>152</v>
      </c>
      <c r="P1187">
        <v>0.0098549438184928999</v>
      </c>
      <c r="Q1187" t="s">
        <v>153</v>
      </c>
    </row>
    <row r="1188" spans="9:17" ht="14.25">
      <c r="I1188" t="s">
        <v>171</v>
      </c>
      <c r="J1188" t="s">
        <v>154</v>
      </c>
      <c r="K1188">
        <v>0</v>
      </c>
      <c r="L1188" t="s">
        <v>153</v>
      </c>
      <c r="N1188" t="s">
        <v>181</v>
      </c>
      <c r="O1188" t="s">
        <v>154</v>
      </c>
      <c r="P1188">
        <v>0.0017109677348559047</v>
      </c>
      <c r="Q1188" t="s">
        <v>153</v>
      </c>
    </row>
    <row r="1189" spans="9:17" ht="14.25">
      <c r="I1189" t="s">
        <v>171</v>
      </c>
      <c r="J1189" t="s">
        <v>155</v>
      </c>
      <c r="K1189">
        <v>0.0012985838326074227</v>
      </c>
      <c r="L1189" t="s">
        <v>153</v>
      </c>
      <c r="N1189" t="s">
        <v>181</v>
      </c>
      <c r="O1189" t="s">
        <v>155</v>
      </c>
      <c r="P1189">
        <v>0.00186626424660676</v>
      </c>
      <c r="Q1189" t="s">
        <v>153</v>
      </c>
    </row>
    <row r="1190" spans="9:17" ht="14.25">
      <c r="I1190" t="s">
        <v>171</v>
      </c>
      <c r="J1190" t="s">
        <v>200</v>
      </c>
      <c r="K1190">
        <v>0.0022463370801081625</v>
      </c>
      <c r="L1190" t="s">
        <v>153</v>
      </c>
      <c r="N1190" t="s">
        <v>181</v>
      </c>
      <c r="O1190" t="s">
        <v>200</v>
      </c>
      <c r="P1190">
        <v>0.0015965048914745217</v>
      </c>
      <c r="Q1190" t="s">
        <v>153</v>
      </c>
    </row>
    <row r="1191" spans="9:17" ht="14.25">
      <c r="I1191" t="s">
        <v>171</v>
      </c>
      <c r="J1191" t="s">
        <v>201</v>
      </c>
      <c r="K1191">
        <v>0.019581650353432106</v>
      </c>
      <c r="L1191" t="s">
        <v>153</v>
      </c>
      <c r="N1191" t="s">
        <v>181</v>
      </c>
      <c r="O1191" t="s">
        <v>201</v>
      </c>
      <c r="P1191">
        <v>0.012774623292829728</v>
      </c>
      <c r="Q1191" t="s">
        <v>153</v>
      </c>
    </row>
    <row r="1192" spans="9:17" ht="14.25">
      <c r="I1192" t="s">
        <v>171</v>
      </c>
      <c r="J1192" t="s">
        <v>218</v>
      </c>
      <c r="K1192">
        <v>0.0020084448543044621</v>
      </c>
      <c r="L1192" t="s">
        <v>153</v>
      </c>
      <c r="N1192" t="s">
        <v>181</v>
      </c>
      <c r="O1192" t="s">
        <v>218</v>
      </c>
      <c r="P1192">
        <v>0.0015560178737919227</v>
      </c>
      <c r="Q1192" t="s">
        <v>153</v>
      </c>
    </row>
    <row r="1193" spans="9:17" ht="14.25">
      <c r="I1193" t="s">
        <v>171</v>
      </c>
      <c r="J1193" t="s">
        <v>309</v>
      </c>
      <c r="K1193">
        <v>0.0012700827356151199</v>
      </c>
      <c r="L1193" t="s">
        <v>153</v>
      </c>
      <c r="N1193" t="s">
        <v>181</v>
      </c>
      <c r="O1193" t="s">
        <v>309</v>
      </c>
      <c r="P1193">
        <v>0.0016534218869760286</v>
      </c>
      <c r="Q1193" t="s">
        <v>153</v>
      </c>
    </row>
    <row r="1194" spans="9:17" ht="14.25">
      <c r="I1194" t="s">
        <v>171</v>
      </c>
      <c r="J1194" t="s">
        <v>310</v>
      </c>
      <c r="K1194">
        <v>0</v>
      </c>
      <c r="L1194" t="s">
        <v>153</v>
      </c>
      <c r="N1194" t="s">
        <v>181</v>
      </c>
      <c r="O1194" t="s">
        <v>310</v>
      </c>
      <c r="P1194">
        <v>0.0084197820391500467</v>
      </c>
      <c r="Q1194" t="s">
        <v>153</v>
      </c>
    </row>
    <row r="1195" spans="9:17" ht="14.25">
      <c r="I1195" t="s">
        <v>171</v>
      </c>
      <c r="J1195" t="s">
        <v>156</v>
      </c>
      <c r="K1195">
        <v>0</v>
      </c>
      <c r="L1195" t="s">
        <v>153</v>
      </c>
      <c r="N1195" t="s">
        <v>181</v>
      </c>
      <c r="O1195" t="s">
        <v>156</v>
      </c>
      <c r="P1195">
        <v>0.0091192044965994791</v>
      </c>
      <c r="Q1195" t="s">
        <v>153</v>
      </c>
    </row>
    <row r="1196" spans="9:17" ht="14.25">
      <c r="I1196" t="s">
        <v>171</v>
      </c>
      <c r="J1196" t="s">
        <v>157</v>
      </c>
      <c r="K1196">
        <v>0</v>
      </c>
      <c r="L1196" t="s">
        <v>153</v>
      </c>
      <c r="N1196" t="s">
        <v>181</v>
      </c>
      <c r="O1196" t="s">
        <v>157</v>
      </c>
      <c r="P1196">
        <v>0.0014806517288649982</v>
      </c>
      <c r="Q1196" t="s">
        <v>153</v>
      </c>
    </row>
    <row r="1197" spans="9:17" ht="14.25">
      <c r="I1197" t="s">
        <v>171</v>
      </c>
      <c r="J1197" t="s">
        <v>158</v>
      </c>
      <c r="K1197">
        <v>0.00068978536855372058</v>
      </c>
      <c r="L1197" t="s">
        <v>153</v>
      </c>
      <c r="N1197" t="s">
        <v>181</v>
      </c>
      <c r="O1197" t="s">
        <v>158</v>
      </c>
      <c r="P1197">
        <v>0.0013677812774607482</v>
      </c>
      <c r="Q1197" t="s">
        <v>153</v>
      </c>
    </row>
    <row r="1198" spans="9:17" ht="14.25">
      <c r="I1198" t="s">
        <v>171</v>
      </c>
      <c r="J1198" t="s">
        <v>202</v>
      </c>
      <c r="K1198">
        <v>0.0011665134304124328</v>
      </c>
      <c r="L1198" t="s">
        <v>153</v>
      </c>
      <c r="N1198" t="s">
        <v>181</v>
      </c>
      <c r="O1198" t="s">
        <v>202</v>
      </c>
      <c r="P1198">
        <v>0.0013874939846623127</v>
      </c>
      <c r="Q1198" t="s">
        <v>153</v>
      </c>
    </row>
    <row r="1199" spans="9:17" ht="14.25">
      <c r="I1199" t="s">
        <v>171</v>
      </c>
      <c r="J1199" t="s">
        <v>203</v>
      </c>
      <c r="K1199">
        <v>0.01006946454029331</v>
      </c>
      <c r="L1199" t="s">
        <v>153</v>
      </c>
      <c r="N1199" t="s">
        <v>181</v>
      </c>
      <c r="O1199" t="s">
        <v>203</v>
      </c>
      <c r="P1199">
        <v>0.02063227654826608</v>
      </c>
      <c r="Q1199" t="s">
        <v>153</v>
      </c>
    </row>
    <row r="1200" spans="9:17" ht="14.25">
      <c r="I1200" t="s">
        <v>171</v>
      </c>
      <c r="J1200" t="s">
        <v>219</v>
      </c>
      <c r="K1200">
        <v>0.0010909907530911791</v>
      </c>
      <c r="L1200" t="s">
        <v>153</v>
      </c>
      <c r="N1200" t="s">
        <v>181</v>
      </c>
      <c r="O1200" t="s">
        <v>219</v>
      </c>
      <c r="P1200">
        <v>0.0029103105495626768</v>
      </c>
      <c r="Q1200" t="s">
        <v>153</v>
      </c>
    </row>
    <row r="1201" spans="9:17" ht="14.25">
      <c r="I1201" t="s">
        <v>171</v>
      </c>
      <c r="J1201" t="s">
        <v>311</v>
      </c>
      <c r="K1201">
        <v>0.00069087495703264233</v>
      </c>
      <c r="L1201" t="s">
        <v>153</v>
      </c>
      <c r="N1201" t="s">
        <v>181</v>
      </c>
      <c r="O1201" t="s">
        <v>311</v>
      </c>
      <c r="P1201">
        <v>0.0024342574132419225</v>
      </c>
      <c r="Q1201" t="s">
        <v>153</v>
      </c>
    </row>
    <row r="1202" spans="9:17" ht="14.25">
      <c r="I1202" t="s">
        <v>171</v>
      </c>
      <c r="J1202" t="s">
        <v>312</v>
      </c>
      <c r="K1202">
        <v>0</v>
      </c>
      <c r="L1202" t="s">
        <v>153</v>
      </c>
      <c r="N1202" t="s">
        <v>181</v>
      </c>
      <c r="O1202" t="s">
        <v>312</v>
      </c>
      <c r="P1202">
        <v>0.010194189562524353</v>
      </c>
      <c r="Q1202" t="s">
        <v>153</v>
      </c>
    </row>
    <row r="1203" spans="9:17" ht="14.25">
      <c r="I1203" t="s">
        <v>171</v>
      </c>
      <c r="J1203" t="s">
        <v>159</v>
      </c>
      <c r="K1203">
        <v>0</v>
      </c>
      <c r="L1203" t="s">
        <v>153</v>
      </c>
      <c r="N1203" t="s">
        <v>181</v>
      </c>
      <c r="O1203" t="s">
        <v>159</v>
      </c>
      <c r="P1203">
        <v>0.011277439737712024</v>
      </c>
      <c r="Q1203" t="s">
        <v>153</v>
      </c>
    </row>
    <row r="1204" spans="9:17" ht="14.25">
      <c r="I1204" t="s">
        <v>171</v>
      </c>
      <c r="J1204" t="s">
        <v>160</v>
      </c>
      <c r="K1204">
        <v>0</v>
      </c>
      <c r="L1204" t="s">
        <v>153</v>
      </c>
      <c r="N1204" t="s">
        <v>181</v>
      </c>
      <c r="O1204" t="s">
        <v>160</v>
      </c>
      <c r="P1204">
        <v>0.0018236007968150988</v>
      </c>
      <c r="Q1204" t="s">
        <v>153</v>
      </c>
    </row>
    <row r="1205" spans="9:17" ht="14.25">
      <c r="I1205" t="s">
        <v>171</v>
      </c>
      <c r="J1205" t="s">
        <v>161</v>
      </c>
      <c r="K1205">
        <v>0.0020899880614907861</v>
      </c>
      <c r="L1205" t="s">
        <v>153</v>
      </c>
      <c r="N1205" t="s">
        <v>181</v>
      </c>
      <c r="O1205" t="s">
        <v>161</v>
      </c>
      <c r="P1205">
        <v>0.0016181251057471634</v>
      </c>
      <c r="Q1205" t="s">
        <v>153</v>
      </c>
    </row>
    <row r="1206" spans="9:17" ht="14.25">
      <c r="I1206" t="s">
        <v>171</v>
      </c>
      <c r="J1206" t="s">
        <v>204</v>
      </c>
      <c r="K1206">
        <v>0.003701904432177544</v>
      </c>
      <c r="L1206" t="s">
        <v>153</v>
      </c>
      <c r="N1206" t="s">
        <v>181</v>
      </c>
      <c r="O1206" t="s">
        <v>204</v>
      </c>
      <c r="P1206">
        <v>0.0013404098423815609</v>
      </c>
      <c r="Q1206" t="s">
        <v>153</v>
      </c>
    </row>
    <row r="1207" spans="9:17" ht="14.25">
      <c r="I1207" t="s">
        <v>171</v>
      </c>
      <c r="J1207" t="s">
        <v>205</v>
      </c>
      <c r="K1207">
        <v>0.033807304373061828</v>
      </c>
      <c r="L1207" t="s">
        <v>153</v>
      </c>
      <c r="N1207" t="s">
        <v>181</v>
      </c>
      <c r="O1207" t="s">
        <v>205</v>
      </c>
      <c r="P1207">
        <v>0.013454698338659503</v>
      </c>
      <c r="Q1207" t="s">
        <v>153</v>
      </c>
    </row>
    <row r="1208" spans="9:17" ht="14.25">
      <c r="I1208" t="s">
        <v>171</v>
      </c>
      <c r="J1208" t="s">
        <v>220</v>
      </c>
      <c r="K1208">
        <v>0.0037882921802755865</v>
      </c>
      <c r="L1208" t="s">
        <v>153</v>
      </c>
      <c r="N1208" t="s">
        <v>181</v>
      </c>
      <c r="O1208" t="s">
        <v>220</v>
      </c>
      <c r="P1208">
        <v>0.0015812393333331175</v>
      </c>
      <c r="Q1208" t="s">
        <v>153</v>
      </c>
    </row>
    <row r="1209" spans="9:17" ht="14.25">
      <c r="I1209" t="s">
        <v>171</v>
      </c>
      <c r="J1209" t="s">
        <v>313</v>
      </c>
      <c r="K1209">
        <v>0.0021534724068439943</v>
      </c>
      <c r="L1209" t="s">
        <v>153</v>
      </c>
      <c r="N1209" t="s">
        <v>181</v>
      </c>
      <c r="O1209" t="s">
        <v>313</v>
      </c>
      <c r="P1209">
        <v>0.0016812085270178072</v>
      </c>
      <c r="Q1209" t="s">
        <v>153</v>
      </c>
    </row>
    <row r="1210" spans="9:17" ht="14.25">
      <c r="I1210" t="s">
        <v>171</v>
      </c>
      <c r="J1210" t="s">
        <v>314</v>
      </c>
      <c r="K1210">
        <v>0</v>
      </c>
      <c r="L1210" t="s">
        <v>153</v>
      </c>
      <c r="N1210" t="s">
        <v>181</v>
      </c>
      <c r="O1210" t="s">
        <v>314</v>
      </c>
      <c r="P1210">
        <v>0.0089884863572702138</v>
      </c>
      <c r="Q1210" t="s">
        <v>153</v>
      </c>
    </row>
    <row r="1211" spans="9:17" ht="14.25">
      <c r="I1211" t="s">
        <v>171</v>
      </c>
      <c r="J1211" t="s">
        <v>162</v>
      </c>
      <c r="K1211">
        <v>0</v>
      </c>
      <c r="L1211" t="s">
        <v>153</v>
      </c>
      <c r="N1211" t="s">
        <v>181</v>
      </c>
      <c r="O1211" t="s">
        <v>162</v>
      </c>
      <c r="P1211">
        <v>0.013900510913949032</v>
      </c>
      <c r="Q1211" t="s">
        <v>153</v>
      </c>
    </row>
    <row r="1212" spans="9:17" ht="14.25">
      <c r="I1212" t="s">
        <v>171</v>
      </c>
      <c r="J1212" t="s">
        <v>163</v>
      </c>
      <c r="K1212">
        <v>0</v>
      </c>
      <c r="L1212" t="s">
        <v>153</v>
      </c>
      <c r="N1212" t="s">
        <v>181</v>
      </c>
      <c r="O1212" t="s">
        <v>163</v>
      </c>
      <c r="P1212">
        <v>0.0023153396993901968</v>
      </c>
      <c r="Q1212" t="s">
        <v>153</v>
      </c>
    </row>
    <row r="1213" spans="9:17" ht="14.25">
      <c r="I1213" t="s">
        <v>171</v>
      </c>
      <c r="J1213" t="s">
        <v>164</v>
      </c>
      <c r="K1213">
        <v>0.0036280928905827515</v>
      </c>
      <c r="L1213" t="s">
        <v>153</v>
      </c>
      <c r="N1213" t="s">
        <v>181</v>
      </c>
      <c r="O1213" t="s">
        <v>164</v>
      </c>
      <c r="P1213">
        <v>0.0022288877983361174</v>
      </c>
      <c r="Q1213" t="s">
        <v>153</v>
      </c>
    </row>
    <row r="1214" spans="9:17" ht="14.25">
      <c r="I1214" t="s">
        <v>171</v>
      </c>
      <c r="J1214" t="s">
        <v>206</v>
      </c>
      <c r="K1214">
        <v>0.0059563171469926577</v>
      </c>
      <c r="L1214" t="s">
        <v>153</v>
      </c>
      <c r="N1214" t="s">
        <v>181</v>
      </c>
      <c r="O1214" t="s">
        <v>206</v>
      </c>
      <c r="P1214">
        <v>0.0018464431998439085</v>
      </c>
      <c r="Q1214" t="s">
        <v>153</v>
      </c>
    </row>
    <row r="1215" spans="9:17" ht="14.25">
      <c r="I1215" t="s">
        <v>171</v>
      </c>
      <c r="J1215" t="s">
        <v>207</v>
      </c>
      <c r="K1215">
        <v>0.052035715651383659</v>
      </c>
      <c r="L1215" t="s">
        <v>153</v>
      </c>
      <c r="N1215" t="s">
        <v>181</v>
      </c>
      <c r="O1215" t="s">
        <v>207</v>
      </c>
      <c r="P1215">
        <v>0.025065250047233027</v>
      </c>
      <c r="Q1215" t="s">
        <v>153</v>
      </c>
    </row>
    <row r="1216" spans="9:17" ht="14.25">
      <c r="I1216" t="s">
        <v>171</v>
      </c>
      <c r="J1216" t="s">
        <v>221</v>
      </c>
      <c r="K1216">
        <v>0.0060444830273439325</v>
      </c>
      <c r="L1216" t="s">
        <v>153</v>
      </c>
      <c r="N1216" t="s">
        <v>181</v>
      </c>
      <c r="O1216" t="s">
        <v>221</v>
      </c>
      <c r="P1216">
        <v>0.0042949063035944233</v>
      </c>
      <c r="Q1216" t="s">
        <v>153</v>
      </c>
    </row>
    <row r="1217" spans="9:17" ht="14.25">
      <c r="I1217" t="s">
        <v>171</v>
      </c>
      <c r="J1217" t="s">
        <v>315</v>
      </c>
      <c r="K1217">
        <v>0.003732279390406663</v>
      </c>
      <c r="L1217" t="s">
        <v>153</v>
      </c>
      <c r="N1217" t="s">
        <v>181</v>
      </c>
      <c r="O1217" t="s">
        <v>315</v>
      </c>
      <c r="P1217">
        <v>0.0044068607038138035</v>
      </c>
      <c r="Q1217" t="s">
        <v>153</v>
      </c>
    </row>
    <row r="1218" spans="9:17" ht="14.25">
      <c r="I1218" t="s">
        <v>171</v>
      </c>
      <c r="J1218" t="s">
        <v>316</v>
      </c>
      <c r="K1218">
        <v>0</v>
      </c>
      <c r="L1218" t="s">
        <v>153</v>
      </c>
      <c r="N1218" t="s">
        <v>181</v>
      </c>
      <c r="O1218" t="s">
        <v>316</v>
      </c>
      <c r="P1218">
        <v>0.0193958155924919</v>
      </c>
      <c r="Q1218" t="s">
        <v>153</v>
      </c>
    </row>
    <row r="1219" spans="9:17" ht="14.25">
      <c r="I1219" t="s">
        <v>171</v>
      </c>
      <c r="J1219" t="s">
        <v>208</v>
      </c>
      <c r="K1219">
        <v>0</v>
      </c>
      <c r="L1219" t="s">
        <v>153</v>
      </c>
      <c r="N1219" t="s">
        <v>181</v>
      </c>
      <c r="O1219" t="s">
        <v>208</v>
      </c>
      <c r="P1219">
        <v>0.00129079690958178</v>
      </c>
      <c r="Q1219" t="s">
        <v>153</v>
      </c>
    </row>
    <row r="1220" spans="9:17" ht="14.25">
      <c r="I1220" t="s">
        <v>171</v>
      </c>
      <c r="J1220" t="s">
        <v>209</v>
      </c>
      <c r="K1220">
        <v>0</v>
      </c>
      <c r="L1220" t="s">
        <v>153</v>
      </c>
      <c r="N1220" t="s">
        <v>181</v>
      </c>
      <c r="O1220" t="s">
        <v>209</v>
      </c>
      <c r="P1220">
        <v>0.00026464929899639583</v>
      </c>
      <c r="Q1220" t="s">
        <v>153</v>
      </c>
    </row>
    <row r="1221" spans="9:17" ht="14.25">
      <c r="I1221" t="s">
        <v>171</v>
      </c>
      <c r="J1221" t="s">
        <v>210</v>
      </c>
      <c r="K1221">
        <v>0.00097811330090896817</v>
      </c>
      <c r="L1221" t="s">
        <v>153</v>
      </c>
      <c r="N1221" t="s">
        <v>181</v>
      </c>
      <c r="O1221" t="s">
        <v>210</v>
      </c>
      <c r="P1221">
        <v>0.00023095466071013348</v>
      </c>
      <c r="Q1221" t="s">
        <v>153</v>
      </c>
    </row>
    <row r="1222" spans="9:17" ht="14.25">
      <c r="I1222" t="s">
        <v>171</v>
      </c>
      <c r="J1222" t="s">
        <v>211</v>
      </c>
      <c r="K1222">
        <v>0.0016455090600287962</v>
      </c>
      <c r="L1222" t="s">
        <v>153</v>
      </c>
      <c r="N1222" t="s">
        <v>181</v>
      </c>
      <c r="O1222" t="s">
        <v>211</v>
      </c>
      <c r="P1222">
        <v>0.00013534022982543748</v>
      </c>
      <c r="Q1222" t="s">
        <v>153</v>
      </c>
    </row>
    <row r="1223" spans="9:17" ht="14.25">
      <c r="I1223" t="s">
        <v>171</v>
      </c>
      <c r="J1223" t="s">
        <v>212</v>
      </c>
      <c r="K1223">
        <v>0.015286962829963901</v>
      </c>
      <c r="L1223" t="s">
        <v>153</v>
      </c>
      <c r="N1223" t="s">
        <v>181</v>
      </c>
      <c r="O1223" t="s">
        <v>212</v>
      </c>
      <c r="P1223">
        <v>0.00054416630444387843</v>
      </c>
      <c r="Q1223" t="s">
        <v>153</v>
      </c>
    </row>
    <row r="1224" spans="9:17" ht="14.25">
      <c r="I1224" t="s">
        <v>171</v>
      </c>
      <c r="J1224" t="s">
        <v>222</v>
      </c>
      <c r="K1224">
        <v>0.0017940261763784099</v>
      </c>
      <c r="L1224" t="s">
        <v>153</v>
      </c>
      <c r="N1224" t="s">
        <v>181</v>
      </c>
      <c r="O1224" t="s">
        <v>222</v>
      </c>
      <c r="P1224">
        <v>0.00015003605481994078</v>
      </c>
      <c r="Q1224" t="s">
        <v>153</v>
      </c>
    </row>
    <row r="1225" spans="9:17" ht="14.25">
      <c r="I1225" t="s">
        <v>171</v>
      </c>
      <c r="J1225" t="s">
        <v>317</v>
      </c>
      <c r="K1225">
        <v>0.001132893868885891</v>
      </c>
      <c r="L1225" t="s">
        <v>153</v>
      </c>
      <c r="N1225" t="s">
        <v>181</v>
      </c>
      <c r="O1225" t="s">
        <v>317</v>
      </c>
      <c r="P1225">
        <v>0.00021809291202679916</v>
      </c>
      <c r="Q1225" t="s">
        <v>153</v>
      </c>
    </row>
    <row r="1226" spans="9:17" ht="14.25">
      <c r="I1226" t="s">
        <v>171</v>
      </c>
      <c r="J1226" t="s">
        <v>318</v>
      </c>
      <c r="K1226">
        <v>0</v>
      </c>
      <c r="L1226" t="s">
        <v>153</v>
      </c>
      <c r="N1226" t="s">
        <v>181</v>
      </c>
      <c r="O1226" t="s">
        <v>318</v>
      </c>
      <c r="P1226">
        <v>0.0019343158015058784</v>
      </c>
      <c r="Q1226" t="s">
        <v>153</v>
      </c>
    </row>
    <row r="1227" spans="9:17" ht="14.25">
      <c r="I1227" t="s">
        <v>171</v>
      </c>
      <c r="J1227" t="s">
        <v>223</v>
      </c>
      <c r="K1227">
        <v>0</v>
      </c>
      <c r="L1227" t="s">
        <v>153</v>
      </c>
      <c r="N1227" t="s">
        <v>181</v>
      </c>
      <c r="O1227" t="s">
        <v>223</v>
      </c>
      <c r="P1227">
        <v>0.0048436057457077707</v>
      </c>
      <c r="Q1227" t="s">
        <v>153</v>
      </c>
    </row>
    <row r="1228" spans="9:17" ht="14.25">
      <c r="I1228" t="s">
        <v>171</v>
      </c>
      <c r="J1228" t="s">
        <v>224</v>
      </c>
      <c r="K1228">
        <v>0</v>
      </c>
      <c r="L1228" t="s">
        <v>153</v>
      </c>
      <c r="N1228" t="s">
        <v>181</v>
      </c>
      <c r="O1228" t="s">
        <v>224</v>
      </c>
      <c r="P1228">
        <v>0.00094389397414557216</v>
      </c>
      <c r="Q1228" t="s">
        <v>153</v>
      </c>
    </row>
    <row r="1229" spans="9:17" ht="14.25">
      <c r="I1229" t="s">
        <v>171</v>
      </c>
      <c r="J1229" t="s">
        <v>225</v>
      </c>
      <c r="K1229">
        <v>0.0014185930126916332</v>
      </c>
      <c r="L1229" t="s">
        <v>153</v>
      </c>
      <c r="N1229" t="s">
        <v>181</v>
      </c>
      <c r="O1229" t="s">
        <v>225</v>
      </c>
      <c r="P1229">
        <v>0.0010271649598432467</v>
      </c>
      <c r="Q1229" t="s">
        <v>153</v>
      </c>
    </row>
    <row r="1230" spans="9:17" ht="14.25">
      <c r="I1230" t="s">
        <v>171</v>
      </c>
      <c r="J1230" t="s">
        <v>226</v>
      </c>
      <c r="K1230">
        <v>0.0021411294362795748</v>
      </c>
      <c r="L1230" t="s">
        <v>153</v>
      </c>
      <c r="N1230" t="s">
        <v>181</v>
      </c>
      <c r="O1230" t="s">
        <v>226</v>
      </c>
      <c r="P1230">
        <v>0.001045758960924896</v>
      </c>
      <c r="Q1230" t="s">
        <v>153</v>
      </c>
    </row>
    <row r="1231" spans="9:17" ht="14.25">
      <c r="I1231" t="s">
        <v>171</v>
      </c>
      <c r="J1231" t="s">
        <v>227</v>
      </c>
      <c r="K1231">
        <v>0.017395540273861469</v>
      </c>
      <c r="L1231" t="s">
        <v>153</v>
      </c>
      <c r="N1231" t="s">
        <v>181</v>
      </c>
      <c r="O1231" t="s">
        <v>227</v>
      </c>
      <c r="P1231">
        <v>0.017561380348294658</v>
      </c>
      <c r="Q1231" t="s">
        <v>153</v>
      </c>
    </row>
    <row r="1232" spans="9:17" ht="14.25">
      <c r="I1232" t="s">
        <v>171</v>
      </c>
      <c r="J1232" t="s">
        <v>228</v>
      </c>
      <c r="K1232">
        <v>0.0019030877217141484</v>
      </c>
      <c r="L1232" t="s">
        <v>153</v>
      </c>
      <c r="N1232" t="s">
        <v>181</v>
      </c>
      <c r="O1232" t="s">
        <v>228</v>
      </c>
      <c r="P1232">
        <v>0.0026241330120387344</v>
      </c>
      <c r="Q1232" t="s">
        <v>153</v>
      </c>
    </row>
    <row r="1233" spans="9:17" ht="14.25">
      <c r="I1233" t="s">
        <v>171</v>
      </c>
      <c r="J1233" t="s">
        <v>319</v>
      </c>
      <c r="K1233">
        <v>0.0012224494875689121</v>
      </c>
      <c r="L1233" t="s">
        <v>153</v>
      </c>
      <c r="N1233" t="s">
        <v>181</v>
      </c>
      <c r="O1233" t="s">
        <v>319</v>
      </c>
      <c r="P1233">
        <v>0.0021739265786207555</v>
      </c>
      <c r="Q1233" t="s">
        <v>153</v>
      </c>
    </row>
    <row r="1234" spans="9:17" ht="14.25">
      <c r="I1234" t="s">
        <v>171</v>
      </c>
      <c r="J1234" t="s">
        <v>320</v>
      </c>
      <c r="K1234">
        <v>0</v>
      </c>
      <c r="L1234" t="s">
        <v>153</v>
      </c>
      <c r="N1234" t="s">
        <v>181</v>
      </c>
      <c r="O1234" t="s">
        <v>320</v>
      </c>
      <c r="P1234">
        <v>0.0074325771944227428</v>
      </c>
      <c r="Q1234" t="s">
        <v>153</v>
      </c>
    </row>
    <row r="1235" spans="9:17" ht="14.25">
      <c r="I1235" t="s">
        <v>171</v>
      </c>
      <c r="J1235" t="s">
        <v>235</v>
      </c>
      <c r="K1235">
        <v>0</v>
      </c>
      <c r="L1235" t="s">
        <v>153</v>
      </c>
      <c r="N1235" t="s">
        <v>181</v>
      </c>
      <c r="O1235" t="s">
        <v>235</v>
      </c>
      <c r="P1235">
        <v>0.0027585042188159525</v>
      </c>
      <c r="Q1235" t="s">
        <v>153</v>
      </c>
    </row>
    <row r="1236" spans="9:17" ht="14.25">
      <c r="I1236" t="s">
        <v>171</v>
      </c>
      <c r="J1236" t="s">
        <v>236</v>
      </c>
      <c r="K1236">
        <v>0.00011263612236980594</v>
      </c>
      <c r="L1236" t="s">
        <v>153</v>
      </c>
      <c r="N1236" t="s">
        <v>181</v>
      </c>
      <c r="O1236" t="s">
        <v>236</v>
      </c>
      <c r="P1236">
        <v>0.0010426479709878373</v>
      </c>
      <c r="Q1236" t="s">
        <v>153</v>
      </c>
    </row>
    <row r="1237" spans="9:17" ht="14.25">
      <c r="I1237" t="s">
        <v>171</v>
      </c>
      <c r="J1237" t="s">
        <v>237</v>
      </c>
      <c r="K1237">
        <v>0.0013342294436302804</v>
      </c>
      <c r="L1237" t="s">
        <v>153</v>
      </c>
      <c r="N1237" t="s">
        <v>181</v>
      </c>
      <c r="O1237" t="s">
        <v>237</v>
      </c>
      <c r="P1237">
        <v>0.00076871338658245124</v>
      </c>
      <c r="Q1237" t="s">
        <v>153</v>
      </c>
    </row>
    <row r="1238" spans="9:17" ht="14.25">
      <c r="I1238" t="s">
        <v>171</v>
      </c>
      <c r="J1238" t="s">
        <v>238</v>
      </c>
      <c r="K1238">
        <v>0.0019011419540610002</v>
      </c>
      <c r="L1238" t="s">
        <v>153</v>
      </c>
      <c r="N1238" t="s">
        <v>181</v>
      </c>
      <c r="O1238" t="s">
        <v>238</v>
      </c>
      <c r="P1238">
        <v>0.00052566745280959869</v>
      </c>
      <c r="Q1238" t="s">
        <v>153</v>
      </c>
    </row>
    <row r="1239" spans="9:17" ht="14.25">
      <c r="I1239" t="s">
        <v>171</v>
      </c>
      <c r="J1239" t="s">
        <v>239</v>
      </c>
      <c r="K1239">
        <v>0.015238473326186643</v>
      </c>
      <c r="L1239" t="s">
        <v>153</v>
      </c>
      <c r="N1239" t="s">
        <v>181</v>
      </c>
      <c r="O1239" t="s">
        <v>239</v>
      </c>
      <c r="P1239">
        <v>0.0017037021108083843</v>
      </c>
      <c r="Q1239" t="s">
        <v>153</v>
      </c>
    </row>
    <row r="1240" spans="9:17" ht="14.25">
      <c r="I1240" t="s">
        <v>171</v>
      </c>
      <c r="J1240" t="s">
        <v>240</v>
      </c>
      <c r="K1240">
        <v>0.0016855994895610741</v>
      </c>
      <c r="L1240" t="s">
        <v>153</v>
      </c>
      <c r="N1240" t="s">
        <v>181</v>
      </c>
      <c r="O1240" t="s">
        <v>240</v>
      </c>
      <c r="P1240">
        <v>0.00012573916735733208</v>
      </c>
      <c r="Q1240" t="s">
        <v>153</v>
      </c>
    </row>
    <row r="1241" spans="9:17" ht="14.25">
      <c r="I1241" t="s">
        <v>171</v>
      </c>
      <c r="J1241" t="s">
        <v>321</v>
      </c>
      <c r="K1241">
        <v>0.001090565680681118</v>
      </c>
      <c r="L1241" t="s">
        <v>153</v>
      </c>
      <c r="N1241" t="s">
        <v>181</v>
      </c>
      <c r="O1241" t="s">
        <v>321</v>
      </c>
      <c r="P1241">
        <v>0.00010927980413098808</v>
      </c>
      <c r="Q1241" t="s">
        <v>153</v>
      </c>
    </row>
    <row r="1242" spans="9:17" ht="14.25">
      <c r="I1242" t="s">
        <v>171</v>
      </c>
      <c r="J1242" t="s">
        <v>322</v>
      </c>
      <c r="K1242">
        <v>0</v>
      </c>
      <c r="L1242" t="s">
        <v>153</v>
      </c>
      <c r="N1242" t="s">
        <v>181</v>
      </c>
      <c r="O1242" t="s">
        <v>322</v>
      </c>
      <c r="P1242">
        <v>0.00089654435660870046</v>
      </c>
      <c r="Q1242" t="s">
        <v>153</v>
      </c>
    </row>
    <row r="1243" spans="9:17" ht="14.25">
      <c r="I1243" t="s">
        <v>171</v>
      </c>
      <c r="J1243" t="s">
        <v>241</v>
      </c>
      <c r="K1243">
        <v>0</v>
      </c>
      <c r="L1243" t="s">
        <v>153</v>
      </c>
      <c r="N1243" t="s">
        <v>181</v>
      </c>
      <c r="O1243" t="s">
        <v>241</v>
      </c>
      <c r="P1243">
        <v>0.0032880605023845825</v>
      </c>
      <c r="Q1243" t="s">
        <v>153</v>
      </c>
    </row>
    <row r="1244" spans="9:17" ht="14.25">
      <c r="I1244" t="s">
        <v>171</v>
      </c>
      <c r="J1244" t="s">
        <v>242</v>
      </c>
      <c r="K1244">
        <v>0.0002696748486867787</v>
      </c>
      <c r="L1244" t="s">
        <v>153</v>
      </c>
      <c r="N1244" t="s">
        <v>181</v>
      </c>
      <c r="O1244" t="s">
        <v>242</v>
      </c>
      <c r="P1244">
        <v>0.00056014016867700779</v>
      </c>
      <c r="Q1244" t="s">
        <v>153</v>
      </c>
    </row>
    <row r="1245" spans="9:17" ht="14.25">
      <c r="I1245" t="s">
        <v>171</v>
      </c>
      <c r="J1245" t="s">
        <v>243</v>
      </c>
      <c r="K1245">
        <v>0.0006361864654919273</v>
      </c>
      <c r="L1245" t="s">
        <v>153</v>
      </c>
      <c r="N1245" t="s">
        <v>181</v>
      </c>
      <c r="O1245" t="s">
        <v>243</v>
      </c>
      <c r="P1245">
        <v>0.00034171240531631142</v>
      </c>
      <c r="Q1245" t="s">
        <v>153</v>
      </c>
    </row>
    <row r="1246" spans="9:17" ht="14.25">
      <c r="I1246" t="s">
        <v>171</v>
      </c>
      <c r="J1246" t="s">
        <v>244</v>
      </c>
      <c r="K1246">
        <v>0.0010226819978335136</v>
      </c>
      <c r="L1246" t="s">
        <v>153</v>
      </c>
      <c r="N1246" t="s">
        <v>181</v>
      </c>
      <c r="O1246" t="s">
        <v>244</v>
      </c>
      <c r="P1246">
        <v>0.00052378424339006636</v>
      </c>
      <c r="Q1246" t="s">
        <v>153</v>
      </c>
    </row>
    <row r="1247" spans="9:17" ht="14.25">
      <c r="I1247" t="s">
        <v>171</v>
      </c>
      <c r="J1247" t="s">
        <v>245</v>
      </c>
      <c r="K1247">
        <v>0.0085095804170191337</v>
      </c>
      <c r="L1247" t="s">
        <v>153</v>
      </c>
      <c r="N1247" t="s">
        <v>181</v>
      </c>
      <c r="O1247" t="s">
        <v>245</v>
      </c>
      <c r="P1247">
        <v>0.0087152002315302058</v>
      </c>
      <c r="Q1247" t="s">
        <v>153</v>
      </c>
    </row>
    <row r="1248" spans="9:17" ht="14.25">
      <c r="I1248" t="s">
        <v>171</v>
      </c>
      <c r="J1248" t="s">
        <v>246</v>
      </c>
      <c r="K1248">
        <v>0.00072733616484280887</v>
      </c>
      <c r="L1248" t="s">
        <v>153</v>
      </c>
      <c r="N1248" t="s">
        <v>181</v>
      </c>
      <c r="O1248" t="s">
        <v>246</v>
      </c>
      <c r="P1248">
        <v>0.0013838789842699746</v>
      </c>
      <c r="Q1248" t="s">
        <v>153</v>
      </c>
    </row>
    <row r="1249" spans="9:17" ht="14.25">
      <c r="I1249" t="s">
        <v>171</v>
      </c>
      <c r="J1249" t="s">
        <v>323</v>
      </c>
      <c r="K1249">
        <v>0.00044185007540333574</v>
      </c>
      <c r="L1249" t="s">
        <v>153</v>
      </c>
      <c r="N1249" t="s">
        <v>181</v>
      </c>
      <c r="O1249" t="s">
        <v>323</v>
      </c>
      <c r="P1249">
        <v>0.0011675511638556042</v>
      </c>
      <c r="Q1249" t="s">
        <v>153</v>
      </c>
    </row>
    <row r="1250" spans="9:17" ht="14.25">
      <c r="I1250" t="s">
        <v>171</v>
      </c>
      <c r="J1250" t="s">
        <v>324</v>
      </c>
      <c r="K1250">
        <v>0</v>
      </c>
      <c r="L1250" t="s">
        <v>153</v>
      </c>
      <c r="N1250" t="s">
        <v>181</v>
      </c>
      <c r="O1250" t="s">
        <v>324</v>
      </c>
      <c r="P1250">
        <v>0.0027524954870229339</v>
      </c>
      <c r="Q1250" t="s">
        <v>153</v>
      </c>
    </row>
    <row r="1251" spans="9:17" ht="14.25">
      <c r="I1251" t="s">
        <v>171</v>
      </c>
      <c r="J1251" t="s">
        <v>247</v>
      </c>
      <c r="K1251">
        <v>0</v>
      </c>
      <c r="L1251" t="s">
        <v>153</v>
      </c>
      <c r="N1251" t="s">
        <v>181</v>
      </c>
      <c r="O1251" t="s">
        <v>247</v>
      </c>
      <c r="P1251">
        <v>0.0086601478266090191</v>
      </c>
      <c r="Q1251" t="s">
        <v>153</v>
      </c>
    </row>
    <row r="1252" spans="9:17" ht="14.25">
      <c r="I1252" t="s">
        <v>171</v>
      </c>
      <c r="J1252" t="s">
        <v>248</v>
      </c>
      <c r="K1252">
        <v>0.0012136440346805319</v>
      </c>
      <c r="L1252" t="s">
        <v>153</v>
      </c>
      <c r="N1252" t="s">
        <v>181</v>
      </c>
      <c r="O1252" t="s">
        <v>248</v>
      </c>
      <c r="P1252">
        <v>0.001653347254930964</v>
      </c>
      <c r="Q1252" t="s">
        <v>153</v>
      </c>
    </row>
    <row r="1253" spans="9:17" ht="14.25">
      <c r="I1253" t="s">
        <v>171</v>
      </c>
      <c r="J1253" t="s">
        <v>249</v>
      </c>
      <c r="K1253">
        <v>0.0025497519833479363</v>
      </c>
      <c r="L1253" t="s">
        <v>153</v>
      </c>
      <c r="N1253" t="s">
        <v>181</v>
      </c>
      <c r="O1253" t="s">
        <v>249</v>
      </c>
      <c r="P1253">
        <v>0.0013647992330640716</v>
      </c>
      <c r="Q1253" t="s">
        <v>153</v>
      </c>
    </row>
    <row r="1254" spans="9:17" ht="14.25">
      <c r="I1254" t="s">
        <v>171</v>
      </c>
      <c r="J1254" t="s">
        <v>250</v>
      </c>
      <c r="K1254">
        <v>0.0033426960715594381</v>
      </c>
      <c r="L1254" t="s">
        <v>153</v>
      </c>
      <c r="N1254" t="s">
        <v>181</v>
      </c>
      <c r="O1254" t="s">
        <v>250</v>
      </c>
      <c r="P1254">
        <v>0.0015132899558348068</v>
      </c>
      <c r="Q1254" t="s">
        <v>153</v>
      </c>
    </row>
    <row r="1255" spans="9:17" ht="14.25">
      <c r="I1255" t="s">
        <v>171</v>
      </c>
      <c r="J1255" t="s">
        <v>251</v>
      </c>
      <c r="K1255">
        <v>0.02699160332301679</v>
      </c>
      <c r="L1255" t="s">
        <v>153</v>
      </c>
      <c r="N1255" t="s">
        <v>181</v>
      </c>
      <c r="O1255" t="s">
        <v>251</v>
      </c>
      <c r="P1255">
        <v>0.018428926510045185</v>
      </c>
      <c r="Q1255" t="s">
        <v>153</v>
      </c>
    </row>
    <row r="1256" spans="9:17" ht="14.25">
      <c r="I1256" t="s">
        <v>171</v>
      </c>
      <c r="J1256" t="s">
        <v>252</v>
      </c>
      <c r="K1256">
        <v>0.0029223775195154058</v>
      </c>
      <c r="L1256" t="s">
        <v>153</v>
      </c>
      <c r="N1256" t="s">
        <v>181</v>
      </c>
      <c r="O1256" t="s">
        <v>252</v>
      </c>
      <c r="P1256">
        <v>0.0035549623216343754</v>
      </c>
      <c r="Q1256" t="s">
        <v>153</v>
      </c>
    </row>
    <row r="1257" spans="9:17" ht="14.25">
      <c r="I1257" t="s">
        <v>171</v>
      </c>
      <c r="J1257" t="s">
        <v>325</v>
      </c>
      <c r="K1257">
        <v>0.0019247011267307366</v>
      </c>
      <c r="L1257" t="s">
        <v>153</v>
      </c>
      <c r="N1257" t="s">
        <v>181</v>
      </c>
      <c r="O1257" t="s">
        <v>325</v>
      </c>
      <c r="P1257">
        <v>0.0037291344292339798</v>
      </c>
      <c r="Q1257" t="s">
        <v>153</v>
      </c>
    </row>
    <row r="1258" spans="9:17" ht="14.25">
      <c r="I1258" t="s">
        <v>171</v>
      </c>
      <c r="J1258" t="s">
        <v>326</v>
      </c>
      <c r="K1258">
        <v>0</v>
      </c>
      <c r="L1258" t="s">
        <v>153</v>
      </c>
      <c r="N1258" t="s">
        <v>181</v>
      </c>
      <c r="O1258" t="s">
        <v>326</v>
      </c>
      <c r="P1258">
        <v>0.014077302193542692</v>
      </c>
      <c r="Q1258" t="s">
        <v>153</v>
      </c>
    </row>
    <row r="1259" spans="9:17" ht="14.25">
      <c r="I1259" t="s">
        <v>171</v>
      </c>
      <c r="J1259" t="s">
        <v>262</v>
      </c>
      <c r="K1259">
        <v>0</v>
      </c>
      <c r="L1259" t="s">
        <v>153</v>
      </c>
      <c r="N1259" t="s">
        <v>181</v>
      </c>
      <c r="O1259" t="s">
        <v>262</v>
      </c>
      <c r="P1259">
        <v>0.0046453559243423989</v>
      </c>
      <c r="Q1259" t="s">
        <v>153</v>
      </c>
    </row>
    <row r="1260" spans="9:17" ht="14.25">
      <c r="I1260" t="s">
        <v>171</v>
      </c>
      <c r="J1260" t="s">
        <v>263</v>
      </c>
      <c r="K1260">
        <v>0.0019225364371188419</v>
      </c>
      <c r="L1260" t="s">
        <v>153</v>
      </c>
      <c r="N1260" t="s">
        <v>181</v>
      </c>
      <c r="O1260" t="s">
        <v>263</v>
      </c>
      <c r="P1260">
        <v>0.0010431113890306725</v>
      </c>
      <c r="Q1260" t="s">
        <v>153</v>
      </c>
    </row>
    <row r="1261" spans="9:17" ht="14.25">
      <c r="I1261" t="s">
        <v>171</v>
      </c>
      <c r="J1261" t="s">
        <v>264</v>
      </c>
      <c r="K1261">
        <v>0.0037090782419305561</v>
      </c>
      <c r="L1261" t="s">
        <v>153</v>
      </c>
      <c r="N1261" t="s">
        <v>181</v>
      </c>
      <c r="O1261" t="s">
        <v>264</v>
      </c>
      <c r="P1261">
        <v>0.00094062931543017255</v>
      </c>
      <c r="Q1261" t="s">
        <v>153</v>
      </c>
    </row>
    <row r="1262" spans="9:17" ht="14.25">
      <c r="I1262" t="s">
        <v>171</v>
      </c>
      <c r="J1262" t="s">
        <v>265</v>
      </c>
      <c r="K1262">
        <v>0.0046682905396760038</v>
      </c>
      <c r="L1262" t="s">
        <v>153</v>
      </c>
      <c r="N1262" t="s">
        <v>181</v>
      </c>
      <c r="O1262" t="s">
        <v>265</v>
      </c>
      <c r="P1262">
        <v>0.0013211018480593665</v>
      </c>
      <c r="Q1262" t="s">
        <v>153</v>
      </c>
    </row>
    <row r="1263" spans="9:17" ht="14.25">
      <c r="I1263" t="s">
        <v>171</v>
      </c>
      <c r="J1263" t="s">
        <v>266</v>
      </c>
      <c r="K1263">
        <v>0.037780744893835913</v>
      </c>
      <c r="L1263" t="s">
        <v>153</v>
      </c>
      <c r="N1263" t="s">
        <v>181</v>
      </c>
      <c r="O1263" t="s">
        <v>266</v>
      </c>
      <c r="P1263">
        <v>0.022038874610918011</v>
      </c>
      <c r="Q1263" t="s">
        <v>153</v>
      </c>
    </row>
    <row r="1264" spans="9:17" ht="14.25">
      <c r="I1264" t="s">
        <v>171</v>
      </c>
      <c r="J1264" t="s">
        <v>267</v>
      </c>
      <c r="K1264">
        <v>0.0037545164574872758</v>
      </c>
      <c r="L1264" t="s">
        <v>153</v>
      </c>
      <c r="N1264" t="s">
        <v>181</v>
      </c>
      <c r="O1264" t="s">
        <v>267</v>
      </c>
      <c r="P1264">
        <v>0.0032100650715052277</v>
      </c>
      <c r="Q1264" t="s">
        <v>153</v>
      </c>
    </row>
    <row r="1265" spans="9:17" ht="14.25">
      <c r="I1265" t="s">
        <v>171</v>
      </c>
      <c r="J1265" t="s">
        <v>327</v>
      </c>
      <c r="K1265">
        <v>0.0025656618797181311</v>
      </c>
      <c r="L1265" t="s">
        <v>153</v>
      </c>
      <c r="N1265" t="s">
        <v>181</v>
      </c>
      <c r="O1265" t="s">
        <v>327</v>
      </c>
      <c r="P1265">
        <v>0.0029036136198735364</v>
      </c>
      <c r="Q1265" t="s">
        <v>153</v>
      </c>
    </row>
    <row r="1266" spans="9:17" ht="14.25">
      <c r="I1266" t="s">
        <v>171</v>
      </c>
      <c r="J1266" t="s">
        <v>328</v>
      </c>
      <c r="K1266">
        <v>0.00084904166899529409</v>
      </c>
      <c r="L1266" t="s">
        <v>153</v>
      </c>
      <c r="N1266" t="s">
        <v>181</v>
      </c>
      <c r="O1266" t="s">
        <v>328</v>
      </c>
      <c r="P1266">
        <v>0.009433861843265676</v>
      </c>
      <c r="Q1266" t="s">
        <v>153</v>
      </c>
    </row>
    <row r="1267" spans="9:17" ht="14.25">
      <c r="I1267" t="s">
        <v>171</v>
      </c>
      <c r="J1267" t="s">
        <v>268</v>
      </c>
      <c r="K1267">
        <v>0</v>
      </c>
      <c r="L1267" t="s">
        <v>153</v>
      </c>
      <c r="N1267" t="s">
        <v>181</v>
      </c>
      <c r="O1267" t="s">
        <v>268</v>
      </c>
      <c r="P1267">
        <v>0.0047128965518427506</v>
      </c>
      <c r="Q1267" t="s">
        <v>153</v>
      </c>
    </row>
    <row r="1268" spans="9:17" ht="14.25">
      <c r="I1268" t="s">
        <v>171</v>
      </c>
      <c r="J1268" t="s">
        <v>269</v>
      </c>
      <c r="K1268">
        <v>0.0023523796019717623</v>
      </c>
      <c r="L1268" t="s">
        <v>153</v>
      </c>
      <c r="N1268" t="s">
        <v>181</v>
      </c>
      <c r="O1268" t="s">
        <v>269</v>
      </c>
      <c r="P1268">
        <v>0.0011602548767732476</v>
      </c>
      <c r="Q1268" t="s">
        <v>153</v>
      </c>
    </row>
    <row r="1269" spans="9:17" ht="14.25">
      <c r="I1269" t="s">
        <v>171</v>
      </c>
      <c r="J1269" t="s">
        <v>270</v>
      </c>
      <c r="K1269">
        <v>0.0040788948846659035</v>
      </c>
      <c r="L1269" t="s">
        <v>153</v>
      </c>
      <c r="N1269" t="s">
        <v>181</v>
      </c>
      <c r="O1269" t="s">
        <v>270</v>
      </c>
      <c r="P1269">
        <v>0.0008959291865713834</v>
      </c>
      <c r="Q1269" t="s">
        <v>153</v>
      </c>
    </row>
    <row r="1270" spans="9:17" ht="14.25">
      <c r="I1270" t="s">
        <v>171</v>
      </c>
      <c r="J1270" t="s">
        <v>271</v>
      </c>
      <c r="K1270">
        <v>0.0051237857963691109</v>
      </c>
      <c r="L1270" t="s">
        <v>153</v>
      </c>
      <c r="N1270" t="s">
        <v>181</v>
      </c>
      <c r="O1270" t="s">
        <v>271</v>
      </c>
      <c r="P1270">
        <v>0.001617046935543383</v>
      </c>
      <c r="Q1270" t="s">
        <v>153</v>
      </c>
    </row>
    <row r="1271" spans="9:17" ht="14.25">
      <c r="I1271" t="s">
        <v>171</v>
      </c>
      <c r="J1271" t="s">
        <v>272</v>
      </c>
      <c r="K1271">
        <v>0.039114935433064046</v>
      </c>
      <c r="L1271" t="s">
        <v>153</v>
      </c>
      <c r="N1271" t="s">
        <v>181</v>
      </c>
      <c r="O1271" t="s">
        <v>272</v>
      </c>
      <c r="P1271">
        <v>0.041188759010185767</v>
      </c>
      <c r="Q1271" t="s">
        <v>153</v>
      </c>
    </row>
    <row r="1272" spans="9:17" ht="14.25">
      <c r="I1272" t="s">
        <v>171</v>
      </c>
      <c r="J1272" t="s">
        <v>273</v>
      </c>
      <c r="K1272">
        <v>0.0036280418289731113</v>
      </c>
      <c r="L1272" t="s">
        <v>153</v>
      </c>
      <c r="N1272" t="s">
        <v>181</v>
      </c>
      <c r="O1272" t="s">
        <v>273</v>
      </c>
      <c r="P1272">
        <v>0.0082049997835879022</v>
      </c>
      <c r="Q1272" t="s">
        <v>153</v>
      </c>
    </row>
    <row r="1273" spans="9:17" ht="14.25">
      <c r="I1273" t="s">
        <v>171</v>
      </c>
      <c r="J1273" t="s">
        <v>329</v>
      </c>
      <c r="K1273">
        <v>0.0024721831303961429</v>
      </c>
      <c r="L1273" t="s">
        <v>153</v>
      </c>
      <c r="N1273" t="s">
        <v>181</v>
      </c>
      <c r="O1273" t="s">
        <v>329</v>
      </c>
      <c r="P1273">
        <v>0.0074505977801141545</v>
      </c>
      <c r="Q1273" t="s">
        <v>153</v>
      </c>
    </row>
    <row r="1274" spans="9:17" ht="14.25">
      <c r="I1274" t="s">
        <v>171</v>
      </c>
      <c r="J1274" t="s">
        <v>330</v>
      </c>
      <c r="K1274">
        <v>0.0010384266329085954</v>
      </c>
      <c r="L1274" t="s">
        <v>153</v>
      </c>
      <c r="N1274" t="s">
        <v>181</v>
      </c>
      <c r="O1274" t="s">
        <v>330</v>
      </c>
      <c r="P1274">
        <v>0.017836419786838618</v>
      </c>
      <c r="Q1274" t="s">
        <v>153</v>
      </c>
    </row>
    <row r="1275" spans="9:17" ht="14.25">
      <c r="I1275" t="s">
        <v>171</v>
      </c>
      <c r="J1275" t="s">
        <v>274</v>
      </c>
      <c r="K1275">
        <v>0</v>
      </c>
      <c r="L1275" t="s">
        <v>153</v>
      </c>
      <c r="N1275" t="s">
        <v>181</v>
      </c>
      <c r="O1275" t="s">
        <v>274</v>
      </c>
      <c r="P1275">
        <v>0.0022719988228730851</v>
      </c>
      <c r="Q1275" t="s">
        <v>153</v>
      </c>
    </row>
    <row r="1276" spans="9:17" ht="14.25">
      <c r="I1276" t="s">
        <v>171</v>
      </c>
      <c r="J1276" t="s">
        <v>275</v>
      </c>
      <c r="K1276">
        <v>0.00090891990881854408</v>
      </c>
      <c r="L1276" t="s">
        <v>153</v>
      </c>
      <c r="N1276" t="s">
        <v>181</v>
      </c>
      <c r="O1276" t="s">
        <v>275</v>
      </c>
      <c r="P1276">
        <v>0.0006289816663672934</v>
      </c>
      <c r="Q1276" t="s">
        <v>153</v>
      </c>
    </row>
    <row r="1277" spans="9:17" ht="14.25">
      <c r="I1277" t="s">
        <v>171</v>
      </c>
      <c r="J1277" t="s">
        <v>276</v>
      </c>
      <c r="K1277">
        <v>0.0015256755440070028</v>
      </c>
      <c r="L1277" t="s">
        <v>153</v>
      </c>
      <c r="N1277" t="s">
        <v>181</v>
      </c>
      <c r="O1277" t="s">
        <v>276</v>
      </c>
      <c r="P1277">
        <v>0.0006454210732785258</v>
      </c>
      <c r="Q1277" t="s">
        <v>153</v>
      </c>
    </row>
    <row r="1278" spans="9:17" ht="14.25">
      <c r="I1278" t="s">
        <v>171</v>
      </c>
      <c r="J1278" t="s">
        <v>277</v>
      </c>
      <c r="K1278">
        <v>0.0018592028506020522</v>
      </c>
      <c r="L1278" t="s">
        <v>153</v>
      </c>
      <c r="N1278" t="s">
        <v>181</v>
      </c>
      <c r="O1278" t="s">
        <v>277</v>
      </c>
      <c r="P1278">
        <v>0.00091022860002345021</v>
      </c>
      <c r="Q1278" t="s">
        <v>153</v>
      </c>
    </row>
    <row r="1279" spans="9:17" ht="14.25">
      <c r="I1279" t="s">
        <v>171</v>
      </c>
      <c r="J1279" t="s">
        <v>278</v>
      </c>
      <c r="K1279">
        <v>0.014945514301920862</v>
      </c>
      <c r="L1279" t="s">
        <v>153</v>
      </c>
      <c r="N1279" t="s">
        <v>181</v>
      </c>
      <c r="O1279" t="s">
        <v>278</v>
      </c>
      <c r="P1279">
        <v>0.012785253902436108</v>
      </c>
      <c r="Q1279" t="s">
        <v>153</v>
      </c>
    </row>
    <row r="1280" spans="9:17" ht="14.25">
      <c r="I1280" t="s">
        <v>171</v>
      </c>
      <c r="J1280" t="s">
        <v>279</v>
      </c>
      <c r="K1280">
        <v>0.0016039688042514613</v>
      </c>
      <c r="L1280" t="s">
        <v>153</v>
      </c>
      <c r="N1280" t="s">
        <v>181</v>
      </c>
      <c r="O1280" t="s">
        <v>279</v>
      </c>
      <c r="P1280">
        <v>0.0024631097699044299</v>
      </c>
      <c r="Q1280" t="s">
        <v>153</v>
      </c>
    </row>
    <row r="1281" spans="9:17" ht="14.25">
      <c r="I1281" t="s">
        <v>171</v>
      </c>
      <c r="J1281" t="s">
        <v>331</v>
      </c>
      <c r="K1281">
        <v>0.0011563702967670446</v>
      </c>
      <c r="L1281" t="s">
        <v>153</v>
      </c>
      <c r="N1281" t="s">
        <v>181</v>
      </c>
      <c r="O1281" t="s">
        <v>331</v>
      </c>
      <c r="P1281">
        <v>0.0025840168985633008</v>
      </c>
      <c r="Q1281" t="s">
        <v>153</v>
      </c>
    </row>
    <row r="1282" spans="9:17" ht="14.25">
      <c r="I1282" t="s">
        <v>171</v>
      </c>
      <c r="J1282" t="s">
        <v>332</v>
      </c>
      <c r="K1282">
        <v>0.00048878432926610681</v>
      </c>
      <c r="L1282" t="s">
        <v>153</v>
      </c>
      <c r="N1282" t="s">
        <v>181</v>
      </c>
      <c r="O1282" t="s">
        <v>332</v>
      </c>
      <c r="P1282">
        <v>0.0080211910137471306</v>
      </c>
      <c r="Q1282" t="s">
        <v>153</v>
      </c>
    </row>
    <row r="1283" spans="9:17" ht="14.25">
      <c r="I1283" t="s">
        <v>171</v>
      </c>
      <c r="J1283" t="s">
        <v>280</v>
      </c>
      <c r="K1283">
        <v>0</v>
      </c>
      <c r="L1283" t="s">
        <v>153</v>
      </c>
      <c r="N1283" t="s">
        <v>181</v>
      </c>
      <c r="O1283" t="s">
        <v>280</v>
      </c>
      <c r="P1283">
        <v>0.0034082680953395491</v>
      </c>
      <c r="Q1283" t="s">
        <v>153</v>
      </c>
    </row>
    <row r="1284" spans="9:17" ht="14.25">
      <c r="I1284" t="s">
        <v>171</v>
      </c>
      <c r="J1284" t="s">
        <v>281</v>
      </c>
      <c r="K1284">
        <v>0.0007026437676960431</v>
      </c>
      <c r="L1284" t="s">
        <v>153</v>
      </c>
      <c r="N1284" t="s">
        <v>181</v>
      </c>
      <c r="O1284" t="s">
        <v>281</v>
      </c>
      <c r="P1284">
        <v>0.00031754906246075752</v>
      </c>
      <c r="Q1284" t="s">
        <v>153</v>
      </c>
    </row>
    <row r="1285" spans="9:17" ht="14.25">
      <c r="I1285" t="s">
        <v>171</v>
      </c>
      <c r="J1285" t="s">
        <v>282</v>
      </c>
      <c r="K1285">
        <v>0.0012186080486997111</v>
      </c>
      <c r="L1285" t="s">
        <v>153</v>
      </c>
      <c r="N1285" t="s">
        <v>181</v>
      </c>
      <c r="O1285" t="s">
        <v>282</v>
      </c>
      <c r="P1285">
        <v>0.00018890291554580111</v>
      </c>
      <c r="Q1285" t="s">
        <v>153</v>
      </c>
    </row>
    <row r="1286" spans="9:17" ht="14.25">
      <c r="I1286" t="s">
        <v>171</v>
      </c>
      <c r="J1286" t="s">
        <v>283</v>
      </c>
      <c r="K1286">
        <v>0.0015164492737723303</v>
      </c>
      <c r="L1286" t="s">
        <v>153</v>
      </c>
      <c r="N1286" t="s">
        <v>181</v>
      </c>
      <c r="O1286" t="s">
        <v>283</v>
      </c>
      <c r="P1286">
        <v>0.00019661582959834729</v>
      </c>
      <c r="Q1286" t="s">
        <v>153</v>
      </c>
    </row>
    <row r="1287" spans="9:17" ht="14.25">
      <c r="I1287" t="s">
        <v>171</v>
      </c>
      <c r="J1287" t="s">
        <v>284</v>
      </c>
      <c r="K1287">
        <v>0.012477636881177583</v>
      </c>
      <c r="L1287" t="s">
        <v>153</v>
      </c>
      <c r="N1287" t="s">
        <v>181</v>
      </c>
      <c r="O1287" t="s">
        <v>284</v>
      </c>
      <c r="P1287">
        <v>0.0052554239463464313</v>
      </c>
      <c r="Q1287" t="s">
        <v>153</v>
      </c>
    </row>
    <row r="1288" spans="9:17" ht="14.25">
      <c r="I1288" t="s">
        <v>171</v>
      </c>
      <c r="J1288" t="s">
        <v>285</v>
      </c>
      <c r="K1288">
        <v>0.0012965479276130759</v>
      </c>
      <c r="L1288" t="s">
        <v>153</v>
      </c>
      <c r="N1288" t="s">
        <v>181</v>
      </c>
      <c r="O1288" t="s">
        <v>285</v>
      </c>
      <c r="P1288">
        <v>0.0018346585724063782</v>
      </c>
      <c r="Q1288" t="s">
        <v>153</v>
      </c>
    </row>
    <row r="1289" spans="9:17" ht="14.25">
      <c r="I1289" t="s">
        <v>171</v>
      </c>
      <c r="J1289" t="s">
        <v>333</v>
      </c>
      <c r="K1289">
        <v>0.0009285634254284379</v>
      </c>
      <c r="L1289" t="s">
        <v>153</v>
      </c>
      <c r="N1289" t="s">
        <v>181</v>
      </c>
      <c r="O1289" t="s">
        <v>333</v>
      </c>
      <c r="P1289">
        <v>0.001880371155751546</v>
      </c>
      <c r="Q1289" t="s">
        <v>153</v>
      </c>
    </row>
    <row r="1290" spans="9:17" ht="14.25">
      <c r="I1290" t="s">
        <v>171</v>
      </c>
      <c r="J1290" t="s">
        <v>334</v>
      </c>
      <c r="K1290">
        <v>0.00036583949407133242</v>
      </c>
      <c r="L1290" t="s">
        <v>153</v>
      </c>
      <c r="N1290" t="s">
        <v>181</v>
      </c>
      <c r="O1290" t="s">
        <v>334</v>
      </c>
      <c r="P1290">
        <v>0.0061762248168903515</v>
      </c>
      <c r="Q1290" t="s">
        <v>153</v>
      </c>
    </row>
    <row r="1291" spans="9:17" ht="14.25">
      <c r="I1291" t="s">
        <v>171</v>
      </c>
      <c r="J1291" t="s">
        <v>286</v>
      </c>
      <c r="K1291">
        <v>0</v>
      </c>
      <c r="L1291" t="s">
        <v>153</v>
      </c>
      <c r="N1291" t="s">
        <v>181</v>
      </c>
      <c r="O1291" t="s">
        <v>286</v>
      </c>
      <c r="P1291">
        <v>0.005532572924338737</v>
      </c>
      <c r="Q1291" t="s">
        <v>153</v>
      </c>
    </row>
    <row r="1292" spans="9:17" ht="14.25">
      <c r="I1292" t="s">
        <v>171</v>
      </c>
      <c r="J1292" t="s">
        <v>287</v>
      </c>
      <c r="K1292">
        <v>0.0008719379936071314</v>
      </c>
      <c r="L1292" t="s">
        <v>153</v>
      </c>
      <c r="N1292" t="s">
        <v>181</v>
      </c>
      <c r="O1292" t="s">
        <v>287</v>
      </c>
      <c r="P1292">
        <v>0.00054335291809643393</v>
      </c>
      <c r="Q1292" t="s">
        <v>153</v>
      </c>
    </row>
    <row r="1293" spans="9:17" ht="14.25">
      <c r="I1293" t="s">
        <v>171</v>
      </c>
      <c r="J1293" t="s">
        <v>288</v>
      </c>
      <c r="K1293">
        <v>0.0015859816022851037</v>
      </c>
      <c r="L1293" t="s">
        <v>153</v>
      </c>
      <c r="N1293" t="s">
        <v>181</v>
      </c>
      <c r="O1293" t="s">
        <v>288</v>
      </c>
      <c r="P1293">
        <v>0.0004558286380374687</v>
      </c>
      <c r="Q1293" t="s">
        <v>153</v>
      </c>
    </row>
    <row r="1294" spans="9:17" ht="14.25">
      <c r="I1294" t="s">
        <v>171</v>
      </c>
      <c r="J1294" t="s">
        <v>289</v>
      </c>
      <c r="K1294">
        <v>0.0020651838513528948</v>
      </c>
      <c r="L1294" t="s">
        <v>153</v>
      </c>
      <c r="N1294" t="s">
        <v>181</v>
      </c>
      <c r="O1294" t="s">
        <v>289</v>
      </c>
      <c r="P1294">
        <v>0.00041894201442656276</v>
      </c>
      <c r="Q1294" t="s">
        <v>153</v>
      </c>
    </row>
    <row r="1295" spans="9:17" ht="14.25">
      <c r="I1295" t="s">
        <v>171</v>
      </c>
      <c r="J1295" t="s">
        <v>290</v>
      </c>
      <c r="K1295">
        <v>0.017830103845440443</v>
      </c>
      <c r="L1295" t="s">
        <v>153</v>
      </c>
      <c r="N1295" t="s">
        <v>181</v>
      </c>
      <c r="O1295" t="s">
        <v>290</v>
      </c>
      <c r="P1295">
        <v>0.0064240742368435518</v>
      </c>
      <c r="Q1295" t="s">
        <v>153</v>
      </c>
    </row>
    <row r="1296" spans="9:17" ht="14.25">
      <c r="I1296" t="s">
        <v>171</v>
      </c>
      <c r="J1296" t="s">
        <v>291</v>
      </c>
      <c r="K1296">
        <v>0.0017716587102003065</v>
      </c>
      <c r="L1296" t="s">
        <v>153</v>
      </c>
      <c r="N1296" t="s">
        <v>181</v>
      </c>
      <c r="O1296" t="s">
        <v>291</v>
      </c>
      <c r="P1296">
        <v>0.0014901734003075142</v>
      </c>
      <c r="Q1296" t="s">
        <v>153</v>
      </c>
    </row>
    <row r="1297" spans="9:17" ht="14.25">
      <c r="I1297" t="s">
        <v>171</v>
      </c>
      <c r="J1297" t="s">
        <v>335</v>
      </c>
      <c r="K1297">
        <v>0.0012194989652129019</v>
      </c>
      <c r="L1297" t="s">
        <v>153</v>
      </c>
      <c r="N1297" t="s">
        <v>181</v>
      </c>
      <c r="O1297" t="s">
        <v>335</v>
      </c>
      <c r="P1297">
        <v>0.0016517164416827706</v>
      </c>
      <c r="Q1297" t="s">
        <v>153</v>
      </c>
    </row>
    <row r="1298" spans="9:17" ht="14.25">
      <c r="I1298" t="s">
        <v>171</v>
      </c>
      <c r="J1298" t="s">
        <v>336</v>
      </c>
      <c r="K1298">
        <v>0.00047664073893324659</v>
      </c>
      <c r="L1298" t="s">
        <v>153</v>
      </c>
      <c r="N1298" t="s">
        <v>181</v>
      </c>
      <c r="O1298" t="s">
        <v>336</v>
      </c>
      <c r="P1298">
        <v>0.0089318634527685362</v>
      </c>
      <c r="Q1298" t="s">
        <v>153</v>
      </c>
    </row>
    <row r="1299" spans="9:17" ht="14.25">
      <c r="I1299" t="s">
        <v>171</v>
      </c>
      <c r="J1299" t="s">
        <v>292</v>
      </c>
      <c r="K1299">
        <v>0</v>
      </c>
      <c r="L1299" t="s">
        <v>153</v>
      </c>
      <c r="N1299" t="s">
        <v>181</v>
      </c>
      <c r="O1299" t="s">
        <v>292</v>
      </c>
      <c r="P1299">
        <v>0.001454227141788274</v>
      </c>
      <c r="Q1299" t="s">
        <v>153</v>
      </c>
    </row>
    <row r="1300" spans="9:17" ht="14.25">
      <c r="I1300" t="s">
        <v>171</v>
      </c>
      <c r="J1300" t="s">
        <v>293</v>
      </c>
      <c r="K1300">
        <v>0.00059737618175184084</v>
      </c>
      <c r="L1300" t="s">
        <v>153</v>
      </c>
      <c r="N1300" t="s">
        <v>181</v>
      </c>
      <c r="O1300" t="s">
        <v>293</v>
      </c>
      <c r="P1300">
        <v>0.00014170178786406575</v>
      </c>
      <c r="Q1300" t="s">
        <v>153</v>
      </c>
    </row>
    <row r="1301" spans="9:17" ht="14.25">
      <c r="I1301" t="s">
        <v>171</v>
      </c>
      <c r="J1301" t="s">
        <v>294</v>
      </c>
      <c r="K1301">
        <v>0.001122579507449132</v>
      </c>
      <c r="L1301" t="s">
        <v>153</v>
      </c>
      <c r="N1301" t="s">
        <v>181</v>
      </c>
      <c r="O1301" t="s">
        <v>294</v>
      </c>
      <c r="P1301">
        <v>9.0791062435944671E-05</v>
      </c>
      <c r="Q1301" t="s">
        <v>153</v>
      </c>
    </row>
    <row r="1302" spans="9:17" ht="14.25">
      <c r="I1302" t="s">
        <v>171</v>
      </c>
      <c r="J1302" t="s">
        <v>295</v>
      </c>
      <c r="K1302">
        <v>0.0014427298611987653</v>
      </c>
      <c r="L1302" t="s">
        <v>153</v>
      </c>
      <c r="N1302" t="s">
        <v>181</v>
      </c>
      <c r="O1302" t="s">
        <v>295</v>
      </c>
      <c r="P1302">
        <v>0.00011575500197444511</v>
      </c>
      <c r="Q1302" t="s">
        <v>153</v>
      </c>
    </row>
    <row r="1303" spans="9:17" ht="14.25">
      <c r="I1303" t="s">
        <v>171</v>
      </c>
      <c r="J1303" t="s">
        <v>296</v>
      </c>
      <c r="K1303">
        <v>0.012098826080733883</v>
      </c>
      <c r="L1303" t="s">
        <v>153</v>
      </c>
      <c r="N1303" t="s">
        <v>181</v>
      </c>
      <c r="O1303" t="s">
        <v>296</v>
      </c>
      <c r="P1303">
        <v>0.0048223642296725032</v>
      </c>
      <c r="Q1303" t="s">
        <v>153</v>
      </c>
    </row>
    <row r="1304" spans="9:17" ht="14.25">
      <c r="I1304" t="s">
        <v>171</v>
      </c>
      <c r="J1304" t="s">
        <v>297</v>
      </c>
      <c r="K1304">
        <v>0.0012437571075387876</v>
      </c>
      <c r="L1304" t="s">
        <v>153</v>
      </c>
      <c r="N1304" t="s">
        <v>181</v>
      </c>
      <c r="O1304" t="s">
        <v>297</v>
      </c>
      <c r="P1304">
        <v>0.0018283688152782279</v>
      </c>
      <c r="Q1304" t="s">
        <v>153</v>
      </c>
    </row>
    <row r="1305" spans="9:17" ht="14.25">
      <c r="I1305" t="s">
        <v>171</v>
      </c>
      <c r="J1305" t="s">
        <v>337</v>
      </c>
      <c r="K1305">
        <v>0.00086070992389707048</v>
      </c>
      <c r="L1305" t="s">
        <v>153</v>
      </c>
      <c r="N1305" t="s">
        <v>181</v>
      </c>
      <c r="O1305" t="s">
        <v>337</v>
      </c>
      <c r="P1305">
        <v>0.002332760417212218</v>
      </c>
      <c r="Q1305" t="s">
        <v>153</v>
      </c>
    </row>
    <row r="1306" spans="9:17" ht="14.25">
      <c r="I1306" t="s">
        <v>171</v>
      </c>
      <c r="J1306" t="s">
        <v>338</v>
      </c>
      <c r="K1306">
        <v>0.00032159163985781238</v>
      </c>
      <c r="L1306" t="s">
        <v>153</v>
      </c>
      <c r="N1306" t="s">
        <v>181</v>
      </c>
      <c r="O1306" t="s">
        <v>338</v>
      </c>
      <c r="P1306">
        <v>0.0079949176957120338</v>
      </c>
      <c r="Q1306" t="s">
        <v>153</v>
      </c>
    </row>
    <row r="1307" spans="9:17" ht="14.25">
      <c r="I1307" t="s">
        <v>171</v>
      </c>
      <c r="J1307" t="s">
        <v>339</v>
      </c>
      <c r="K1307">
        <v>0</v>
      </c>
      <c r="L1307" t="s">
        <v>153</v>
      </c>
      <c r="N1307" t="s">
        <v>181</v>
      </c>
      <c r="O1307" t="s">
        <v>339</v>
      </c>
      <c r="P1307">
        <v>0.0013505273284389627</v>
      </c>
      <c r="Q1307" t="s">
        <v>153</v>
      </c>
    </row>
    <row r="1308" spans="9:17" ht="14.25">
      <c r="I1308" t="s">
        <v>171</v>
      </c>
      <c r="J1308" t="s">
        <v>340</v>
      </c>
      <c r="K1308">
        <v>0.00073368533773454279</v>
      </c>
      <c r="L1308" t="s">
        <v>153</v>
      </c>
      <c r="N1308" t="s">
        <v>181</v>
      </c>
      <c r="O1308" t="s">
        <v>340</v>
      </c>
      <c r="P1308">
        <v>8.459328469951633E-05</v>
      </c>
      <c r="Q1308" t="s">
        <v>153</v>
      </c>
    </row>
    <row r="1309" spans="9:17" ht="14.25">
      <c r="I1309" t="s">
        <v>171</v>
      </c>
      <c r="J1309" t="s">
        <v>341</v>
      </c>
      <c r="K1309">
        <v>0.0014481552503899939</v>
      </c>
      <c r="L1309" t="s">
        <v>153</v>
      </c>
      <c r="N1309" t="s">
        <v>181</v>
      </c>
      <c r="O1309" t="s">
        <v>341</v>
      </c>
      <c r="P1309">
        <v>4.5800609052132067E-05</v>
      </c>
      <c r="Q1309" t="s">
        <v>153</v>
      </c>
    </row>
    <row r="1310" spans="9:17" ht="14.25">
      <c r="I1310" t="s">
        <v>171</v>
      </c>
      <c r="J1310" t="s">
        <v>342</v>
      </c>
      <c r="K1310">
        <v>0.0020046497474368865</v>
      </c>
      <c r="L1310" t="s">
        <v>153</v>
      </c>
      <c r="N1310" t="s">
        <v>181</v>
      </c>
      <c r="O1310" t="s">
        <v>342</v>
      </c>
      <c r="P1310">
        <v>5.8183139526022546E-05</v>
      </c>
      <c r="Q1310" t="s">
        <v>153</v>
      </c>
    </row>
    <row r="1311" spans="9:17" ht="14.25">
      <c r="I1311" t="s">
        <v>171</v>
      </c>
      <c r="J1311" t="s">
        <v>343</v>
      </c>
      <c r="K1311">
        <v>0.017402236202277609</v>
      </c>
      <c r="L1311" t="s">
        <v>153</v>
      </c>
      <c r="N1311" t="s">
        <v>181</v>
      </c>
      <c r="O1311" t="s">
        <v>343</v>
      </c>
      <c r="P1311">
        <v>0.004215725356463698</v>
      </c>
      <c r="Q1311" t="s">
        <v>153</v>
      </c>
    </row>
    <row r="1312" spans="9:17" ht="14.25">
      <c r="I1312" t="s">
        <v>171</v>
      </c>
      <c r="J1312" t="s">
        <v>344</v>
      </c>
      <c r="K1312">
        <v>0.0017230853736596794</v>
      </c>
      <c r="L1312" t="s">
        <v>153</v>
      </c>
      <c r="N1312" t="s">
        <v>181</v>
      </c>
      <c r="O1312" t="s">
        <v>344</v>
      </c>
      <c r="P1312">
        <v>0.0013131045693313651</v>
      </c>
      <c r="Q1312" t="s">
        <v>153</v>
      </c>
    </row>
    <row r="1313" spans="9:17" ht="14.25">
      <c r="I1313" t="s">
        <v>171</v>
      </c>
      <c r="J1313" t="s">
        <v>345</v>
      </c>
      <c r="K1313">
        <v>0.001174450508950496</v>
      </c>
      <c r="L1313" t="s">
        <v>153</v>
      </c>
      <c r="N1313" t="s">
        <v>181</v>
      </c>
      <c r="O1313" t="s">
        <v>345</v>
      </c>
      <c r="P1313">
        <v>0.0011178614174005156</v>
      </c>
      <c r="Q1313" t="s">
        <v>153</v>
      </c>
    </row>
    <row r="1314" spans="9:17" ht="14.25">
      <c r="I1314" t="s">
        <v>171</v>
      </c>
      <c r="J1314" t="s">
        <v>346</v>
      </c>
      <c r="K1314">
        <v>0.00043527403581808014</v>
      </c>
      <c r="L1314" t="s">
        <v>153</v>
      </c>
      <c r="N1314" t="s">
        <v>181</v>
      </c>
      <c r="O1314" t="s">
        <v>346</v>
      </c>
      <c r="P1314">
        <v>0.0058506141126210033</v>
      </c>
      <c r="Q1314" t="s">
        <v>153</v>
      </c>
    </row>
    <row r="1315" spans="9:17" ht="14.25">
      <c r="I1315" t="s">
        <v>171</v>
      </c>
      <c r="J1315" t="s">
        <v>347</v>
      </c>
      <c r="K1315">
        <v>0</v>
      </c>
      <c r="L1315" t="s">
        <v>153</v>
      </c>
      <c r="N1315" t="s">
        <v>181</v>
      </c>
      <c r="O1315" t="s">
        <v>347</v>
      </c>
      <c r="P1315">
        <v>0.013237087591475231</v>
      </c>
      <c r="Q1315" t="s">
        <v>153</v>
      </c>
    </row>
    <row r="1316" spans="9:17" ht="14.25">
      <c r="I1316" t="s">
        <v>171</v>
      </c>
      <c r="J1316" t="s">
        <v>348</v>
      </c>
      <c r="K1316">
        <v>0.0027368301108543804</v>
      </c>
      <c r="L1316" t="s">
        <v>153</v>
      </c>
      <c r="N1316" t="s">
        <v>181</v>
      </c>
      <c r="O1316" t="s">
        <v>348</v>
      </c>
      <c r="P1316">
        <v>0.0030237909018815809</v>
      </c>
      <c r="Q1316" t="s">
        <v>153</v>
      </c>
    </row>
    <row r="1317" spans="9:17" ht="14.25">
      <c r="I1317" t="s">
        <v>171</v>
      </c>
      <c r="J1317" t="s">
        <v>349</v>
      </c>
      <c r="K1317">
        <v>0.0062798540914572425</v>
      </c>
      <c r="L1317" t="s">
        <v>153</v>
      </c>
      <c r="N1317" t="s">
        <v>181</v>
      </c>
      <c r="O1317" t="s">
        <v>349</v>
      </c>
      <c r="P1317">
        <v>0.0024771016777120625</v>
      </c>
      <c r="Q1317" t="s">
        <v>153</v>
      </c>
    </row>
    <row r="1318" spans="9:17" ht="14.25">
      <c r="I1318" t="s">
        <v>171</v>
      </c>
      <c r="J1318" t="s">
        <v>350</v>
      </c>
      <c r="K1318">
        <v>0.0087111919474607436</v>
      </c>
      <c r="L1318" t="s">
        <v>153</v>
      </c>
      <c r="N1318" t="s">
        <v>181</v>
      </c>
      <c r="O1318" t="s">
        <v>350</v>
      </c>
      <c r="P1318">
        <v>0.0024279055880959462</v>
      </c>
      <c r="Q1318" t="s">
        <v>153</v>
      </c>
    </row>
    <row r="1319" spans="9:17" ht="14.25">
      <c r="I1319" t="s">
        <v>171</v>
      </c>
      <c r="J1319" t="s">
        <v>351</v>
      </c>
      <c r="K1319">
        <v>0.076598244124953668</v>
      </c>
      <c r="L1319" t="s">
        <v>153</v>
      </c>
      <c r="N1319" t="s">
        <v>181</v>
      </c>
      <c r="O1319" t="s">
        <v>351</v>
      </c>
      <c r="P1319">
        <v>0.026460593286063153</v>
      </c>
      <c r="Q1319" t="s">
        <v>153</v>
      </c>
    </row>
    <row r="1320" spans="9:17" ht="14.25">
      <c r="I1320" t="s">
        <v>171</v>
      </c>
      <c r="J1320" t="s">
        <v>352</v>
      </c>
      <c r="K1320">
        <v>0.0073388148553847786</v>
      </c>
      <c r="L1320" t="s">
        <v>153</v>
      </c>
      <c r="N1320" t="s">
        <v>181</v>
      </c>
      <c r="O1320" t="s">
        <v>352</v>
      </c>
      <c r="P1320">
        <v>0.0053225814087933228</v>
      </c>
      <c r="Q1320" t="s">
        <v>153</v>
      </c>
    </row>
    <row r="1321" spans="9:17" ht="14.25">
      <c r="I1321" t="s">
        <v>171</v>
      </c>
      <c r="J1321" t="s">
        <v>353</v>
      </c>
      <c r="K1321">
        <v>0.0048931812604728047</v>
      </c>
      <c r="L1321" t="s">
        <v>153</v>
      </c>
      <c r="N1321" t="s">
        <v>181</v>
      </c>
      <c r="O1321" t="s">
        <v>353</v>
      </c>
      <c r="P1321">
        <v>0.0058155748535237166</v>
      </c>
      <c r="Q1321" t="s">
        <v>153</v>
      </c>
    </row>
    <row r="1322" spans="9:17" ht="14.25">
      <c r="I1322" t="s">
        <v>171</v>
      </c>
      <c r="J1322" t="s">
        <v>354</v>
      </c>
      <c r="K1322">
        <v>0.0017343117239834299</v>
      </c>
      <c r="L1322" t="s">
        <v>153</v>
      </c>
      <c r="N1322" t="s">
        <v>181</v>
      </c>
      <c r="O1322" t="s">
        <v>354</v>
      </c>
      <c r="P1322">
        <v>0.0279656860521286</v>
      </c>
      <c r="Q1322" t="s">
        <v>153</v>
      </c>
    </row>
    <row r="1323" spans="9:17" ht="14.25">
      <c r="I1323" t="s">
        <v>171</v>
      </c>
      <c r="J1323" t="s">
        <v>355</v>
      </c>
      <c r="K1323">
        <v>0</v>
      </c>
      <c r="L1323" t="s">
        <v>153</v>
      </c>
      <c r="N1323" t="s">
        <v>181</v>
      </c>
      <c r="O1323" t="s">
        <v>355</v>
      </c>
      <c r="P1323">
        <v>0.039417376490964662</v>
      </c>
      <c r="Q1323" t="s">
        <v>153</v>
      </c>
    </row>
    <row r="1324" spans="9:17" ht="14.25">
      <c r="I1324" t="s">
        <v>171</v>
      </c>
      <c r="J1324" t="s">
        <v>356</v>
      </c>
      <c r="K1324">
        <v>0.003134544024441382</v>
      </c>
      <c r="L1324" t="s">
        <v>153</v>
      </c>
      <c r="N1324" t="s">
        <v>181</v>
      </c>
      <c r="O1324" t="s">
        <v>356</v>
      </c>
      <c r="P1324">
        <v>0.0084517297947779187</v>
      </c>
      <c r="Q1324" t="s">
        <v>153</v>
      </c>
    </row>
    <row r="1325" spans="9:17" ht="14.25">
      <c r="I1325" t="s">
        <v>171</v>
      </c>
      <c r="J1325" t="s">
        <v>357</v>
      </c>
      <c r="K1325">
        <v>0.0080969386617948513</v>
      </c>
      <c r="L1325" t="s">
        <v>153</v>
      </c>
      <c r="N1325" t="s">
        <v>181</v>
      </c>
      <c r="O1325" t="s">
        <v>357</v>
      </c>
      <c r="P1325">
        <v>0.006816252686103209</v>
      </c>
      <c r="Q1325" t="s">
        <v>153</v>
      </c>
    </row>
    <row r="1326" spans="9:17" ht="14.25">
      <c r="I1326" t="s">
        <v>171</v>
      </c>
      <c r="J1326" t="s">
        <v>358</v>
      </c>
      <c r="K1326">
        <v>0.011515106148656251</v>
      </c>
      <c r="L1326" t="s">
        <v>153</v>
      </c>
      <c r="N1326" t="s">
        <v>181</v>
      </c>
      <c r="O1326" t="s">
        <v>358</v>
      </c>
      <c r="P1326">
        <v>0.0077375610622498134</v>
      </c>
      <c r="Q1326" t="s">
        <v>153</v>
      </c>
    </row>
    <row r="1327" spans="9:17" ht="14.25">
      <c r="I1327" t="s">
        <v>171</v>
      </c>
      <c r="J1327" t="s">
        <v>359</v>
      </c>
      <c r="K1327">
        <v>0.097303654488237537</v>
      </c>
      <c r="L1327" t="s">
        <v>153</v>
      </c>
      <c r="N1327" t="s">
        <v>181</v>
      </c>
      <c r="O1327" t="s">
        <v>359</v>
      </c>
      <c r="P1327">
        <v>0.030762849461317045</v>
      </c>
      <c r="Q1327" t="s">
        <v>153</v>
      </c>
    </row>
    <row r="1328" spans="9:17" ht="14.25">
      <c r="I1328" t="s">
        <v>171</v>
      </c>
      <c r="J1328" t="s">
        <v>360</v>
      </c>
      <c r="K1328">
        <v>0.0084993476604364269</v>
      </c>
      <c r="L1328" t="s">
        <v>153</v>
      </c>
      <c r="N1328" t="s">
        <v>181</v>
      </c>
      <c r="O1328" t="s">
        <v>360</v>
      </c>
      <c r="P1328">
        <v>0.002369477281476534</v>
      </c>
      <c r="Q1328" t="s">
        <v>153</v>
      </c>
    </row>
    <row r="1329" spans="9:17" ht="14.25">
      <c r="I1329" t="s">
        <v>171</v>
      </c>
      <c r="J1329" t="s">
        <v>361</v>
      </c>
      <c r="K1329">
        <v>0.0047020962554127398</v>
      </c>
      <c r="L1329" t="s">
        <v>153</v>
      </c>
      <c r="N1329" t="s">
        <v>181</v>
      </c>
      <c r="O1329" t="s">
        <v>361</v>
      </c>
      <c r="P1329">
        <v>0.0027389355109429555</v>
      </c>
      <c r="Q1329" t="s">
        <v>153</v>
      </c>
    </row>
    <row r="1330" spans="9:17" ht="14.25">
      <c r="I1330" t="s">
        <v>171</v>
      </c>
      <c r="J1330" t="s">
        <v>362</v>
      </c>
      <c r="K1330">
        <v>0.00079366850318992265</v>
      </c>
      <c r="L1330" t="s">
        <v>153</v>
      </c>
      <c r="N1330" t="s">
        <v>181</v>
      </c>
      <c r="O1330" t="s">
        <v>362</v>
      </c>
      <c r="P1330">
        <v>0.020858598407284663</v>
      </c>
      <c r="Q1330" t="s">
        <v>153</v>
      </c>
    </row>
    <row r="1331" spans="9:17" ht="14.25">
      <c r="I1331" t="s">
        <v>171</v>
      </c>
      <c r="J1331" t="s">
        <v>363</v>
      </c>
      <c r="K1331">
        <v>0</v>
      </c>
      <c r="L1331" t="s">
        <v>153</v>
      </c>
      <c r="N1331" t="s">
        <v>181</v>
      </c>
      <c r="O1331" t="s">
        <v>363</v>
      </c>
      <c r="P1331">
        <v>0.022501648158729959</v>
      </c>
      <c r="Q1331" t="s">
        <v>153</v>
      </c>
    </row>
    <row r="1332" spans="9:17" ht="14.25">
      <c r="I1332" t="s">
        <v>171</v>
      </c>
      <c r="J1332" t="s">
        <v>364</v>
      </c>
      <c r="K1332">
        <v>0.0033931609609025122</v>
      </c>
      <c r="L1332" t="s">
        <v>153</v>
      </c>
      <c r="N1332" t="s">
        <v>181</v>
      </c>
      <c r="O1332" t="s">
        <v>364</v>
      </c>
      <c r="P1332">
        <v>0.003840527148143888</v>
      </c>
      <c r="Q1332" t="s">
        <v>153</v>
      </c>
    </row>
    <row r="1333" spans="9:17" ht="14.25">
      <c r="I1333" t="s">
        <v>171</v>
      </c>
      <c r="J1333" t="s">
        <v>365</v>
      </c>
      <c r="K1333">
        <v>0.0144967041397518</v>
      </c>
      <c r="L1333" t="s">
        <v>153</v>
      </c>
      <c r="N1333" t="s">
        <v>181</v>
      </c>
      <c r="O1333" t="s">
        <v>365</v>
      </c>
      <c r="P1333">
        <v>0.003480394338394741</v>
      </c>
      <c r="Q1333" t="s">
        <v>153</v>
      </c>
    </row>
    <row r="1334" spans="9:17" ht="14.25">
      <c r="I1334" t="s">
        <v>171</v>
      </c>
      <c r="J1334" t="s">
        <v>366</v>
      </c>
      <c r="K1334">
        <v>0.020565907082853573</v>
      </c>
      <c r="L1334" t="s">
        <v>153</v>
      </c>
      <c r="N1334" t="s">
        <v>181</v>
      </c>
      <c r="O1334" t="s">
        <v>366</v>
      </c>
      <c r="P1334">
        <v>0.0028833326568202403</v>
      </c>
      <c r="Q1334" t="s">
        <v>153</v>
      </c>
    </row>
    <row r="1335" spans="9:17" ht="14.25">
      <c r="I1335" t="s">
        <v>171</v>
      </c>
      <c r="J1335" t="s">
        <v>367</v>
      </c>
      <c r="K1335">
        <v>0.16016077032680243</v>
      </c>
      <c r="L1335" t="s">
        <v>153</v>
      </c>
      <c r="N1335" t="s">
        <v>181</v>
      </c>
      <c r="O1335" t="s">
        <v>367</v>
      </c>
      <c r="P1335">
        <v>0.047656770907974468</v>
      </c>
      <c r="Q1335" t="s">
        <v>153</v>
      </c>
    </row>
    <row r="1336" spans="9:17" ht="14.25">
      <c r="I1336" t="s">
        <v>171</v>
      </c>
      <c r="J1336" t="s">
        <v>368</v>
      </c>
      <c r="K1336">
        <v>0.014838153318531574</v>
      </c>
      <c r="L1336" t="s">
        <v>153</v>
      </c>
      <c r="N1336" t="s">
        <v>181</v>
      </c>
      <c r="O1336" t="s">
        <v>368</v>
      </c>
      <c r="P1336">
        <v>0.010751463581412829</v>
      </c>
      <c r="Q1336" t="s">
        <v>153</v>
      </c>
    </row>
    <row r="1337" spans="9:17" ht="14.25">
      <c r="I1337" t="s">
        <v>171</v>
      </c>
      <c r="J1337" t="s">
        <v>369</v>
      </c>
      <c r="K1337">
        <v>0.0038011996299110885</v>
      </c>
      <c r="L1337" t="s">
        <v>153</v>
      </c>
      <c r="N1337" t="s">
        <v>181</v>
      </c>
      <c r="O1337" t="s">
        <v>369</v>
      </c>
      <c r="P1337">
        <v>0.011876457333860991</v>
      </c>
      <c r="Q1337" t="s">
        <v>153</v>
      </c>
    </row>
    <row r="1338" spans="9:17" ht="14.25">
      <c r="I1338" t="s">
        <v>171</v>
      </c>
      <c r="J1338" t="s">
        <v>370</v>
      </c>
      <c r="K1338">
        <v>0</v>
      </c>
      <c r="L1338" t="s">
        <v>153</v>
      </c>
      <c r="N1338" t="s">
        <v>181</v>
      </c>
      <c r="O1338" t="s">
        <v>370</v>
      </c>
      <c r="P1338">
        <v>0.053083704198231663</v>
      </c>
      <c r="Q1338" t="s">
        <v>153</v>
      </c>
    </row>
    <row r="1339" spans="9:17" ht="14.25">
      <c r="I1339" t="s">
        <v>171</v>
      </c>
      <c r="J1339" t="s">
        <v>371</v>
      </c>
      <c r="K1339">
        <v>0</v>
      </c>
      <c r="L1339" t="s">
        <v>153</v>
      </c>
      <c r="N1339" t="s">
        <v>181</v>
      </c>
      <c r="O1339" t="s">
        <v>371</v>
      </c>
      <c r="P1339">
        <v>0.0064945647772823136</v>
      </c>
      <c r="Q1339" t="s">
        <v>153</v>
      </c>
    </row>
    <row r="1340" spans="9:17" ht="14.25">
      <c r="I1340" t="s">
        <v>171</v>
      </c>
      <c r="J1340" t="s">
        <v>372</v>
      </c>
      <c r="K1340">
        <v>0</v>
      </c>
      <c r="L1340" t="s">
        <v>153</v>
      </c>
      <c r="N1340" t="s">
        <v>181</v>
      </c>
      <c r="O1340" t="s">
        <v>372</v>
      </c>
      <c r="P1340">
        <v>0.000953253987597434</v>
      </c>
      <c r="Q1340" t="s">
        <v>153</v>
      </c>
    </row>
    <row r="1341" spans="9:17" ht="14.25">
      <c r="I1341" t="s">
        <v>171</v>
      </c>
      <c r="J1341" t="s">
        <v>373</v>
      </c>
      <c r="K1341">
        <v>0.00099776963547821749</v>
      </c>
      <c r="L1341" t="s">
        <v>153</v>
      </c>
      <c r="N1341" t="s">
        <v>181</v>
      </c>
      <c r="O1341" t="s">
        <v>373</v>
      </c>
      <c r="P1341">
        <v>0.00075301513005832511</v>
      </c>
      <c r="Q1341" t="s">
        <v>153</v>
      </c>
    </row>
    <row r="1342" spans="9:17" ht="14.25">
      <c r="I1342" t="s">
        <v>171</v>
      </c>
      <c r="J1342" t="s">
        <v>374</v>
      </c>
      <c r="K1342">
        <v>0.0016506235196751757</v>
      </c>
      <c r="L1342" t="s">
        <v>153</v>
      </c>
      <c r="N1342" t="s">
        <v>181</v>
      </c>
      <c r="O1342" t="s">
        <v>374</v>
      </c>
      <c r="P1342">
        <v>0.00055094921119190794</v>
      </c>
      <c r="Q1342" t="s">
        <v>153</v>
      </c>
    </row>
    <row r="1343" spans="9:17" ht="14.25">
      <c r="I1343" t="s">
        <v>171</v>
      </c>
      <c r="J1343" t="s">
        <v>375</v>
      </c>
      <c r="K1343">
        <v>0.013667617873542171</v>
      </c>
      <c r="L1343" t="s">
        <v>153</v>
      </c>
      <c r="N1343" t="s">
        <v>181</v>
      </c>
      <c r="O1343" t="s">
        <v>375</v>
      </c>
      <c r="P1343">
        <v>0.0091522642753144225</v>
      </c>
      <c r="Q1343" t="s">
        <v>153</v>
      </c>
    </row>
    <row r="1344" spans="9:17" ht="14.25">
      <c r="I1344" t="s">
        <v>171</v>
      </c>
      <c r="J1344" t="s">
        <v>376</v>
      </c>
      <c r="K1344">
        <v>0.0013465908995411986</v>
      </c>
      <c r="L1344" t="s">
        <v>153</v>
      </c>
      <c r="N1344" t="s">
        <v>181</v>
      </c>
      <c r="O1344" t="s">
        <v>376</v>
      </c>
      <c r="P1344">
        <v>0.0019862982849956651</v>
      </c>
      <c r="Q1344" t="s">
        <v>153</v>
      </c>
    </row>
    <row r="1345" spans="9:17" ht="14.25">
      <c r="I1345" t="s">
        <v>171</v>
      </c>
      <c r="J1345" t="s">
        <v>377</v>
      </c>
      <c r="K1345">
        <v>0</v>
      </c>
      <c r="L1345" t="s">
        <v>153</v>
      </c>
      <c r="N1345" t="s">
        <v>181</v>
      </c>
      <c r="O1345" t="s">
        <v>377</v>
      </c>
      <c r="P1345">
        <v>0.0019368591947568044</v>
      </c>
      <c r="Q1345" t="s">
        <v>153</v>
      </c>
    </row>
    <row r="1346" spans="9:17" ht="14.25">
      <c r="I1346" t="s">
        <v>171</v>
      </c>
      <c r="J1346" t="s">
        <v>378</v>
      </c>
      <c r="K1346">
        <v>0</v>
      </c>
      <c r="L1346" t="s">
        <v>153</v>
      </c>
      <c r="N1346" t="s">
        <v>181</v>
      </c>
      <c r="O1346" t="s">
        <v>378</v>
      </c>
      <c r="P1346">
        <v>0.0080589892519205356</v>
      </c>
      <c r="Q1346" t="s">
        <v>153</v>
      </c>
    </row>
    <row r="1347" spans="9:17" ht="14.25">
      <c r="I1347" t="s">
        <v>171</v>
      </c>
      <c r="J1347" t="s">
        <v>379</v>
      </c>
      <c r="K1347">
        <v>0</v>
      </c>
      <c r="L1347" t="s">
        <v>153</v>
      </c>
      <c r="N1347" t="s">
        <v>181</v>
      </c>
      <c r="O1347" t="s">
        <v>379</v>
      </c>
      <c r="P1347">
        <v>0.012144414538409721</v>
      </c>
      <c r="Q1347" t="s">
        <v>153</v>
      </c>
    </row>
    <row r="1348" spans="9:17" ht="14.25">
      <c r="I1348" t="s">
        <v>171</v>
      </c>
      <c r="J1348" t="s">
        <v>380</v>
      </c>
      <c r="K1348">
        <v>0</v>
      </c>
      <c r="L1348" t="s">
        <v>153</v>
      </c>
      <c r="N1348" t="s">
        <v>181</v>
      </c>
      <c r="O1348" t="s">
        <v>380</v>
      </c>
      <c r="P1348">
        <v>0.0023633126469564166</v>
      </c>
      <c r="Q1348" t="s">
        <v>153</v>
      </c>
    </row>
    <row r="1349" spans="9:17" ht="14.25">
      <c r="I1349" t="s">
        <v>171</v>
      </c>
      <c r="J1349" t="s">
        <v>381</v>
      </c>
      <c r="K1349">
        <v>0.0015184112803474103</v>
      </c>
      <c r="L1349" t="s">
        <v>153</v>
      </c>
      <c r="N1349" t="s">
        <v>181</v>
      </c>
      <c r="O1349" t="s">
        <v>381</v>
      </c>
      <c r="P1349">
        <v>0.00231004599729473</v>
      </c>
      <c r="Q1349" t="s">
        <v>153</v>
      </c>
    </row>
    <row r="1350" spans="9:17" ht="14.25">
      <c r="I1350" t="s">
        <v>171</v>
      </c>
      <c r="J1350" t="s">
        <v>382</v>
      </c>
      <c r="K1350">
        <v>0.0024982889175793424</v>
      </c>
      <c r="L1350" t="s">
        <v>153</v>
      </c>
      <c r="N1350" t="s">
        <v>181</v>
      </c>
      <c r="O1350" t="s">
        <v>382</v>
      </c>
      <c r="P1350">
        <v>0.0020547253874697111</v>
      </c>
      <c r="Q1350" t="s">
        <v>153</v>
      </c>
    </row>
    <row r="1351" spans="9:17" ht="14.25">
      <c r="I1351" t="s">
        <v>171</v>
      </c>
      <c r="J1351" t="s">
        <v>383</v>
      </c>
      <c r="K1351">
        <v>0.019857246822578244</v>
      </c>
      <c r="L1351" t="s">
        <v>153</v>
      </c>
      <c r="N1351" t="s">
        <v>181</v>
      </c>
      <c r="O1351" t="s">
        <v>383</v>
      </c>
      <c r="P1351">
        <v>0.0093322841711423882</v>
      </c>
      <c r="Q1351" t="s">
        <v>153</v>
      </c>
    </row>
    <row r="1352" spans="9:17" ht="14.25">
      <c r="I1352" t="s">
        <v>171</v>
      </c>
      <c r="J1352" t="s">
        <v>384</v>
      </c>
      <c r="K1352">
        <v>0.0019449392319649146</v>
      </c>
      <c r="L1352" t="s">
        <v>153</v>
      </c>
      <c r="N1352" t="s">
        <v>181</v>
      </c>
      <c r="O1352" t="s">
        <v>384</v>
      </c>
      <c r="P1352">
        <v>0.0014488598636788258</v>
      </c>
      <c r="Q1352" t="s">
        <v>153</v>
      </c>
    </row>
    <row r="1353" spans="9:17" ht="14.25">
      <c r="I1353" t="s">
        <v>171</v>
      </c>
      <c r="J1353" t="s">
        <v>385</v>
      </c>
      <c r="K1353">
        <v>0.00055786507796553404</v>
      </c>
      <c r="L1353" t="s">
        <v>153</v>
      </c>
      <c r="N1353" t="s">
        <v>181</v>
      </c>
      <c r="O1353" t="s">
        <v>385</v>
      </c>
      <c r="P1353">
        <v>0.001983437014850297</v>
      </c>
      <c r="Q1353" t="s">
        <v>153</v>
      </c>
    </row>
    <row r="1354" spans="9:17" ht="14.25">
      <c r="I1354" t="s">
        <v>171</v>
      </c>
      <c r="J1354" t="s">
        <v>386</v>
      </c>
      <c r="K1354">
        <v>0</v>
      </c>
      <c r="L1354" t="s">
        <v>153</v>
      </c>
      <c r="N1354" t="s">
        <v>181</v>
      </c>
      <c r="O1354" t="s">
        <v>386</v>
      </c>
      <c r="P1354">
        <v>0.013837534249033815</v>
      </c>
      <c r="Q1354" t="s">
        <v>153</v>
      </c>
    </row>
    <row r="1355" spans="9:17" ht="14.25">
      <c r="I1355" t="s">
        <v>172</v>
      </c>
      <c r="J1355" t="s">
        <v>152</v>
      </c>
      <c r="K1355">
        <v>0</v>
      </c>
      <c r="L1355" t="s">
        <v>153</v>
      </c>
      <c r="N1355" t="s">
        <v>182</v>
      </c>
      <c r="O1355" t="s">
        <v>152</v>
      </c>
      <c r="P1355">
        <v>0.0089824533668503501</v>
      </c>
      <c r="Q1355" t="s">
        <v>153</v>
      </c>
    </row>
    <row r="1356" spans="9:17" ht="14.25">
      <c r="I1356" t="s">
        <v>172</v>
      </c>
      <c r="J1356" t="s">
        <v>154</v>
      </c>
      <c r="K1356">
        <v>0</v>
      </c>
      <c r="L1356" t="s">
        <v>153</v>
      </c>
      <c r="N1356" t="s">
        <v>182</v>
      </c>
      <c r="O1356" t="s">
        <v>154</v>
      </c>
      <c r="P1356">
        <v>0.0015877612202585445</v>
      </c>
      <c r="Q1356" t="s">
        <v>153</v>
      </c>
    </row>
    <row r="1357" spans="9:17" ht="14.25">
      <c r="I1357" t="s">
        <v>172</v>
      </c>
      <c r="J1357" t="s">
        <v>155</v>
      </c>
      <c r="K1357">
        <v>0.0010879785436143179</v>
      </c>
      <c r="L1357" t="s">
        <v>153</v>
      </c>
      <c r="N1357" t="s">
        <v>182</v>
      </c>
      <c r="O1357" t="s">
        <v>155</v>
      </c>
      <c r="P1357">
        <v>0.0015482440632675612</v>
      </c>
      <c r="Q1357" t="s">
        <v>153</v>
      </c>
    </row>
    <row r="1358" spans="9:17" ht="14.25">
      <c r="I1358" t="s">
        <v>172</v>
      </c>
      <c r="J1358" t="s">
        <v>200</v>
      </c>
      <c r="K1358">
        <v>0.0019813820798651673</v>
      </c>
      <c r="L1358" t="s">
        <v>153</v>
      </c>
      <c r="N1358" t="s">
        <v>182</v>
      </c>
      <c r="O1358" t="s">
        <v>200</v>
      </c>
      <c r="P1358">
        <v>0.001321951440183375</v>
      </c>
      <c r="Q1358" t="s">
        <v>153</v>
      </c>
    </row>
    <row r="1359" spans="9:17" ht="14.25">
      <c r="I1359" t="s">
        <v>172</v>
      </c>
      <c r="J1359" t="s">
        <v>201</v>
      </c>
      <c r="K1359">
        <v>0.018762792411716554</v>
      </c>
      <c r="L1359" t="s">
        <v>153</v>
      </c>
      <c r="N1359" t="s">
        <v>182</v>
      </c>
      <c r="O1359" t="s">
        <v>201</v>
      </c>
      <c r="P1359">
        <v>0.0077859864308233388</v>
      </c>
      <c r="Q1359" t="s">
        <v>153</v>
      </c>
    </row>
    <row r="1360" spans="9:17" ht="14.25">
      <c r="I1360" t="s">
        <v>172</v>
      </c>
      <c r="J1360" t="s">
        <v>218</v>
      </c>
      <c r="K1360">
        <v>0.0020217238963024615</v>
      </c>
      <c r="L1360" t="s">
        <v>153</v>
      </c>
      <c r="N1360" t="s">
        <v>182</v>
      </c>
      <c r="O1360" t="s">
        <v>218</v>
      </c>
      <c r="P1360">
        <v>0.00078475923484316466</v>
      </c>
      <c r="Q1360" t="s">
        <v>153</v>
      </c>
    </row>
    <row r="1361" spans="9:17" ht="14.25">
      <c r="I1361" t="s">
        <v>172</v>
      </c>
      <c r="J1361" t="s">
        <v>309</v>
      </c>
      <c r="K1361">
        <v>0.0011176822907431349</v>
      </c>
      <c r="L1361" t="s">
        <v>153</v>
      </c>
      <c r="N1361" t="s">
        <v>182</v>
      </c>
      <c r="O1361" t="s">
        <v>309</v>
      </c>
      <c r="P1361">
        <v>0.00080373255621858533</v>
      </c>
      <c r="Q1361" t="s">
        <v>153</v>
      </c>
    </row>
    <row r="1362" spans="9:17" ht="14.25">
      <c r="I1362" t="s">
        <v>172</v>
      </c>
      <c r="J1362" t="s">
        <v>310</v>
      </c>
      <c r="K1362">
        <v>0</v>
      </c>
      <c r="L1362" t="s">
        <v>153</v>
      </c>
      <c r="N1362" t="s">
        <v>182</v>
      </c>
      <c r="O1362" t="s">
        <v>310</v>
      </c>
      <c r="P1362">
        <v>0.007891311845225981</v>
      </c>
      <c r="Q1362" t="s">
        <v>153</v>
      </c>
    </row>
    <row r="1363" spans="9:17" ht="14.25">
      <c r="I1363" t="s">
        <v>172</v>
      </c>
      <c r="J1363" t="s">
        <v>156</v>
      </c>
      <c r="K1363">
        <v>0</v>
      </c>
      <c r="L1363" t="s">
        <v>153</v>
      </c>
      <c r="N1363" t="s">
        <v>182</v>
      </c>
      <c r="O1363" t="s">
        <v>156</v>
      </c>
      <c r="P1363">
        <v>0.0080729726038485643</v>
      </c>
      <c r="Q1363" t="s">
        <v>153</v>
      </c>
    </row>
    <row r="1364" spans="9:17" ht="14.25">
      <c r="I1364" t="s">
        <v>172</v>
      </c>
      <c r="J1364" t="s">
        <v>157</v>
      </c>
      <c r="K1364">
        <v>0</v>
      </c>
      <c r="L1364" t="s">
        <v>153</v>
      </c>
      <c r="N1364" t="s">
        <v>182</v>
      </c>
      <c r="O1364" t="s">
        <v>157</v>
      </c>
      <c r="P1364">
        <v>0.0011375609807427773</v>
      </c>
      <c r="Q1364" t="s">
        <v>153</v>
      </c>
    </row>
    <row r="1365" spans="9:17" ht="14.25">
      <c r="I1365" t="s">
        <v>172</v>
      </c>
      <c r="J1365" t="s">
        <v>158</v>
      </c>
      <c r="K1365">
        <v>0.00058454900139615301</v>
      </c>
      <c r="L1365" t="s">
        <v>153</v>
      </c>
      <c r="N1365" t="s">
        <v>182</v>
      </c>
      <c r="O1365" t="s">
        <v>158</v>
      </c>
      <c r="P1365">
        <v>0.0010768605408777079</v>
      </c>
      <c r="Q1365" t="s">
        <v>153</v>
      </c>
    </row>
    <row r="1366" spans="9:17" ht="14.25">
      <c r="I1366" t="s">
        <v>172</v>
      </c>
      <c r="J1366" t="s">
        <v>202</v>
      </c>
      <c r="K1366">
        <v>0.0011064644754935542</v>
      </c>
      <c r="L1366" t="s">
        <v>153</v>
      </c>
      <c r="N1366" t="s">
        <v>182</v>
      </c>
      <c r="O1366" t="s">
        <v>202</v>
      </c>
      <c r="P1366">
        <v>0.00082136842241667223</v>
      </c>
      <c r="Q1366" t="s">
        <v>153</v>
      </c>
    </row>
    <row r="1367" spans="9:17" ht="14.25">
      <c r="I1367" t="s">
        <v>172</v>
      </c>
      <c r="J1367" t="s">
        <v>203</v>
      </c>
      <c r="K1367">
        <v>0.010145607621851559</v>
      </c>
      <c r="L1367" t="s">
        <v>153</v>
      </c>
      <c r="N1367" t="s">
        <v>182</v>
      </c>
      <c r="O1367" t="s">
        <v>203</v>
      </c>
      <c r="P1367">
        <v>0.013098197466871683</v>
      </c>
      <c r="Q1367" t="s">
        <v>153</v>
      </c>
    </row>
    <row r="1368" spans="9:17" ht="14.25">
      <c r="I1368" t="s">
        <v>172</v>
      </c>
      <c r="J1368" t="s">
        <v>219</v>
      </c>
      <c r="K1368">
        <v>0.0011868878892251945</v>
      </c>
      <c r="L1368" t="s">
        <v>153</v>
      </c>
      <c r="N1368" t="s">
        <v>182</v>
      </c>
      <c r="O1368" t="s">
        <v>219</v>
      </c>
      <c r="P1368">
        <v>0.00208872826343745</v>
      </c>
      <c r="Q1368" t="s">
        <v>153</v>
      </c>
    </row>
    <row r="1369" spans="9:17" ht="14.25">
      <c r="I1369" t="s">
        <v>172</v>
      </c>
      <c r="J1369" t="s">
        <v>311</v>
      </c>
      <c r="K1369">
        <v>0.00068520271565231897</v>
      </c>
      <c r="L1369" t="s">
        <v>153</v>
      </c>
      <c r="N1369" t="s">
        <v>182</v>
      </c>
      <c r="O1369" t="s">
        <v>311</v>
      </c>
      <c r="P1369">
        <v>0.0020569257625148709</v>
      </c>
      <c r="Q1369" t="s">
        <v>153</v>
      </c>
    </row>
    <row r="1370" spans="9:17" ht="14.25">
      <c r="I1370" t="s">
        <v>172</v>
      </c>
      <c r="J1370" t="s">
        <v>312</v>
      </c>
      <c r="K1370">
        <v>0</v>
      </c>
      <c r="L1370" t="s">
        <v>153</v>
      </c>
      <c r="N1370" t="s">
        <v>182</v>
      </c>
      <c r="O1370" t="s">
        <v>312</v>
      </c>
      <c r="P1370">
        <v>0.010674840069722488</v>
      </c>
      <c r="Q1370" t="s">
        <v>153</v>
      </c>
    </row>
    <row r="1371" spans="9:17" ht="14.25">
      <c r="I1371" t="s">
        <v>172</v>
      </c>
      <c r="J1371" t="s">
        <v>159</v>
      </c>
      <c r="K1371">
        <v>0</v>
      </c>
      <c r="L1371" t="s">
        <v>153</v>
      </c>
      <c r="N1371" t="s">
        <v>182</v>
      </c>
      <c r="O1371" t="s">
        <v>159</v>
      </c>
      <c r="P1371">
        <v>0.011112216499744285</v>
      </c>
      <c r="Q1371" t="s">
        <v>153</v>
      </c>
    </row>
    <row r="1372" spans="9:17" ht="14.25">
      <c r="I1372" t="s">
        <v>172</v>
      </c>
      <c r="J1372" t="s">
        <v>160</v>
      </c>
      <c r="K1372">
        <v>0</v>
      </c>
      <c r="L1372" t="s">
        <v>153</v>
      </c>
      <c r="N1372" t="s">
        <v>182</v>
      </c>
      <c r="O1372" t="s">
        <v>160</v>
      </c>
      <c r="P1372">
        <v>0.0017278859536219017</v>
      </c>
      <c r="Q1372" t="s">
        <v>153</v>
      </c>
    </row>
    <row r="1373" spans="9:17" ht="14.25">
      <c r="I1373" t="s">
        <v>172</v>
      </c>
      <c r="J1373" t="s">
        <v>161</v>
      </c>
      <c r="K1373">
        <v>0.0016532840158228399</v>
      </c>
      <c r="L1373" t="s">
        <v>153</v>
      </c>
      <c r="N1373" t="s">
        <v>182</v>
      </c>
      <c r="O1373" t="s">
        <v>161</v>
      </c>
      <c r="P1373">
        <v>0.0016685588456807553</v>
      </c>
      <c r="Q1373" t="s">
        <v>153</v>
      </c>
    </row>
    <row r="1374" spans="9:17" ht="14.25">
      <c r="I1374" t="s">
        <v>172</v>
      </c>
      <c r="J1374" t="s">
        <v>204</v>
      </c>
      <c r="K1374">
        <v>0.003081644436837084</v>
      </c>
      <c r="L1374" t="s">
        <v>153</v>
      </c>
      <c r="N1374" t="s">
        <v>182</v>
      </c>
      <c r="O1374" t="s">
        <v>204</v>
      </c>
      <c r="P1374">
        <v>0.001353434120457899</v>
      </c>
      <c r="Q1374" t="s">
        <v>153</v>
      </c>
    </row>
    <row r="1375" spans="9:17" ht="14.25">
      <c r="I1375" t="s">
        <v>172</v>
      </c>
      <c r="J1375" t="s">
        <v>205</v>
      </c>
      <c r="K1375">
        <v>0.033015739805467237</v>
      </c>
      <c r="L1375" t="s">
        <v>153</v>
      </c>
      <c r="N1375" t="s">
        <v>182</v>
      </c>
      <c r="O1375" t="s">
        <v>205</v>
      </c>
      <c r="P1375">
        <v>0.0078620177800622689</v>
      </c>
      <c r="Q1375" t="s">
        <v>153</v>
      </c>
    </row>
    <row r="1376" spans="9:17" ht="14.25">
      <c r="I1376" t="s">
        <v>172</v>
      </c>
      <c r="J1376" t="s">
        <v>220</v>
      </c>
      <c r="K1376">
        <v>0.0037998981671391856</v>
      </c>
      <c r="L1376" t="s">
        <v>153</v>
      </c>
      <c r="N1376" t="s">
        <v>182</v>
      </c>
      <c r="O1376" t="s">
        <v>220</v>
      </c>
      <c r="P1376">
        <v>0.001125973411776083</v>
      </c>
      <c r="Q1376" t="s">
        <v>153</v>
      </c>
    </row>
    <row r="1377" spans="9:17" ht="14.25">
      <c r="I1377" t="s">
        <v>172</v>
      </c>
      <c r="J1377" t="s">
        <v>313</v>
      </c>
      <c r="K1377">
        <v>0.0021092104025716052</v>
      </c>
      <c r="L1377" t="s">
        <v>153</v>
      </c>
      <c r="N1377" t="s">
        <v>182</v>
      </c>
      <c r="O1377" t="s">
        <v>313</v>
      </c>
      <c r="P1377">
        <v>0.0012925298596403868</v>
      </c>
      <c r="Q1377" t="s">
        <v>153</v>
      </c>
    </row>
    <row r="1378" spans="9:17" ht="14.25">
      <c r="I1378" t="s">
        <v>172</v>
      </c>
      <c r="J1378" t="s">
        <v>314</v>
      </c>
      <c r="K1378">
        <v>0</v>
      </c>
      <c r="L1378" t="s">
        <v>153</v>
      </c>
      <c r="N1378" t="s">
        <v>182</v>
      </c>
      <c r="O1378" t="s">
        <v>314</v>
      </c>
      <c r="P1378">
        <v>0.01274126219552597</v>
      </c>
      <c r="Q1378" t="s">
        <v>153</v>
      </c>
    </row>
    <row r="1379" spans="9:17" ht="14.25">
      <c r="I1379" t="s">
        <v>172</v>
      </c>
      <c r="J1379" t="s">
        <v>162</v>
      </c>
      <c r="K1379">
        <v>0</v>
      </c>
      <c r="L1379" t="s">
        <v>153</v>
      </c>
      <c r="N1379" t="s">
        <v>182</v>
      </c>
      <c r="O1379" t="s">
        <v>162</v>
      </c>
      <c r="P1379">
        <v>0.019825331488765984</v>
      </c>
      <c r="Q1379" t="s">
        <v>153</v>
      </c>
    </row>
    <row r="1380" spans="9:17" ht="14.25">
      <c r="I1380" t="s">
        <v>172</v>
      </c>
      <c r="J1380" t="s">
        <v>163</v>
      </c>
      <c r="K1380">
        <v>0</v>
      </c>
      <c r="L1380" t="s">
        <v>153</v>
      </c>
      <c r="N1380" t="s">
        <v>182</v>
      </c>
      <c r="O1380" t="s">
        <v>163</v>
      </c>
      <c r="P1380">
        <v>0.0031818632803304295</v>
      </c>
      <c r="Q1380" t="s">
        <v>153</v>
      </c>
    </row>
    <row r="1381" spans="9:17" ht="14.25">
      <c r="I1381" t="s">
        <v>172</v>
      </c>
      <c r="J1381" t="s">
        <v>164</v>
      </c>
      <c r="K1381">
        <v>0.0029198515906338268</v>
      </c>
      <c r="L1381" t="s">
        <v>153</v>
      </c>
      <c r="N1381" t="s">
        <v>182</v>
      </c>
      <c r="O1381" t="s">
        <v>164</v>
      </c>
      <c r="P1381">
        <v>0.002998902542131446</v>
      </c>
      <c r="Q1381" t="s">
        <v>153</v>
      </c>
    </row>
    <row r="1382" spans="9:17" ht="14.25">
      <c r="I1382" t="s">
        <v>172</v>
      </c>
      <c r="J1382" t="s">
        <v>206</v>
      </c>
      <c r="K1382">
        <v>0.005025355457816752</v>
      </c>
      <c r="L1382" t="s">
        <v>153</v>
      </c>
      <c r="N1382" t="s">
        <v>182</v>
      </c>
      <c r="O1382" t="s">
        <v>206</v>
      </c>
      <c r="P1382">
        <v>0.0020510618088850426</v>
      </c>
      <c r="Q1382" t="s">
        <v>153</v>
      </c>
    </row>
    <row r="1383" spans="9:17" ht="14.25">
      <c r="I1383" t="s">
        <v>172</v>
      </c>
      <c r="J1383" t="s">
        <v>207</v>
      </c>
      <c r="K1383">
        <v>0.051126475983456016</v>
      </c>
      <c r="L1383" t="s">
        <v>153</v>
      </c>
      <c r="N1383" t="s">
        <v>182</v>
      </c>
      <c r="O1383" t="s">
        <v>207</v>
      </c>
      <c r="P1383">
        <v>0.014648586149986761</v>
      </c>
      <c r="Q1383" t="s">
        <v>153</v>
      </c>
    </row>
    <row r="1384" spans="9:17" ht="14.25">
      <c r="I1384" t="s">
        <v>172</v>
      </c>
      <c r="J1384" t="s">
        <v>221</v>
      </c>
      <c r="K1384">
        <v>0.006157117179667649</v>
      </c>
      <c r="L1384" t="s">
        <v>153</v>
      </c>
      <c r="N1384" t="s">
        <v>182</v>
      </c>
      <c r="O1384" t="s">
        <v>221</v>
      </c>
      <c r="P1384">
        <v>0.0025968061444892033</v>
      </c>
      <c r="Q1384" t="s">
        <v>153</v>
      </c>
    </row>
    <row r="1385" spans="9:17" ht="14.25">
      <c r="I1385" t="s">
        <v>172</v>
      </c>
      <c r="J1385" t="s">
        <v>315</v>
      </c>
      <c r="K1385">
        <v>0.0038809350623764719</v>
      </c>
      <c r="L1385" t="s">
        <v>153</v>
      </c>
      <c r="N1385" t="s">
        <v>182</v>
      </c>
      <c r="O1385" t="s">
        <v>315</v>
      </c>
      <c r="P1385">
        <v>0.0029458035665429149</v>
      </c>
      <c r="Q1385" t="s">
        <v>153</v>
      </c>
    </row>
    <row r="1386" spans="9:17" ht="14.25">
      <c r="I1386" t="s">
        <v>172</v>
      </c>
      <c r="J1386" t="s">
        <v>316</v>
      </c>
      <c r="K1386">
        <v>0</v>
      </c>
      <c r="L1386" t="s">
        <v>153</v>
      </c>
      <c r="N1386" t="s">
        <v>182</v>
      </c>
      <c r="O1386" t="s">
        <v>316</v>
      </c>
      <c r="P1386">
        <v>0.025702506478460969</v>
      </c>
      <c r="Q1386" t="s">
        <v>153</v>
      </c>
    </row>
    <row r="1387" spans="9:17" ht="14.25">
      <c r="I1387" t="s">
        <v>172</v>
      </c>
      <c r="J1387" t="s">
        <v>208</v>
      </c>
      <c r="K1387">
        <v>0</v>
      </c>
      <c r="L1387" t="s">
        <v>153</v>
      </c>
      <c r="N1387" t="s">
        <v>182</v>
      </c>
      <c r="O1387" t="s">
        <v>208</v>
      </c>
      <c r="P1387">
        <v>0.0044619186321844416</v>
      </c>
      <c r="Q1387" t="s">
        <v>153</v>
      </c>
    </row>
    <row r="1388" spans="9:17" ht="14.25">
      <c r="I1388" t="s">
        <v>172</v>
      </c>
      <c r="J1388" t="s">
        <v>209</v>
      </c>
      <c r="K1388">
        <v>0</v>
      </c>
      <c r="L1388" t="s">
        <v>153</v>
      </c>
      <c r="N1388" t="s">
        <v>182</v>
      </c>
      <c r="O1388" t="s">
        <v>209</v>
      </c>
      <c r="P1388">
        <v>0.00091898231818590399</v>
      </c>
      <c r="Q1388" t="s">
        <v>153</v>
      </c>
    </row>
    <row r="1389" spans="9:17" ht="14.25">
      <c r="I1389" t="s">
        <v>172</v>
      </c>
      <c r="J1389" t="s">
        <v>210</v>
      </c>
      <c r="K1389">
        <v>0.00091146562981189044</v>
      </c>
      <c r="L1389" t="s">
        <v>153</v>
      </c>
      <c r="N1389" t="s">
        <v>182</v>
      </c>
      <c r="O1389" t="s">
        <v>210</v>
      </c>
      <c r="P1389">
        <v>0.00082193775611329276</v>
      </c>
      <c r="Q1389" t="s">
        <v>153</v>
      </c>
    </row>
    <row r="1390" spans="9:17" ht="14.25">
      <c r="I1390" t="s">
        <v>172</v>
      </c>
      <c r="J1390" t="s">
        <v>211</v>
      </c>
      <c r="K1390">
        <v>0.0015627491248136373</v>
      </c>
      <c r="L1390" t="s">
        <v>153</v>
      </c>
      <c r="N1390" t="s">
        <v>182</v>
      </c>
      <c r="O1390" t="s">
        <v>211</v>
      </c>
      <c r="P1390">
        <v>0.00051889648477570788</v>
      </c>
      <c r="Q1390" t="s">
        <v>153</v>
      </c>
    </row>
    <row r="1391" spans="9:17" ht="14.25">
      <c r="I1391" t="s">
        <v>172</v>
      </c>
      <c r="J1391" t="s">
        <v>212</v>
      </c>
      <c r="K1391">
        <v>0.015063856780021319</v>
      </c>
      <c r="L1391" t="s">
        <v>153</v>
      </c>
      <c r="N1391" t="s">
        <v>182</v>
      </c>
      <c r="O1391" t="s">
        <v>212</v>
      </c>
      <c r="P1391">
        <v>0.00098839710548591841</v>
      </c>
      <c r="Q1391" t="s">
        <v>153</v>
      </c>
    </row>
    <row r="1392" spans="9:17" ht="14.25">
      <c r="I1392" t="s">
        <v>172</v>
      </c>
      <c r="J1392" t="s">
        <v>222</v>
      </c>
      <c r="K1392">
        <v>0.0018222594044400475</v>
      </c>
      <c r="L1392" t="s">
        <v>153</v>
      </c>
      <c r="N1392" t="s">
        <v>182</v>
      </c>
      <c r="O1392" t="s">
        <v>222</v>
      </c>
      <c r="P1392">
        <v>4.1180303364681244E-05</v>
      </c>
      <c r="Q1392" t="s">
        <v>153</v>
      </c>
    </row>
    <row r="1393" spans="9:17" ht="14.25">
      <c r="I1393" t="s">
        <v>172</v>
      </c>
      <c r="J1393" t="s">
        <v>317</v>
      </c>
      <c r="K1393">
        <v>0.0011563635240696493</v>
      </c>
      <c r="L1393" t="s">
        <v>153</v>
      </c>
      <c r="N1393" t="s">
        <v>182</v>
      </c>
      <c r="O1393" t="s">
        <v>317</v>
      </c>
      <c r="P1393">
        <v>7.1029419324362397E-05</v>
      </c>
      <c r="Q1393" t="s">
        <v>153</v>
      </c>
    </row>
    <row r="1394" spans="9:17" ht="14.25">
      <c r="I1394" t="s">
        <v>172</v>
      </c>
      <c r="J1394" t="s">
        <v>318</v>
      </c>
      <c r="K1394">
        <v>0</v>
      </c>
      <c r="L1394" t="s">
        <v>153</v>
      </c>
      <c r="N1394" t="s">
        <v>182</v>
      </c>
      <c r="O1394" t="s">
        <v>318</v>
      </c>
      <c r="P1394">
        <v>0.0020080840377360893</v>
      </c>
      <c r="Q1394" t="s">
        <v>153</v>
      </c>
    </row>
    <row r="1395" spans="9:17" ht="14.25">
      <c r="I1395" t="s">
        <v>172</v>
      </c>
      <c r="J1395" t="s">
        <v>223</v>
      </c>
      <c r="K1395">
        <v>0</v>
      </c>
      <c r="L1395" t="s">
        <v>153</v>
      </c>
      <c r="N1395" t="s">
        <v>182</v>
      </c>
      <c r="O1395" t="s">
        <v>223</v>
      </c>
      <c r="P1395">
        <v>0.010022923306337257</v>
      </c>
      <c r="Q1395" t="s">
        <v>153</v>
      </c>
    </row>
    <row r="1396" spans="9:17" ht="14.25">
      <c r="I1396" t="s">
        <v>172</v>
      </c>
      <c r="J1396" t="s">
        <v>224</v>
      </c>
      <c r="K1396">
        <v>0</v>
      </c>
      <c r="L1396" t="s">
        <v>153</v>
      </c>
      <c r="N1396" t="s">
        <v>182</v>
      </c>
      <c r="O1396" t="s">
        <v>224</v>
      </c>
      <c r="P1396">
        <v>0.0018936067049506757</v>
      </c>
      <c r="Q1396" t="s">
        <v>153</v>
      </c>
    </row>
    <row r="1397" spans="9:17" ht="14.25">
      <c r="I1397" t="s">
        <v>172</v>
      </c>
      <c r="J1397" t="s">
        <v>225</v>
      </c>
      <c r="K1397">
        <v>0.0013580381325446549</v>
      </c>
      <c r="L1397" t="s">
        <v>153</v>
      </c>
      <c r="N1397" t="s">
        <v>182</v>
      </c>
      <c r="O1397" t="s">
        <v>225</v>
      </c>
      <c r="P1397">
        <v>0.0017700130729708134</v>
      </c>
      <c r="Q1397" t="s">
        <v>153</v>
      </c>
    </row>
    <row r="1398" spans="9:17" ht="14.25">
      <c r="I1398" t="s">
        <v>172</v>
      </c>
      <c r="J1398" t="s">
        <v>226</v>
      </c>
      <c r="K1398">
        <v>0.0021202116208913517</v>
      </c>
      <c r="L1398" t="s">
        <v>153</v>
      </c>
      <c r="N1398" t="s">
        <v>182</v>
      </c>
      <c r="O1398" t="s">
        <v>226</v>
      </c>
      <c r="P1398">
        <v>0.0014981572376209138</v>
      </c>
      <c r="Q1398" t="s">
        <v>153</v>
      </c>
    </row>
    <row r="1399" spans="9:17" ht="14.25">
      <c r="I1399" t="s">
        <v>172</v>
      </c>
      <c r="J1399" t="s">
        <v>227</v>
      </c>
      <c r="K1399">
        <v>0.01747073409158054</v>
      </c>
      <c r="L1399" t="s">
        <v>153</v>
      </c>
      <c r="N1399" t="s">
        <v>182</v>
      </c>
      <c r="O1399" t="s">
        <v>227</v>
      </c>
      <c r="P1399">
        <v>0.01097074881747878</v>
      </c>
      <c r="Q1399" t="s">
        <v>153</v>
      </c>
    </row>
    <row r="1400" spans="9:17" ht="14.25">
      <c r="I1400" t="s">
        <v>172</v>
      </c>
      <c r="J1400" t="s">
        <v>228</v>
      </c>
      <c r="K1400">
        <v>0.0019577238459634384</v>
      </c>
      <c r="L1400" t="s">
        <v>153</v>
      </c>
      <c r="N1400" t="s">
        <v>182</v>
      </c>
      <c r="O1400" t="s">
        <v>228</v>
      </c>
      <c r="P1400">
        <v>0.0015014688661791505</v>
      </c>
      <c r="Q1400" t="s">
        <v>153</v>
      </c>
    </row>
    <row r="1401" spans="9:17" ht="14.25">
      <c r="I1401" t="s">
        <v>172</v>
      </c>
      <c r="J1401" t="s">
        <v>319</v>
      </c>
      <c r="K1401">
        <v>0.0012603694107578998</v>
      </c>
      <c r="L1401" t="s">
        <v>153</v>
      </c>
      <c r="N1401" t="s">
        <v>182</v>
      </c>
      <c r="O1401" t="s">
        <v>319</v>
      </c>
      <c r="P1401">
        <v>0.0014488418467148074</v>
      </c>
      <c r="Q1401" t="s">
        <v>153</v>
      </c>
    </row>
    <row r="1402" spans="9:17" ht="14.25">
      <c r="I1402" t="s">
        <v>172</v>
      </c>
      <c r="J1402" t="s">
        <v>320</v>
      </c>
      <c r="K1402">
        <v>0</v>
      </c>
      <c r="L1402" t="s">
        <v>153</v>
      </c>
      <c r="N1402" t="s">
        <v>182</v>
      </c>
      <c r="O1402" t="s">
        <v>320</v>
      </c>
      <c r="P1402">
        <v>0.01165558031219649</v>
      </c>
      <c r="Q1402" t="s">
        <v>153</v>
      </c>
    </row>
    <row r="1403" spans="9:17" ht="14.25">
      <c r="I1403" t="s">
        <v>172</v>
      </c>
      <c r="J1403" t="s">
        <v>235</v>
      </c>
      <c r="K1403">
        <v>0</v>
      </c>
      <c r="L1403" t="s">
        <v>153</v>
      </c>
      <c r="N1403" t="s">
        <v>182</v>
      </c>
      <c r="O1403" t="s">
        <v>235</v>
      </c>
      <c r="P1403">
        <v>0.0045580673101210988</v>
      </c>
      <c r="Q1403" t="s">
        <v>153</v>
      </c>
    </row>
    <row r="1404" spans="9:17" ht="14.25">
      <c r="I1404" t="s">
        <v>172</v>
      </c>
      <c r="J1404" t="s">
        <v>236</v>
      </c>
      <c r="K1404">
        <v>0</v>
      </c>
      <c r="L1404" t="s">
        <v>153</v>
      </c>
      <c r="N1404" t="s">
        <v>182</v>
      </c>
      <c r="O1404" t="s">
        <v>236</v>
      </c>
      <c r="P1404">
        <v>0.0012206130891062438</v>
      </c>
      <c r="Q1404" t="s">
        <v>153</v>
      </c>
    </row>
    <row r="1405" spans="9:17" ht="14.25">
      <c r="I1405" t="s">
        <v>172</v>
      </c>
      <c r="J1405" t="s">
        <v>237</v>
      </c>
      <c r="K1405">
        <v>0.001057459181778631</v>
      </c>
      <c r="L1405" t="s">
        <v>153</v>
      </c>
      <c r="N1405" t="s">
        <v>182</v>
      </c>
      <c r="O1405" t="s">
        <v>237</v>
      </c>
      <c r="P1405">
        <v>0.0010105929498214175</v>
      </c>
      <c r="Q1405" t="s">
        <v>153</v>
      </c>
    </row>
    <row r="1406" spans="9:17" ht="14.25">
      <c r="I1406" t="s">
        <v>172</v>
      </c>
      <c r="J1406" t="s">
        <v>238</v>
      </c>
      <c r="K1406">
        <v>0.0016554352094398819</v>
      </c>
      <c r="L1406" t="s">
        <v>153</v>
      </c>
      <c r="N1406" t="s">
        <v>182</v>
      </c>
      <c r="O1406" t="s">
        <v>238</v>
      </c>
      <c r="P1406">
        <v>0.00063660372506551307</v>
      </c>
      <c r="Q1406" t="s">
        <v>153</v>
      </c>
    </row>
    <row r="1407" spans="9:17" ht="14.25">
      <c r="I1407" t="s">
        <v>172</v>
      </c>
      <c r="J1407" t="s">
        <v>239</v>
      </c>
      <c r="K1407">
        <v>0.015099487277123361</v>
      </c>
      <c r="L1407" t="s">
        <v>153</v>
      </c>
      <c r="N1407" t="s">
        <v>182</v>
      </c>
      <c r="O1407" t="s">
        <v>239</v>
      </c>
      <c r="P1407">
        <v>0.0028642843630956147</v>
      </c>
      <c r="Q1407" t="s">
        <v>153</v>
      </c>
    </row>
    <row r="1408" spans="9:17" ht="14.25">
      <c r="I1408" t="s">
        <v>172</v>
      </c>
      <c r="J1408" t="s">
        <v>240</v>
      </c>
      <c r="K1408">
        <v>0.0017643459650830851</v>
      </c>
      <c r="L1408" t="s">
        <v>153</v>
      </c>
      <c r="N1408" t="s">
        <v>182</v>
      </c>
      <c r="O1408" t="s">
        <v>240</v>
      </c>
      <c r="P1408">
        <v>0.00034253326143995677</v>
      </c>
      <c r="Q1408" t="s">
        <v>153</v>
      </c>
    </row>
    <row r="1409" spans="9:17" ht="14.25">
      <c r="I1409" t="s">
        <v>172</v>
      </c>
      <c r="J1409" t="s">
        <v>321</v>
      </c>
      <c r="K1409">
        <v>0.0011492178011338631</v>
      </c>
      <c r="L1409" t="s">
        <v>153</v>
      </c>
      <c r="N1409" t="s">
        <v>182</v>
      </c>
      <c r="O1409" t="s">
        <v>321</v>
      </c>
      <c r="P1409">
        <v>0.00032529856933680699</v>
      </c>
      <c r="Q1409" t="s">
        <v>153</v>
      </c>
    </row>
    <row r="1410" spans="9:17" ht="14.25">
      <c r="I1410" t="s">
        <v>172</v>
      </c>
      <c r="J1410" t="s">
        <v>322</v>
      </c>
      <c r="K1410">
        <v>0</v>
      </c>
      <c r="L1410" t="s">
        <v>153</v>
      </c>
      <c r="N1410" t="s">
        <v>182</v>
      </c>
      <c r="O1410" t="s">
        <v>322</v>
      </c>
      <c r="P1410">
        <v>0.0032055901841629587</v>
      </c>
      <c r="Q1410" t="s">
        <v>153</v>
      </c>
    </row>
    <row r="1411" spans="9:17" ht="14.25">
      <c r="I1411" t="s">
        <v>172</v>
      </c>
      <c r="J1411" t="s">
        <v>241</v>
      </c>
      <c r="K1411">
        <v>0</v>
      </c>
      <c r="L1411" t="s">
        <v>153</v>
      </c>
      <c r="N1411" t="s">
        <v>182</v>
      </c>
      <c r="O1411" t="s">
        <v>241</v>
      </c>
      <c r="P1411">
        <v>0.0038362650409533095</v>
      </c>
      <c r="Q1411" t="s">
        <v>153</v>
      </c>
    </row>
    <row r="1412" spans="9:17" ht="14.25">
      <c r="I1412" t="s">
        <v>172</v>
      </c>
      <c r="J1412" t="s">
        <v>242</v>
      </c>
      <c r="K1412">
        <v>0.00010680746829390533</v>
      </c>
      <c r="L1412" t="s">
        <v>153</v>
      </c>
      <c r="N1412" t="s">
        <v>182</v>
      </c>
      <c r="O1412" t="s">
        <v>242</v>
      </c>
      <c r="P1412">
        <v>0.00061346406587838118</v>
      </c>
      <c r="Q1412" t="s">
        <v>153</v>
      </c>
    </row>
    <row r="1413" spans="9:17" ht="14.25">
      <c r="I1413" t="s">
        <v>172</v>
      </c>
      <c r="J1413" t="s">
        <v>243</v>
      </c>
      <c r="K1413">
        <v>0.00056119417393966139</v>
      </c>
      <c r="L1413" t="s">
        <v>153</v>
      </c>
      <c r="N1413" t="s">
        <v>182</v>
      </c>
      <c r="O1413" t="s">
        <v>243</v>
      </c>
      <c r="P1413">
        <v>0.00036645892936220683</v>
      </c>
      <c r="Q1413" t="s">
        <v>153</v>
      </c>
    </row>
    <row r="1414" spans="9:17" ht="14.25">
      <c r="I1414" t="s">
        <v>172</v>
      </c>
      <c r="J1414" t="s">
        <v>244</v>
      </c>
      <c r="K1414">
        <v>0.0009120875736880657</v>
      </c>
      <c r="L1414" t="s">
        <v>153</v>
      </c>
      <c r="N1414" t="s">
        <v>182</v>
      </c>
      <c r="O1414" t="s">
        <v>244</v>
      </c>
      <c r="P1414">
        <v>0.00032604967823881908</v>
      </c>
      <c r="Q1414" t="s">
        <v>153</v>
      </c>
    </row>
    <row r="1415" spans="9:17" ht="14.25">
      <c r="I1415" t="s">
        <v>172</v>
      </c>
      <c r="J1415" t="s">
        <v>245</v>
      </c>
      <c r="K1415">
        <v>0.0080613542469401764</v>
      </c>
      <c r="L1415" t="s">
        <v>153</v>
      </c>
      <c r="N1415" t="s">
        <v>182</v>
      </c>
      <c r="O1415" t="s">
        <v>245</v>
      </c>
      <c r="P1415">
        <v>0.0037129391230515639</v>
      </c>
      <c r="Q1415" t="s">
        <v>153</v>
      </c>
    </row>
    <row r="1416" spans="9:17" ht="14.25">
      <c r="I1416" t="s">
        <v>172</v>
      </c>
      <c r="J1416" t="s">
        <v>246</v>
      </c>
      <c r="K1416">
        <v>0.00078698610487131686</v>
      </c>
      <c r="L1416" t="s">
        <v>153</v>
      </c>
      <c r="N1416" t="s">
        <v>182</v>
      </c>
      <c r="O1416" t="s">
        <v>246</v>
      </c>
      <c r="P1416">
        <v>0.00088978810015478645</v>
      </c>
      <c r="Q1416" t="s">
        <v>153</v>
      </c>
    </row>
    <row r="1417" spans="9:17" ht="14.25">
      <c r="I1417" t="s">
        <v>172</v>
      </c>
      <c r="J1417" t="s">
        <v>323</v>
      </c>
      <c r="K1417">
        <v>0.00050893866381087542</v>
      </c>
      <c r="L1417" t="s">
        <v>153</v>
      </c>
      <c r="N1417" t="s">
        <v>182</v>
      </c>
      <c r="O1417" t="s">
        <v>323</v>
      </c>
      <c r="P1417">
        <v>0.00081183957129773911</v>
      </c>
      <c r="Q1417" t="s">
        <v>153</v>
      </c>
    </row>
    <row r="1418" spans="9:17" ht="14.25">
      <c r="I1418" t="s">
        <v>172</v>
      </c>
      <c r="J1418" t="s">
        <v>324</v>
      </c>
      <c r="K1418">
        <v>0</v>
      </c>
      <c r="L1418" t="s">
        <v>153</v>
      </c>
      <c r="N1418" t="s">
        <v>182</v>
      </c>
      <c r="O1418" t="s">
        <v>324</v>
      </c>
      <c r="P1418">
        <v>0.0034939440614465038</v>
      </c>
      <c r="Q1418" t="s">
        <v>153</v>
      </c>
    </row>
    <row r="1419" spans="9:17" ht="14.25">
      <c r="I1419" t="s">
        <v>172</v>
      </c>
      <c r="J1419" t="s">
        <v>247</v>
      </c>
      <c r="K1419">
        <v>0</v>
      </c>
      <c r="L1419" t="s">
        <v>153</v>
      </c>
      <c r="N1419" t="s">
        <v>182</v>
      </c>
      <c r="O1419" t="s">
        <v>247</v>
      </c>
      <c r="P1419">
        <v>0.010501489672097759</v>
      </c>
      <c r="Q1419" t="s">
        <v>153</v>
      </c>
    </row>
    <row r="1420" spans="9:17" ht="14.25">
      <c r="I1420" t="s">
        <v>172</v>
      </c>
      <c r="J1420" t="s">
        <v>248</v>
      </c>
      <c r="K1420">
        <v>0.0011795157800650986</v>
      </c>
      <c r="L1420" t="s">
        <v>153</v>
      </c>
      <c r="N1420" t="s">
        <v>182</v>
      </c>
      <c r="O1420" t="s">
        <v>248</v>
      </c>
      <c r="P1420">
        <v>0.0017072236538212178</v>
      </c>
      <c r="Q1420" t="s">
        <v>153</v>
      </c>
    </row>
    <row r="1421" spans="9:17" ht="14.25">
      <c r="I1421" t="s">
        <v>172</v>
      </c>
      <c r="J1421" t="s">
        <v>249</v>
      </c>
      <c r="K1421">
        <v>0.0024126462190550415</v>
      </c>
      <c r="L1421" t="s">
        <v>153</v>
      </c>
      <c r="N1421" t="s">
        <v>182</v>
      </c>
      <c r="O1421" t="s">
        <v>249</v>
      </c>
      <c r="P1421">
        <v>0.0015337916955071684</v>
      </c>
      <c r="Q1421" t="s">
        <v>153</v>
      </c>
    </row>
    <row r="1422" spans="9:17" ht="14.25">
      <c r="I1422" t="s">
        <v>172</v>
      </c>
      <c r="J1422" t="s">
        <v>250</v>
      </c>
      <c r="K1422">
        <v>0.0032985015998845497</v>
      </c>
      <c r="L1422" t="s">
        <v>153</v>
      </c>
      <c r="N1422" t="s">
        <v>182</v>
      </c>
      <c r="O1422" t="s">
        <v>250</v>
      </c>
      <c r="P1422">
        <v>0.0013558239276455612</v>
      </c>
      <c r="Q1422" t="s">
        <v>153</v>
      </c>
    </row>
    <row r="1423" spans="9:17" ht="14.25">
      <c r="I1423" t="s">
        <v>172</v>
      </c>
      <c r="J1423" t="s">
        <v>251</v>
      </c>
      <c r="K1423">
        <v>0.026892610900148869</v>
      </c>
      <c r="L1423" t="s">
        <v>153</v>
      </c>
      <c r="N1423" t="s">
        <v>182</v>
      </c>
      <c r="O1423" t="s">
        <v>251</v>
      </c>
      <c r="P1423">
        <v>0.012814037954802297</v>
      </c>
      <c r="Q1423" t="s">
        <v>153</v>
      </c>
    </row>
    <row r="1424" spans="9:17" ht="14.25">
      <c r="I1424" t="s">
        <v>172</v>
      </c>
      <c r="J1424" t="s">
        <v>252</v>
      </c>
      <c r="K1424">
        <v>0.002966698129616092</v>
      </c>
      <c r="L1424" t="s">
        <v>153</v>
      </c>
      <c r="N1424" t="s">
        <v>182</v>
      </c>
      <c r="O1424" t="s">
        <v>252</v>
      </c>
      <c r="P1424">
        <v>0.002484632386994159</v>
      </c>
      <c r="Q1424" t="s">
        <v>153</v>
      </c>
    </row>
    <row r="1425" spans="9:17" ht="14.25">
      <c r="I1425" t="s">
        <v>172</v>
      </c>
      <c r="J1425" t="s">
        <v>325</v>
      </c>
      <c r="K1425">
        <v>0.0019821263625290062</v>
      </c>
      <c r="L1425" t="s">
        <v>153</v>
      </c>
      <c r="N1425" t="s">
        <v>182</v>
      </c>
      <c r="O1425" t="s">
        <v>325</v>
      </c>
      <c r="P1425">
        <v>0.0025479683401955933</v>
      </c>
      <c r="Q1425" t="s">
        <v>153</v>
      </c>
    </row>
    <row r="1426" spans="9:17" ht="14.25">
      <c r="I1426" t="s">
        <v>172</v>
      </c>
      <c r="J1426" t="s">
        <v>326</v>
      </c>
      <c r="K1426">
        <v>0.00019941250528006621</v>
      </c>
      <c r="L1426" t="s">
        <v>153</v>
      </c>
      <c r="N1426" t="s">
        <v>182</v>
      </c>
      <c r="O1426" t="s">
        <v>326</v>
      </c>
      <c r="P1426">
        <v>0.016772349813543041</v>
      </c>
      <c r="Q1426" t="s">
        <v>153</v>
      </c>
    </row>
    <row r="1427" spans="9:17" ht="14.25">
      <c r="I1427" t="s">
        <v>172</v>
      </c>
      <c r="J1427" t="s">
        <v>262</v>
      </c>
      <c r="K1427">
        <v>0</v>
      </c>
      <c r="L1427" t="s">
        <v>153</v>
      </c>
      <c r="N1427" t="s">
        <v>182</v>
      </c>
      <c r="O1427" t="s">
        <v>262</v>
      </c>
      <c r="P1427">
        <v>0.0098984350577885905</v>
      </c>
      <c r="Q1427" t="s">
        <v>153</v>
      </c>
    </row>
    <row r="1428" spans="9:17" ht="14.25">
      <c r="I1428" t="s">
        <v>172</v>
      </c>
      <c r="J1428" t="s">
        <v>263</v>
      </c>
      <c r="K1428">
        <v>0.0018216094642211082</v>
      </c>
      <c r="L1428" t="s">
        <v>153</v>
      </c>
      <c r="N1428" t="s">
        <v>182</v>
      </c>
      <c r="O1428" t="s">
        <v>263</v>
      </c>
      <c r="P1428">
        <v>0.0012955817814883177</v>
      </c>
      <c r="Q1428" t="s">
        <v>153</v>
      </c>
    </row>
    <row r="1429" spans="9:17" ht="14.25">
      <c r="I1429" t="s">
        <v>172</v>
      </c>
      <c r="J1429" t="s">
        <v>264</v>
      </c>
      <c r="K1429">
        <v>0.0035979321388819666</v>
      </c>
      <c r="L1429" t="s">
        <v>153</v>
      </c>
      <c r="N1429" t="s">
        <v>182</v>
      </c>
      <c r="O1429" t="s">
        <v>264</v>
      </c>
      <c r="P1429">
        <v>0.00095735160703462542</v>
      </c>
      <c r="Q1429" t="s">
        <v>153</v>
      </c>
    </row>
    <row r="1430" spans="9:17" ht="14.25">
      <c r="I1430" t="s">
        <v>172</v>
      </c>
      <c r="J1430" t="s">
        <v>265</v>
      </c>
      <c r="K1430">
        <v>0.0047266854049189417</v>
      </c>
      <c r="L1430" t="s">
        <v>153</v>
      </c>
      <c r="N1430" t="s">
        <v>182</v>
      </c>
      <c r="O1430" t="s">
        <v>265</v>
      </c>
      <c r="P1430">
        <v>0.00069876100171119705</v>
      </c>
      <c r="Q1430" t="s">
        <v>153</v>
      </c>
    </row>
    <row r="1431" spans="9:17" ht="14.25">
      <c r="I1431" t="s">
        <v>172</v>
      </c>
      <c r="J1431" t="s">
        <v>266</v>
      </c>
      <c r="K1431">
        <v>0.038833223230796354</v>
      </c>
      <c r="L1431" t="s">
        <v>153</v>
      </c>
      <c r="N1431" t="s">
        <v>182</v>
      </c>
      <c r="O1431" t="s">
        <v>266</v>
      </c>
      <c r="P1431">
        <v>0.0065696598142942729</v>
      </c>
      <c r="Q1431" t="s">
        <v>153</v>
      </c>
    </row>
    <row r="1432" spans="9:17" ht="14.25">
      <c r="I1432" t="s">
        <v>172</v>
      </c>
      <c r="J1432" t="s">
        <v>267</v>
      </c>
      <c r="K1432">
        <v>0.0041598301119106394</v>
      </c>
      <c r="L1432" t="s">
        <v>153</v>
      </c>
      <c r="N1432" t="s">
        <v>182</v>
      </c>
      <c r="O1432" t="s">
        <v>267</v>
      </c>
      <c r="P1432">
        <v>0.0011097127322455649</v>
      </c>
      <c r="Q1432" t="s">
        <v>153</v>
      </c>
    </row>
    <row r="1433" spans="9:17" ht="14.25">
      <c r="I1433" t="s">
        <v>172</v>
      </c>
      <c r="J1433" t="s">
        <v>327</v>
      </c>
      <c r="K1433">
        <v>0.002907359028712829</v>
      </c>
      <c r="L1433" t="s">
        <v>153</v>
      </c>
      <c r="N1433" t="s">
        <v>182</v>
      </c>
      <c r="O1433" t="s">
        <v>327</v>
      </c>
      <c r="P1433">
        <v>0.0010602009056392568</v>
      </c>
      <c r="Q1433" t="s">
        <v>153</v>
      </c>
    </row>
    <row r="1434" spans="9:17" ht="14.25">
      <c r="I1434" t="s">
        <v>172</v>
      </c>
      <c r="J1434" t="s">
        <v>328</v>
      </c>
      <c r="K1434">
        <v>0.0014396730002193127</v>
      </c>
      <c r="L1434" t="s">
        <v>153</v>
      </c>
      <c r="N1434" t="s">
        <v>182</v>
      </c>
      <c r="O1434" t="s">
        <v>328</v>
      </c>
      <c r="P1434">
        <v>0.011670986673343108</v>
      </c>
      <c r="Q1434" t="s">
        <v>153</v>
      </c>
    </row>
    <row r="1435" spans="9:17" ht="14.25">
      <c r="I1435" t="s">
        <v>172</v>
      </c>
      <c r="J1435" t="s">
        <v>268</v>
      </c>
      <c r="K1435">
        <v>0</v>
      </c>
      <c r="L1435" t="s">
        <v>153</v>
      </c>
      <c r="N1435" t="s">
        <v>182</v>
      </c>
      <c r="O1435" t="s">
        <v>268</v>
      </c>
      <c r="P1435">
        <v>0.0092428772011966115</v>
      </c>
      <c r="Q1435" t="s">
        <v>153</v>
      </c>
    </row>
    <row r="1436" spans="9:17" ht="14.25">
      <c r="I1436" t="s">
        <v>172</v>
      </c>
      <c r="J1436" t="s">
        <v>269</v>
      </c>
      <c r="K1436">
        <v>0.0021083950890865158</v>
      </c>
      <c r="L1436" t="s">
        <v>153</v>
      </c>
      <c r="N1436" t="s">
        <v>182</v>
      </c>
      <c r="O1436" t="s">
        <v>269</v>
      </c>
      <c r="P1436">
        <v>0.0011110763969612593</v>
      </c>
      <c r="Q1436" t="s">
        <v>153</v>
      </c>
    </row>
    <row r="1437" spans="9:17" ht="14.25">
      <c r="I1437" t="s">
        <v>172</v>
      </c>
      <c r="J1437" t="s">
        <v>270</v>
      </c>
      <c r="K1437">
        <v>0.0038811343060745867</v>
      </c>
      <c r="L1437" t="s">
        <v>153</v>
      </c>
      <c r="N1437" t="s">
        <v>182</v>
      </c>
      <c r="O1437" t="s">
        <v>270</v>
      </c>
      <c r="P1437">
        <v>0.00075140327615986699</v>
      </c>
      <c r="Q1437" t="s">
        <v>153</v>
      </c>
    </row>
    <row r="1438" spans="9:17" ht="14.25">
      <c r="I1438" t="s">
        <v>172</v>
      </c>
      <c r="J1438" t="s">
        <v>271</v>
      </c>
      <c r="K1438">
        <v>0.0049685574976641653</v>
      </c>
      <c r="L1438" t="s">
        <v>153</v>
      </c>
      <c r="N1438" t="s">
        <v>182</v>
      </c>
      <c r="O1438" t="s">
        <v>271</v>
      </c>
      <c r="P1438">
        <v>0.00044288338975206377</v>
      </c>
      <c r="Q1438" t="s">
        <v>153</v>
      </c>
    </row>
    <row r="1439" spans="9:17" ht="14.25">
      <c r="I1439" t="s">
        <v>172</v>
      </c>
      <c r="J1439" t="s">
        <v>272</v>
      </c>
      <c r="K1439">
        <v>0.03828564727730667</v>
      </c>
      <c r="L1439" t="s">
        <v>153</v>
      </c>
      <c r="N1439" t="s">
        <v>182</v>
      </c>
      <c r="O1439" t="s">
        <v>272</v>
      </c>
      <c r="P1439">
        <v>0.013026976495579446</v>
      </c>
      <c r="Q1439" t="s">
        <v>153</v>
      </c>
    </row>
    <row r="1440" spans="9:17" ht="14.25">
      <c r="I1440" t="s">
        <v>172</v>
      </c>
      <c r="J1440" t="s">
        <v>273</v>
      </c>
      <c r="K1440">
        <v>0.0038419176984509874</v>
      </c>
      <c r="L1440" t="s">
        <v>153</v>
      </c>
      <c r="N1440" t="s">
        <v>182</v>
      </c>
      <c r="O1440" t="s">
        <v>273</v>
      </c>
      <c r="P1440">
        <v>0.0036843154515204595</v>
      </c>
      <c r="Q1440" t="s">
        <v>153</v>
      </c>
    </row>
    <row r="1441" spans="9:17" ht="14.25">
      <c r="I1441" t="s">
        <v>172</v>
      </c>
      <c r="J1441" t="s">
        <v>329</v>
      </c>
      <c r="K1441">
        <v>0.0027486447812979449</v>
      </c>
      <c r="L1441" t="s">
        <v>153</v>
      </c>
      <c r="N1441" t="s">
        <v>182</v>
      </c>
      <c r="O1441" t="s">
        <v>329</v>
      </c>
      <c r="P1441">
        <v>0.0039049726312077888</v>
      </c>
      <c r="Q1441" t="s">
        <v>153</v>
      </c>
    </row>
    <row r="1442" spans="9:17" ht="14.25">
      <c r="I1442" t="s">
        <v>172</v>
      </c>
      <c r="J1442" t="s">
        <v>330</v>
      </c>
      <c r="K1442">
        <v>0.0011697946315111182</v>
      </c>
      <c r="L1442" t="s">
        <v>153</v>
      </c>
      <c r="N1442" t="s">
        <v>182</v>
      </c>
      <c r="O1442" t="s">
        <v>330</v>
      </c>
      <c r="P1442">
        <v>0.021888372083717831</v>
      </c>
      <c r="Q1442" t="s">
        <v>153</v>
      </c>
    </row>
    <row r="1443" spans="9:17" ht="14.25">
      <c r="I1443" t="s">
        <v>172</v>
      </c>
      <c r="J1443" t="s">
        <v>274</v>
      </c>
      <c r="K1443">
        <v>0</v>
      </c>
      <c r="L1443" t="s">
        <v>153</v>
      </c>
      <c r="N1443" t="s">
        <v>182</v>
      </c>
      <c r="O1443" t="s">
        <v>274</v>
      </c>
      <c r="P1443">
        <v>0.0039129642530670184</v>
      </c>
      <c r="Q1443" t="s">
        <v>153</v>
      </c>
    </row>
    <row r="1444" spans="9:17" ht="14.25">
      <c r="I1444" t="s">
        <v>172</v>
      </c>
      <c r="J1444" t="s">
        <v>275</v>
      </c>
      <c r="K1444">
        <v>0.00085942046831514183</v>
      </c>
      <c r="L1444" t="s">
        <v>153</v>
      </c>
      <c r="N1444" t="s">
        <v>182</v>
      </c>
      <c r="O1444" t="s">
        <v>275</v>
      </c>
      <c r="P1444">
        <v>0.000977806388105303</v>
      </c>
      <c r="Q1444" t="s">
        <v>153</v>
      </c>
    </row>
    <row r="1445" spans="9:17" ht="14.25">
      <c r="I1445" t="s">
        <v>172</v>
      </c>
      <c r="J1445" t="s">
        <v>276</v>
      </c>
      <c r="K1445">
        <v>0.0014956864684889195</v>
      </c>
      <c r="L1445" t="s">
        <v>153</v>
      </c>
      <c r="N1445" t="s">
        <v>182</v>
      </c>
      <c r="O1445" t="s">
        <v>276</v>
      </c>
      <c r="P1445">
        <v>0.00082310217179851469</v>
      </c>
      <c r="Q1445" t="s">
        <v>153</v>
      </c>
    </row>
    <row r="1446" spans="9:17" ht="14.25">
      <c r="I1446" t="s">
        <v>172</v>
      </c>
      <c r="J1446" t="s">
        <v>277</v>
      </c>
      <c r="K1446">
        <v>0.0018464617757020709</v>
      </c>
      <c r="L1446" t="s">
        <v>153</v>
      </c>
      <c r="N1446" t="s">
        <v>182</v>
      </c>
      <c r="O1446" t="s">
        <v>277</v>
      </c>
      <c r="P1446">
        <v>0.00077369553487178079</v>
      </c>
      <c r="Q1446" t="s">
        <v>153</v>
      </c>
    </row>
    <row r="1447" spans="9:17" ht="14.25">
      <c r="I1447" t="s">
        <v>172</v>
      </c>
      <c r="J1447" t="s">
        <v>278</v>
      </c>
      <c r="K1447">
        <v>0.01496260093791274</v>
      </c>
      <c r="L1447" t="s">
        <v>153</v>
      </c>
      <c r="N1447" t="s">
        <v>182</v>
      </c>
      <c r="O1447" t="s">
        <v>278</v>
      </c>
      <c r="P1447">
        <v>0.0054974644429149335</v>
      </c>
      <c r="Q1447" t="s">
        <v>153</v>
      </c>
    </row>
    <row r="1448" spans="9:17" ht="14.25">
      <c r="I1448" t="s">
        <v>172</v>
      </c>
      <c r="J1448" t="s">
        <v>279</v>
      </c>
      <c r="K1448">
        <v>0.0016564397144346894</v>
      </c>
      <c r="L1448" t="s">
        <v>153</v>
      </c>
      <c r="N1448" t="s">
        <v>182</v>
      </c>
      <c r="O1448" t="s">
        <v>279</v>
      </c>
      <c r="P1448">
        <v>0.001021039369723848</v>
      </c>
      <c r="Q1448" t="s">
        <v>153</v>
      </c>
    </row>
    <row r="1449" spans="9:17" ht="14.25">
      <c r="I1449" t="s">
        <v>172</v>
      </c>
      <c r="J1449" t="s">
        <v>331</v>
      </c>
      <c r="K1449">
        <v>0.0012081213388991749</v>
      </c>
      <c r="L1449" t="s">
        <v>153</v>
      </c>
      <c r="N1449" t="s">
        <v>182</v>
      </c>
      <c r="O1449" t="s">
        <v>331</v>
      </c>
      <c r="P1449">
        <v>0.0011793729658823515</v>
      </c>
      <c r="Q1449" t="s">
        <v>153</v>
      </c>
    </row>
    <row r="1450" spans="9:17" ht="14.25">
      <c r="I1450" t="s">
        <v>172</v>
      </c>
      <c r="J1450" t="s">
        <v>332</v>
      </c>
      <c r="K1450">
        <v>0.00052293892129408434</v>
      </c>
      <c r="L1450" t="s">
        <v>153</v>
      </c>
      <c r="N1450" t="s">
        <v>182</v>
      </c>
      <c r="O1450" t="s">
        <v>332</v>
      </c>
      <c r="P1450">
        <v>0.0089633001060259766</v>
      </c>
      <c r="Q1450" t="s">
        <v>153</v>
      </c>
    </row>
    <row r="1451" spans="9:17" ht="14.25">
      <c r="I1451" t="s">
        <v>172</v>
      </c>
      <c r="J1451" t="s">
        <v>280</v>
      </c>
      <c r="K1451">
        <v>0</v>
      </c>
      <c r="L1451" t="s">
        <v>153</v>
      </c>
      <c r="N1451" t="s">
        <v>182</v>
      </c>
      <c r="O1451" t="s">
        <v>280</v>
      </c>
      <c r="P1451">
        <v>0.0056594317655337912</v>
      </c>
      <c r="Q1451" t="s">
        <v>153</v>
      </c>
    </row>
    <row r="1452" spans="9:17" ht="14.25">
      <c r="I1452" t="s">
        <v>172</v>
      </c>
      <c r="J1452" t="s">
        <v>281</v>
      </c>
      <c r="K1452">
        <v>0.00062172930748803472</v>
      </c>
      <c r="L1452" t="s">
        <v>153</v>
      </c>
      <c r="N1452" t="s">
        <v>182</v>
      </c>
      <c r="O1452" t="s">
        <v>281</v>
      </c>
      <c r="P1452">
        <v>0.00081641273665378656</v>
      </c>
      <c r="Q1452" t="s">
        <v>153</v>
      </c>
    </row>
    <row r="1453" spans="9:17" ht="14.25">
      <c r="I1453" t="s">
        <v>172</v>
      </c>
      <c r="J1453" t="s">
        <v>282</v>
      </c>
      <c r="K1453">
        <v>0.0011472839997353954</v>
      </c>
      <c r="L1453" t="s">
        <v>153</v>
      </c>
      <c r="N1453" t="s">
        <v>182</v>
      </c>
      <c r="O1453" t="s">
        <v>282</v>
      </c>
      <c r="P1453">
        <v>0.0005858101769124172</v>
      </c>
      <c r="Q1453" t="s">
        <v>153</v>
      </c>
    </row>
    <row r="1454" spans="9:17" ht="14.25">
      <c r="I1454" t="s">
        <v>172</v>
      </c>
      <c r="J1454" t="s">
        <v>283</v>
      </c>
      <c r="K1454">
        <v>0.0014845348127748926</v>
      </c>
      <c r="L1454" t="s">
        <v>153</v>
      </c>
      <c r="N1454" t="s">
        <v>182</v>
      </c>
      <c r="O1454" t="s">
        <v>283</v>
      </c>
      <c r="P1454">
        <v>0.00047402436299515496</v>
      </c>
      <c r="Q1454" t="s">
        <v>153</v>
      </c>
    </row>
    <row r="1455" spans="9:17" ht="14.25">
      <c r="I1455" t="s">
        <v>172</v>
      </c>
      <c r="J1455" t="s">
        <v>284</v>
      </c>
      <c r="K1455">
        <v>0.012497538389513037</v>
      </c>
      <c r="L1455" t="s">
        <v>153</v>
      </c>
      <c r="N1455" t="s">
        <v>182</v>
      </c>
      <c r="O1455" t="s">
        <v>284</v>
      </c>
      <c r="P1455">
        <v>0.0021293461026143288</v>
      </c>
      <c r="Q1455" t="s">
        <v>153</v>
      </c>
    </row>
    <row r="1456" spans="9:17" ht="14.25">
      <c r="I1456" t="s">
        <v>172</v>
      </c>
      <c r="J1456" t="s">
        <v>285</v>
      </c>
      <c r="K1456">
        <v>0.0013406477878029339</v>
      </c>
      <c r="L1456" t="s">
        <v>153</v>
      </c>
      <c r="N1456" t="s">
        <v>182</v>
      </c>
      <c r="O1456" t="s">
        <v>285</v>
      </c>
      <c r="P1456">
        <v>0.00048281838829425448</v>
      </c>
      <c r="Q1456" t="s">
        <v>153</v>
      </c>
    </row>
    <row r="1457" spans="9:17" ht="14.25">
      <c r="I1457" t="s">
        <v>172</v>
      </c>
      <c r="J1457" t="s">
        <v>333</v>
      </c>
      <c r="K1457">
        <v>0.00097018703619883122</v>
      </c>
      <c r="L1457" t="s">
        <v>153</v>
      </c>
      <c r="N1457" t="s">
        <v>182</v>
      </c>
      <c r="O1457" t="s">
        <v>333</v>
      </c>
      <c r="P1457">
        <v>0.00061505905167582448</v>
      </c>
      <c r="Q1457" t="s">
        <v>153</v>
      </c>
    </row>
    <row r="1458" spans="9:17" ht="14.25">
      <c r="I1458" t="s">
        <v>172</v>
      </c>
      <c r="J1458" t="s">
        <v>334</v>
      </c>
      <c r="K1458">
        <v>0.00040161441097080676</v>
      </c>
      <c r="L1458" t="s">
        <v>153</v>
      </c>
      <c r="N1458" t="s">
        <v>182</v>
      </c>
      <c r="O1458" t="s">
        <v>334</v>
      </c>
      <c r="P1458">
        <v>0.0055605825202996052</v>
      </c>
      <c r="Q1458" t="s">
        <v>153</v>
      </c>
    </row>
    <row r="1459" spans="9:17" ht="14.25">
      <c r="I1459" t="s">
        <v>172</v>
      </c>
      <c r="J1459" t="s">
        <v>286</v>
      </c>
      <c r="K1459">
        <v>0</v>
      </c>
      <c r="L1459" t="s">
        <v>153</v>
      </c>
      <c r="N1459" t="s">
        <v>182</v>
      </c>
      <c r="O1459" t="s">
        <v>286</v>
      </c>
      <c r="P1459">
        <v>0.0055741562850391106</v>
      </c>
      <c r="Q1459" t="s">
        <v>153</v>
      </c>
    </row>
    <row r="1460" spans="9:17" ht="14.25">
      <c r="I1460" t="s">
        <v>172</v>
      </c>
      <c r="J1460" t="s">
        <v>287</v>
      </c>
      <c r="K1460">
        <v>0.00084395474649411918</v>
      </c>
      <c r="L1460" t="s">
        <v>153</v>
      </c>
      <c r="N1460" t="s">
        <v>182</v>
      </c>
      <c r="O1460" t="s">
        <v>287</v>
      </c>
      <c r="P1460">
        <v>0.00074414696018694048</v>
      </c>
      <c r="Q1460" t="s">
        <v>153</v>
      </c>
    </row>
    <row r="1461" spans="9:17" ht="14.25">
      <c r="I1461" t="s">
        <v>172</v>
      </c>
      <c r="J1461" t="s">
        <v>288</v>
      </c>
      <c r="K1461">
        <v>0.0015879891822489359</v>
      </c>
      <c r="L1461" t="s">
        <v>153</v>
      </c>
      <c r="N1461" t="s">
        <v>182</v>
      </c>
      <c r="O1461" t="s">
        <v>288</v>
      </c>
      <c r="P1461">
        <v>0.00059770154869577844</v>
      </c>
      <c r="Q1461" t="s">
        <v>153</v>
      </c>
    </row>
    <row r="1462" spans="9:17" ht="14.25">
      <c r="I1462" t="s">
        <v>172</v>
      </c>
      <c r="J1462" t="s">
        <v>289</v>
      </c>
      <c r="K1462">
        <v>0.0020841510377775396</v>
      </c>
      <c r="L1462" t="s">
        <v>153</v>
      </c>
      <c r="N1462" t="s">
        <v>182</v>
      </c>
      <c r="O1462" t="s">
        <v>289</v>
      </c>
      <c r="P1462">
        <v>0.00046126722482359964</v>
      </c>
      <c r="Q1462" t="s">
        <v>153</v>
      </c>
    </row>
    <row r="1463" spans="9:17" ht="14.25">
      <c r="I1463" t="s">
        <v>172</v>
      </c>
      <c r="J1463" t="s">
        <v>290</v>
      </c>
      <c r="K1463">
        <v>0.018194635762872217</v>
      </c>
      <c r="L1463" t="s">
        <v>153</v>
      </c>
      <c r="N1463" t="s">
        <v>182</v>
      </c>
      <c r="O1463" t="s">
        <v>290</v>
      </c>
      <c r="P1463">
        <v>0.0020104290928207149</v>
      </c>
      <c r="Q1463" t="s">
        <v>153</v>
      </c>
    </row>
    <row r="1464" spans="9:17" ht="14.25">
      <c r="I1464" t="s">
        <v>172</v>
      </c>
      <c r="J1464" t="s">
        <v>291</v>
      </c>
      <c r="K1464">
        <v>0.0019137177340579747</v>
      </c>
      <c r="L1464" t="s">
        <v>153</v>
      </c>
      <c r="N1464" t="s">
        <v>182</v>
      </c>
      <c r="O1464" t="s">
        <v>291</v>
      </c>
      <c r="P1464">
        <v>0.00067953332771729597</v>
      </c>
      <c r="Q1464" t="s">
        <v>153</v>
      </c>
    </row>
    <row r="1465" spans="9:17" ht="14.25">
      <c r="I1465" t="s">
        <v>172</v>
      </c>
      <c r="J1465" t="s">
        <v>335</v>
      </c>
      <c r="K1465">
        <v>0.0013407016624668461</v>
      </c>
      <c r="L1465" t="s">
        <v>153</v>
      </c>
      <c r="N1465" t="s">
        <v>182</v>
      </c>
      <c r="O1465" t="s">
        <v>335</v>
      </c>
      <c r="P1465">
        <v>0.00098454014515694322</v>
      </c>
      <c r="Q1465" t="s">
        <v>153</v>
      </c>
    </row>
    <row r="1466" spans="9:17" ht="14.25">
      <c r="I1466" t="s">
        <v>172</v>
      </c>
      <c r="J1466" t="s">
        <v>336</v>
      </c>
      <c r="K1466">
        <v>0.00053964557754302865</v>
      </c>
      <c r="L1466" t="s">
        <v>153</v>
      </c>
      <c r="N1466" t="s">
        <v>182</v>
      </c>
      <c r="O1466" t="s">
        <v>336</v>
      </c>
      <c r="P1466">
        <v>0.011134420803615515</v>
      </c>
      <c r="Q1466" t="s">
        <v>153</v>
      </c>
    </row>
    <row r="1467" spans="9:17" ht="14.25">
      <c r="I1467" t="s">
        <v>172</v>
      </c>
      <c r="J1467" t="s">
        <v>292</v>
      </c>
      <c r="K1467">
        <v>0</v>
      </c>
      <c r="L1467" t="s">
        <v>153</v>
      </c>
      <c r="N1467" t="s">
        <v>182</v>
      </c>
      <c r="O1467" t="s">
        <v>292</v>
      </c>
      <c r="P1467">
        <v>0.0043346198282730704</v>
      </c>
      <c r="Q1467" t="s">
        <v>153</v>
      </c>
    </row>
    <row r="1468" spans="9:17" ht="14.25">
      <c r="I1468" t="s">
        <v>172</v>
      </c>
      <c r="J1468" t="s">
        <v>293</v>
      </c>
      <c r="K1468">
        <v>0.00056157686997158809</v>
      </c>
      <c r="L1468" t="s">
        <v>153</v>
      </c>
      <c r="N1468" t="s">
        <v>182</v>
      </c>
      <c r="O1468" t="s">
        <v>293</v>
      </c>
      <c r="P1468">
        <v>0.00048193414804183275</v>
      </c>
      <c r="Q1468" t="s">
        <v>153</v>
      </c>
    </row>
    <row r="1469" spans="9:17" ht="14.25">
      <c r="I1469" t="s">
        <v>172</v>
      </c>
      <c r="J1469" t="s">
        <v>294</v>
      </c>
      <c r="K1469">
        <v>0.0010963707117187897</v>
      </c>
      <c r="L1469" t="s">
        <v>153</v>
      </c>
      <c r="N1469" t="s">
        <v>182</v>
      </c>
      <c r="O1469" t="s">
        <v>294</v>
      </c>
      <c r="P1469">
        <v>0.00035302482381054036</v>
      </c>
      <c r="Q1469" t="s">
        <v>153</v>
      </c>
    </row>
    <row r="1470" spans="9:17" ht="14.25">
      <c r="I1470" t="s">
        <v>172</v>
      </c>
      <c r="J1470" t="s">
        <v>295</v>
      </c>
      <c r="K1470">
        <v>0.0014299728883209442</v>
      </c>
      <c r="L1470" t="s">
        <v>153</v>
      </c>
      <c r="N1470" t="s">
        <v>182</v>
      </c>
      <c r="O1470" t="s">
        <v>295</v>
      </c>
      <c r="P1470">
        <v>0.00052669572330038669</v>
      </c>
      <c r="Q1470" t="s">
        <v>153</v>
      </c>
    </row>
    <row r="1471" spans="9:17" ht="14.25">
      <c r="I1471" t="s">
        <v>172</v>
      </c>
      <c r="J1471" t="s">
        <v>296</v>
      </c>
      <c r="K1471">
        <v>0.01222957430329673</v>
      </c>
      <c r="L1471" t="s">
        <v>153</v>
      </c>
      <c r="N1471" t="s">
        <v>182</v>
      </c>
      <c r="O1471" t="s">
        <v>296</v>
      </c>
      <c r="P1471">
        <v>0.0098764269865159668</v>
      </c>
      <c r="Q1471" t="s">
        <v>153</v>
      </c>
    </row>
    <row r="1472" spans="9:17" ht="14.25">
      <c r="I1472" t="s">
        <v>172</v>
      </c>
      <c r="J1472" t="s">
        <v>297</v>
      </c>
      <c r="K1472">
        <v>0.0013053159797839129</v>
      </c>
      <c r="L1472" t="s">
        <v>153</v>
      </c>
      <c r="N1472" t="s">
        <v>182</v>
      </c>
      <c r="O1472" t="s">
        <v>297</v>
      </c>
      <c r="P1472">
        <v>0.0021602092071494575</v>
      </c>
      <c r="Q1472" t="s">
        <v>153</v>
      </c>
    </row>
    <row r="1473" spans="9:17" ht="14.25">
      <c r="I1473" t="s">
        <v>172</v>
      </c>
      <c r="J1473" t="s">
        <v>337</v>
      </c>
      <c r="K1473">
        <v>0.00091758467382900631</v>
      </c>
      <c r="L1473" t="s">
        <v>153</v>
      </c>
      <c r="N1473" t="s">
        <v>182</v>
      </c>
      <c r="O1473" t="s">
        <v>337</v>
      </c>
      <c r="P1473">
        <v>0.0023603941031002272</v>
      </c>
      <c r="Q1473" t="s">
        <v>153</v>
      </c>
    </row>
    <row r="1474" spans="9:17" ht="14.25">
      <c r="I1474" t="s">
        <v>172</v>
      </c>
      <c r="J1474" t="s">
        <v>338</v>
      </c>
      <c r="K1474">
        <v>0.00035891098700013705</v>
      </c>
      <c r="L1474" t="s">
        <v>153</v>
      </c>
      <c r="N1474" t="s">
        <v>182</v>
      </c>
      <c r="O1474" t="s">
        <v>338</v>
      </c>
      <c r="P1474">
        <v>0.012358312929701938</v>
      </c>
      <c r="Q1474" t="s">
        <v>153</v>
      </c>
    </row>
    <row r="1475" spans="9:17" ht="14.25">
      <c r="I1475" t="s">
        <v>172</v>
      </c>
      <c r="J1475" t="s">
        <v>339</v>
      </c>
      <c r="K1475">
        <v>0</v>
      </c>
      <c r="L1475" t="s">
        <v>153</v>
      </c>
      <c r="N1475" t="s">
        <v>182</v>
      </c>
      <c r="O1475" t="s">
        <v>339</v>
      </c>
      <c r="P1475">
        <v>0.0054454098136413592</v>
      </c>
      <c r="Q1475" t="s">
        <v>153</v>
      </c>
    </row>
    <row r="1476" spans="9:17" ht="14.25">
      <c r="I1476" t="s">
        <v>172</v>
      </c>
      <c r="J1476" t="s">
        <v>340</v>
      </c>
      <c r="K1476">
        <v>0.00063611680406973337</v>
      </c>
      <c r="L1476" t="s">
        <v>153</v>
      </c>
      <c r="N1476" t="s">
        <v>182</v>
      </c>
      <c r="O1476" t="s">
        <v>340</v>
      </c>
      <c r="P1476">
        <v>0.00027055662887150319</v>
      </c>
      <c r="Q1476" t="s">
        <v>153</v>
      </c>
    </row>
    <row r="1477" spans="9:17" ht="14.25">
      <c r="I1477" t="s">
        <v>172</v>
      </c>
      <c r="J1477" t="s">
        <v>341</v>
      </c>
      <c r="K1477">
        <v>0.0013985364279232547</v>
      </c>
      <c r="L1477" t="s">
        <v>153</v>
      </c>
      <c r="N1477" t="s">
        <v>182</v>
      </c>
      <c r="O1477" t="s">
        <v>341</v>
      </c>
      <c r="P1477">
        <v>0.00011489369494569542</v>
      </c>
      <c r="Q1477" t="s">
        <v>153</v>
      </c>
    </row>
    <row r="1478" spans="9:17" ht="14.25">
      <c r="I1478" t="s">
        <v>172</v>
      </c>
      <c r="J1478" t="s">
        <v>342</v>
      </c>
      <c r="K1478">
        <v>0.0019605677741869817</v>
      </c>
      <c r="L1478" t="s">
        <v>153</v>
      </c>
      <c r="N1478" t="s">
        <v>182</v>
      </c>
      <c r="O1478" t="s">
        <v>342</v>
      </c>
      <c r="P1478">
        <v>8.829266834433429E-05</v>
      </c>
      <c r="Q1478" t="s">
        <v>153</v>
      </c>
    </row>
    <row r="1479" spans="9:17" ht="14.25">
      <c r="I1479" t="s">
        <v>172</v>
      </c>
      <c r="J1479" t="s">
        <v>343</v>
      </c>
      <c r="K1479">
        <v>0.017880966374053231</v>
      </c>
      <c r="L1479" t="s">
        <v>153</v>
      </c>
      <c r="N1479" t="s">
        <v>182</v>
      </c>
      <c r="O1479" t="s">
        <v>343</v>
      </c>
      <c r="P1479">
        <v>0.0056095672785182928</v>
      </c>
      <c r="Q1479" t="s">
        <v>153</v>
      </c>
    </row>
    <row r="1480" spans="9:17" ht="14.25">
      <c r="I1480" t="s">
        <v>172</v>
      </c>
      <c r="J1480" t="s">
        <v>344</v>
      </c>
      <c r="K1480">
        <v>0.0018711511721197784</v>
      </c>
      <c r="L1480" t="s">
        <v>153</v>
      </c>
      <c r="N1480" t="s">
        <v>182</v>
      </c>
      <c r="O1480" t="s">
        <v>344</v>
      </c>
      <c r="P1480">
        <v>0.0019926105593025636</v>
      </c>
      <c r="Q1480" t="s">
        <v>153</v>
      </c>
    </row>
    <row r="1481" spans="9:17" ht="14.25">
      <c r="I1481" t="s">
        <v>172</v>
      </c>
      <c r="J1481" t="s">
        <v>345</v>
      </c>
      <c r="K1481">
        <v>0.001304179881532413</v>
      </c>
      <c r="L1481" t="s">
        <v>153</v>
      </c>
      <c r="N1481" t="s">
        <v>182</v>
      </c>
      <c r="O1481" t="s">
        <v>345</v>
      </c>
      <c r="P1481">
        <v>0.0021374154041980038</v>
      </c>
      <c r="Q1481" t="s">
        <v>153</v>
      </c>
    </row>
    <row r="1482" spans="9:17" ht="14.25">
      <c r="I1482" t="s">
        <v>172</v>
      </c>
      <c r="J1482" t="s">
        <v>346</v>
      </c>
      <c r="K1482">
        <v>0.00050131104227293998</v>
      </c>
      <c r="L1482" t="s">
        <v>153</v>
      </c>
      <c r="N1482" t="s">
        <v>182</v>
      </c>
      <c r="O1482" t="s">
        <v>346</v>
      </c>
      <c r="P1482">
        <v>0.015116025564849376</v>
      </c>
      <c r="Q1482" t="s">
        <v>153</v>
      </c>
    </row>
    <row r="1483" spans="9:17" ht="14.25">
      <c r="I1483" t="s">
        <v>172</v>
      </c>
      <c r="J1483" t="s">
        <v>347</v>
      </c>
      <c r="K1483">
        <v>0</v>
      </c>
      <c r="L1483" t="s">
        <v>153</v>
      </c>
      <c r="N1483" t="s">
        <v>182</v>
      </c>
      <c r="O1483" t="s">
        <v>347</v>
      </c>
      <c r="P1483">
        <v>0.02270203368999044</v>
      </c>
      <c r="Q1483" t="s">
        <v>153</v>
      </c>
    </row>
    <row r="1484" spans="9:17" ht="14.25">
      <c r="I1484" t="s">
        <v>172</v>
      </c>
      <c r="J1484" t="s">
        <v>348</v>
      </c>
      <c r="K1484">
        <v>0.0025667475874070313</v>
      </c>
      <c r="L1484" t="s">
        <v>153</v>
      </c>
      <c r="N1484" t="s">
        <v>182</v>
      </c>
      <c r="O1484" t="s">
        <v>348</v>
      </c>
      <c r="P1484">
        <v>0.0040843595404281069</v>
      </c>
      <c r="Q1484" t="s">
        <v>153</v>
      </c>
    </row>
    <row r="1485" spans="9:17" ht="14.25">
      <c r="I1485" t="s">
        <v>172</v>
      </c>
      <c r="J1485" t="s">
        <v>349</v>
      </c>
      <c r="K1485">
        <v>0.0061465216550807052</v>
      </c>
      <c r="L1485" t="s">
        <v>153</v>
      </c>
      <c r="N1485" t="s">
        <v>182</v>
      </c>
      <c r="O1485" t="s">
        <v>349</v>
      </c>
      <c r="P1485">
        <v>0.0036509274121724888</v>
      </c>
      <c r="Q1485" t="s">
        <v>153</v>
      </c>
    </row>
    <row r="1486" spans="9:17" ht="14.25">
      <c r="I1486" t="s">
        <v>172</v>
      </c>
      <c r="J1486" t="s">
        <v>350</v>
      </c>
      <c r="K1486">
        <v>0.0086695526921392284</v>
      </c>
      <c r="L1486" t="s">
        <v>153</v>
      </c>
      <c r="N1486" t="s">
        <v>182</v>
      </c>
      <c r="O1486" t="s">
        <v>350</v>
      </c>
      <c r="P1486">
        <v>0.0033857389836739597</v>
      </c>
      <c r="Q1486" t="s">
        <v>153</v>
      </c>
    </row>
    <row r="1487" spans="9:17" ht="14.25">
      <c r="I1487" t="s">
        <v>172</v>
      </c>
      <c r="J1487" t="s">
        <v>351</v>
      </c>
      <c r="K1487">
        <v>0.078083323202139968</v>
      </c>
      <c r="L1487" t="s">
        <v>153</v>
      </c>
      <c r="N1487" t="s">
        <v>182</v>
      </c>
      <c r="O1487" t="s">
        <v>351</v>
      </c>
      <c r="P1487">
        <v>0.023249803740374667</v>
      </c>
      <c r="Q1487" t="s">
        <v>153</v>
      </c>
    </row>
    <row r="1488" spans="9:17" ht="14.25">
      <c r="I1488" t="s">
        <v>172</v>
      </c>
      <c r="J1488" t="s">
        <v>352</v>
      </c>
      <c r="K1488">
        <v>0.0078410705971103355</v>
      </c>
      <c r="L1488" t="s">
        <v>153</v>
      </c>
      <c r="N1488" t="s">
        <v>182</v>
      </c>
      <c r="O1488" t="s">
        <v>352</v>
      </c>
      <c r="P1488">
        <v>0.0039218063208218724</v>
      </c>
      <c r="Q1488" t="s">
        <v>153</v>
      </c>
    </row>
    <row r="1489" spans="9:17" ht="14.25">
      <c r="I1489" t="s">
        <v>172</v>
      </c>
      <c r="J1489" t="s">
        <v>353</v>
      </c>
      <c r="K1489">
        <v>0.0053578904640595639</v>
      </c>
      <c r="L1489" t="s">
        <v>153</v>
      </c>
      <c r="N1489" t="s">
        <v>182</v>
      </c>
      <c r="O1489" t="s">
        <v>353</v>
      </c>
      <c r="P1489">
        <v>0.0043373820020081366</v>
      </c>
      <c r="Q1489" t="s">
        <v>153</v>
      </c>
    </row>
    <row r="1490" spans="9:17" ht="14.25">
      <c r="I1490" t="s">
        <v>172</v>
      </c>
      <c r="J1490" t="s">
        <v>354</v>
      </c>
      <c r="K1490">
        <v>0.001976798483113662</v>
      </c>
      <c r="L1490" t="s">
        <v>153</v>
      </c>
      <c r="N1490" t="s">
        <v>182</v>
      </c>
      <c r="O1490" t="s">
        <v>354</v>
      </c>
      <c r="P1490">
        <v>0.039048220837539852</v>
      </c>
      <c r="Q1490" t="s">
        <v>153</v>
      </c>
    </row>
    <row r="1491" spans="9:17" ht="14.25">
      <c r="I1491" t="s">
        <v>172</v>
      </c>
      <c r="J1491" t="s">
        <v>355</v>
      </c>
      <c r="K1491">
        <v>0</v>
      </c>
      <c r="L1491" t="s">
        <v>153</v>
      </c>
      <c r="N1491" t="s">
        <v>182</v>
      </c>
      <c r="O1491" t="s">
        <v>355</v>
      </c>
      <c r="P1491">
        <v>0.043664300418240952</v>
      </c>
      <c r="Q1491" t="s">
        <v>153</v>
      </c>
    </row>
    <row r="1492" spans="9:17" ht="14.25">
      <c r="I1492" t="s">
        <v>172</v>
      </c>
      <c r="J1492" t="s">
        <v>356</v>
      </c>
      <c r="K1492">
        <v>0.0029157764709451832</v>
      </c>
      <c r="L1492" t="s">
        <v>153</v>
      </c>
      <c r="N1492" t="s">
        <v>182</v>
      </c>
      <c r="O1492" t="s">
        <v>356</v>
      </c>
      <c r="P1492">
        <v>0.008520892723742202</v>
      </c>
      <c r="Q1492" t="s">
        <v>153</v>
      </c>
    </row>
    <row r="1493" spans="9:17" ht="14.25">
      <c r="I1493" t="s">
        <v>172</v>
      </c>
      <c r="J1493" t="s">
        <v>357</v>
      </c>
      <c r="K1493">
        <v>0.0077142594287535086</v>
      </c>
      <c r="L1493" t="s">
        <v>153</v>
      </c>
      <c r="N1493" t="s">
        <v>182</v>
      </c>
      <c r="O1493" t="s">
        <v>357</v>
      </c>
      <c r="P1493">
        <v>0.007481583411393173</v>
      </c>
      <c r="Q1493" t="s">
        <v>153</v>
      </c>
    </row>
    <row r="1494" spans="9:17" ht="14.25">
      <c r="I1494" t="s">
        <v>172</v>
      </c>
      <c r="J1494" t="s">
        <v>358</v>
      </c>
      <c r="K1494">
        <v>0.011206791021865949</v>
      </c>
      <c r="L1494" t="s">
        <v>153</v>
      </c>
      <c r="N1494" t="s">
        <v>182</v>
      </c>
      <c r="O1494" t="s">
        <v>358</v>
      </c>
      <c r="P1494">
        <v>0.0072449106922833359</v>
      </c>
      <c r="Q1494" t="s">
        <v>153</v>
      </c>
    </row>
    <row r="1495" spans="9:17" ht="14.25">
      <c r="I1495" t="s">
        <v>172</v>
      </c>
      <c r="J1495" t="s">
        <v>359</v>
      </c>
      <c r="K1495">
        <v>0.099924567827782293</v>
      </c>
      <c r="L1495" t="s">
        <v>153</v>
      </c>
      <c r="N1495" t="s">
        <v>182</v>
      </c>
      <c r="O1495" t="s">
        <v>359</v>
      </c>
      <c r="P1495">
        <v>0.023814439882078386</v>
      </c>
      <c r="Q1495" t="s">
        <v>153</v>
      </c>
    </row>
    <row r="1496" spans="9:17" ht="14.25">
      <c r="I1496" t="s">
        <v>172</v>
      </c>
      <c r="J1496" t="s">
        <v>360</v>
      </c>
      <c r="K1496">
        <v>0.0096232283937443524</v>
      </c>
      <c r="L1496" t="s">
        <v>153</v>
      </c>
      <c r="N1496" t="s">
        <v>182</v>
      </c>
      <c r="O1496" t="s">
        <v>360</v>
      </c>
      <c r="P1496">
        <v>0.0010325107786840998</v>
      </c>
      <c r="Q1496" t="s">
        <v>153</v>
      </c>
    </row>
    <row r="1497" spans="9:17" ht="14.25">
      <c r="I1497" t="s">
        <v>172</v>
      </c>
      <c r="J1497" t="s">
        <v>361</v>
      </c>
      <c r="K1497">
        <v>0.0056520913808146781</v>
      </c>
      <c r="L1497" t="s">
        <v>153</v>
      </c>
      <c r="N1497" t="s">
        <v>182</v>
      </c>
      <c r="O1497" t="s">
        <v>361</v>
      </c>
      <c r="P1497">
        <v>0.0012540010529309938</v>
      </c>
      <c r="Q1497" t="s">
        <v>153</v>
      </c>
    </row>
    <row r="1498" spans="9:17" ht="14.25">
      <c r="I1498" t="s">
        <v>172</v>
      </c>
      <c r="J1498" t="s">
        <v>362</v>
      </c>
      <c r="K1498">
        <v>0.0011209101144067117</v>
      </c>
      <c r="L1498" t="s">
        <v>153</v>
      </c>
      <c r="N1498" t="s">
        <v>182</v>
      </c>
      <c r="O1498" t="s">
        <v>362</v>
      </c>
      <c r="P1498">
        <v>0.033381324019577961</v>
      </c>
      <c r="Q1498" t="s">
        <v>153</v>
      </c>
    </row>
    <row r="1499" spans="9:17" ht="14.25">
      <c r="I1499" t="s">
        <v>172</v>
      </c>
      <c r="J1499" t="s">
        <v>363</v>
      </c>
      <c r="K1499">
        <v>0</v>
      </c>
      <c r="L1499" t="s">
        <v>153</v>
      </c>
      <c r="N1499" t="s">
        <v>182</v>
      </c>
      <c r="O1499" t="s">
        <v>363</v>
      </c>
      <c r="P1499">
        <v>0.046160837709578767</v>
      </c>
      <c r="Q1499" t="s">
        <v>153</v>
      </c>
    </row>
    <row r="1500" spans="9:17" ht="14.25">
      <c r="I1500" t="s">
        <v>172</v>
      </c>
      <c r="J1500" t="s">
        <v>364</v>
      </c>
      <c r="K1500">
        <v>0.002534797073418919</v>
      </c>
      <c r="L1500" t="s">
        <v>153</v>
      </c>
      <c r="N1500" t="s">
        <v>182</v>
      </c>
      <c r="O1500" t="s">
        <v>364</v>
      </c>
      <c r="P1500">
        <v>0.006967159599626095</v>
      </c>
      <c r="Q1500" t="s">
        <v>153</v>
      </c>
    </row>
    <row r="1501" spans="9:17" ht="14.25">
      <c r="I1501" t="s">
        <v>172</v>
      </c>
      <c r="J1501" t="s">
        <v>365</v>
      </c>
      <c r="K1501">
        <v>0.013266104614223411</v>
      </c>
      <c r="L1501" t="s">
        <v>153</v>
      </c>
      <c r="N1501" t="s">
        <v>182</v>
      </c>
      <c r="O1501" t="s">
        <v>365</v>
      </c>
      <c r="P1501">
        <v>0.0058922656711383652</v>
      </c>
      <c r="Q1501" t="s">
        <v>153</v>
      </c>
    </row>
    <row r="1502" spans="9:17" ht="14.25">
      <c r="I1502" t="s">
        <v>172</v>
      </c>
      <c r="J1502" t="s">
        <v>366</v>
      </c>
      <c r="K1502">
        <v>0.019649498012451101</v>
      </c>
      <c r="L1502" t="s">
        <v>153</v>
      </c>
      <c r="N1502" t="s">
        <v>182</v>
      </c>
      <c r="O1502" t="s">
        <v>366</v>
      </c>
      <c r="P1502">
        <v>0.0041773040101830104</v>
      </c>
      <c r="Q1502" t="s">
        <v>153</v>
      </c>
    </row>
    <row r="1503" spans="9:17" ht="14.25">
      <c r="I1503" t="s">
        <v>172</v>
      </c>
      <c r="J1503" t="s">
        <v>367</v>
      </c>
      <c r="K1503">
        <v>0.15962596879101829</v>
      </c>
      <c r="L1503" t="s">
        <v>153</v>
      </c>
      <c r="N1503" t="s">
        <v>182</v>
      </c>
      <c r="O1503" t="s">
        <v>367</v>
      </c>
      <c r="P1503">
        <v>0.025926043880339103</v>
      </c>
      <c r="Q1503" t="s">
        <v>153</v>
      </c>
    </row>
    <row r="1504" spans="9:17" ht="14.25">
      <c r="I1504" t="s">
        <v>172</v>
      </c>
      <c r="J1504" t="s">
        <v>368</v>
      </c>
      <c r="K1504">
        <v>0.015508151049332224</v>
      </c>
      <c r="L1504" t="s">
        <v>153</v>
      </c>
      <c r="N1504" t="s">
        <v>182</v>
      </c>
      <c r="O1504" t="s">
        <v>368</v>
      </c>
      <c r="P1504">
        <v>0.0057204067040539435</v>
      </c>
      <c r="Q1504" t="s">
        <v>153</v>
      </c>
    </row>
    <row r="1505" spans="9:17" ht="14.25">
      <c r="I1505" t="s">
        <v>172</v>
      </c>
      <c r="J1505" t="s">
        <v>369</v>
      </c>
      <c r="K1505">
        <v>0.0046111385549751204</v>
      </c>
      <c r="L1505" t="s">
        <v>153</v>
      </c>
      <c r="N1505" t="s">
        <v>182</v>
      </c>
      <c r="O1505" t="s">
        <v>369</v>
      </c>
      <c r="P1505">
        <v>0.007479067314243127</v>
      </c>
      <c r="Q1505" t="s">
        <v>153</v>
      </c>
    </row>
    <row r="1506" spans="9:17" ht="14.25">
      <c r="I1506" t="s">
        <v>172</v>
      </c>
      <c r="J1506" t="s">
        <v>370</v>
      </c>
      <c r="K1506">
        <v>0</v>
      </c>
      <c r="L1506" t="s">
        <v>153</v>
      </c>
      <c r="N1506" t="s">
        <v>182</v>
      </c>
      <c r="O1506" t="s">
        <v>370</v>
      </c>
      <c r="P1506">
        <v>0.066778996281198447</v>
      </c>
      <c r="Q1506" t="s">
        <v>153</v>
      </c>
    </row>
    <row r="1507" spans="9:17" ht="14.25">
      <c r="I1507" t="s">
        <v>172</v>
      </c>
      <c r="J1507" t="s">
        <v>371</v>
      </c>
      <c r="K1507">
        <v>0</v>
      </c>
      <c r="L1507" t="s">
        <v>153</v>
      </c>
      <c r="N1507" t="s">
        <v>182</v>
      </c>
      <c r="O1507" t="s">
        <v>371</v>
      </c>
      <c r="P1507">
        <v>0.010761422468794947</v>
      </c>
      <c r="Q1507" t="s">
        <v>153</v>
      </c>
    </row>
    <row r="1508" spans="9:17" ht="14.25">
      <c r="I1508" t="s">
        <v>172</v>
      </c>
      <c r="J1508" t="s">
        <v>372</v>
      </c>
      <c r="K1508">
        <v>0</v>
      </c>
      <c r="L1508" t="s">
        <v>153</v>
      </c>
      <c r="N1508" t="s">
        <v>182</v>
      </c>
      <c r="O1508" t="s">
        <v>372</v>
      </c>
      <c r="P1508">
        <v>0.0015692143811860009</v>
      </c>
      <c r="Q1508" t="s">
        <v>153</v>
      </c>
    </row>
    <row r="1509" spans="9:17" ht="14.25">
      <c r="I1509" t="s">
        <v>172</v>
      </c>
      <c r="J1509" t="s">
        <v>373</v>
      </c>
      <c r="K1509">
        <v>0.00093713953261895591</v>
      </c>
      <c r="L1509" t="s">
        <v>153</v>
      </c>
      <c r="N1509" t="s">
        <v>182</v>
      </c>
      <c r="O1509" t="s">
        <v>373</v>
      </c>
      <c r="P1509">
        <v>0.0013658664146888454</v>
      </c>
      <c r="Q1509" t="s">
        <v>153</v>
      </c>
    </row>
    <row r="1510" spans="9:17" ht="14.25">
      <c r="I1510" t="s">
        <v>172</v>
      </c>
      <c r="J1510" t="s">
        <v>374</v>
      </c>
      <c r="K1510">
        <v>0.0015689911424578891</v>
      </c>
      <c r="L1510" t="s">
        <v>153</v>
      </c>
      <c r="N1510" t="s">
        <v>182</v>
      </c>
      <c r="O1510" t="s">
        <v>374</v>
      </c>
      <c r="P1510">
        <v>0.00097521890368928348</v>
      </c>
      <c r="Q1510" t="s">
        <v>153</v>
      </c>
    </row>
    <row r="1511" spans="9:17" ht="14.25">
      <c r="I1511" t="s">
        <v>172</v>
      </c>
      <c r="J1511" t="s">
        <v>375</v>
      </c>
      <c r="K1511">
        <v>0.013422308812808339</v>
      </c>
      <c r="L1511" t="s">
        <v>153</v>
      </c>
      <c r="N1511" t="s">
        <v>182</v>
      </c>
      <c r="O1511" t="s">
        <v>375</v>
      </c>
      <c r="P1511">
        <v>0.011228536606466406</v>
      </c>
      <c r="Q1511" t="s">
        <v>153</v>
      </c>
    </row>
    <row r="1512" spans="9:17" ht="14.25">
      <c r="I1512" t="s">
        <v>172</v>
      </c>
      <c r="J1512" t="s">
        <v>376</v>
      </c>
      <c r="K1512">
        <v>0.0013460750935572914</v>
      </c>
      <c r="L1512" t="s">
        <v>153</v>
      </c>
      <c r="N1512" t="s">
        <v>182</v>
      </c>
      <c r="O1512" t="s">
        <v>376</v>
      </c>
      <c r="P1512">
        <v>0.0021334652769107536</v>
      </c>
      <c r="Q1512" t="s">
        <v>153</v>
      </c>
    </row>
    <row r="1513" spans="9:17" ht="14.25">
      <c r="I1513" t="s">
        <v>172</v>
      </c>
      <c r="J1513" t="s">
        <v>377</v>
      </c>
      <c r="K1513">
        <v>7.1071431430129006E-05</v>
      </c>
      <c r="L1513" t="s">
        <v>153</v>
      </c>
      <c r="N1513" t="s">
        <v>182</v>
      </c>
      <c r="O1513" t="s">
        <v>377</v>
      </c>
      <c r="P1513">
        <v>0.0022810240520762378</v>
      </c>
      <c r="Q1513" t="s">
        <v>153</v>
      </c>
    </row>
    <row r="1514" spans="9:17" ht="14.25">
      <c r="I1514" t="s">
        <v>172</v>
      </c>
      <c r="J1514" t="s">
        <v>378</v>
      </c>
      <c r="K1514">
        <v>0</v>
      </c>
      <c r="L1514" t="s">
        <v>153</v>
      </c>
      <c r="N1514" t="s">
        <v>182</v>
      </c>
      <c r="O1514" t="s">
        <v>378</v>
      </c>
      <c r="P1514">
        <v>0.014067057962211089</v>
      </c>
      <c r="Q1514" t="s">
        <v>153</v>
      </c>
    </row>
    <row r="1515" spans="9:17" ht="14.25">
      <c r="I1515" t="s">
        <v>172</v>
      </c>
      <c r="J1515" t="s">
        <v>379</v>
      </c>
      <c r="K1515">
        <v>0</v>
      </c>
      <c r="L1515" t="s">
        <v>153</v>
      </c>
      <c r="N1515" t="s">
        <v>182</v>
      </c>
      <c r="O1515" t="s">
        <v>379</v>
      </c>
      <c r="P1515">
        <v>0.0094669055079880347</v>
      </c>
      <c r="Q1515" t="s">
        <v>153</v>
      </c>
    </row>
    <row r="1516" spans="9:17" ht="14.25">
      <c r="I1516" t="s">
        <v>172</v>
      </c>
      <c r="J1516" t="s">
        <v>380</v>
      </c>
      <c r="K1516">
        <v>0</v>
      </c>
      <c r="L1516" t="s">
        <v>153</v>
      </c>
      <c r="N1516" t="s">
        <v>182</v>
      </c>
      <c r="O1516" t="s">
        <v>380</v>
      </c>
      <c r="P1516">
        <v>0.0014979790269974175</v>
      </c>
      <c r="Q1516" t="s">
        <v>153</v>
      </c>
    </row>
    <row r="1517" spans="9:17" ht="14.25">
      <c r="I1517" t="s">
        <v>172</v>
      </c>
      <c r="J1517" t="s">
        <v>381</v>
      </c>
      <c r="K1517">
        <v>0.0013464637337100027</v>
      </c>
      <c r="L1517" t="s">
        <v>153</v>
      </c>
      <c r="N1517" t="s">
        <v>182</v>
      </c>
      <c r="O1517" t="s">
        <v>381</v>
      </c>
      <c r="P1517">
        <v>0.0014887019716774317</v>
      </c>
      <c r="Q1517" t="s">
        <v>153</v>
      </c>
    </row>
    <row r="1518" spans="9:17" ht="14.25">
      <c r="I1518" t="s">
        <v>172</v>
      </c>
      <c r="J1518" t="s">
        <v>382</v>
      </c>
      <c r="K1518">
        <v>0.0023353260149841047</v>
      </c>
      <c r="L1518" t="s">
        <v>153</v>
      </c>
      <c r="N1518" t="s">
        <v>182</v>
      </c>
      <c r="O1518" t="s">
        <v>382</v>
      </c>
      <c r="P1518">
        <v>0.0010542090959567169</v>
      </c>
      <c r="Q1518" t="s">
        <v>153</v>
      </c>
    </row>
    <row r="1519" spans="9:17" ht="14.25">
      <c r="I1519" t="s">
        <v>172</v>
      </c>
      <c r="J1519" t="s">
        <v>383</v>
      </c>
      <c r="K1519">
        <v>0.019625258181705716</v>
      </c>
      <c r="L1519" t="s">
        <v>153</v>
      </c>
      <c r="N1519" t="s">
        <v>182</v>
      </c>
      <c r="O1519" t="s">
        <v>383</v>
      </c>
      <c r="P1519">
        <v>0.0043039486764820285</v>
      </c>
      <c r="Q1519" t="s">
        <v>153</v>
      </c>
    </row>
    <row r="1520" spans="9:17" ht="14.25">
      <c r="I1520" t="s">
        <v>172</v>
      </c>
      <c r="J1520" t="s">
        <v>384</v>
      </c>
      <c r="K1520">
        <v>0.0020157740439311527</v>
      </c>
      <c r="L1520" t="s">
        <v>153</v>
      </c>
      <c r="N1520" t="s">
        <v>182</v>
      </c>
      <c r="O1520" t="s">
        <v>384</v>
      </c>
      <c r="P1520">
        <v>0.00081861558041625474</v>
      </c>
      <c r="Q1520" t="s">
        <v>153</v>
      </c>
    </row>
    <row r="1521" spans="9:17" ht="14.25">
      <c r="I1521" t="s">
        <v>172</v>
      </c>
      <c r="J1521" t="s">
        <v>385</v>
      </c>
      <c r="K1521">
        <v>0.0011454842186648842</v>
      </c>
      <c r="L1521" t="s">
        <v>153</v>
      </c>
      <c r="N1521" t="s">
        <v>182</v>
      </c>
      <c r="O1521" t="s">
        <v>385</v>
      </c>
      <c r="P1521">
        <v>0.0013247466068928751</v>
      </c>
      <c r="Q1521" t="s">
        <v>153</v>
      </c>
    </row>
    <row r="1522" spans="9:17" ht="14.25">
      <c r="I1522" t="s">
        <v>172</v>
      </c>
      <c r="J1522" t="s">
        <v>386</v>
      </c>
      <c r="K1522">
        <v>0</v>
      </c>
      <c r="L1522" t="s">
        <v>153</v>
      </c>
      <c r="N1522" t="s">
        <v>182</v>
      </c>
      <c r="O1522" t="s">
        <v>386</v>
      </c>
      <c r="P1522">
        <v>0.012496579120670632</v>
      </c>
      <c r="Q1522" t="s">
        <v>153</v>
      </c>
    </row>
    <row r="1523" spans="9:17" ht="14.25">
      <c r="I1523" t="s">
        <v>173</v>
      </c>
      <c r="J1523" t="s">
        <v>152</v>
      </c>
      <c r="K1523">
        <v>0</v>
      </c>
      <c r="L1523" t="s">
        <v>153</v>
      </c>
      <c r="N1523" t="s">
        <v>183</v>
      </c>
      <c r="O1523" t="s">
        <v>152</v>
      </c>
      <c r="P1523">
        <v>0.0098726301117789822</v>
      </c>
      <c r="Q1523" t="s">
        <v>153</v>
      </c>
    </row>
    <row r="1524" spans="9:17" ht="14.25">
      <c r="I1524" t="s">
        <v>173</v>
      </c>
      <c r="J1524" t="s">
        <v>154</v>
      </c>
      <c r="K1524">
        <v>0</v>
      </c>
      <c r="L1524" t="s">
        <v>153</v>
      </c>
      <c r="N1524" t="s">
        <v>183</v>
      </c>
      <c r="O1524" t="s">
        <v>154</v>
      </c>
      <c r="P1524">
        <v>0.0019146555118291528</v>
      </c>
      <c r="Q1524" t="s">
        <v>153</v>
      </c>
    </row>
    <row r="1525" spans="9:17" ht="14.25">
      <c r="I1525" t="s">
        <v>173</v>
      </c>
      <c r="J1525" t="s">
        <v>155</v>
      </c>
      <c r="K1525">
        <v>0.0012778610187349957</v>
      </c>
      <c r="L1525" t="s">
        <v>153</v>
      </c>
      <c r="N1525" t="s">
        <v>183</v>
      </c>
      <c r="O1525" t="s">
        <v>155</v>
      </c>
      <c r="P1525">
        <v>0.0020931633730656078</v>
      </c>
      <c r="Q1525" t="s">
        <v>153</v>
      </c>
    </row>
    <row r="1526" spans="9:17" ht="14.25">
      <c r="I1526" t="s">
        <v>173</v>
      </c>
      <c r="J1526" t="s">
        <v>200</v>
      </c>
      <c r="K1526">
        <v>0.0021876627896836543</v>
      </c>
      <c r="L1526" t="s">
        <v>153</v>
      </c>
      <c r="N1526" t="s">
        <v>183</v>
      </c>
      <c r="O1526" t="s">
        <v>200</v>
      </c>
      <c r="P1526">
        <v>0.0019979545787767671</v>
      </c>
      <c r="Q1526" t="s">
        <v>153</v>
      </c>
    </row>
    <row r="1527" spans="9:17" ht="14.25">
      <c r="I1527" t="s">
        <v>173</v>
      </c>
      <c r="J1527" t="s">
        <v>201</v>
      </c>
      <c r="K1527">
        <v>0.019534308427378144</v>
      </c>
      <c r="L1527" t="s">
        <v>153</v>
      </c>
      <c r="N1527" t="s">
        <v>183</v>
      </c>
      <c r="O1527" t="s">
        <v>201</v>
      </c>
      <c r="P1527">
        <v>0.01110075191800125</v>
      </c>
      <c r="Q1527" t="s">
        <v>153</v>
      </c>
    </row>
    <row r="1528" spans="9:17" ht="14.25">
      <c r="I1528" t="s">
        <v>173</v>
      </c>
      <c r="J1528" t="s">
        <v>218</v>
      </c>
      <c r="K1528">
        <v>0.0021667281941758786</v>
      </c>
      <c r="L1528" t="s">
        <v>153</v>
      </c>
      <c r="N1528" t="s">
        <v>183</v>
      </c>
      <c r="O1528" t="s">
        <v>218</v>
      </c>
      <c r="P1528">
        <v>0.0010227186749651833</v>
      </c>
      <c r="Q1528" t="s">
        <v>153</v>
      </c>
    </row>
    <row r="1529" spans="9:17" ht="14.25">
      <c r="I1529" t="s">
        <v>173</v>
      </c>
      <c r="J1529" t="s">
        <v>309</v>
      </c>
      <c r="K1529">
        <v>0.0011996714388069353</v>
      </c>
      <c r="L1529" t="s">
        <v>153</v>
      </c>
      <c r="N1529" t="s">
        <v>183</v>
      </c>
      <c r="O1529" t="s">
        <v>309</v>
      </c>
      <c r="P1529">
        <v>0.0010346389755018326</v>
      </c>
      <c r="Q1529" t="s">
        <v>153</v>
      </c>
    </row>
    <row r="1530" spans="9:17" ht="14.25">
      <c r="I1530" t="s">
        <v>173</v>
      </c>
      <c r="J1530" t="s">
        <v>310</v>
      </c>
      <c r="K1530">
        <v>0</v>
      </c>
      <c r="L1530" t="s">
        <v>153</v>
      </c>
      <c r="N1530" t="s">
        <v>183</v>
      </c>
      <c r="O1530" t="s">
        <v>310</v>
      </c>
      <c r="P1530">
        <v>0.008768801154552584</v>
      </c>
      <c r="Q1530" t="s">
        <v>153</v>
      </c>
    </row>
    <row r="1531" spans="9:17" ht="14.25">
      <c r="I1531" t="s">
        <v>173</v>
      </c>
      <c r="J1531" t="s">
        <v>156</v>
      </c>
      <c r="K1531">
        <v>0</v>
      </c>
      <c r="L1531" t="s">
        <v>153</v>
      </c>
      <c r="N1531" t="s">
        <v>183</v>
      </c>
      <c r="O1531" t="s">
        <v>156</v>
      </c>
      <c r="P1531">
        <v>0.0074527529817992374</v>
      </c>
      <c r="Q1531" t="s">
        <v>153</v>
      </c>
    </row>
    <row r="1532" spans="9:17" ht="14.25">
      <c r="I1532" t="s">
        <v>173</v>
      </c>
      <c r="J1532" t="s">
        <v>157</v>
      </c>
      <c r="K1532">
        <v>0</v>
      </c>
      <c r="L1532" t="s">
        <v>153</v>
      </c>
      <c r="N1532" t="s">
        <v>183</v>
      </c>
      <c r="O1532" t="s">
        <v>157</v>
      </c>
      <c r="P1532">
        <v>0.0012069347313655131</v>
      </c>
      <c r="Q1532" t="s">
        <v>153</v>
      </c>
    </row>
    <row r="1533" spans="9:17" ht="14.25">
      <c r="I1533" t="s">
        <v>173</v>
      </c>
      <c r="J1533" t="s">
        <v>158</v>
      </c>
      <c r="K1533">
        <v>0.00065157060715019283</v>
      </c>
      <c r="L1533" t="s">
        <v>153</v>
      </c>
      <c r="N1533" t="s">
        <v>183</v>
      </c>
      <c r="O1533" t="s">
        <v>158</v>
      </c>
      <c r="P1533">
        <v>0.0011960888590574325</v>
      </c>
      <c r="Q1533" t="s">
        <v>153</v>
      </c>
    </row>
    <row r="1534" spans="9:17" ht="14.25">
      <c r="I1534" t="s">
        <v>173</v>
      </c>
      <c r="J1534" t="s">
        <v>202</v>
      </c>
      <c r="K1534">
        <v>0.0011769181965706971</v>
      </c>
      <c r="L1534" t="s">
        <v>153</v>
      </c>
      <c r="N1534" t="s">
        <v>183</v>
      </c>
      <c r="O1534" t="s">
        <v>202</v>
      </c>
      <c r="P1534">
        <v>0.0010643934523828741</v>
      </c>
      <c r="Q1534" t="s">
        <v>153</v>
      </c>
    </row>
    <row r="1535" spans="9:17" ht="14.25">
      <c r="I1535" t="s">
        <v>173</v>
      </c>
      <c r="J1535" t="s">
        <v>203</v>
      </c>
      <c r="K1535">
        <v>0.010730983418092678</v>
      </c>
      <c r="L1535" t="s">
        <v>153</v>
      </c>
      <c r="N1535" t="s">
        <v>183</v>
      </c>
      <c r="O1535" t="s">
        <v>203</v>
      </c>
      <c r="P1535">
        <v>0.015808681539184778</v>
      </c>
      <c r="Q1535" t="s">
        <v>153</v>
      </c>
    </row>
    <row r="1536" spans="9:17" ht="14.25">
      <c r="I1536" t="s">
        <v>173</v>
      </c>
      <c r="J1536" t="s">
        <v>219</v>
      </c>
      <c r="K1536">
        <v>0.0011958795580012665</v>
      </c>
      <c r="L1536" t="s">
        <v>153</v>
      </c>
      <c r="N1536" t="s">
        <v>183</v>
      </c>
      <c r="O1536" t="s">
        <v>219</v>
      </c>
      <c r="P1536">
        <v>0.002299613463758135</v>
      </c>
      <c r="Q1536" t="s">
        <v>153</v>
      </c>
    </row>
    <row r="1537" spans="9:17" ht="14.25">
      <c r="I1537" t="s">
        <v>173</v>
      </c>
      <c r="J1537" t="s">
        <v>311</v>
      </c>
      <c r="K1537">
        <v>0.00068274366937788827</v>
      </c>
      <c r="L1537" t="s">
        <v>153</v>
      </c>
      <c r="N1537" t="s">
        <v>183</v>
      </c>
      <c r="O1537" t="s">
        <v>311</v>
      </c>
      <c r="P1537">
        <v>0.0020258458949814328</v>
      </c>
      <c r="Q1537" t="s">
        <v>153</v>
      </c>
    </row>
    <row r="1538" spans="9:17" ht="14.25">
      <c r="I1538" t="s">
        <v>173</v>
      </c>
      <c r="J1538" t="s">
        <v>312</v>
      </c>
      <c r="K1538">
        <v>0</v>
      </c>
      <c r="L1538" t="s">
        <v>153</v>
      </c>
      <c r="N1538" t="s">
        <v>183</v>
      </c>
      <c r="O1538" t="s">
        <v>312</v>
      </c>
      <c r="P1538">
        <v>0.0092566205197447855</v>
      </c>
      <c r="Q1538" t="s">
        <v>153</v>
      </c>
    </row>
    <row r="1539" spans="9:17" ht="14.25">
      <c r="I1539" t="s">
        <v>173</v>
      </c>
      <c r="J1539" t="s">
        <v>159</v>
      </c>
      <c r="K1539">
        <v>0</v>
      </c>
      <c r="L1539" t="s">
        <v>153</v>
      </c>
      <c r="N1539" t="s">
        <v>183</v>
      </c>
      <c r="O1539" t="s">
        <v>159</v>
      </c>
      <c r="P1539">
        <v>0.010800391951760304</v>
      </c>
      <c r="Q1539" t="s">
        <v>153</v>
      </c>
    </row>
    <row r="1540" spans="9:17" ht="14.25">
      <c r="I1540" t="s">
        <v>173</v>
      </c>
      <c r="J1540" t="s">
        <v>160</v>
      </c>
      <c r="K1540">
        <v>0</v>
      </c>
      <c r="L1540" t="s">
        <v>153</v>
      </c>
      <c r="N1540" t="s">
        <v>183</v>
      </c>
      <c r="O1540" t="s">
        <v>160</v>
      </c>
      <c r="P1540">
        <v>0.0019095802760576363</v>
      </c>
      <c r="Q1540" t="s">
        <v>153</v>
      </c>
    </row>
    <row r="1541" spans="9:17" ht="14.25">
      <c r="I1541" t="s">
        <v>173</v>
      </c>
      <c r="J1541" t="s">
        <v>161</v>
      </c>
      <c r="K1541">
        <v>0.0019065591090198196</v>
      </c>
      <c r="L1541" t="s">
        <v>153</v>
      </c>
      <c r="N1541" t="s">
        <v>183</v>
      </c>
      <c r="O1541" t="s">
        <v>161</v>
      </c>
      <c r="P1541">
        <v>0.0018743002865435291</v>
      </c>
      <c r="Q1541" t="s">
        <v>153</v>
      </c>
    </row>
    <row r="1542" spans="9:17" ht="14.25">
      <c r="I1542" t="s">
        <v>173</v>
      </c>
      <c r="J1542" t="s">
        <v>204</v>
      </c>
      <c r="K1542">
        <v>0.0034652681300226238</v>
      </c>
      <c r="L1542" t="s">
        <v>153</v>
      </c>
      <c r="N1542" t="s">
        <v>183</v>
      </c>
      <c r="O1542" t="s">
        <v>204</v>
      </c>
      <c r="P1542">
        <v>0.0015432991964118429</v>
      </c>
      <c r="Q1542" t="s">
        <v>153</v>
      </c>
    </row>
    <row r="1543" spans="9:17" ht="14.25">
      <c r="I1543" t="s">
        <v>173</v>
      </c>
      <c r="J1543" t="s">
        <v>205</v>
      </c>
      <c r="K1543">
        <v>0.033703522264902835</v>
      </c>
      <c r="L1543" t="s">
        <v>153</v>
      </c>
      <c r="N1543" t="s">
        <v>183</v>
      </c>
      <c r="O1543" t="s">
        <v>205</v>
      </c>
      <c r="P1543">
        <v>0.0095626172460789288</v>
      </c>
      <c r="Q1543" t="s">
        <v>153</v>
      </c>
    </row>
    <row r="1544" spans="9:17" ht="14.25">
      <c r="I1544" t="s">
        <v>173</v>
      </c>
      <c r="J1544" t="s">
        <v>220</v>
      </c>
      <c r="K1544">
        <v>0.0038877461611125717</v>
      </c>
      <c r="L1544" t="s">
        <v>153</v>
      </c>
      <c r="N1544" t="s">
        <v>183</v>
      </c>
      <c r="O1544" t="s">
        <v>220</v>
      </c>
      <c r="P1544">
        <v>0.0011462584418513229</v>
      </c>
      <c r="Q1544" t="s">
        <v>153</v>
      </c>
    </row>
    <row r="1545" spans="9:17" ht="14.25">
      <c r="I1545" t="s">
        <v>173</v>
      </c>
      <c r="J1545" t="s">
        <v>313</v>
      </c>
      <c r="K1545">
        <v>0.0022506222301355186</v>
      </c>
      <c r="L1545" t="s">
        <v>153</v>
      </c>
      <c r="N1545" t="s">
        <v>183</v>
      </c>
      <c r="O1545" t="s">
        <v>313</v>
      </c>
      <c r="P1545">
        <v>0.001409906871531608</v>
      </c>
      <c r="Q1545" t="s">
        <v>153</v>
      </c>
    </row>
    <row r="1546" spans="9:17" ht="14.25">
      <c r="I1546" t="s">
        <v>173</v>
      </c>
      <c r="J1546" t="s">
        <v>314</v>
      </c>
      <c r="K1546">
        <v>0</v>
      </c>
      <c r="L1546" t="s">
        <v>153</v>
      </c>
      <c r="N1546" t="s">
        <v>183</v>
      </c>
      <c r="O1546" t="s">
        <v>314</v>
      </c>
      <c r="P1546">
        <v>0.011577138109232317</v>
      </c>
      <c r="Q1546" t="s">
        <v>153</v>
      </c>
    </row>
    <row r="1547" spans="9:17" ht="14.25">
      <c r="I1547" t="s">
        <v>173</v>
      </c>
      <c r="J1547" t="s">
        <v>162</v>
      </c>
      <c r="K1547">
        <v>0</v>
      </c>
      <c r="L1547" t="s">
        <v>153</v>
      </c>
      <c r="N1547" t="s">
        <v>183</v>
      </c>
      <c r="O1547" t="s">
        <v>162</v>
      </c>
      <c r="P1547">
        <v>0.014885581995116869</v>
      </c>
      <c r="Q1547" t="s">
        <v>153</v>
      </c>
    </row>
    <row r="1548" spans="9:17" ht="14.25">
      <c r="I1548" t="s">
        <v>173</v>
      </c>
      <c r="J1548" t="s">
        <v>163</v>
      </c>
      <c r="K1548">
        <v>0</v>
      </c>
      <c r="L1548" t="s">
        <v>153</v>
      </c>
      <c r="N1548" t="s">
        <v>183</v>
      </c>
      <c r="O1548" t="s">
        <v>163</v>
      </c>
      <c r="P1548">
        <v>0.0025157602568560092</v>
      </c>
      <c r="Q1548" t="s">
        <v>153</v>
      </c>
    </row>
    <row r="1549" spans="9:17" ht="14.25">
      <c r="I1549" t="s">
        <v>173</v>
      </c>
      <c r="J1549" t="s">
        <v>164</v>
      </c>
      <c r="K1549">
        <v>0.0031387242528575178</v>
      </c>
      <c r="L1549" t="s">
        <v>153</v>
      </c>
      <c r="N1549" t="s">
        <v>183</v>
      </c>
      <c r="O1549" t="s">
        <v>164</v>
      </c>
      <c r="P1549">
        <v>0.002550644685920389</v>
      </c>
      <c r="Q1549" t="s">
        <v>153</v>
      </c>
    </row>
    <row r="1550" spans="9:17" ht="14.25">
      <c r="I1550" t="s">
        <v>173</v>
      </c>
      <c r="J1550" t="s">
        <v>206</v>
      </c>
      <c r="K1550">
        <v>0.005308078935798613</v>
      </c>
      <c r="L1550" t="s">
        <v>153</v>
      </c>
      <c r="N1550" t="s">
        <v>183</v>
      </c>
      <c r="O1550" t="s">
        <v>206</v>
      </c>
      <c r="P1550">
        <v>0.0021109144583369727</v>
      </c>
      <c r="Q1550" t="s">
        <v>153</v>
      </c>
    </row>
    <row r="1551" spans="9:17" ht="14.25">
      <c r="I1551" t="s">
        <v>173</v>
      </c>
      <c r="J1551" t="s">
        <v>207</v>
      </c>
      <c r="K1551">
        <v>0.051406850757662076</v>
      </c>
      <c r="L1551" t="s">
        <v>153</v>
      </c>
      <c r="N1551" t="s">
        <v>183</v>
      </c>
      <c r="O1551" t="s">
        <v>207</v>
      </c>
      <c r="P1551">
        <v>0.018875242297239126</v>
      </c>
      <c r="Q1551" t="s">
        <v>153</v>
      </c>
    </row>
    <row r="1552" spans="9:17" ht="14.25">
      <c r="I1552" t="s">
        <v>173</v>
      </c>
      <c r="J1552" t="s">
        <v>221</v>
      </c>
      <c r="K1552">
        <v>0.006215373928111864</v>
      </c>
      <c r="L1552" t="s">
        <v>153</v>
      </c>
      <c r="N1552" t="s">
        <v>183</v>
      </c>
      <c r="O1552" t="s">
        <v>221</v>
      </c>
      <c r="P1552">
        <v>0.0030947628772175569</v>
      </c>
      <c r="Q1552" t="s">
        <v>153</v>
      </c>
    </row>
    <row r="1553" spans="9:17" ht="14.25">
      <c r="I1553" t="s">
        <v>173</v>
      </c>
      <c r="J1553" t="s">
        <v>315</v>
      </c>
      <c r="K1553">
        <v>0.0039200544669564527</v>
      </c>
      <c r="L1553" t="s">
        <v>153</v>
      </c>
      <c r="N1553" t="s">
        <v>183</v>
      </c>
      <c r="O1553" t="s">
        <v>315</v>
      </c>
      <c r="P1553">
        <v>0.0035122354144463729</v>
      </c>
      <c r="Q1553" t="s">
        <v>153</v>
      </c>
    </row>
    <row r="1554" spans="9:17" ht="14.25">
      <c r="I1554" t="s">
        <v>173</v>
      </c>
      <c r="J1554" t="s">
        <v>316</v>
      </c>
      <c r="K1554">
        <v>0</v>
      </c>
      <c r="L1554" t="s">
        <v>153</v>
      </c>
      <c r="N1554" t="s">
        <v>183</v>
      </c>
      <c r="O1554" t="s">
        <v>316</v>
      </c>
      <c r="P1554">
        <v>0.024405171344855991</v>
      </c>
      <c r="Q1554" t="s">
        <v>153</v>
      </c>
    </row>
    <row r="1555" spans="9:17" ht="14.25">
      <c r="I1555" t="s">
        <v>173</v>
      </c>
      <c r="J1555" t="s">
        <v>208</v>
      </c>
      <c r="K1555">
        <v>0</v>
      </c>
      <c r="L1555" t="s">
        <v>153</v>
      </c>
      <c r="N1555" t="s">
        <v>183</v>
      </c>
      <c r="O1555" t="s">
        <v>208</v>
      </c>
      <c r="P1555">
        <v>0.0033680073629090653</v>
      </c>
      <c r="Q1555" t="s">
        <v>153</v>
      </c>
    </row>
    <row r="1556" spans="9:17" ht="14.25">
      <c r="I1556" t="s">
        <v>173</v>
      </c>
      <c r="J1556" t="s">
        <v>209</v>
      </c>
      <c r="K1556">
        <v>0</v>
      </c>
      <c r="L1556" t="s">
        <v>153</v>
      </c>
      <c r="N1556" t="s">
        <v>183</v>
      </c>
      <c r="O1556" t="s">
        <v>209</v>
      </c>
      <c r="P1556">
        <v>0.00073355846940527099</v>
      </c>
      <c r="Q1556" t="s">
        <v>153</v>
      </c>
    </row>
    <row r="1557" spans="9:17" ht="14.25">
      <c r="I1557" t="s">
        <v>173</v>
      </c>
      <c r="J1557" t="s">
        <v>210</v>
      </c>
      <c r="K1557">
        <v>0.00088474453107625624</v>
      </c>
      <c r="L1557" t="s">
        <v>153</v>
      </c>
      <c r="N1557" t="s">
        <v>183</v>
      </c>
      <c r="O1557" t="s">
        <v>210</v>
      </c>
      <c r="P1557">
        <v>0.00072523260638839959</v>
      </c>
      <c r="Q1557" t="s">
        <v>153</v>
      </c>
    </row>
    <row r="1558" spans="9:17" ht="14.25">
      <c r="I1558" t="s">
        <v>173</v>
      </c>
      <c r="J1558" t="s">
        <v>211</v>
      </c>
      <c r="K1558">
        <v>0.0015535861811853927</v>
      </c>
      <c r="L1558" t="s">
        <v>153</v>
      </c>
      <c r="N1558" t="s">
        <v>183</v>
      </c>
      <c r="O1558" t="s">
        <v>211</v>
      </c>
      <c r="P1558">
        <v>0.00058900456442525552</v>
      </c>
      <c r="Q1558" t="s">
        <v>153</v>
      </c>
    </row>
    <row r="1559" spans="9:17" ht="14.25">
      <c r="I1559" t="s">
        <v>173</v>
      </c>
      <c r="J1559" t="s">
        <v>212</v>
      </c>
      <c r="K1559">
        <v>0.014980028528331715</v>
      </c>
      <c r="L1559" t="s">
        <v>153</v>
      </c>
      <c r="N1559" t="s">
        <v>183</v>
      </c>
      <c r="O1559" t="s">
        <v>212</v>
      </c>
      <c r="P1559">
        <v>0.0012621949588800811</v>
      </c>
      <c r="Q1559" t="s">
        <v>153</v>
      </c>
    </row>
    <row r="1560" spans="9:17" ht="14.25">
      <c r="I1560" t="s">
        <v>173</v>
      </c>
      <c r="J1560" t="s">
        <v>222</v>
      </c>
      <c r="K1560">
        <v>0.0017871482755711663</v>
      </c>
      <c r="L1560" t="s">
        <v>153</v>
      </c>
      <c r="N1560" t="s">
        <v>183</v>
      </c>
      <c r="O1560" t="s">
        <v>222</v>
      </c>
      <c r="P1560">
        <v>7.4626177602011589E-05</v>
      </c>
      <c r="Q1560" t="s">
        <v>153</v>
      </c>
    </row>
    <row r="1561" spans="9:17" ht="14.25">
      <c r="I1561" t="s">
        <v>173</v>
      </c>
      <c r="J1561" t="s">
        <v>317</v>
      </c>
      <c r="K1561">
        <v>0.0011256552829328873</v>
      </c>
      <c r="L1561" t="s">
        <v>153</v>
      </c>
      <c r="N1561" t="s">
        <v>183</v>
      </c>
      <c r="O1561" t="s">
        <v>317</v>
      </c>
      <c r="P1561">
        <v>0.00017351847728505978</v>
      </c>
      <c r="Q1561" t="s">
        <v>153</v>
      </c>
    </row>
    <row r="1562" spans="9:17" ht="14.25">
      <c r="I1562" t="s">
        <v>173</v>
      </c>
      <c r="J1562" t="s">
        <v>318</v>
      </c>
      <c r="K1562">
        <v>0</v>
      </c>
      <c r="L1562" t="s">
        <v>153</v>
      </c>
      <c r="N1562" t="s">
        <v>183</v>
      </c>
      <c r="O1562" t="s">
        <v>318</v>
      </c>
      <c r="P1562">
        <v>0.0046032100047279914</v>
      </c>
      <c r="Q1562" t="s">
        <v>153</v>
      </c>
    </row>
    <row r="1563" spans="9:17" ht="14.25">
      <c r="I1563" t="s">
        <v>173</v>
      </c>
      <c r="J1563" t="s">
        <v>223</v>
      </c>
      <c r="K1563">
        <v>0</v>
      </c>
      <c r="L1563" t="s">
        <v>153</v>
      </c>
      <c r="N1563" t="s">
        <v>183</v>
      </c>
      <c r="O1563" t="s">
        <v>223</v>
      </c>
      <c r="P1563">
        <v>0.0077385758718870046</v>
      </c>
      <c r="Q1563" t="s">
        <v>153</v>
      </c>
    </row>
    <row r="1564" spans="9:17" ht="14.25">
      <c r="I1564" t="s">
        <v>173</v>
      </c>
      <c r="J1564" t="s">
        <v>224</v>
      </c>
      <c r="K1564">
        <v>0</v>
      </c>
      <c r="L1564" t="s">
        <v>153</v>
      </c>
      <c r="N1564" t="s">
        <v>183</v>
      </c>
      <c r="O1564" t="s">
        <v>224</v>
      </c>
      <c r="P1564">
        <v>0.0018357971818883376</v>
      </c>
      <c r="Q1564" t="s">
        <v>153</v>
      </c>
    </row>
    <row r="1565" spans="9:17" ht="14.25">
      <c r="I1565" t="s">
        <v>173</v>
      </c>
      <c r="J1565" t="s">
        <v>225</v>
      </c>
      <c r="K1565">
        <v>0.0013149123928559974</v>
      </c>
      <c r="L1565" t="s">
        <v>153</v>
      </c>
      <c r="N1565" t="s">
        <v>183</v>
      </c>
      <c r="O1565" t="s">
        <v>225</v>
      </c>
      <c r="P1565">
        <v>0.0018237640876700989</v>
      </c>
      <c r="Q1565" t="s">
        <v>153</v>
      </c>
    </row>
    <row r="1566" spans="9:17" ht="14.25">
      <c r="I1566" t="s">
        <v>173</v>
      </c>
      <c r="J1566" t="s">
        <v>226</v>
      </c>
      <c r="K1566">
        <v>0.0020765705988822548</v>
      </c>
      <c r="L1566" t="s">
        <v>153</v>
      </c>
      <c r="N1566" t="s">
        <v>183</v>
      </c>
      <c r="O1566" t="s">
        <v>226</v>
      </c>
      <c r="P1566">
        <v>0.0015944190515851651</v>
      </c>
      <c r="Q1566" t="s">
        <v>153</v>
      </c>
    </row>
    <row r="1567" spans="9:17" ht="14.25">
      <c r="I1567" t="s">
        <v>173</v>
      </c>
      <c r="J1567" t="s">
        <v>227</v>
      </c>
      <c r="K1567">
        <v>0.017260273976259385</v>
      </c>
      <c r="L1567" t="s">
        <v>153</v>
      </c>
      <c r="N1567" t="s">
        <v>183</v>
      </c>
      <c r="O1567" t="s">
        <v>227</v>
      </c>
      <c r="P1567">
        <v>0.012169558437393563</v>
      </c>
      <c r="Q1567" t="s">
        <v>153</v>
      </c>
    </row>
    <row r="1568" spans="9:17" ht="14.25">
      <c r="I1568" t="s">
        <v>173</v>
      </c>
      <c r="J1568" t="s">
        <v>228</v>
      </c>
      <c r="K1568">
        <v>0.0019810503137478205</v>
      </c>
      <c r="L1568" t="s">
        <v>153</v>
      </c>
      <c r="N1568" t="s">
        <v>183</v>
      </c>
      <c r="O1568" t="s">
        <v>228</v>
      </c>
      <c r="P1568">
        <v>0.0017153993179996371</v>
      </c>
      <c r="Q1568" t="s">
        <v>153</v>
      </c>
    </row>
    <row r="1569" spans="9:17" ht="14.25">
      <c r="I1569" t="s">
        <v>173</v>
      </c>
      <c r="J1569" t="s">
        <v>319</v>
      </c>
      <c r="K1569">
        <v>0.0013160031689500786</v>
      </c>
      <c r="L1569" t="s">
        <v>153</v>
      </c>
      <c r="N1569" t="s">
        <v>183</v>
      </c>
      <c r="O1569" t="s">
        <v>319</v>
      </c>
      <c r="P1569">
        <v>0.0016229435517139458</v>
      </c>
      <c r="Q1569" t="s">
        <v>153</v>
      </c>
    </row>
    <row r="1570" spans="9:17" ht="14.25">
      <c r="I1570" t="s">
        <v>173</v>
      </c>
      <c r="J1570" t="s">
        <v>320</v>
      </c>
      <c r="K1570">
        <v>0</v>
      </c>
      <c r="L1570" t="s">
        <v>153</v>
      </c>
      <c r="N1570" t="s">
        <v>183</v>
      </c>
      <c r="O1570" t="s">
        <v>320</v>
      </c>
      <c r="P1570">
        <v>0.0099260724830092985</v>
      </c>
      <c r="Q1570" t="s">
        <v>153</v>
      </c>
    </row>
    <row r="1571" spans="9:17" ht="14.25">
      <c r="I1571" t="s">
        <v>173</v>
      </c>
      <c r="J1571" t="s">
        <v>235</v>
      </c>
      <c r="K1571">
        <v>0</v>
      </c>
      <c r="L1571" t="s">
        <v>153</v>
      </c>
      <c r="N1571" t="s">
        <v>183</v>
      </c>
      <c r="O1571" t="s">
        <v>235</v>
      </c>
      <c r="P1571">
        <v>0.0040609254807836784</v>
      </c>
      <c r="Q1571" t="s">
        <v>153</v>
      </c>
    </row>
    <row r="1572" spans="9:17" ht="14.25">
      <c r="I1572" t="s">
        <v>173</v>
      </c>
      <c r="J1572" t="s">
        <v>236</v>
      </c>
      <c r="K1572">
        <v>0</v>
      </c>
      <c r="L1572" t="s">
        <v>153</v>
      </c>
      <c r="N1572" t="s">
        <v>183</v>
      </c>
      <c r="O1572" t="s">
        <v>236</v>
      </c>
      <c r="P1572">
        <v>0.0017194136434785473</v>
      </c>
      <c r="Q1572" t="s">
        <v>153</v>
      </c>
    </row>
    <row r="1573" spans="9:17" ht="14.25">
      <c r="I1573" t="s">
        <v>173</v>
      </c>
      <c r="J1573" t="s">
        <v>237</v>
      </c>
      <c r="K1573">
        <v>0.0012219183866247314</v>
      </c>
      <c r="L1573" t="s">
        <v>153</v>
      </c>
      <c r="N1573" t="s">
        <v>183</v>
      </c>
      <c r="O1573" t="s">
        <v>237</v>
      </c>
      <c r="P1573">
        <v>0.0017767919753978283</v>
      </c>
      <c r="Q1573" t="s">
        <v>153</v>
      </c>
    </row>
    <row r="1574" spans="9:17" ht="14.25">
      <c r="I1574" t="s">
        <v>173</v>
      </c>
      <c r="J1574" t="s">
        <v>238</v>
      </c>
      <c r="K1574">
        <v>0.0018066608351396916</v>
      </c>
      <c r="L1574" t="s">
        <v>153</v>
      </c>
      <c r="N1574" t="s">
        <v>183</v>
      </c>
      <c r="O1574" t="s">
        <v>238</v>
      </c>
      <c r="P1574">
        <v>0.0013415918086848544</v>
      </c>
      <c r="Q1574" t="s">
        <v>153</v>
      </c>
    </row>
    <row r="1575" spans="9:17" ht="14.25">
      <c r="I1575" t="s">
        <v>173</v>
      </c>
      <c r="J1575" t="s">
        <v>239</v>
      </c>
      <c r="K1575">
        <v>0.015386765991219143</v>
      </c>
      <c r="L1575" t="s">
        <v>153</v>
      </c>
      <c r="N1575" t="s">
        <v>183</v>
      </c>
      <c r="O1575" t="s">
        <v>239</v>
      </c>
      <c r="P1575">
        <v>0.0042015437509749847</v>
      </c>
      <c r="Q1575" t="s">
        <v>153</v>
      </c>
    </row>
    <row r="1576" spans="9:17" ht="14.25">
      <c r="I1576" t="s">
        <v>173</v>
      </c>
      <c r="J1576" t="s">
        <v>240</v>
      </c>
      <c r="K1576">
        <v>0.0017798192189313264</v>
      </c>
      <c r="L1576" t="s">
        <v>153</v>
      </c>
      <c r="N1576" t="s">
        <v>183</v>
      </c>
      <c r="O1576" t="s">
        <v>240</v>
      </c>
      <c r="P1576">
        <v>0.00025116862103475001</v>
      </c>
      <c r="Q1576" t="s">
        <v>153</v>
      </c>
    </row>
    <row r="1577" spans="9:17" ht="14.25">
      <c r="I1577" t="s">
        <v>173</v>
      </c>
      <c r="J1577" t="s">
        <v>321</v>
      </c>
      <c r="K1577">
        <v>0.0011635595898931014</v>
      </c>
      <c r="L1577" t="s">
        <v>153</v>
      </c>
      <c r="N1577" t="s">
        <v>183</v>
      </c>
      <c r="O1577" t="s">
        <v>321</v>
      </c>
      <c r="P1577">
        <v>0.00034479894887035788</v>
      </c>
      <c r="Q1577" t="s">
        <v>153</v>
      </c>
    </row>
    <row r="1578" spans="9:17" ht="14.25">
      <c r="I1578" t="s">
        <v>173</v>
      </c>
      <c r="J1578" t="s">
        <v>322</v>
      </c>
      <c r="K1578">
        <v>0</v>
      </c>
      <c r="L1578" t="s">
        <v>153</v>
      </c>
      <c r="N1578" t="s">
        <v>183</v>
      </c>
      <c r="O1578" t="s">
        <v>322</v>
      </c>
      <c r="P1578">
        <v>0.0043248851919419629</v>
      </c>
      <c r="Q1578" t="s">
        <v>153</v>
      </c>
    </row>
    <row r="1579" spans="9:17" ht="14.25">
      <c r="I1579" t="s">
        <v>173</v>
      </c>
      <c r="J1579" t="s">
        <v>241</v>
      </c>
      <c r="K1579">
        <v>0</v>
      </c>
      <c r="L1579" t="s">
        <v>153</v>
      </c>
      <c r="N1579" t="s">
        <v>183</v>
      </c>
      <c r="O1579" t="s">
        <v>241</v>
      </c>
      <c r="P1579">
        <v>0.0036530925685752487</v>
      </c>
      <c r="Q1579" t="s">
        <v>153</v>
      </c>
    </row>
    <row r="1580" spans="9:17" ht="14.25">
      <c r="I1580" t="s">
        <v>173</v>
      </c>
      <c r="J1580" t="s">
        <v>242</v>
      </c>
      <c r="K1580">
        <v>0.00014127909523310148</v>
      </c>
      <c r="L1580" t="s">
        <v>153</v>
      </c>
      <c r="N1580" t="s">
        <v>183</v>
      </c>
      <c r="O1580" t="s">
        <v>242</v>
      </c>
      <c r="P1580">
        <v>0.00058268686304679582</v>
      </c>
      <c r="Q1580" t="s">
        <v>153</v>
      </c>
    </row>
    <row r="1581" spans="9:17" ht="14.25">
      <c r="I1581" t="s">
        <v>173</v>
      </c>
      <c r="J1581" t="s">
        <v>243</v>
      </c>
      <c r="K1581">
        <v>0.00063391755050245873</v>
      </c>
      <c r="L1581" t="s">
        <v>153</v>
      </c>
      <c r="N1581" t="s">
        <v>183</v>
      </c>
      <c r="O1581" t="s">
        <v>243</v>
      </c>
      <c r="P1581">
        <v>0.00040580354702017492</v>
      </c>
      <c r="Q1581" t="s">
        <v>153</v>
      </c>
    </row>
    <row r="1582" spans="9:17" ht="14.25">
      <c r="I1582" t="s">
        <v>173</v>
      </c>
      <c r="J1582" t="s">
        <v>244</v>
      </c>
      <c r="K1582">
        <v>0.00095920122875885791</v>
      </c>
      <c r="L1582" t="s">
        <v>153</v>
      </c>
      <c r="N1582" t="s">
        <v>183</v>
      </c>
      <c r="O1582" t="s">
        <v>244</v>
      </c>
      <c r="P1582">
        <v>0.00042816338393561243</v>
      </c>
      <c r="Q1582" t="s">
        <v>153</v>
      </c>
    </row>
    <row r="1583" spans="9:17" ht="14.25">
      <c r="I1583" t="s">
        <v>173</v>
      </c>
      <c r="J1583" t="s">
        <v>245</v>
      </c>
      <c r="K1583">
        <v>0.0085184577548618606</v>
      </c>
      <c r="L1583" t="s">
        <v>153</v>
      </c>
      <c r="N1583" t="s">
        <v>183</v>
      </c>
      <c r="O1583" t="s">
        <v>245</v>
      </c>
      <c r="P1583">
        <v>0.0049969077678464202</v>
      </c>
      <c r="Q1583" t="s">
        <v>153</v>
      </c>
    </row>
    <row r="1584" spans="9:17" ht="14.25">
      <c r="I1584" t="s">
        <v>173</v>
      </c>
      <c r="J1584" t="s">
        <v>246</v>
      </c>
      <c r="K1584">
        <v>0.00082567219303447768</v>
      </c>
      <c r="L1584" t="s">
        <v>153</v>
      </c>
      <c r="N1584" t="s">
        <v>183</v>
      </c>
      <c r="O1584" t="s">
        <v>246</v>
      </c>
      <c r="P1584">
        <v>0.00081626735533526324</v>
      </c>
      <c r="Q1584" t="s">
        <v>153</v>
      </c>
    </row>
    <row r="1585" spans="9:17" ht="14.25">
      <c r="I1585" t="s">
        <v>173</v>
      </c>
      <c r="J1585" t="s">
        <v>323</v>
      </c>
      <c r="K1585">
        <v>0.00053660836125694715</v>
      </c>
      <c r="L1585" t="s">
        <v>153</v>
      </c>
      <c r="N1585" t="s">
        <v>183</v>
      </c>
      <c r="O1585" t="s">
        <v>323</v>
      </c>
      <c r="P1585">
        <v>0.00072132122537884127</v>
      </c>
      <c r="Q1585" t="s">
        <v>153</v>
      </c>
    </row>
    <row r="1586" spans="9:17" ht="14.25">
      <c r="I1586" t="s">
        <v>173</v>
      </c>
      <c r="J1586" t="s">
        <v>324</v>
      </c>
      <c r="K1586">
        <v>0</v>
      </c>
      <c r="L1586" t="s">
        <v>153</v>
      </c>
      <c r="N1586" t="s">
        <v>183</v>
      </c>
      <c r="O1586" t="s">
        <v>324</v>
      </c>
      <c r="P1586">
        <v>0.003297541257909908</v>
      </c>
      <c r="Q1586" t="s">
        <v>153</v>
      </c>
    </row>
    <row r="1587" spans="9:17" ht="14.25">
      <c r="I1587" t="s">
        <v>173</v>
      </c>
      <c r="J1587" t="s">
        <v>247</v>
      </c>
      <c r="K1587">
        <v>0</v>
      </c>
      <c r="L1587" t="s">
        <v>153</v>
      </c>
      <c r="N1587" t="s">
        <v>183</v>
      </c>
      <c r="O1587" t="s">
        <v>247</v>
      </c>
      <c r="P1587">
        <v>0.0084179475363120558</v>
      </c>
      <c r="Q1587" t="s">
        <v>153</v>
      </c>
    </row>
    <row r="1588" spans="9:17" ht="14.25">
      <c r="I1588" t="s">
        <v>173</v>
      </c>
      <c r="J1588" t="s">
        <v>248</v>
      </c>
      <c r="K1588">
        <v>0.0012157978372815161</v>
      </c>
      <c r="L1588" t="s">
        <v>153</v>
      </c>
      <c r="N1588" t="s">
        <v>183</v>
      </c>
      <c r="O1588" t="s">
        <v>248</v>
      </c>
      <c r="P1588">
        <v>0.001814756145510186</v>
      </c>
      <c r="Q1588" t="s">
        <v>153</v>
      </c>
    </row>
    <row r="1589" spans="9:17" ht="14.25">
      <c r="I1589" t="s">
        <v>173</v>
      </c>
      <c r="J1589" t="s">
        <v>249</v>
      </c>
      <c r="K1589">
        <v>0.0024967733530700809</v>
      </c>
      <c r="L1589" t="s">
        <v>153</v>
      </c>
      <c r="N1589" t="s">
        <v>183</v>
      </c>
      <c r="O1589" t="s">
        <v>249</v>
      </c>
      <c r="P1589">
        <v>0.001734067977775654</v>
      </c>
      <c r="Q1589" t="s">
        <v>153</v>
      </c>
    </row>
    <row r="1590" spans="9:17" ht="14.25">
      <c r="I1590" t="s">
        <v>173</v>
      </c>
      <c r="J1590" t="s">
        <v>250</v>
      </c>
      <c r="K1590">
        <v>0.0033377653509658735</v>
      </c>
      <c r="L1590" t="s">
        <v>153</v>
      </c>
      <c r="N1590" t="s">
        <v>183</v>
      </c>
      <c r="O1590" t="s">
        <v>250</v>
      </c>
      <c r="P1590">
        <v>0.0015938853141804091</v>
      </c>
      <c r="Q1590" t="s">
        <v>153</v>
      </c>
    </row>
    <row r="1591" spans="9:17" ht="14.25">
      <c r="I1591" t="s">
        <v>173</v>
      </c>
      <c r="J1591" t="s">
        <v>251</v>
      </c>
      <c r="K1591">
        <v>0.026741334169309232</v>
      </c>
      <c r="L1591" t="s">
        <v>153</v>
      </c>
      <c r="N1591" t="s">
        <v>183</v>
      </c>
      <c r="O1591" t="s">
        <v>251</v>
      </c>
      <c r="P1591">
        <v>0.014268282708867982</v>
      </c>
      <c r="Q1591" t="s">
        <v>153</v>
      </c>
    </row>
    <row r="1592" spans="9:17" ht="14.25">
      <c r="I1592" t="s">
        <v>173</v>
      </c>
      <c r="J1592" t="s">
        <v>252</v>
      </c>
      <c r="K1592">
        <v>0.0030049197075866971</v>
      </c>
      <c r="L1592" t="s">
        <v>153</v>
      </c>
      <c r="N1592" t="s">
        <v>183</v>
      </c>
      <c r="O1592" t="s">
        <v>252</v>
      </c>
      <c r="P1592">
        <v>0.0027812437500662293</v>
      </c>
      <c r="Q1592" t="s">
        <v>153</v>
      </c>
    </row>
    <row r="1593" spans="9:17" ht="14.25">
      <c r="I1593" t="s">
        <v>173</v>
      </c>
      <c r="J1593" t="s">
        <v>325</v>
      </c>
      <c r="K1593">
        <v>0.0020352261232570988</v>
      </c>
      <c r="L1593" t="s">
        <v>153</v>
      </c>
      <c r="N1593" t="s">
        <v>183</v>
      </c>
      <c r="O1593" t="s">
        <v>325</v>
      </c>
      <c r="P1593">
        <v>0.0029102596541851922</v>
      </c>
      <c r="Q1593" t="s">
        <v>153</v>
      </c>
    </row>
    <row r="1594" spans="9:17" ht="14.25">
      <c r="I1594" t="s">
        <v>173</v>
      </c>
      <c r="J1594" t="s">
        <v>326</v>
      </c>
      <c r="K1594">
        <v>0.00014461996049645756</v>
      </c>
      <c r="L1594" t="s">
        <v>153</v>
      </c>
      <c r="N1594" t="s">
        <v>183</v>
      </c>
      <c r="O1594" t="s">
        <v>326</v>
      </c>
      <c r="P1594">
        <v>0.013588608414650464</v>
      </c>
      <c r="Q1594" t="s">
        <v>153</v>
      </c>
    </row>
    <row r="1595" spans="9:17" ht="14.25">
      <c r="I1595" t="s">
        <v>173</v>
      </c>
      <c r="J1595" t="s">
        <v>262</v>
      </c>
      <c r="K1595">
        <v>0</v>
      </c>
      <c r="L1595" t="s">
        <v>153</v>
      </c>
      <c r="N1595" t="s">
        <v>183</v>
      </c>
      <c r="O1595" t="s">
        <v>262</v>
      </c>
      <c r="P1595">
        <v>0.0073300944989302631</v>
      </c>
      <c r="Q1595" t="s">
        <v>153</v>
      </c>
    </row>
    <row r="1596" spans="9:17" ht="14.25">
      <c r="I1596" t="s">
        <v>173</v>
      </c>
      <c r="J1596" t="s">
        <v>263</v>
      </c>
      <c r="K1596">
        <v>0.0018171389478949887</v>
      </c>
      <c r="L1596" t="s">
        <v>153</v>
      </c>
      <c r="N1596" t="s">
        <v>183</v>
      </c>
      <c r="O1596" t="s">
        <v>263</v>
      </c>
      <c r="P1596">
        <v>0.0014865578321198484</v>
      </c>
      <c r="Q1596" t="s">
        <v>153</v>
      </c>
    </row>
    <row r="1597" spans="9:17" ht="14.25">
      <c r="I1597" t="s">
        <v>173</v>
      </c>
      <c r="J1597" t="s">
        <v>264</v>
      </c>
      <c r="K1597">
        <v>0.0036066694301940894</v>
      </c>
      <c r="L1597" t="s">
        <v>153</v>
      </c>
      <c r="N1597" t="s">
        <v>183</v>
      </c>
      <c r="O1597" t="s">
        <v>264</v>
      </c>
      <c r="P1597">
        <v>0.0014303212864993254</v>
      </c>
      <c r="Q1597" t="s">
        <v>153</v>
      </c>
    </row>
    <row r="1598" spans="9:17" ht="14.25">
      <c r="I1598" t="s">
        <v>173</v>
      </c>
      <c r="J1598" t="s">
        <v>265</v>
      </c>
      <c r="K1598">
        <v>0.0046821311174396396</v>
      </c>
      <c r="L1598" t="s">
        <v>153</v>
      </c>
      <c r="N1598" t="s">
        <v>183</v>
      </c>
      <c r="O1598" t="s">
        <v>265</v>
      </c>
      <c r="P1598">
        <v>0.0012077342963588409</v>
      </c>
      <c r="Q1598" t="s">
        <v>153</v>
      </c>
    </row>
    <row r="1599" spans="9:17" ht="14.25">
      <c r="I1599" t="s">
        <v>173</v>
      </c>
      <c r="J1599" t="s">
        <v>266</v>
      </c>
      <c r="K1599">
        <v>0.037597124151351281</v>
      </c>
      <c r="L1599" t="s">
        <v>153</v>
      </c>
      <c r="N1599" t="s">
        <v>183</v>
      </c>
      <c r="O1599" t="s">
        <v>266</v>
      </c>
      <c r="P1599">
        <v>0.0092053639950186381</v>
      </c>
      <c r="Q1599" t="s">
        <v>153</v>
      </c>
    </row>
    <row r="1600" spans="9:17" ht="14.25">
      <c r="I1600" t="s">
        <v>173</v>
      </c>
      <c r="J1600" t="s">
        <v>267</v>
      </c>
      <c r="K1600">
        <v>0.0038235792601654267</v>
      </c>
      <c r="L1600" t="s">
        <v>153</v>
      </c>
      <c r="N1600" t="s">
        <v>183</v>
      </c>
      <c r="O1600" t="s">
        <v>267</v>
      </c>
      <c r="P1600">
        <v>0.0015437334963838796</v>
      </c>
      <c r="Q1600" t="s">
        <v>153</v>
      </c>
    </row>
    <row r="1601" spans="9:17" ht="14.25">
      <c r="I1601" t="s">
        <v>173</v>
      </c>
      <c r="J1601" t="s">
        <v>327</v>
      </c>
      <c r="K1601">
        <v>0.0026584216995595099</v>
      </c>
      <c r="L1601" t="s">
        <v>153</v>
      </c>
      <c r="N1601" t="s">
        <v>183</v>
      </c>
      <c r="O1601" t="s">
        <v>327</v>
      </c>
      <c r="P1601">
        <v>0.0018856429869401137</v>
      </c>
      <c r="Q1601" t="s">
        <v>153</v>
      </c>
    </row>
    <row r="1602" spans="9:17" ht="14.25">
      <c r="I1602" t="s">
        <v>173</v>
      </c>
      <c r="J1602" t="s">
        <v>328</v>
      </c>
      <c r="K1602">
        <v>0.0012940666033127259</v>
      </c>
      <c r="L1602" t="s">
        <v>153</v>
      </c>
      <c r="N1602" t="s">
        <v>183</v>
      </c>
      <c r="O1602" t="s">
        <v>328</v>
      </c>
      <c r="P1602">
        <v>0.014939129079595621</v>
      </c>
      <c r="Q1602" t="s">
        <v>153</v>
      </c>
    </row>
    <row r="1603" spans="9:17" ht="14.25">
      <c r="I1603" t="s">
        <v>173</v>
      </c>
      <c r="J1603" t="s">
        <v>268</v>
      </c>
      <c r="K1603">
        <v>0</v>
      </c>
      <c r="L1603" t="s">
        <v>153</v>
      </c>
      <c r="N1603" t="s">
        <v>183</v>
      </c>
      <c r="O1603" t="s">
        <v>268</v>
      </c>
      <c r="P1603">
        <v>0.0040479699979581183</v>
      </c>
      <c r="Q1603" t="s">
        <v>153</v>
      </c>
    </row>
    <row r="1604" spans="9:17" ht="14.25">
      <c r="I1604" t="s">
        <v>173</v>
      </c>
      <c r="J1604" t="s">
        <v>269</v>
      </c>
      <c r="K1604">
        <v>0.0021039099688168394</v>
      </c>
      <c r="L1604" t="s">
        <v>153</v>
      </c>
      <c r="N1604" t="s">
        <v>183</v>
      </c>
      <c r="O1604" t="s">
        <v>269</v>
      </c>
      <c r="P1604">
        <v>0.00066924540665840612</v>
      </c>
      <c r="Q1604" t="s">
        <v>153</v>
      </c>
    </row>
    <row r="1605" spans="9:17" ht="14.25">
      <c r="I1605" t="s">
        <v>173</v>
      </c>
      <c r="J1605" t="s">
        <v>270</v>
      </c>
      <c r="K1605">
        <v>0.0038970583476710917</v>
      </c>
      <c r="L1605" t="s">
        <v>153</v>
      </c>
      <c r="N1605" t="s">
        <v>183</v>
      </c>
      <c r="O1605" t="s">
        <v>270</v>
      </c>
      <c r="P1605">
        <v>0.00050143120305028318</v>
      </c>
      <c r="Q1605" t="s">
        <v>153</v>
      </c>
    </row>
    <row r="1606" spans="9:17" ht="14.25">
      <c r="I1606" t="s">
        <v>173</v>
      </c>
      <c r="J1606" t="s">
        <v>271</v>
      </c>
      <c r="K1606">
        <v>0.0049976040784531477</v>
      </c>
      <c r="L1606" t="s">
        <v>153</v>
      </c>
      <c r="N1606" t="s">
        <v>183</v>
      </c>
      <c r="O1606" t="s">
        <v>271</v>
      </c>
      <c r="P1606">
        <v>0.00041503259203162882</v>
      </c>
      <c r="Q1606" t="s">
        <v>153</v>
      </c>
    </row>
    <row r="1607" spans="9:17" ht="14.25">
      <c r="I1607" t="s">
        <v>173</v>
      </c>
      <c r="J1607" t="s">
        <v>272</v>
      </c>
      <c r="K1607">
        <v>0.038123083708577636</v>
      </c>
      <c r="L1607" t="s">
        <v>153</v>
      </c>
      <c r="N1607" t="s">
        <v>183</v>
      </c>
      <c r="O1607" t="s">
        <v>272</v>
      </c>
      <c r="P1607">
        <v>0.018685281631616382</v>
      </c>
      <c r="Q1607" t="s">
        <v>153</v>
      </c>
    </row>
    <row r="1608" spans="9:17" ht="14.25">
      <c r="I1608" t="s">
        <v>173</v>
      </c>
      <c r="J1608" t="s">
        <v>273</v>
      </c>
      <c r="K1608">
        <v>0.0037446650121555889</v>
      </c>
      <c r="L1608" t="s">
        <v>153</v>
      </c>
      <c r="N1608" t="s">
        <v>183</v>
      </c>
      <c r="O1608" t="s">
        <v>273</v>
      </c>
      <c r="P1608">
        <v>0.0042674723820595849</v>
      </c>
      <c r="Q1608" t="s">
        <v>153</v>
      </c>
    </row>
    <row r="1609" spans="9:17" ht="14.25">
      <c r="I1609" t="s">
        <v>173</v>
      </c>
      <c r="J1609" t="s">
        <v>329</v>
      </c>
      <c r="K1609">
        <v>0.0026206860695541078</v>
      </c>
      <c r="L1609" t="s">
        <v>153</v>
      </c>
      <c r="N1609" t="s">
        <v>183</v>
      </c>
      <c r="O1609" t="s">
        <v>329</v>
      </c>
      <c r="P1609">
        <v>0.0041387538501780887</v>
      </c>
      <c r="Q1609" t="s">
        <v>153</v>
      </c>
    </row>
    <row r="1610" spans="9:17" ht="14.25">
      <c r="I1610" t="s">
        <v>173</v>
      </c>
      <c r="J1610" t="s">
        <v>330</v>
      </c>
      <c r="K1610">
        <v>0.0011269707733679855</v>
      </c>
      <c r="L1610" t="s">
        <v>153</v>
      </c>
      <c r="N1610" t="s">
        <v>183</v>
      </c>
      <c r="O1610" t="s">
        <v>330</v>
      </c>
      <c r="P1610">
        <v>0.014694763524691484</v>
      </c>
      <c r="Q1610" t="s">
        <v>153</v>
      </c>
    </row>
    <row r="1611" spans="9:17" ht="14.25">
      <c r="I1611" t="s">
        <v>173</v>
      </c>
      <c r="J1611" t="s">
        <v>274</v>
      </c>
      <c r="K1611">
        <v>0</v>
      </c>
      <c r="L1611" t="s">
        <v>153</v>
      </c>
      <c r="N1611" t="s">
        <v>183</v>
      </c>
      <c r="O1611" t="s">
        <v>274</v>
      </c>
      <c r="P1611">
        <v>0.0025815132010096834</v>
      </c>
      <c r="Q1611" t="s">
        <v>153</v>
      </c>
    </row>
    <row r="1612" spans="9:17" ht="14.25">
      <c r="I1612" t="s">
        <v>173</v>
      </c>
      <c r="J1612" t="s">
        <v>275</v>
      </c>
      <c r="K1612">
        <v>0.00084399776486687511</v>
      </c>
      <c r="L1612" t="s">
        <v>153</v>
      </c>
      <c r="N1612" t="s">
        <v>183</v>
      </c>
      <c r="O1612" t="s">
        <v>275</v>
      </c>
      <c r="P1612">
        <v>0.0006689211129744107</v>
      </c>
      <c r="Q1612" t="s">
        <v>153</v>
      </c>
    </row>
    <row r="1613" spans="9:17" ht="14.25">
      <c r="I1613" t="s">
        <v>173</v>
      </c>
      <c r="J1613" t="s">
        <v>276</v>
      </c>
      <c r="K1613">
        <v>0.0014842340718217723</v>
      </c>
      <c r="L1613" t="s">
        <v>153</v>
      </c>
      <c r="N1613" t="s">
        <v>183</v>
      </c>
      <c r="O1613" t="s">
        <v>276</v>
      </c>
      <c r="P1613">
        <v>0.00066498700492678405</v>
      </c>
      <c r="Q1613" t="s">
        <v>153</v>
      </c>
    </row>
    <row r="1614" spans="9:17" ht="14.25">
      <c r="I1614" t="s">
        <v>173</v>
      </c>
      <c r="J1614" t="s">
        <v>277</v>
      </c>
      <c r="K1614">
        <v>0.0018272405012522963</v>
      </c>
      <c r="L1614" t="s">
        <v>153</v>
      </c>
      <c r="N1614" t="s">
        <v>183</v>
      </c>
      <c r="O1614" t="s">
        <v>277</v>
      </c>
      <c r="P1614">
        <v>0.00084761183222491622</v>
      </c>
      <c r="Q1614" t="s">
        <v>153</v>
      </c>
    </row>
    <row r="1615" spans="9:17" ht="14.25">
      <c r="I1615" t="s">
        <v>173</v>
      </c>
      <c r="J1615" t="s">
        <v>278</v>
      </c>
      <c r="K1615">
        <v>0.014673237568765776</v>
      </c>
      <c r="L1615" t="s">
        <v>153</v>
      </c>
      <c r="N1615" t="s">
        <v>183</v>
      </c>
      <c r="O1615" t="s">
        <v>278</v>
      </c>
      <c r="P1615">
        <v>0.0081738260997592828</v>
      </c>
      <c r="Q1615" t="s">
        <v>153</v>
      </c>
    </row>
    <row r="1616" spans="9:17" ht="14.25">
      <c r="I1616" t="s">
        <v>173</v>
      </c>
      <c r="J1616" t="s">
        <v>279</v>
      </c>
      <c r="K1616">
        <v>0.001602763000930195</v>
      </c>
      <c r="L1616" t="s">
        <v>153</v>
      </c>
      <c r="N1616" t="s">
        <v>183</v>
      </c>
      <c r="O1616" t="s">
        <v>279</v>
      </c>
      <c r="P1616">
        <v>0.001665891740071577</v>
      </c>
      <c r="Q1616" t="s">
        <v>153</v>
      </c>
    </row>
    <row r="1617" spans="9:17" ht="14.25">
      <c r="I1617" t="s">
        <v>173</v>
      </c>
      <c r="J1617" t="s">
        <v>331</v>
      </c>
      <c r="K1617">
        <v>0.0011568046889997925</v>
      </c>
      <c r="L1617" t="s">
        <v>153</v>
      </c>
      <c r="N1617" t="s">
        <v>183</v>
      </c>
      <c r="O1617" t="s">
        <v>331</v>
      </c>
      <c r="P1617">
        <v>0.0018103099203013423</v>
      </c>
      <c r="Q1617" t="s">
        <v>153</v>
      </c>
    </row>
    <row r="1618" spans="9:17" ht="14.25">
      <c r="I1618" t="s">
        <v>173</v>
      </c>
      <c r="J1618" t="s">
        <v>332</v>
      </c>
      <c r="K1618">
        <v>0.00049532149626387316</v>
      </c>
      <c r="L1618" t="s">
        <v>153</v>
      </c>
      <c r="N1618" t="s">
        <v>183</v>
      </c>
      <c r="O1618" t="s">
        <v>332</v>
      </c>
      <c r="P1618">
        <v>0.0074798154683085975</v>
      </c>
      <c r="Q1618" t="s">
        <v>153</v>
      </c>
    </row>
    <row r="1619" spans="9:17" ht="14.25">
      <c r="I1619" t="s">
        <v>173</v>
      </c>
      <c r="J1619" t="s">
        <v>280</v>
      </c>
      <c r="K1619">
        <v>0</v>
      </c>
      <c r="L1619" t="s">
        <v>153</v>
      </c>
      <c r="N1619" t="s">
        <v>183</v>
      </c>
      <c r="O1619" t="s">
        <v>280</v>
      </c>
      <c r="P1619">
        <v>0.004771870232885644</v>
      </c>
      <c r="Q1619" t="s">
        <v>153</v>
      </c>
    </row>
    <row r="1620" spans="9:17" ht="14.25">
      <c r="I1620" t="s">
        <v>173</v>
      </c>
      <c r="J1620" t="s">
        <v>281</v>
      </c>
      <c r="K1620">
        <v>0.0006308056968124604</v>
      </c>
      <c r="L1620" t="s">
        <v>153</v>
      </c>
      <c r="N1620" t="s">
        <v>183</v>
      </c>
      <c r="O1620" t="s">
        <v>281</v>
      </c>
      <c r="P1620">
        <v>0.0010069476088113744</v>
      </c>
      <c r="Q1620" t="s">
        <v>153</v>
      </c>
    </row>
    <row r="1621" spans="9:17" ht="14.25">
      <c r="I1621" t="s">
        <v>173</v>
      </c>
      <c r="J1621" t="s">
        <v>282</v>
      </c>
      <c r="K1621">
        <v>0.0011823938412615753</v>
      </c>
      <c r="L1621" t="s">
        <v>153</v>
      </c>
      <c r="N1621" t="s">
        <v>183</v>
      </c>
      <c r="O1621" t="s">
        <v>282</v>
      </c>
      <c r="P1621">
        <v>0.00074893255124309154</v>
      </c>
      <c r="Q1621" t="s">
        <v>153</v>
      </c>
    </row>
    <row r="1622" spans="9:17" ht="14.25">
      <c r="I1622" t="s">
        <v>173</v>
      </c>
      <c r="J1622" t="s">
        <v>283</v>
      </c>
      <c r="K1622">
        <v>0.0014975666522096841</v>
      </c>
      <c r="L1622" t="s">
        <v>153</v>
      </c>
      <c r="N1622" t="s">
        <v>183</v>
      </c>
      <c r="O1622" t="s">
        <v>283</v>
      </c>
      <c r="P1622">
        <v>0.00065376424381945392</v>
      </c>
      <c r="Q1622" t="s">
        <v>153</v>
      </c>
    </row>
    <row r="1623" spans="9:17" ht="14.25">
      <c r="I1623" t="s">
        <v>173</v>
      </c>
      <c r="J1623" t="s">
        <v>284</v>
      </c>
      <c r="K1623">
        <v>0.012345656579508637</v>
      </c>
      <c r="L1623" t="s">
        <v>153</v>
      </c>
      <c r="N1623" t="s">
        <v>183</v>
      </c>
      <c r="O1623" t="s">
        <v>284</v>
      </c>
      <c r="P1623">
        <v>0.0033744514454023236</v>
      </c>
      <c r="Q1623" t="s">
        <v>153</v>
      </c>
    </row>
    <row r="1624" spans="9:17" ht="14.25">
      <c r="I1624" t="s">
        <v>173</v>
      </c>
      <c r="J1624" t="s">
        <v>285</v>
      </c>
      <c r="K1624">
        <v>0.0013070223313319455</v>
      </c>
      <c r="L1624" t="s">
        <v>153</v>
      </c>
      <c r="N1624" t="s">
        <v>183</v>
      </c>
      <c r="O1624" t="s">
        <v>285</v>
      </c>
      <c r="P1624">
        <v>0.00095338714747053468</v>
      </c>
      <c r="Q1624" t="s">
        <v>153</v>
      </c>
    </row>
    <row r="1625" spans="9:17" ht="14.25">
      <c r="I1625" t="s">
        <v>173</v>
      </c>
      <c r="J1625" t="s">
        <v>333</v>
      </c>
      <c r="K1625">
        <v>0.00093183054765536878</v>
      </c>
      <c r="L1625" t="s">
        <v>153</v>
      </c>
      <c r="N1625" t="s">
        <v>183</v>
      </c>
      <c r="O1625" t="s">
        <v>333</v>
      </c>
      <c r="P1625">
        <v>0.0012878293036118044</v>
      </c>
      <c r="Q1625" t="s">
        <v>153</v>
      </c>
    </row>
    <row r="1626" spans="9:17" ht="14.25">
      <c r="I1626" t="s">
        <v>173</v>
      </c>
      <c r="J1626" t="s">
        <v>334</v>
      </c>
      <c r="K1626">
        <v>0.00036996027849662394</v>
      </c>
      <c r="L1626" t="s">
        <v>153</v>
      </c>
      <c r="N1626" t="s">
        <v>183</v>
      </c>
      <c r="O1626" t="s">
        <v>334</v>
      </c>
      <c r="P1626">
        <v>0.0066926825428806876</v>
      </c>
      <c r="Q1626" t="s">
        <v>153</v>
      </c>
    </row>
    <row r="1627" spans="9:17" ht="14.25">
      <c r="I1627" t="s">
        <v>173</v>
      </c>
      <c r="J1627" t="s">
        <v>286</v>
      </c>
      <c r="K1627">
        <v>0</v>
      </c>
      <c r="L1627" t="s">
        <v>153</v>
      </c>
      <c r="N1627" t="s">
        <v>183</v>
      </c>
      <c r="O1627" t="s">
        <v>286</v>
      </c>
      <c r="P1627">
        <v>0.004464999416065144</v>
      </c>
      <c r="Q1627" t="s">
        <v>153</v>
      </c>
    </row>
    <row r="1628" spans="9:17" ht="14.25">
      <c r="I1628" t="s">
        <v>173</v>
      </c>
      <c r="J1628" t="s">
        <v>287</v>
      </c>
      <c r="K1628">
        <v>0.00082449136040689108</v>
      </c>
      <c r="L1628" t="s">
        <v>153</v>
      </c>
      <c r="N1628" t="s">
        <v>183</v>
      </c>
      <c r="O1628" t="s">
        <v>287</v>
      </c>
      <c r="P1628">
        <v>0.00097023938138689496</v>
      </c>
      <c r="Q1628" t="s">
        <v>153</v>
      </c>
    </row>
    <row r="1629" spans="9:17" ht="14.25">
      <c r="I1629" t="s">
        <v>173</v>
      </c>
      <c r="J1629" t="s">
        <v>288</v>
      </c>
      <c r="K1629">
        <v>0.0015934096606374883</v>
      </c>
      <c r="L1629" t="s">
        <v>153</v>
      </c>
      <c r="N1629" t="s">
        <v>183</v>
      </c>
      <c r="O1629" t="s">
        <v>288</v>
      </c>
      <c r="P1629">
        <v>0.00078185183429252099</v>
      </c>
      <c r="Q1629" t="s">
        <v>153</v>
      </c>
    </row>
    <row r="1630" spans="9:17" ht="14.25">
      <c r="I1630" t="s">
        <v>173</v>
      </c>
      <c r="J1630" t="s">
        <v>289</v>
      </c>
      <c r="K1630">
        <v>0.0020693551807691511</v>
      </c>
      <c r="L1630" t="s">
        <v>153</v>
      </c>
      <c r="N1630" t="s">
        <v>183</v>
      </c>
      <c r="O1630" t="s">
        <v>289</v>
      </c>
      <c r="P1630">
        <v>0.00070331111201654565</v>
      </c>
      <c r="Q1630" t="s">
        <v>153</v>
      </c>
    </row>
    <row r="1631" spans="9:17" ht="14.25">
      <c r="I1631" t="s">
        <v>173</v>
      </c>
      <c r="J1631" t="s">
        <v>290</v>
      </c>
      <c r="K1631">
        <v>0.017601097584256577</v>
      </c>
      <c r="L1631" t="s">
        <v>153</v>
      </c>
      <c r="N1631" t="s">
        <v>183</v>
      </c>
      <c r="O1631" t="s">
        <v>290</v>
      </c>
      <c r="P1631">
        <v>0.0035181799725747336</v>
      </c>
      <c r="Q1631" t="s">
        <v>153</v>
      </c>
    </row>
    <row r="1632" spans="9:17" ht="14.25">
      <c r="I1632" t="s">
        <v>173</v>
      </c>
      <c r="J1632" t="s">
        <v>291</v>
      </c>
      <c r="K1632">
        <v>0.0018043064175901644</v>
      </c>
      <c r="L1632" t="s">
        <v>153</v>
      </c>
      <c r="N1632" t="s">
        <v>183</v>
      </c>
      <c r="O1632" t="s">
        <v>291</v>
      </c>
      <c r="P1632">
        <v>0.0011838609124396186</v>
      </c>
      <c r="Q1632" t="s">
        <v>153</v>
      </c>
    </row>
    <row r="1633" spans="9:17" ht="14.25">
      <c r="I1633" t="s">
        <v>173</v>
      </c>
      <c r="J1633" t="s">
        <v>335</v>
      </c>
      <c r="K1633">
        <v>0.0012325428307033868</v>
      </c>
      <c r="L1633" t="s">
        <v>153</v>
      </c>
      <c r="N1633" t="s">
        <v>183</v>
      </c>
      <c r="O1633" t="s">
        <v>335</v>
      </c>
      <c r="P1633">
        <v>0.0016043714863896231</v>
      </c>
      <c r="Q1633" t="s">
        <v>153</v>
      </c>
    </row>
    <row r="1634" spans="9:17" ht="14.25">
      <c r="I1634" t="s">
        <v>173</v>
      </c>
      <c r="J1634" t="s">
        <v>336</v>
      </c>
      <c r="K1634">
        <v>0.00047783180251248698</v>
      </c>
      <c r="L1634" t="s">
        <v>153</v>
      </c>
      <c r="N1634" t="s">
        <v>183</v>
      </c>
      <c r="O1634" t="s">
        <v>336</v>
      </c>
      <c r="P1634">
        <v>0.0098507063011751828</v>
      </c>
      <c r="Q1634" t="s">
        <v>153</v>
      </c>
    </row>
    <row r="1635" spans="9:17" ht="14.25">
      <c r="I1635" t="s">
        <v>173</v>
      </c>
      <c r="J1635" t="s">
        <v>292</v>
      </c>
      <c r="K1635">
        <v>0</v>
      </c>
      <c r="L1635" t="s">
        <v>153</v>
      </c>
      <c r="N1635" t="s">
        <v>183</v>
      </c>
      <c r="O1635" t="s">
        <v>292</v>
      </c>
      <c r="P1635">
        <v>0.0030291738056028028</v>
      </c>
      <c r="Q1635" t="s">
        <v>153</v>
      </c>
    </row>
    <row r="1636" spans="9:17" ht="14.25">
      <c r="I1636" t="s">
        <v>173</v>
      </c>
      <c r="J1636" t="s">
        <v>293</v>
      </c>
      <c r="K1636">
        <v>0.00053905384893902721</v>
      </c>
      <c r="L1636" t="s">
        <v>153</v>
      </c>
      <c r="N1636" t="s">
        <v>183</v>
      </c>
      <c r="O1636" t="s">
        <v>293</v>
      </c>
      <c r="P1636">
        <v>0.0003576392652660797</v>
      </c>
      <c r="Q1636" t="s">
        <v>153</v>
      </c>
    </row>
    <row r="1637" spans="9:17" ht="14.25">
      <c r="I1637" t="s">
        <v>173</v>
      </c>
      <c r="J1637" t="s">
        <v>294</v>
      </c>
      <c r="K1637">
        <v>0.0010828165686090809</v>
      </c>
      <c r="L1637" t="s">
        <v>153</v>
      </c>
      <c r="N1637" t="s">
        <v>183</v>
      </c>
      <c r="O1637" t="s">
        <v>294</v>
      </c>
      <c r="P1637">
        <v>0.00023575151938864415</v>
      </c>
      <c r="Q1637" t="s">
        <v>153</v>
      </c>
    </row>
    <row r="1638" spans="9:17" ht="14.25">
      <c r="I1638" t="s">
        <v>173</v>
      </c>
      <c r="J1638" t="s">
        <v>295</v>
      </c>
      <c r="K1638">
        <v>0.0014106635596583868</v>
      </c>
      <c r="L1638" t="s">
        <v>153</v>
      </c>
      <c r="N1638" t="s">
        <v>183</v>
      </c>
      <c r="O1638" t="s">
        <v>295</v>
      </c>
      <c r="P1638">
        <v>0.00035121350711883966</v>
      </c>
      <c r="Q1638" t="s">
        <v>153</v>
      </c>
    </row>
    <row r="1639" spans="9:17" ht="14.25">
      <c r="I1639" t="s">
        <v>173</v>
      </c>
      <c r="J1639" t="s">
        <v>296</v>
      </c>
      <c r="K1639">
        <v>0.011975105237839248</v>
      </c>
      <c r="L1639" t="s">
        <v>153</v>
      </c>
      <c r="N1639" t="s">
        <v>183</v>
      </c>
      <c r="O1639" t="s">
        <v>296</v>
      </c>
      <c r="P1639">
        <v>0.0077577898180958161</v>
      </c>
      <c r="Q1639" t="s">
        <v>153</v>
      </c>
    </row>
    <row r="1640" spans="9:17" ht="14.25">
      <c r="I1640" t="s">
        <v>173</v>
      </c>
      <c r="J1640" t="s">
        <v>297</v>
      </c>
      <c r="K1640">
        <v>0.0012626386132461081</v>
      </c>
      <c r="L1640" t="s">
        <v>153</v>
      </c>
      <c r="N1640" t="s">
        <v>183</v>
      </c>
      <c r="O1640" t="s">
        <v>297</v>
      </c>
      <c r="P1640">
        <v>0.0020735025839991581</v>
      </c>
      <c r="Q1640" t="s">
        <v>153</v>
      </c>
    </row>
    <row r="1641" spans="9:17" ht="14.25">
      <c r="I1641" t="s">
        <v>173</v>
      </c>
      <c r="J1641" t="s">
        <v>337</v>
      </c>
      <c r="K1641">
        <v>0.00088273652870280838</v>
      </c>
      <c r="L1641" t="s">
        <v>153</v>
      </c>
      <c r="N1641" t="s">
        <v>183</v>
      </c>
      <c r="O1641" t="s">
        <v>337</v>
      </c>
      <c r="P1641">
        <v>0.0023889862026622321</v>
      </c>
      <c r="Q1641" t="s">
        <v>153</v>
      </c>
    </row>
    <row r="1642" spans="9:17" ht="14.25">
      <c r="I1642" t="s">
        <v>173</v>
      </c>
      <c r="J1642" t="s">
        <v>338</v>
      </c>
      <c r="K1642">
        <v>0.0003346956086589147</v>
      </c>
      <c r="L1642" t="s">
        <v>153</v>
      </c>
      <c r="N1642" t="s">
        <v>183</v>
      </c>
      <c r="O1642" t="s">
        <v>338</v>
      </c>
      <c r="P1642">
        <v>0.0092705577769918602</v>
      </c>
      <c r="Q1642" t="s">
        <v>153</v>
      </c>
    </row>
    <row r="1643" spans="9:17" ht="14.25">
      <c r="I1643" t="s">
        <v>173</v>
      </c>
      <c r="J1643" t="s">
        <v>339</v>
      </c>
      <c r="K1643">
        <v>0</v>
      </c>
      <c r="L1643" t="s">
        <v>153</v>
      </c>
      <c r="N1643" t="s">
        <v>183</v>
      </c>
      <c r="O1643" t="s">
        <v>339</v>
      </c>
      <c r="P1643">
        <v>0.0021349568361334384</v>
      </c>
      <c r="Q1643" t="s">
        <v>153</v>
      </c>
    </row>
    <row r="1644" spans="9:17" ht="14.25">
      <c r="I1644" t="s">
        <v>173</v>
      </c>
      <c r="J1644" t="s">
        <v>340</v>
      </c>
      <c r="K1644">
        <v>0.00061188942621966461</v>
      </c>
      <c r="L1644" t="s">
        <v>153</v>
      </c>
      <c r="N1644" t="s">
        <v>183</v>
      </c>
      <c r="O1644" t="s">
        <v>340</v>
      </c>
      <c r="P1644">
        <v>8.0445255981769439E-05</v>
      </c>
      <c r="Q1644" t="s">
        <v>153</v>
      </c>
    </row>
    <row r="1645" spans="9:17" ht="14.25">
      <c r="I1645" t="s">
        <v>173</v>
      </c>
      <c r="J1645" t="s">
        <v>341</v>
      </c>
      <c r="K1645">
        <v>0.0013735025060464083</v>
      </c>
      <c r="L1645" t="s">
        <v>153</v>
      </c>
      <c r="N1645" t="s">
        <v>183</v>
      </c>
      <c r="O1645" t="s">
        <v>341</v>
      </c>
      <c r="P1645">
        <v>3.6923057386705575E-05</v>
      </c>
      <c r="Q1645" t="s">
        <v>153</v>
      </c>
    </row>
    <row r="1646" spans="9:17" ht="14.25">
      <c r="I1646" t="s">
        <v>173</v>
      </c>
      <c r="J1646" t="s">
        <v>342</v>
      </c>
      <c r="K1646">
        <v>0.0018942940248982652</v>
      </c>
      <c r="L1646" t="s">
        <v>153</v>
      </c>
      <c r="N1646" t="s">
        <v>183</v>
      </c>
      <c r="O1646" t="s">
        <v>342</v>
      </c>
      <c r="P1646">
        <v>3.4590530638619524E-05</v>
      </c>
      <c r="Q1646" t="s">
        <v>153</v>
      </c>
    </row>
    <row r="1647" spans="9:17" ht="14.25">
      <c r="I1647" t="s">
        <v>173</v>
      </c>
      <c r="J1647" t="s">
        <v>343</v>
      </c>
      <c r="K1647">
        <v>0.017381911608592211</v>
      </c>
      <c r="L1647" t="s">
        <v>153</v>
      </c>
      <c r="N1647" t="s">
        <v>183</v>
      </c>
      <c r="O1647" t="s">
        <v>343</v>
      </c>
      <c r="P1647">
        <v>0.0053213208041835687</v>
      </c>
      <c r="Q1647" t="s">
        <v>153</v>
      </c>
    </row>
    <row r="1648" spans="9:17" ht="14.25">
      <c r="I1648" t="s">
        <v>173</v>
      </c>
      <c r="J1648" t="s">
        <v>344</v>
      </c>
      <c r="K1648">
        <v>0.0018029620023809851</v>
      </c>
      <c r="L1648" t="s">
        <v>153</v>
      </c>
      <c r="N1648" t="s">
        <v>183</v>
      </c>
      <c r="O1648" t="s">
        <v>344</v>
      </c>
      <c r="P1648">
        <v>0.0020541331416780821</v>
      </c>
      <c r="Q1648" t="s">
        <v>153</v>
      </c>
    </row>
    <row r="1649" spans="9:17" ht="14.25">
      <c r="I1649" t="s">
        <v>173</v>
      </c>
      <c r="J1649" t="s">
        <v>345</v>
      </c>
      <c r="K1649">
        <v>0.0012215579875053512</v>
      </c>
      <c r="L1649" t="s">
        <v>153</v>
      </c>
      <c r="N1649" t="s">
        <v>183</v>
      </c>
      <c r="O1649" t="s">
        <v>345</v>
      </c>
      <c r="P1649">
        <v>0.0023254443071630913</v>
      </c>
      <c r="Q1649" t="s">
        <v>153</v>
      </c>
    </row>
    <row r="1650" spans="9:17" ht="14.25">
      <c r="I1650" t="s">
        <v>173</v>
      </c>
      <c r="J1650" t="s">
        <v>346</v>
      </c>
      <c r="K1650">
        <v>0.00044711169774651246</v>
      </c>
      <c r="L1650" t="s">
        <v>153</v>
      </c>
      <c r="N1650" t="s">
        <v>183</v>
      </c>
      <c r="O1650" t="s">
        <v>346</v>
      </c>
      <c r="P1650">
        <v>0.011397275225947153</v>
      </c>
      <c r="Q1650" t="s">
        <v>153</v>
      </c>
    </row>
    <row r="1651" spans="9:17" ht="14.25">
      <c r="I1651" t="s">
        <v>173</v>
      </c>
      <c r="J1651" t="s">
        <v>347</v>
      </c>
      <c r="K1651">
        <v>0</v>
      </c>
      <c r="L1651" t="s">
        <v>153</v>
      </c>
      <c r="N1651" t="s">
        <v>183</v>
      </c>
      <c r="O1651" t="s">
        <v>347</v>
      </c>
      <c r="P1651">
        <v>0.019533323977652881</v>
      </c>
      <c r="Q1651" t="s">
        <v>153</v>
      </c>
    </row>
    <row r="1652" spans="9:17" ht="14.25">
      <c r="I1652" t="s">
        <v>173</v>
      </c>
      <c r="J1652" t="s">
        <v>348</v>
      </c>
      <c r="K1652">
        <v>0.0023884133788028288</v>
      </c>
      <c r="L1652" t="s">
        <v>153</v>
      </c>
      <c r="N1652" t="s">
        <v>183</v>
      </c>
      <c r="O1652" t="s">
        <v>348</v>
      </c>
      <c r="P1652">
        <v>0.0046894424523358938</v>
      </c>
      <c r="Q1652" t="s">
        <v>153</v>
      </c>
    </row>
    <row r="1653" spans="9:17" ht="14.25">
      <c r="I1653" t="s">
        <v>173</v>
      </c>
      <c r="J1653" t="s">
        <v>349</v>
      </c>
      <c r="K1653">
        <v>0.0059358157589012297</v>
      </c>
      <c r="L1653" t="s">
        <v>153</v>
      </c>
      <c r="N1653" t="s">
        <v>183</v>
      </c>
      <c r="O1653" t="s">
        <v>349</v>
      </c>
      <c r="P1653">
        <v>0.0043473711271300114</v>
      </c>
      <c r="Q1653" t="s">
        <v>153</v>
      </c>
    </row>
    <row r="1654" spans="9:17" ht="14.25">
      <c r="I1654" t="s">
        <v>173</v>
      </c>
      <c r="J1654" t="s">
        <v>350</v>
      </c>
      <c r="K1654">
        <v>0.0084358659620852282</v>
      </c>
      <c r="L1654" t="s">
        <v>153</v>
      </c>
      <c r="N1654" t="s">
        <v>183</v>
      </c>
      <c r="O1654" t="s">
        <v>350</v>
      </c>
      <c r="P1654">
        <v>0.0043353530337079038</v>
      </c>
      <c r="Q1654" t="s">
        <v>153</v>
      </c>
    </row>
    <row r="1655" spans="9:17" ht="14.25">
      <c r="I1655" t="s">
        <v>173</v>
      </c>
      <c r="J1655" t="s">
        <v>351</v>
      </c>
      <c r="K1655">
        <v>0.076103364216543221</v>
      </c>
      <c r="L1655" t="s">
        <v>153</v>
      </c>
      <c r="N1655" t="s">
        <v>183</v>
      </c>
      <c r="O1655" t="s">
        <v>351</v>
      </c>
      <c r="P1655">
        <v>0.024827555616309564</v>
      </c>
      <c r="Q1655" t="s">
        <v>153</v>
      </c>
    </row>
    <row r="1656" spans="9:17" ht="14.25">
      <c r="I1656" t="s">
        <v>173</v>
      </c>
      <c r="J1656" t="s">
        <v>352</v>
      </c>
      <c r="K1656">
        <v>0.0073804384090083918</v>
      </c>
      <c r="L1656" t="s">
        <v>153</v>
      </c>
      <c r="N1656" t="s">
        <v>183</v>
      </c>
      <c r="O1656" t="s">
        <v>352</v>
      </c>
      <c r="P1656">
        <v>0.0043773550166902753</v>
      </c>
      <c r="Q1656" t="s">
        <v>153</v>
      </c>
    </row>
    <row r="1657" spans="9:17" ht="14.25">
      <c r="I1657" t="s">
        <v>173</v>
      </c>
      <c r="J1657" t="s">
        <v>353</v>
      </c>
      <c r="K1657">
        <v>0.004905363374784746</v>
      </c>
      <c r="L1657" t="s">
        <v>153</v>
      </c>
      <c r="N1657" t="s">
        <v>183</v>
      </c>
      <c r="O1657" t="s">
        <v>353</v>
      </c>
      <c r="P1657">
        <v>0.0056278923912503522</v>
      </c>
      <c r="Q1657" t="s">
        <v>153</v>
      </c>
    </row>
    <row r="1658" spans="9:17" ht="14.25">
      <c r="I1658" t="s">
        <v>173</v>
      </c>
      <c r="J1658" t="s">
        <v>354</v>
      </c>
      <c r="K1658">
        <v>0.0017265231085656517</v>
      </c>
      <c r="L1658" t="s">
        <v>153</v>
      </c>
      <c r="N1658" t="s">
        <v>183</v>
      </c>
      <c r="O1658" t="s">
        <v>354</v>
      </c>
      <c r="P1658">
        <v>0.037407547721880249</v>
      </c>
      <c r="Q1658" t="s">
        <v>153</v>
      </c>
    </row>
    <row r="1659" spans="9:17" ht="14.25">
      <c r="I1659" t="s">
        <v>173</v>
      </c>
      <c r="J1659" t="s">
        <v>355</v>
      </c>
      <c r="K1659">
        <v>0</v>
      </c>
      <c r="L1659" t="s">
        <v>153</v>
      </c>
      <c r="N1659" t="s">
        <v>183</v>
      </c>
      <c r="O1659" t="s">
        <v>355</v>
      </c>
      <c r="P1659">
        <v>0.044502430387194071</v>
      </c>
      <c r="Q1659" t="s">
        <v>153</v>
      </c>
    </row>
    <row r="1660" spans="9:17" ht="14.25">
      <c r="I1660" t="s">
        <v>173</v>
      </c>
      <c r="J1660" t="s">
        <v>356</v>
      </c>
      <c r="K1660">
        <v>0.0027633383562862546</v>
      </c>
      <c r="L1660" t="s">
        <v>153</v>
      </c>
      <c r="N1660" t="s">
        <v>183</v>
      </c>
      <c r="O1660" t="s">
        <v>356</v>
      </c>
      <c r="P1660">
        <v>0.011241476998584837</v>
      </c>
      <c r="Q1660" t="s">
        <v>153</v>
      </c>
    </row>
    <row r="1661" spans="9:17" ht="14.25">
      <c r="I1661" t="s">
        <v>173</v>
      </c>
      <c r="J1661" t="s">
        <v>357</v>
      </c>
      <c r="K1661">
        <v>0.0076182121695335002</v>
      </c>
      <c r="L1661" t="s">
        <v>153</v>
      </c>
      <c r="N1661" t="s">
        <v>183</v>
      </c>
      <c r="O1661" t="s">
        <v>357</v>
      </c>
      <c r="P1661">
        <v>0.010398432424932177</v>
      </c>
      <c r="Q1661" t="s">
        <v>153</v>
      </c>
    </row>
    <row r="1662" spans="9:17" ht="14.25">
      <c r="I1662" t="s">
        <v>173</v>
      </c>
      <c r="J1662" t="s">
        <v>358</v>
      </c>
      <c r="K1662">
        <v>0.011119296835568324</v>
      </c>
      <c r="L1662" t="s">
        <v>153</v>
      </c>
      <c r="N1662" t="s">
        <v>183</v>
      </c>
      <c r="O1662" t="s">
        <v>358</v>
      </c>
      <c r="P1662">
        <v>0.010569722246523972</v>
      </c>
      <c r="Q1662" t="s">
        <v>153</v>
      </c>
    </row>
    <row r="1663" spans="9:17" ht="14.25">
      <c r="I1663" t="s">
        <v>173</v>
      </c>
      <c r="J1663" t="s">
        <v>359</v>
      </c>
      <c r="K1663">
        <v>0.098184699347419108</v>
      </c>
      <c r="L1663" t="s">
        <v>153</v>
      </c>
      <c r="N1663" t="s">
        <v>183</v>
      </c>
      <c r="O1663" t="s">
        <v>359</v>
      </c>
      <c r="P1663">
        <v>0.031839426789239289</v>
      </c>
      <c r="Q1663" t="s">
        <v>153</v>
      </c>
    </row>
    <row r="1664" spans="9:17" ht="14.25">
      <c r="I1664" t="s">
        <v>173</v>
      </c>
      <c r="J1664" t="s">
        <v>360</v>
      </c>
      <c r="K1664">
        <v>0.0094118253967097887</v>
      </c>
      <c r="L1664" t="s">
        <v>153</v>
      </c>
      <c r="N1664" t="s">
        <v>183</v>
      </c>
      <c r="O1664" t="s">
        <v>360</v>
      </c>
      <c r="P1664">
        <v>0.0020981138831836707</v>
      </c>
      <c r="Q1664" t="s">
        <v>153</v>
      </c>
    </row>
    <row r="1665" spans="9:17" ht="14.25">
      <c r="I1665" t="s">
        <v>173</v>
      </c>
      <c r="J1665" t="s">
        <v>361</v>
      </c>
      <c r="K1665">
        <v>0.005372969027820927</v>
      </c>
      <c r="L1665" t="s">
        <v>153</v>
      </c>
      <c r="N1665" t="s">
        <v>183</v>
      </c>
      <c r="O1665" t="s">
        <v>361</v>
      </c>
      <c r="P1665">
        <v>0.003203262353426912</v>
      </c>
      <c r="Q1665" t="s">
        <v>153</v>
      </c>
    </row>
    <row r="1666" spans="9:17" ht="14.25">
      <c r="I1666" t="s">
        <v>173</v>
      </c>
      <c r="J1666" t="s">
        <v>362</v>
      </c>
      <c r="K1666">
        <v>0.0009152554928318036</v>
      </c>
      <c r="L1666" t="s">
        <v>153</v>
      </c>
      <c r="N1666" t="s">
        <v>183</v>
      </c>
      <c r="O1666" t="s">
        <v>362</v>
      </c>
      <c r="P1666">
        <v>0.033074656452505055</v>
      </c>
      <c r="Q1666" t="s">
        <v>153</v>
      </c>
    </row>
    <row r="1667" spans="9:17" ht="14.25">
      <c r="I1667" t="s">
        <v>173</v>
      </c>
      <c r="J1667" t="s">
        <v>363</v>
      </c>
      <c r="K1667">
        <v>0</v>
      </c>
      <c r="L1667" t="s">
        <v>153</v>
      </c>
      <c r="N1667" t="s">
        <v>183</v>
      </c>
      <c r="O1667" t="s">
        <v>363</v>
      </c>
      <c r="P1667">
        <v>0.031692736020660715</v>
      </c>
      <c r="Q1667" t="s">
        <v>153</v>
      </c>
    </row>
    <row r="1668" spans="9:17" ht="14.25">
      <c r="I1668" t="s">
        <v>173</v>
      </c>
      <c r="J1668" t="s">
        <v>364</v>
      </c>
      <c r="K1668">
        <v>0.0029062741640148168</v>
      </c>
      <c r="L1668" t="s">
        <v>153</v>
      </c>
      <c r="N1668" t="s">
        <v>183</v>
      </c>
      <c r="O1668" t="s">
        <v>364</v>
      </c>
      <c r="P1668">
        <v>0.0055963169001438558</v>
      </c>
      <c r="Q1668" t="s">
        <v>153</v>
      </c>
    </row>
    <row r="1669" spans="9:17" ht="14.25">
      <c r="I1669" t="s">
        <v>173</v>
      </c>
      <c r="J1669" t="s">
        <v>365</v>
      </c>
      <c r="K1669">
        <v>0.014039778446181508</v>
      </c>
      <c r="L1669" t="s">
        <v>153</v>
      </c>
      <c r="N1669" t="s">
        <v>183</v>
      </c>
      <c r="O1669" t="s">
        <v>365</v>
      </c>
      <c r="P1669">
        <v>0.0053943717970281494</v>
      </c>
      <c r="Q1669" t="s">
        <v>153</v>
      </c>
    </row>
    <row r="1670" spans="9:17" ht="14.25">
      <c r="I1670" t="s">
        <v>173</v>
      </c>
      <c r="J1670" t="s">
        <v>366</v>
      </c>
      <c r="K1670">
        <v>0.020326575953165792</v>
      </c>
      <c r="L1670" t="s">
        <v>153</v>
      </c>
      <c r="N1670" t="s">
        <v>183</v>
      </c>
      <c r="O1670" t="s">
        <v>366</v>
      </c>
      <c r="P1670">
        <v>0.004012652659166397</v>
      </c>
      <c r="Q1670" t="s">
        <v>153</v>
      </c>
    </row>
    <row r="1671" spans="9:17" ht="14.25">
      <c r="I1671" t="s">
        <v>173</v>
      </c>
      <c r="J1671" t="s">
        <v>367</v>
      </c>
      <c r="K1671">
        <v>0.16145847877482628</v>
      </c>
      <c r="L1671" t="s">
        <v>153</v>
      </c>
      <c r="N1671" t="s">
        <v>183</v>
      </c>
      <c r="O1671" t="s">
        <v>367</v>
      </c>
      <c r="P1671">
        <v>0.029846165037544822</v>
      </c>
      <c r="Q1671" t="s">
        <v>153</v>
      </c>
    </row>
    <row r="1672" spans="9:17" ht="14.25">
      <c r="I1672" t="s">
        <v>173</v>
      </c>
      <c r="J1672" t="s">
        <v>368</v>
      </c>
      <c r="K1672">
        <v>0.015840362298727245</v>
      </c>
      <c r="L1672" t="s">
        <v>153</v>
      </c>
      <c r="N1672" t="s">
        <v>183</v>
      </c>
      <c r="O1672" t="s">
        <v>368</v>
      </c>
      <c r="P1672">
        <v>0.0068385073408481741</v>
      </c>
      <c r="Q1672" t="s">
        <v>153</v>
      </c>
    </row>
    <row r="1673" spans="9:17" ht="14.25">
      <c r="I1673" t="s">
        <v>173</v>
      </c>
      <c r="J1673" t="s">
        <v>369</v>
      </c>
      <c r="K1673">
        <v>0.0049592380895916331</v>
      </c>
      <c r="L1673" t="s">
        <v>153</v>
      </c>
      <c r="N1673" t="s">
        <v>183</v>
      </c>
      <c r="O1673" t="s">
        <v>369</v>
      </c>
      <c r="P1673">
        <v>0.0095867480246976146</v>
      </c>
      <c r="Q1673" t="s">
        <v>153</v>
      </c>
    </row>
    <row r="1674" spans="9:17" ht="14.25">
      <c r="I1674" t="s">
        <v>173</v>
      </c>
      <c r="J1674" t="s">
        <v>370</v>
      </c>
      <c r="K1674">
        <v>0</v>
      </c>
      <c r="L1674" t="s">
        <v>153</v>
      </c>
      <c r="N1674" t="s">
        <v>183</v>
      </c>
      <c r="O1674" t="s">
        <v>370</v>
      </c>
      <c r="P1674">
        <v>0.063333807978665335</v>
      </c>
      <c r="Q1674" t="s">
        <v>153</v>
      </c>
    </row>
    <row r="1675" spans="9:17" ht="14.25">
      <c r="I1675" t="s">
        <v>173</v>
      </c>
      <c r="J1675" t="s">
        <v>371</v>
      </c>
      <c r="K1675">
        <v>0</v>
      </c>
      <c r="L1675" t="s">
        <v>153</v>
      </c>
      <c r="N1675" t="s">
        <v>183</v>
      </c>
      <c r="O1675" t="s">
        <v>371</v>
      </c>
      <c r="P1675">
        <v>0.0075413387930325674</v>
      </c>
      <c r="Q1675" t="s">
        <v>153</v>
      </c>
    </row>
    <row r="1676" spans="9:17" ht="14.25">
      <c r="I1676" t="s">
        <v>173</v>
      </c>
      <c r="J1676" t="s">
        <v>372</v>
      </c>
      <c r="K1676">
        <v>0</v>
      </c>
      <c r="L1676" t="s">
        <v>153</v>
      </c>
      <c r="N1676" t="s">
        <v>183</v>
      </c>
      <c r="O1676" t="s">
        <v>372</v>
      </c>
      <c r="P1676">
        <v>0.0010415004803492624</v>
      </c>
      <c r="Q1676" t="s">
        <v>153</v>
      </c>
    </row>
    <row r="1677" spans="9:17" ht="14.25">
      <c r="I1677" t="s">
        <v>173</v>
      </c>
      <c r="J1677" t="s">
        <v>373</v>
      </c>
      <c r="K1677">
        <v>0.00098483077259098827</v>
      </c>
      <c r="L1677" t="s">
        <v>153</v>
      </c>
      <c r="N1677" t="s">
        <v>183</v>
      </c>
      <c r="O1677" t="s">
        <v>373</v>
      </c>
      <c r="P1677">
        <v>0.00086103216260977956</v>
      </c>
      <c r="Q1677" t="s">
        <v>153</v>
      </c>
    </row>
    <row r="1678" spans="9:17" ht="14.25">
      <c r="I1678" t="s">
        <v>173</v>
      </c>
      <c r="J1678" t="s">
        <v>374</v>
      </c>
      <c r="K1678">
        <v>0.0016430360547499971</v>
      </c>
      <c r="L1678" t="s">
        <v>153</v>
      </c>
      <c r="N1678" t="s">
        <v>183</v>
      </c>
      <c r="O1678" t="s">
        <v>374</v>
      </c>
      <c r="P1678">
        <v>0.00063425180675830888</v>
      </c>
      <c r="Q1678" t="s">
        <v>153</v>
      </c>
    </row>
    <row r="1679" spans="9:17" ht="14.25">
      <c r="I1679" t="s">
        <v>173</v>
      </c>
      <c r="J1679" t="s">
        <v>375</v>
      </c>
      <c r="K1679">
        <v>0.013584552427032635</v>
      </c>
      <c r="L1679" t="s">
        <v>153</v>
      </c>
      <c r="N1679" t="s">
        <v>183</v>
      </c>
      <c r="O1679" t="s">
        <v>375</v>
      </c>
      <c r="P1679">
        <v>0.010306728121074861</v>
      </c>
      <c r="Q1679" t="s">
        <v>153</v>
      </c>
    </row>
    <row r="1680" spans="9:17" ht="14.25">
      <c r="I1680" t="s">
        <v>173</v>
      </c>
      <c r="J1680" t="s">
        <v>376</v>
      </c>
      <c r="K1680">
        <v>0.0014133667021071583</v>
      </c>
      <c r="L1680" t="s">
        <v>153</v>
      </c>
      <c r="N1680" t="s">
        <v>183</v>
      </c>
      <c r="O1680" t="s">
        <v>376</v>
      </c>
      <c r="P1680">
        <v>0.0019498882363586949</v>
      </c>
      <c r="Q1680" t="s">
        <v>153</v>
      </c>
    </row>
    <row r="1681" spans="9:17" ht="14.25">
      <c r="I1681" t="s">
        <v>173</v>
      </c>
      <c r="J1681" t="s">
        <v>377</v>
      </c>
      <c r="K1681">
        <v>0.00043748610798183328</v>
      </c>
      <c r="L1681" t="s">
        <v>153</v>
      </c>
      <c r="N1681" t="s">
        <v>183</v>
      </c>
      <c r="O1681" t="s">
        <v>377</v>
      </c>
      <c r="P1681">
        <v>0.0020815182633421511</v>
      </c>
      <c r="Q1681" t="s">
        <v>153</v>
      </c>
    </row>
    <row r="1682" spans="9:17" ht="14.25">
      <c r="I1682" t="s">
        <v>173</v>
      </c>
      <c r="J1682" t="s">
        <v>378</v>
      </c>
      <c r="K1682">
        <v>0</v>
      </c>
      <c r="L1682" t="s">
        <v>153</v>
      </c>
      <c r="N1682" t="s">
        <v>183</v>
      </c>
      <c r="O1682" t="s">
        <v>378</v>
      </c>
      <c r="P1682">
        <v>0.011013143635497668</v>
      </c>
      <c r="Q1682" t="s">
        <v>153</v>
      </c>
    </row>
    <row r="1683" spans="9:17" ht="14.25">
      <c r="I1683" t="s">
        <v>173</v>
      </c>
      <c r="J1683" t="s">
        <v>379</v>
      </c>
      <c r="K1683">
        <v>0</v>
      </c>
      <c r="L1683" t="s">
        <v>153</v>
      </c>
      <c r="N1683" t="s">
        <v>183</v>
      </c>
      <c r="O1683" t="s">
        <v>379</v>
      </c>
      <c r="P1683">
        <v>0.009002790056898937</v>
      </c>
      <c r="Q1683" t="s">
        <v>153</v>
      </c>
    </row>
    <row r="1684" spans="9:17" ht="14.25">
      <c r="I1684" t="s">
        <v>173</v>
      </c>
      <c r="J1684" t="s">
        <v>380</v>
      </c>
      <c r="K1684">
        <v>0</v>
      </c>
      <c r="L1684" t="s">
        <v>153</v>
      </c>
      <c r="N1684" t="s">
        <v>183</v>
      </c>
      <c r="O1684" t="s">
        <v>380</v>
      </c>
      <c r="P1684">
        <v>0.0016841812853820035</v>
      </c>
      <c r="Q1684" t="s">
        <v>153</v>
      </c>
    </row>
    <row r="1685" spans="9:17" ht="14.25">
      <c r="I1685" t="s">
        <v>173</v>
      </c>
      <c r="J1685" t="s">
        <v>381</v>
      </c>
      <c r="K1685">
        <v>0.0014651760867886551</v>
      </c>
      <c r="L1685" t="s">
        <v>153</v>
      </c>
      <c r="N1685" t="s">
        <v>183</v>
      </c>
      <c r="O1685" t="s">
        <v>381</v>
      </c>
      <c r="P1685">
        <v>0.0017095562054266142</v>
      </c>
      <c r="Q1685" t="s">
        <v>153</v>
      </c>
    </row>
    <row r="1686" spans="9:17" ht="14.25">
      <c r="I1686" t="s">
        <v>173</v>
      </c>
      <c r="J1686" t="s">
        <v>382</v>
      </c>
      <c r="K1686">
        <v>0.0024638751147849644</v>
      </c>
      <c r="L1686" t="s">
        <v>153</v>
      </c>
      <c r="N1686" t="s">
        <v>183</v>
      </c>
      <c r="O1686" t="s">
        <v>382</v>
      </c>
      <c r="P1686">
        <v>0.0014052537897568974</v>
      </c>
      <c r="Q1686" t="s">
        <v>153</v>
      </c>
    </row>
    <row r="1687" spans="9:17" ht="14.25">
      <c r="I1687" t="s">
        <v>173</v>
      </c>
      <c r="J1687" t="s">
        <v>383</v>
      </c>
      <c r="K1687">
        <v>0.020203287449080027</v>
      </c>
      <c r="L1687" t="s">
        <v>153</v>
      </c>
      <c r="N1687" t="s">
        <v>183</v>
      </c>
      <c r="O1687" t="s">
        <v>383</v>
      </c>
      <c r="P1687">
        <v>0.0060597288906685167</v>
      </c>
      <c r="Q1687" t="s">
        <v>153</v>
      </c>
    </row>
    <row r="1688" spans="9:17" ht="14.25">
      <c r="I1688" t="s">
        <v>173</v>
      </c>
      <c r="J1688" t="s">
        <v>384</v>
      </c>
      <c r="K1688">
        <v>0.0021393081659323706</v>
      </c>
      <c r="L1688" t="s">
        <v>153</v>
      </c>
      <c r="N1688" t="s">
        <v>183</v>
      </c>
      <c r="O1688" t="s">
        <v>384</v>
      </c>
      <c r="P1688">
        <v>0.0011895293902718085</v>
      </c>
      <c r="Q1688" t="s">
        <v>153</v>
      </c>
    </row>
    <row r="1689" spans="9:17" ht="14.25">
      <c r="I1689" t="s">
        <v>173</v>
      </c>
      <c r="J1689" t="s">
        <v>385</v>
      </c>
      <c r="K1689">
        <v>0.0013696768012047167</v>
      </c>
      <c r="L1689" t="s">
        <v>153</v>
      </c>
      <c r="N1689" t="s">
        <v>183</v>
      </c>
      <c r="O1689" t="s">
        <v>385</v>
      </c>
      <c r="P1689">
        <v>0.0017559376170126508</v>
      </c>
      <c r="Q1689" t="s">
        <v>153</v>
      </c>
    </row>
    <row r="1690" spans="9:17" ht="14.25">
      <c r="I1690" t="s">
        <v>173</v>
      </c>
      <c r="J1690" t="s">
        <v>386</v>
      </c>
      <c r="K1690">
        <v>0</v>
      </c>
      <c r="L1690" t="s">
        <v>153</v>
      </c>
      <c r="N1690" t="s">
        <v>183</v>
      </c>
      <c r="O1690" t="s">
        <v>386</v>
      </c>
      <c r="P1690">
        <v>0.01175257011714922</v>
      </c>
      <c r="Q1690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087E38-8896-4A9A-9D88-E8CF30E4690A}">
  <dimension ref="A9:AN36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389</v>
      </c>
      <c r="D11" t="s">
        <v>142</v>
      </c>
      <c r="E11" t="s">
        <v>390</v>
      </c>
      <c r="F11" t="s">
        <v>389</v>
      </c>
      <c r="G11" t="s">
        <v>142</v>
      </c>
      <c r="I11" t="s">
        <v>151</v>
      </c>
      <c r="J11" t="s">
        <v>391</v>
      </c>
      <c r="K11">
        <v>1.0000000000000044</v>
      </c>
      <c r="L11" t="s">
        <v>153</v>
      </c>
      <c r="N11" t="s">
        <v>174</v>
      </c>
      <c r="O11" t="s">
        <v>391</v>
      </c>
      <c r="P11">
        <v>1.0000000000000042</v>
      </c>
      <c r="Q11" t="s">
        <v>153</v>
      </c>
      <c r="S11" t="s">
        <v>184</v>
      </c>
      <c r="T11" t="s">
        <v>391</v>
      </c>
      <c r="U11">
        <v>1.0000000000000011</v>
      </c>
      <c r="V11" t="s">
        <v>153</v>
      </c>
      <c r="X11">
        <v>1</v>
      </c>
      <c r="Y11">
        <v>1.0000000000000002</v>
      </c>
      <c r="Z11" t="s">
        <v>391</v>
      </c>
      <c r="AA11" t="s">
        <v>25</v>
      </c>
      <c r="AC11" t="s">
        <v>22</v>
      </c>
      <c r="AD11" t="s">
        <v>391</v>
      </c>
      <c r="AE11">
        <v>1</v>
      </c>
      <c r="AG11" t="s">
        <v>96</v>
      </c>
      <c r="AH11" t="s">
        <v>391</v>
      </c>
      <c r="AI11">
        <v>0.33857758680177485</v>
      </c>
      <c r="AK11">
        <v>2025</v>
      </c>
      <c r="AL11" t="s">
        <v>389</v>
      </c>
      <c r="AM11">
        <v>0.39875833333333333</v>
      </c>
      <c r="AN11" t="s">
        <v>195</v>
      </c>
    </row>
    <row r="12" spans="9:40" ht="14.25">
      <c r="I12" t="s">
        <v>165</v>
      </c>
      <c r="J12" t="s">
        <v>391</v>
      </c>
      <c r="K12">
        <v>0.99999999999999911</v>
      </c>
      <c r="L12" t="s">
        <v>153</v>
      </c>
      <c r="N12" t="s">
        <v>175</v>
      </c>
      <c r="O12" t="s">
        <v>391</v>
      </c>
      <c r="P12">
        <v>0.99999999999999856</v>
      </c>
      <c r="Q12" t="s">
        <v>153</v>
      </c>
      <c r="S12" t="s">
        <v>185</v>
      </c>
      <c r="T12" t="s">
        <v>391</v>
      </c>
      <c r="U12">
        <v>1.0000000000000029</v>
      </c>
      <c r="V12" t="s">
        <v>153</v>
      </c>
      <c r="AC12" t="s">
        <v>19</v>
      </c>
      <c r="AD12" t="s">
        <v>391</v>
      </c>
      <c r="AE12">
        <v>1</v>
      </c>
      <c r="AK12">
        <v>2026</v>
      </c>
      <c r="AL12" t="s">
        <v>389</v>
      </c>
      <c r="AM12">
        <v>0.41156666666666664</v>
      </c>
      <c r="AN12" t="s">
        <v>195</v>
      </c>
    </row>
    <row r="13" spans="9:40" ht="14.25">
      <c r="I13" t="s">
        <v>166</v>
      </c>
      <c r="J13" t="s">
        <v>391</v>
      </c>
      <c r="K13">
        <v>0.99999999999999989</v>
      </c>
      <c r="L13" t="s">
        <v>153</v>
      </c>
      <c r="N13" t="s">
        <v>176</v>
      </c>
      <c r="O13" t="s">
        <v>391</v>
      </c>
      <c r="P13">
        <v>1.0000000000000029</v>
      </c>
      <c r="Q13" t="s">
        <v>153</v>
      </c>
      <c r="AK13">
        <v>2027</v>
      </c>
      <c r="AL13" t="s">
        <v>389</v>
      </c>
      <c r="AM13">
        <v>0.4091749999999999</v>
      </c>
      <c r="AN13" t="s">
        <v>195</v>
      </c>
    </row>
    <row r="14" spans="9:40" ht="14.25">
      <c r="I14" t="s">
        <v>167</v>
      </c>
      <c r="J14" t="s">
        <v>391</v>
      </c>
      <c r="K14">
        <v>0.99999999999999944</v>
      </c>
      <c r="L14" t="s">
        <v>153</v>
      </c>
      <c r="N14" t="s">
        <v>177</v>
      </c>
      <c r="O14" t="s">
        <v>391</v>
      </c>
      <c r="P14">
        <v>0.99999999999999556</v>
      </c>
      <c r="Q14" t="s">
        <v>153</v>
      </c>
      <c r="AK14">
        <v>2028</v>
      </c>
      <c r="AL14" t="s">
        <v>389</v>
      </c>
      <c r="AM14">
        <v>0.39926666666666671</v>
      </c>
      <c r="AN14" t="s">
        <v>195</v>
      </c>
    </row>
    <row r="15" spans="9:40" ht="14.25">
      <c r="I15" t="s">
        <v>168</v>
      </c>
      <c r="J15" t="s">
        <v>391</v>
      </c>
      <c r="K15">
        <v>0.99999999999999656</v>
      </c>
      <c r="L15" t="s">
        <v>153</v>
      </c>
      <c r="N15" t="s">
        <v>178</v>
      </c>
      <c r="O15" t="s">
        <v>391</v>
      </c>
      <c r="P15">
        <v>1.0000000000000007</v>
      </c>
      <c r="Q15" t="s">
        <v>153</v>
      </c>
      <c r="AK15">
        <v>2029</v>
      </c>
      <c r="AL15" t="s">
        <v>389</v>
      </c>
      <c r="AM15">
        <v>0.45427499999999998</v>
      </c>
      <c r="AN15" t="s">
        <v>195</v>
      </c>
    </row>
    <row r="16" spans="9:40" ht="14.25">
      <c r="I16" t="s">
        <v>169</v>
      </c>
      <c r="J16" t="s">
        <v>391</v>
      </c>
      <c r="K16">
        <v>1.0000000000000013</v>
      </c>
      <c r="L16" t="s">
        <v>153</v>
      </c>
      <c r="N16" t="s">
        <v>179</v>
      </c>
      <c r="O16" t="s">
        <v>391</v>
      </c>
      <c r="P16">
        <v>0.99999999999999656</v>
      </c>
      <c r="Q16" t="s">
        <v>153</v>
      </c>
      <c r="AK16">
        <v>2030</v>
      </c>
      <c r="AL16" t="s">
        <v>389</v>
      </c>
      <c r="AM16">
        <v>0.46799999999999997</v>
      </c>
      <c r="AN16" t="s">
        <v>195</v>
      </c>
    </row>
    <row r="17" spans="9:40" ht="14.25">
      <c r="I17" t="s">
        <v>170</v>
      </c>
      <c r="J17" t="s">
        <v>391</v>
      </c>
      <c r="K17">
        <v>0.99999999999999933</v>
      </c>
      <c r="L17" t="s">
        <v>153</v>
      </c>
      <c r="N17" t="s">
        <v>180</v>
      </c>
      <c r="O17" t="s">
        <v>391</v>
      </c>
      <c r="P17">
        <v>1.0000000000000018</v>
      </c>
      <c r="Q17" t="s">
        <v>153</v>
      </c>
      <c r="AK17">
        <v>2031</v>
      </c>
      <c r="AL17" t="s">
        <v>389</v>
      </c>
      <c r="AM17">
        <v>0.45934999999999998</v>
      </c>
      <c r="AN17" t="s">
        <v>195</v>
      </c>
    </row>
    <row r="18" spans="9:40" ht="14.25">
      <c r="I18" t="s">
        <v>171</v>
      </c>
      <c r="J18" t="s">
        <v>391</v>
      </c>
      <c r="K18">
        <v>1.0000000000000002</v>
      </c>
      <c r="L18" t="s">
        <v>153</v>
      </c>
      <c r="N18" t="s">
        <v>181</v>
      </c>
      <c r="O18" t="s">
        <v>391</v>
      </c>
      <c r="P18">
        <v>1.0000000000000007</v>
      </c>
      <c r="Q18" t="s">
        <v>153</v>
      </c>
      <c r="AK18">
        <v>2032</v>
      </c>
      <c r="AL18" t="s">
        <v>389</v>
      </c>
      <c r="AM18">
        <v>0.45059166666666667</v>
      </c>
      <c r="AN18" t="s">
        <v>195</v>
      </c>
    </row>
    <row r="19" spans="9:40" ht="14.25">
      <c r="I19" t="s">
        <v>172</v>
      </c>
      <c r="J19" t="s">
        <v>391</v>
      </c>
      <c r="K19">
        <v>0.99999999999999978</v>
      </c>
      <c r="L19" t="s">
        <v>153</v>
      </c>
      <c r="N19" t="s">
        <v>182</v>
      </c>
      <c r="O19" t="s">
        <v>391</v>
      </c>
      <c r="P19">
        <v>1.0000000000000004</v>
      </c>
      <c r="Q19" t="s">
        <v>153</v>
      </c>
      <c r="AK19">
        <v>2033</v>
      </c>
      <c r="AL19" t="s">
        <v>389</v>
      </c>
      <c r="AM19">
        <v>0.45546666666666663</v>
      </c>
      <c r="AN19" t="s">
        <v>195</v>
      </c>
    </row>
    <row r="20" spans="9:40" ht="14.25">
      <c r="I20" t="s">
        <v>173</v>
      </c>
      <c r="J20" t="s">
        <v>391</v>
      </c>
      <c r="K20">
        <v>0.99999999999999956</v>
      </c>
      <c r="L20" t="s">
        <v>153</v>
      </c>
      <c r="N20" t="s">
        <v>183</v>
      </c>
      <c r="O20" t="s">
        <v>391</v>
      </c>
      <c r="P20">
        <v>0.99999999999999811</v>
      </c>
      <c r="Q20" t="s">
        <v>153</v>
      </c>
      <c r="AK20">
        <v>2034</v>
      </c>
      <c r="AL20" t="s">
        <v>389</v>
      </c>
      <c r="AM20">
        <v>0.39653333333333335</v>
      </c>
      <c r="AN20" t="s">
        <v>195</v>
      </c>
    </row>
    <row r="21" spans="37:40" ht="14.25">
      <c r="AK21">
        <v>2035</v>
      </c>
      <c r="AL21" t="s">
        <v>389</v>
      </c>
      <c r="AM21">
        <v>0.39883333333333332</v>
      </c>
      <c r="AN21" t="s">
        <v>195</v>
      </c>
    </row>
    <row r="22" spans="37:40" ht="14.25">
      <c r="AK22">
        <v>2036</v>
      </c>
      <c r="AL22" t="s">
        <v>389</v>
      </c>
      <c r="AM22">
        <v>0.3426833333333334</v>
      </c>
      <c r="AN22" t="s">
        <v>195</v>
      </c>
    </row>
    <row r="23" spans="37:40" ht="14.25">
      <c r="AK23">
        <v>2037</v>
      </c>
      <c r="AL23" t="s">
        <v>389</v>
      </c>
      <c r="AM23">
        <v>0.35010000000000002</v>
      </c>
      <c r="AN23" t="s">
        <v>195</v>
      </c>
    </row>
    <row r="24" spans="37:40" ht="14.25">
      <c r="AK24">
        <v>2038</v>
      </c>
      <c r="AL24" t="s">
        <v>389</v>
      </c>
      <c r="AM24">
        <v>0.34652499999999997</v>
      </c>
      <c r="AN24" t="s">
        <v>195</v>
      </c>
    </row>
    <row r="25" spans="37:40" ht="14.25">
      <c r="AK25">
        <v>2039</v>
      </c>
      <c r="AL25" t="s">
        <v>389</v>
      </c>
      <c r="AM25">
        <v>0.33413333333333334</v>
      </c>
      <c r="AN25" t="s">
        <v>195</v>
      </c>
    </row>
    <row r="26" spans="37:40" ht="14.25">
      <c r="AK26">
        <v>2040</v>
      </c>
      <c r="AL26" t="s">
        <v>389</v>
      </c>
      <c r="AM26">
        <v>0.44945833333333335</v>
      </c>
      <c r="AN26" t="s">
        <v>195</v>
      </c>
    </row>
    <row r="27" spans="37:40" ht="14.25">
      <c r="AK27">
        <v>2041</v>
      </c>
      <c r="AL27" t="s">
        <v>389</v>
      </c>
      <c r="AM27">
        <v>0.40608333333333335</v>
      </c>
      <c r="AN27" t="s">
        <v>195</v>
      </c>
    </row>
    <row r="28" spans="37:40" ht="14.25">
      <c r="AK28">
        <v>2042</v>
      </c>
      <c r="AL28" t="s">
        <v>389</v>
      </c>
      <c r="AM28">
        <v>0.34429999999999999</v>
      </c>
      <c r="AN28" t="s">
        <v>195</v>
      </c>
    </row>
    <row r="29" spans="37:40" ht="14.25">
      <c r="AK29">
        <v>2043</v>
      </c>
      <c r="AL29" t="s">
        <v>389</v>
      </c>
      <c r="AM29">
        <v>0.33806666666666668</v>
      </c>
      <c r="AN29" t="s">
        <v>195</v>
      </c>
    </row>
    <row r="30" spans="37:40" ht="14.25">
      <c r="AK30">
        <v>2044</v>
      </c>
      <c r="AL30" t="s">
        <v>389</v>
      </c>
      <c r="AM30">
        <v>0.39634166666666665</v>
      </c>
      <c r="AN30" t="s">
        <v>195</v>
      </c>
    </row>
    <row r="31" spans="37:40" ht="14.25">
      <c r="AK31">
        <v>2045</v>
      </c>
      <c r="AL31" t="s">
        <v>389</v>
      </c>
      <c r="AM31">
        <v>0.40477500000000005</v>
      </c>
      <c r="AN31" t="s">
        <v>195</v>
      </c>
    </row>
    <row r="32" spans="37:40" ht="14.25">
      <c r="AK32">
        <v>2046</v>
      </c>
      <c r="AL32" t="s">
        <v>389</v>
      </c>
      <c r="AM32">
        <v>0.39282499999999998</v>
      </c>
      <c r="AN32" t="s">
        <v>195</v>
      </c>
    </row>
    <row r="33" spans="37:40" ht="14.25">
      <c r="AK33">
        <v>2047</v>
      </c>
      <c r="AL33" t="s">
        <v>389</v>
      </c>
      <c r="AM33">
        <v>0.39070833333333338</v>
      </c>
      <c r="AN33" t="s">
        <v>195</v>
      </c>
    </row>
    <row r="34" spans="37:40" ht="14.25">
      <c r="AK34">
        <v>2048</v>
      </c>
      <c r="AL34" t="s">
        <v>389</v>
      </c>
      <c r="AM34">
        <v>0.38905833333333334</v>
      </c>
      <c r="AN34" t="s">
        <v>195</v>
      </c>
    </row>
    <row r="35" spans="37:40" ht="14.25">
      <c r="AK35">
        <v>2049</v>
      </c>
      <c r="AL35" t="s">
        <v>389</v>
      </c>
      <c r="AM35">
        <v>0.45581666666666659</v>
      </c>
      <c r="AN35" t="s">
        <v>195</v>
      </c>
    </row>
    <row r="36" spans="37:40" ht="14.25">
      <c r="AK36">
        <v>2050</v>
      </c>
      <c r="AL36" t="s">
        <v>389</v>
      </c>
      <c r="AM36">
        <v>0.46020833333333333</v>
      </c>
      <c r="AN36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19BD51-88B1-4E74-9BA9-EFFEDCCE4AC9}">
  <dimension ref="A9:AN130"/>
  <sheetViews>
    <sheetView workbookViewId="0" topLeftCell="A1"/>
  </sheetViews>
  <sheetFormatPr defaultRowHeight="14.25"/>
  <sheetData>
    <row r="9" spans="3:37" ht="14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ht="14.2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186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192</v>
      </c>
      <c r="AK10" t="s">
        <v>47</v>
      </c>
      <c r="AL10" t="s">
        <v>115</v>
      </c>
      <c r="AM10" t="s">
        <v>193</v>
      </c>
      <c r="AN10" t="s">
        <v>194</v>
      </c>
    </row>
    <row r="11" spans="1:40" ht="14.25">
      <c r="A11" t="str">
        <f>IFERROR(IF(Veda!D5=A10,"ok","x"),"")</f>
        <v>x</v>
      </c>
      <c r="C11" t="s">
        <v>392</v>
      </c>
      <c r="D11" t="s">
        <v>142</v>
      </c>
      <c r="E11" t="s">
        <v>188</v>
      </c>
      <c r="F11" t="s">
        <v>393</v>
      </c>
      <c r="G11" t="s">
        <v>142</v>
      </c>
      <c r="I11" t="s">
        <v>151</v>
      </c>
      <c r="J11" t="s">
        <v>398</v>
      </c>
      <c r="K11">
        <v>0.2316914756864826</v>
      </c>
      <c r="L11" t="s">
        <v>153</v>
      </c>
      <c r="N11" t="s">
        <v>174</v>
      </c>
      <c r="O11" t="s">
        <v>398</v>
      </c>
      <c r="P11">
        <v>0.067481421925658994</v>
      </c>
      <c r="Q11" t="s">
        <v>153</v>
      </c>
      <c r="S11" t="s">
        <v>184</v>
      </c>
      <c r="T11" t="s">
        <v>398</v>
      </c>
      <c r="U11">
        <v>0.075031427268002007</v>
      </c>
      <c r="V11" t="s">
        <v>153</v>
      </c>
      <c r="X11">
        <v>0.11426940639269406</v>
      </c>
      <c r="Y11">
        <v>0.16087081189037786</v>
      </c>
      <c r="Z11" t="s">
        <v>398</v>
      </c>
      <c r="AA11" t="s">
        <v>25</v>
      </c>
      <c r="AC11" t="s">
        <v>22</v>
      </c>
      <c r="AD11" t="s">
        <v>398</v>
      </c>
      <c r="AE11">
        <v>0.12271996068236007</v>
      </c>
      <c r="AG11" t="s">
        <v>96</v>
      </c>
      <c r="AH11" t="s">
        <v>398</v>
      </c>
      <c r="AI11">
        <v>0.24005543276931185</v>
      </c>
      <c r="AK11">
        <v>2025</v>
      </c>
      <c r="AL11" t="s">
        <v>392</v>
      </c>
      <c r="AM11">
        <v>0.35180000000000006</v>
      </c>
      <c r="AN11" t="s">
        <v>195</v>
      </c>
    </row>
    <row r="12" spans="3:40" ht="14.25">
      <c r="C12" t="s">
        <v>394</v>
      </c>
      <c r="E12" t="s">
        <v>190</v>
      </c>
      <c r="G12" t="s">
        <v>142</v>
      </c>
      <c r="I12" t="s">
        <v>151</v>
      </c>
      <c r="J12" t="s">
        <v>399</v>
      </c>
      <c r="K12">
        <v>0</v>
      </c>
      <c r="L12" t="s">
        <v>153</v>
      </c>
      <c r="N12" t="s">
        <v>174</v>
      </c>
      <c r="O12" t="s">
        <v>399</v>
      </c>
      <c r="P12">
        <v>0.094682372282215752</v>
      </c>
      <c r="Q12" t="s">
        <v>153</v>
      </c>
      <c r="S12" t="s">
        <v>184</v>
      </c>
      <c r="T12" t="s">
        <v>399</v>
      </c>
      <c r="U12">
        <v>0.080687553232436163</v>
      </c>
      <c r="V12" t="s">
        <v>153</v>
      </c>
      <c r="X12">
        <v>0.11426940639269406</v>
      </c>
      <c r="Y12">
        <v>0.052547713165767528</v>
      </c>
      <c r="Z12" t="s">
        <v>399</v>
      </c>
      <c r="AA12" t="s">
        <v>25</v>
      </c>
      <c r="AC12" t="s">
        <v>22</v>
      </c>
      <c r="AD12" t="s">
        <v>399</v>
      </c>
      <c r="AE12">
        <v>0.11164718770800235</v>
      </c>
      <c r="AG12" t="s">
        <v>96</v>
      </c>
      <c r="AH12" t="s">
        <v>399</v>
      </c>
      <c r="AI12">
        <v>0.33386698393800862</v>
      </c>
      <c r="AK12">
        <v>2025</v>
      </c>
      <c r="AL12" t="s">
        <v>394</v>
      </c>
      <c r="AM12">
        <v>0.43733333333333335</v>
      </c>
      <c r="AN12" t="s">
        <v>195</v>
      </c>
    </row>
    <row r="13" spans="3:40" ht="14.25">
      <c r="C13" t="s">
        <v>395</v>
      </c>
      <c r="E13" t="s">
        <v>396</v>
      </c>
      <c r="G13" t="s">
        <v>142</v>
      </c>
      <c r="I13" t="s">
        <v>151</v>
      </c>
      <c r="J13" t="s">
        <v>400</v>
      </c>
      <c r="K13">
        <v>0.011554317114782508</v>
      </c>
      <c r="L13" t="s">
        <v>153</v>
      </c>
      <c r="N13" t="s">
        <v>174</v>
      </c>
      <c r="O13" t="s">
        <v>400</v>
      </c>
      <c r="P13">
        <v>0.019248499199724978</v>
      </c>
      <c r="Q13" t="s">
        <v>153</v>
      </c>
      <c r="S13" t="s">
        <v>184</v>
      </c>
      <c r="T13" t="s">
        <v>400</v>
      </c>
      <c r="U13">
        <v>0.014740908154990639</v>
      </c>
      <c r="V13" t="s">
        <v>153</v>
      </c>
      <c r="X13">
        <v>0.020776255707762557</v>
      </c>
      <c r="Y13">
        <v>0.035896543437005365</v>
      </c>
      <c r="Z13" t="s">
        <v>400</v>
      </c>
      <c r="AA13" t="s">
        <v>25</v>
      </c>
      <c r="AC13" t="s">
        <v>22</v>
      </c>
      <c r="AD13" t="s">
        <v>400</v>
      </c>
      <c r="AE13">
        <v>0.02410669200900192</v>
      </c>
      <c r="AG13" t="s">
        <v>96</v>
      </c>
      <c r="AH13" t="s">
        <v>400</v>
      </c>
      <c r="AI13">
        <v>0.15536221218186741</v>
      </c>
      <c r="AK13">
        <v>2025</v>
      </c>
      <c r="AL13" t="s">
        <v>395</v>
      </c>
      <c r="AM13">
        <v>0.44463333333333327</v>
      </c>
      <c r="AN13" t="s">
        <v>195</v>
      </c>
    </row>
    <row r="14" spans="3:40" ht="14.25">
      <c r="C14" t="s">
        <v>397</v>
      </c>
      <c r="I14" t="s">
        <v>151</v>
      </c>
      <c r="J14" t="s">
        <v>401</v>
      </c>
      <c r="K14">
        <v>0.24787220013648109</v>
      </c>
      <c r="L14" t="s">
        <v>153</v>
      </c>
      <c r="N14" t="s">
        <v>174</v>
      </c>
      <c r="O14" t="s">
        <v>401</v>
      </c>
      <c r="P14">
        <v>0.11807216673032114</v>
      </c>
      <c r="Q14" t="s">
        <v>153</v>
      </c>
      <c r="S14" t="s">
        <v>184</v>
      </c>
      <c r="T14" t="s">
        <v>401</v>
      </c>
      <c r="U14">
        <v>0.13191044765208454</v>
      </c>
      <c r="V14" t="s">
        <v>153</v>
      </c>
      <c r="X14">
        <v>0.11552511415525114</v>
      </c>
      <c r="Y14">
        <v>0.16263862301005233</v>
      </c>
      <c r="Z14" t="s">
        <v>401</v>
      </c>
      <c r="AA14" t="s">
        <v>25</v>
      </c>
      <c r="AC14" t="s">
        <v>22</v>
      </c>
      <c r="AD14" t="s">
        <v>401</v>
      </c>
      <c r="AE14">
        <v>0.10896221943512679</v>
      </c>
      <c r="AG14" t="s">
        <v>96</v>
      </c>
      <c r="AH14" t="s">
        <v>401</v>
      </c>
      <c r="AI14">
        <v>0.18865931145041404</v>
      </c>
      <c r="AK14">
        <v>2025</v>
      </c>
      <c r="AL14" t="s">
        <v>397</v>
      </c>
      <c r="AM14">
        <v>0.36126666666666668</v>
      </c>
      <c r="AN14" t="s">
        <v>195</v>
      </c>
    </row>
    <row r="15" spans="9:40" ht="14.25">
      <c r="I15" t="s">
        <v>151</v>
      </c>
      <c r="J15" t="s">
        <v>402</v>
      </c>
      <c r="K15">
        <v>0</v>
      </c>
      <c r="L15" t="s">
        <v>153</v>
      </c>
      <c r="N15" t="s">
        <v>174</v>
      </c>
      <c r="O15" t="s">
        <v>402</v>
      </c>
      <c r="P15">
        <v>0.15030048800908322</v>
      </c>
      <c r="Q15" t="s">
        <v>153</v>
      </c>
      <c r="S15" t="s">
        <v>184</v>
      </c>
      <c r="T15" t="s">
        <v>402</v>
      </c>
      <c r="U15">
        <v>0.14379060415342027</v>
      </c>
      <c r="V15" t="s">
        <v>153</v>
      </c>
      <c r="X15">
        <v>0.11552511415525114</v>
      </c>
      <c r="Y15">
        <v>0.053125160563193538</v>
      </c>
      <c r="Z15" t="s">
        <v>402</v>
      </c>
      <c r="AA15" t="s">
        <v>25</v>
      </c>
      <c r="AC15" t="s">
        <v>22</v>
      </c>
      <c r="AD15" t="s">
        <v>402</v>
      </c>
      <c r="AE15">
        <v>0.09522955071444672</v>
      </c>
      <c r="AG15" t="s">
        <v>96</v>
      </c>
      <c r="AH15" t="s">
        <v>402</v>
      </c>
      <c r="AI15">
        <v>0.3078854293665072</v>
      </c>
      <c r="AK15">
        <v>2026</v>
      </c>
      <c r="AL15" t="s">
        <v>392</v>
      </c>
      <c r="AM15">
        <v>0.38216666666666671</v>
      </c>
      <c r="AN15" t="s">
        <v>195</v>
      </c>
    </row>
    <row r="16" spans="9:40" ht="14.25">
      <c r="I16" t="s">
        <v>151</v>
      </c>
      <c r="J16" t="s">
        <v>403</v>
      </c>
      <c r="K16">
        <v>0.022494902973381047</v>
      </c>
      <c r="L16" t="s">
        <v>153</v>
      </c>
      <c r="N16" t="s">
        <v>174</v>
      </c>
      <c r="O16" t="s">
        <v>403</v>
      </c>
      <c r="P16">
        <v>0.026631188573909375</v>
      </c>
      <c r="Q16" t="s">
        <v>153</v>
      </c>
      <c r="S16" t="s">
        <v>184</v>
      </c>
      <c r="T16" t="s">
        <v>403</v>
      </c>
      <c r="U16">
        <v>0.023405191443980553</v>
      </c>
      <c r="V16" t="s">
        <v>153</v>
      </c>
      <c r="X16">
        <v>0.021004566210045664</v>
      </c>
      <c r="Y16">
        <v>0.036291010947302131</v>
      </c>
      <c r="Z16" t="s">
        <v>403</v>
      </c>
      <c r="AA16" t="s">
        <v>25</v>
      </c>
      <c r="AC16" t="s">
        <v>22</v>
      </c>
      <c r="AD16" t="s">
        <v>403</v>
      </c>
      <c r="AE16">
        <v>0.021661344970728535</v>
      </c>
      <c r="AG16" t="s">
        <v>96</v>
      </c>
      <c r="AH16" t="s">
        <v>403</v>
      </c>
      <c r="AI16">
        <v>0.11501738750518653</v>
      </c>
      <c r="AK16">
        <v>2026</v>
      </c>
      <c r="AL16" t="s">
        <v>394</v>
      </c>
      <c r="AM16">
        <v>0.45880000000000004</v>
      </c>
      <c r="AN16" t="s">
        <v>195</v>
      </c>
    </row>
    <row r="17" spans="9:40" ht="14.25">
      <c r="I17" t="s">
        <v>151</v>
      </c>
      <c r="J17" t="s">
        <v>404</v>
      </c>
      <c r="K17">
        <v>0.22941140255176751</v>
      </c>
      <c r="L17" t="s">
        <v>153</v>
      </c>
      <c r="N17" t="s">
        <v>174</v>
      </c>
      <c r="O17" t="s">
        <v>404</v>
      </c>
      <c r="P17">
        <v>0.12589333286090501</v>
      </c>
      <c r="Q17" t="s">
        <v>153</v>
      </c>
      <c r="S17" t="s">
        <v>184</v>
      </c>
      <c r="T17" t="s">
        <v>404</v>
      </c>
      <c r="U17">
        <v>0.10283117367723058</v>
      </c>
      <c r="V17" t="s">
        <v>153</v>
      </c>
      <c r="X17">
        <v>0.11552511415525114</v>
      </c>
      <c r="Y17">
        <v>0.16263862301005233</v>
      </c>
      <c r="Z17" t="s">
        <v>404</v>
      </c>
      <c r="AA17" t="s">
        <v>25</v>
      </c>
      <c r="AC17" t="s">
        <v>22</v>
      </c>
      <c r="AD17" t="s">
        <v>404</v>
      </c>
      <c r="AE17">
        <v>0.15117619631329959</v>
      </c>
      <c r="AG17" t="s">
        <v>96</v>
      </c>
      <c r="AH17" t="s">
        <v>404</v>
      </c>
      <c r="AI17">
        <v>0.068935849207677258</v>
      </c>
      <c r="AK17">
        <v>2026</v>
      </c>
      <c r="AL17" t="s">
        <v>395</v>
      </c>
      <c r="AM17">
        <v>0.42040000000000005</v>
      </c>
      <c r="AN17" t="s">
        <v>195</v>
      </c>
    </row>
    <row r="18" spans="9:40" ht="14.25">
      <c r="I18" t="s">
        <v>151</v>
      </c>
      <c r="J18" t="s">
        <v>405</v>
      </c>
      <c r="K18">
        <v>0</v>
      </c>
      <c r="L18" t="s">
        <v>153</v>
      </c>
      <c r="N18" t="s">
        <v>174</v>
      </c>
      <c r="O18" t="s">
        <v>405</v>
      </c>
      <c r="P18">
        <v>0.11278432212819747</v>
      </c>
      <c r="Q18" t="s">
        <v>153</v>
      </c>
      <c r="S18" t="s">
        <v>184</v>
      </c>
      <c r="T18" t="s">
        <v>405</v>
      </c>
      <c r="U18">
        <v>0.11232498436379448</v>
      </c>
      <c r="V18" t="s">
        <v>153</v>
      </c>
      <c r="X18">
        <v>0.11552511415525114</v>
      </c>
      <c r="Y18">
        <v>0.053125160563193538</v>
      </c>
      <c r="Z18" t="s">
        <v>405</v>
      </c>
      <c r="AA18" t="s">
        <v>25</v>
      </c>
      <c r="AC18" t="s">
        <v>22</v>
      </c>
      <c r="AD18" t="s">
        <v>405</v>
      </c>
      <c r="AE18">
        <v>0.14325784245734</v>
      </c>
      <c r="AG18" t="s">
        <v>96</v>
      </c>
      <c r="AH18" t="s">
        <v>405</v>
      </c>
      <c r="AI18">
        <v>0.11179160996946802</v>
      </c>
      <c r="AK18">
        <v>2026</v>
      </c>
      <c r="AL18" t="s">
        <v>397</v>
      </c>
      <c r="AM18">
        <v>0.38490000000000002</v>
      </c>
      <c r="AN18" t="s">
        <v>195</v>
      </c>
    </row>
    <row r="19" spans="9:40" ht="14.25">
      <c r="I19" t="s">
        <v>151</v>
      </c>
      <c r="J19" t="s">
        <v>406</v>
      </c>
      <c r="K19">
        <v>0.019352659785138653</v>
      </c>
      <c r="L19" t="s">
        <v>153</v>
      </c>
      <c r="N19" t="s">
        <v>174</v>
      </c>
      <c r="O19" t="s">
        <v>406</v>
      </c>
      <c r="P19">
        <v>0.032941543996688132</v>
      </c>
      <c r="Q19" t="s">
        <v>153</v>
      </c>
      <c r="S19" t="s">
        <v>184</v>
      </c>
      <c r="T19" t="s">
        <v>406</v>
      </c>
      <c r="U19">
        <v>0.020792106071340192</v>
      </c>
      <c r="V19" t="s">
        <v>153</v>
      </c>
      <c r="X19">
        <v>0.021004566210045664</v>
      </c>
      <c r="Y19">
        <v>0.036291010947302131</v>
      </c>
      <c r="Z19" t="s">
        <v>406</v>
      </c>
      <c r="AA19" t="s">
        <v>25</v>
      </c>
      <c r="AC19" t="s">
        <v>22</v>
      </c>
      <c r="AD19" t="s">
        <v>406</v>
      </c>
      <c r="AE19">
        <v>0.028473461337458959</v>
      </c>
      <c r="AG19" t="s">
        <v>96</v>
      </c>
      <c r="AH19" t="s">
        <v>406</v>
      </c>
      <c r="AI19">
        <v>0.031132288883044534</v>
      </c>
      <c r="AK19">
        <v>2027</v>
      </c>
      <c r="AL19" t="s">
        <v>392</v>
      </c>
      <c r="AM19">
        <v>0.37093333333333334</v>
      </c>
      <c r="AN19" t="s">
        <v>195</v>
      </c>
    </row>
    <row r="20" spans="9:40" ht="14.25">
      <c r="I20" t="s">
        <v>151</v>
      </c>
      <c r="J20" t="s">
        <v>407</v>
      </c>
      <c r="K20">
        <v>0.22511096553956925</v>
      </c>
      <c r="L20" t="s">
        <v>153</v>
      </c>
      <c r="N20" t="s">
        <v>174</v>
      </c>
      <c r="O20" t="s">
        <v>407</v>
      </c>
      <c r="P20">
        <v>0.11065691372159138</v>
      </c>
      <c r="Q20" t="s">
        <v>153</v>
      </c>
      <c r="S20" t="s">
        <v>184</v>
      </c>
      <c r="T20" t="s">
        <v>407</v>
      </c>
      <c r="U20">
        <v>0.13866998448285295</v>
      </c>
      <c r="V20" t="s">
        <v>153</v>
      </c>
      <c r="X20">
        <v>0.11301369863013698</v>
      </c>
      <c r="Y20">
        <v>0.15910300077070333</v>
      </c>
      <c r="Z20" t="s">
        <v>407</v>
      </c>
      <c r="AA20" t="s">
        <v>25</v>
      </c>
      <c r="AC20" t="s">
        <v>22</v>
      </c>
      <c r="AD20" t="s">
        <v>407</v>
      </c>
      <c r="AE20">
        <v>0.093832860162846213</v>
      </c>
      <c r="AG20" t="s">
        <v>96</v>
      </c>
      <c r="AH20" t="s">
        <v>407</v>
      </c>
      <c r="AI20">
        <v>0.18052883142303733</v>
      </c>
      <c r="AK20">
        <v>2027</v>
      </c>
      <c r="AL20" t="s">
        <v>394</v>
      </c>
      <c r="AM20">
        <v>0.45019999999999999</v>
      </c>
      <c r="AN20" t="s">
        <v>195</v>
      </c>
    </row>
    <row r="21" spans="9:40" ht="14.25">
      <c r="I21" t="s">
        <v>151</v>
      </c>
      <c r="J21" t="s">
        <v>408</v>
      </c>
      <c r="K21">
        <v>0</v>
      </c>
      <c r="L21" t="s">
        <v>153</v>
      </c>
      <c r="N21" t="s">
        <v>174</v>
      </c>
      <c r="O21" t="s">
        <v>408</v>
      </c>
      <c r="P21">
        <v>0.12183247457830983</v>
      </c>
      <c r="Q21" t="s">
        <v>153</v>
      </c>
      <c r="S21" t="s">
        <v>184</v>
      </c>
      <c r="T21" t="s">
        <v>408</v>
      </c>
      <c r="U21">
        <v>0.13391323987668843</v>
      </c>
      <c r="V21" t="s">
        <v>153</v>
      </c>
      <c r="X21">
        <v>0.11301369863013698</v>
      </c>
      <c r="Y21">
        <v>0.05197026576834151</v>
      </c>
      <c r="Z21" t="s">
        <v>408</v>
      </c>
      <c r="AA21" t="s">
        <v>25</v>
      </c>
      <c r="AC21" t="s">
        <v>22</v>
      </c>
      <c r="AD21" t="s">
        <v>408</v>
      </c>
      <c r="AE21">
        <v>0.080288467950909478</v>
      </c>
      <c r="AG21" t="s">
        <v>96</v>
      </c>
      <c r="AH21" t="s">
        <v>408</v>
      </c>
      <c r="AI21">
        <v>0.30147137272668911</v>
      </c>
      <c r="AK21">
        <v>2027</v>
      </c>
      <c r="AL21" t="s">
        <v>395</v>
      </c>
      <c r="AM21">
        <v>0.44350000000000001</v>
      </c>
      <c r="AN21" t="s">
        <v>195</v>
      </c>
    </row>
    <row r="22" spans="9:40" ht="14.25">
      <c r="I22" t="s">
        <v>151</v>
      </c>
      <c r="J22" t="s">
        <v>409</v>
      </c>
      <c r="K22">
        <v>0.012512076212401845</v>
      </c>
      <c r="L22" t="s">
        <v>153</v>
      </c>
      <c r="N22" t="s">
        <v>174</v>
      </c>
      <c r="O22" t="s">
        <v>409</v>
      </c>
      <c r="P22">
        <v>0.019475275993398877</v>
      </c>
      <c r="Q22" t="s">
        <v>153</v>
      </c>
      <c r="S22" t="s">
        <v>184</v>
      </c>
      <c r="T22" t="s">
        <v>409</v>
      </c>
      <c r="U22">
        <v>0.021902379623180389</v>
      </c>
      <c r="V22" t="s">
        <v>153</v>
      </c>
      <c r="X22">
        <v>0.020547945205479451</v>
      </c>
      <c r="Y22">
        <v>0.035502075926708607</v>
      </c>
      <c r="Z22" t="s">
        <v>409</v>
      </c>
      <c r="AA22" t="s">
        <v>25</v>
      </c>
      <c r="AC22" t="s">
        <v>22</v>
      </c>
      <c r="AD22" t="s">
        <v>409</v>
      </c>
      <c r="AE22">
        <v>0.01864421625847942</v>
      </c>
      <c r="AG22" t="s">
        <v>96</v>
      </c>
      <c r="AH22" t="s">
        <v>409</v>
      </c>
      <c r="AI22">
        <v>0.077132562821154549</v>
      </c>
      <c r="AK22">
        <v>2027</v>
      </c>
      <c r="AL22" t="s">
        <v>397</v>
      </c>
      <c r="AM22">
        <v>0.37206666666666671</v>
      </c>
      <c r="AN22" t="s">
        <v>195</v>
      </c>
    </row>
    <row r="23" spans="9:40" ht="14.25">
      <c r="I23" t="s">
        <v>165</v>
      </c>
      <c r="J23" t="s">
        <v>398</v>
      </c>
      <c r="K23">
        <v>0.22808731833031526</v>
      </c>
      <c r="L23" t="s">
        <v>153</v>
      </c>
      <c r="N23" t="s">
        <v>175</v>
      </c>
      <c r="O23" t="s">
        <v>398</v>
      </c>
      <c r="P23">
        <v>0.076284489787529233</v>
      </c>
      <c r="Q23" t="s">
        <v>153</v>
      </c>
      <c r="S23" t="s">
        <v>185</v>
      </c>
      <c r="T23" t="s">
        <v>398</v>
      </c>
      <c r="U23">
        <v>0.067162573664565808</v>
      </c>
      <c r="V23" t="s">
        <v>153</v>
      </c>
      <c r="AC23" t="s">
        <v>19</v>
      </c>
      <c r="AD23" t="s">
        <v>398</v>
      </c>
      <c r="AE23">
        <v>0.11465666711708056</v>
      </c>
      <c r="AK23">
        <v>2028</v>
      </c>
      <c r="AL23" t="s">
        <v>392</v>
      </c>
      <c r="AM23">
        <v>0.3473</v>
      </c>
      <c r="AN23" t="s">
        <v>195</v>
      </c>
    </row>
    <row r="24" spans="9:40" ht="14.25">
      <c r="I24" t="s">
        <v>165</v>
      </c>
      <c r="J24" t="s">
        <v>399</v>
      </c>
      <c r="K24">
        <v>0</v>
      </c>
      <c r="L24" t="s">
        <v>153</v>
      </c>
      <c r="N24" t="s">
        <v>175</v>
      </c>
      <c r="O24" t="s">
        <v>399</v>
      </c>
      <c r="P24">
        <v>0.089304127195929284</v>
      </c>
      <c r="Q24" t="s">
        <v>153</v>
      </c>
      <c r="S24" t="s">
        <v>185</v>
      </c>
      <c r="T24" t="s">
        <v>399</v>
      </c>
      <c r="U24">
        <v>0.080054540280165273</v>
      </c>
      <c r="V24" t="s">
        <v>153</v>
      </c>
      <c r="AC24" t="s">
        <v>19</v>
      </c>
      <c r="AD24" t="s">
        <v>399</v>
      </c>
      <c r="AE24">
        <v>0.11373757847706158</v>
      </c>
      <c r="AK24">
        <v>2028</v>
      </c>
      <c r="AL24" t="s">
        <v>394</v>
      </c>
      <c r="AM24">
        <v>0.42183333333333328</v>
      </c>
      <c r="AN24" t="s">
        <v>195</v>
      </c>
    </row>
    <row r="25" spans="9:40" ht="14.25">
      <c r="I25" t="s">
        <v>165</v>
      </c>
      <c r="J25" t="s">
        <v>400</v>
      </c>
      <c r="K25">
        <v>0.011608840928433556</v>
      </c>
      <c r="L25" t="s">
        <v>153</v>
      </c>
      <c r="N25" t="s">
        <v>175</v>
      </c>
      <c r="O25" t="s">
        <v>400</v>
      </c>
      <c r="P25">
        <v>0.019295861202759872</v>
      </c>
      <c r="Q25" t="s">
        <v>153</v>
      </c>
      <c r="S25" t="s">
        <v>185</v>
      </c>
      <c r="T25" t="s">
        <v>400</v>
      </c>
      <c r="U25">
        <v>0.013953212951934153</v>
      </c>
      <c r="V25" t="s">
        <v>153</v>
      </c>
      <c r="AC25" t="s">
        <v>19</v>
      </c>
      <c r="AD25" t="s">
        <v>400</v>
      </c>
      <c r="AE25">
        <v>0.020995574270079493</v>
      </c>
      <c r="AK25">
        <v>2028</v>
      </c>
      <c r="AL25" t="s">
        <v>395</v>
      </c>
      <c r="AM25">
        <v>0.46320000000000006</v>
      </c>
      <c r="AN25" t="s">
        <v>195</v>
      </c>
    </row>
    <row r="26" spans="9:40" ht="14.25">
      <c r="I26" t="s">
        <v>165</v>
      </c>
      <c r="J26" t="s">
        <v>401</v>
      </c>
      <c r="K26">
        <v>0.24822070140855571</v>
      </c>
      <c r="L26" t="s">
        <v>153</v>
      </c>
      <c r="N26" t="s">
        <v>175</v>
      </c>
      <c r="O26" t="s">
        <v>401</v>
      </c>
      <c r="P26">
        <v>0.1207863269888612</v>
      </c>
      <c r="Q26" t="s">
        <v>153</v>
      </c>
      <c r="S26" t="s">
        <v>185</v>
      </c>
      <c r="T26" t="s">
        <v>401</v>
      </c>
      <c r="U26">
        <v>0.13853862218381924</v>
      </c>
      <c r="V26" t="s">
        <v>153</v>
      </c>
      <c r="AC26" t="s">
        <v>19</v>
      </c>
      <c r="AD26" t="s">
        <v>401</v>
      </c>
      <c r="AE26">
        <v>0.11587915830600101</v>
      </c>
      <c r="AK26">
        <v>2028</v>
      </c>
      <c r="AL26" t="s">
        <v>397</v>
      </c>
      <c r="AM26">
        <v>0.36473333333333335</v>
      </c>
      <c r="AN26" t="s">
        <v>195</v>
      </c>
    </row>
    <row r="27" spans="9:40" ht="14.25">
      <c r="I27" t="s">
        <v>165</v>
      </c>
      <c r="J27" t="s">
        <v>402</v>
      </c>
      <c r="K27">
        <v>0</v>
      </c>
      <c r="L27" t="s">
        <v>153</v>
      </c>
      <c r="N27" t="s">
        <v>175</v>
      </c>
      <c r="O27" t="s">
        <v>402</v>
      </c>
      <c r="P27">
        <v>0.14003156691174434</v>
      </c>
      <c r="Q27" t="s">
        <v>153</v>
      </c>
      <c r="S27" t="s">
        <v>185</v>
      </c>
      <c r="T27" t="s">
        <v>402</v>
      </c>
      <c r="U27">
        <v>0.15901615741643418</v>
      </c>
      <c r="V27" t="s">
        <v>153</v>
      </c>
      <c r="AC27" t="s">
        <v>19</v>
      </c>
      <c r="AD27" t="s">
        <v>402</v>
      </c>
      <c r="AE27">
        <v>0.11473928667244095</v>
      </c>
      <c r="AK27">
        <v>2029</v>
      </c>
      <c r="AL27" t="s">
        <v>392</v>
      </c>
      <c r="AM27">
        <v>0.39413333333333328</v>
      </c>
      <c r="AN27" t="s">
        <v>195</v>
      </c>
    </row>
    <row r="28" spans="9:40" ht="14.25">
      <c r="I28" t="s">
        <v>165</v>
      </c>
      <c r="J28" t="s">
        <v>403</v>
      </c>
      <c r="K28">
        <v>0.022485646466807837</v>
      </c>
      <c r="L28" t="s">
        <v>153</v>
      </c>
      <c r="N28" t="s">
        <v>175</v>
      </c>
      <c r="O28" t="s">
        <v>403</v>
      </c>
      <c r="P28">
        <v>0.027089217778418821</v>
      </c>
      <c r="Q28" t="s">
        <v>153</v>
      </c>
      <c r="S28" t="s">
        <v>185</v>
      </c>
      <c r="T28" t="s">
        <v>403</v>
      </c>
      <c r="U28">
        <v>0.025544006667067309</v>
      </c>
      <c r="V28" t="s">
        <v>153</v>
      </c>
      <c r="AC28" t="s">
        <v>19</v>
      </c>
      <c r="AD28" t="s">
        <v>403</v>
      </c>
      <c r="AE28">
        <v>0.021222498659085161</v>
      </c>
      <c r="AK28">
        <v>2029</v>
      </c>
      <c r="AL28" t="s">
        <v>394</v>
      </c>
      <c r="AM28">
        <v>0.51690000000000003</v>
      </c>
      <c r="AN28" t="s">
        <v>195</v>
      </c>
    </row>
    <row r="29" spans="9:40" ht="14.25">
      <c r="I29" t="s">
        <v>165</v>
      </c>
      <c r="J29" t="s">
        <v>404</v>
      </c>
      <c r="K29">
        <v>0.23419421615146621</v>
      </c>
      <c r="L29" t="s">
        <v>153</v>
      </c>
      <c r="N29" t="s">
        <v>175</v>
      </c>
      <c r="O29" t="s">
        <v>404</v>
      </c>
      <c r="P29">
        <v>0.12924862542694129</v>
      </c>
      <c r="Q29" t="s">
        <v>153</v>
      </c>
      <c r="S29" t="s">
        <v>185</v>
      </c>
      <c r="T29" t="s">
        <v>404</v>
      </c>
      <c r="U29">
        <v>0.080895778377548855</v>
      </c>
      <c r="V29" t="s">
        <v>153</v>
      </c>
      <c r="AC29" t="s">
        <v>19</v>
      </c>
      <c r="AD29" t="s">
        <v>404</v>
      </c>
      <c r="AE29">
        <v>0.11605385798997343</v>
      </c>
      <c r="AK29">
        <v>2029</v>
      </c>
      <c r="AL29" t="s">
        <v>395</v>
      </c>
      <c r="AM29">
        <v>0.50939999999999996</v>
      </c>
      <c r="AN29" t="s">
        <v>195</v>
      </c>
    </row>
    <row r="30" spans="9:40" ht="14.25">
      <c r="I30" t="s">
        <v>165</v>
      </c>
      <c r="J30" t="s">
        <v>405</v>
      </c>
      <c r="K30">
        <v>0</v>
      </c>
      <c r="L30" t="s">
        <v>153</v>
      </c>
      <c r="N30" t="s">
        <v>175</v>
      </c>
      <c r="O30" t="s">
        <v>405</v>
      </c>
      <c r="P30">
        <v>0.10023283069201269</v>
      </c>
      <c r="Q30" t="s">
        <v>153</v>
      </c>
      <c r="S30" t="s">
        <v>185</v>
      </c>
      <c r="T30" t="s">
        <v>405</v>
      </c>
      <c r="U30">
        <v>0.10774928851995393</v>
      </c>
      <c r="V30" t="s">
        <v>153</v>
      </c>
      <c r="AC30" t="s">
        <v>19</v>
      </c>
      <c r="AD30" t="s">
        <v>405</v>
      </c>
      <c r="AE30">
        <v>0.11539659994869357</v>
      </c>
      <c r="AK30">
        <v>2029</v>
      </c>
      <c r="AL30" t="s">
        <v>397</v>
      </c>
      <c r="AM30">
        <v>0.39666666666666667</v>
      </c>
      <c r="AN30" t="s">
        <v>195</v>
      </c>
    </row>
    <row r="31" spans="9:40" ht="14.25">
      <c r="I31" t="s">
        <v>165</v>
      </c>
      <c r="J31" t="s">
        <v>406</v>
      </c>
      <c r="K31">
        <v>0.020538226805248687</v>
      </c>
      <c r="L31" t="s">
        <v>153</v>
      </c>
      <c r="N31" t="s">
        <v>175</v>
      </c>
      <c r="O31" t="s">
        <v>406</v>
      </c>
      <c r="P31">
        <v>0.028769350807288537</v>
      </c>
      <c r="Q31" t="s">
        <v>153</v>
      </c>
      <c r="S31" t="s">
        <v>185</v>
      </c>
      <c r="T31" t="s">
        <v>406</v>
      </c>
      <c r="U31">
        <v>0.01801193137060577</v>
      </c>
      <c r="V31" t="s">
        <v>153</v>
      </c>
      <c r="AC31" t="s">
        <v>19</v>
      </c>
      <c r="AD31" t="s">
        <v>406</v>
      </c>
      <c r="AE31">
        <v>0.021182616829603106</v>
      </c>
      <c r="AK31">
        <v>2030</v>
      </c>
      <c r="AL31" t="s">
        <v>392</v>
      </c>
      <c r="AM31">
        <v>0.41026666666666661</v>
      </c>
      <c r="AN31" t="s">
        <v>195</v>
      </c>
    </row>
    <row r="32" spans="9:40" ht="14.25">
      <c r="I32" t="s">
        <v>165</v>
      </c>
      <c r="J32" t="s">
        <v>407</v>
      </c>
      <c r="K32">
        <v>0.2225606170726499</v>
      </c>
      <c r="L32" t="s">
        <v>153</v>
      </c>
      <c r="N32" t="s">
        <v>175</v>
      </c>
      <c r="O32" t="s">
        <v>407</v>
      </c>
      <c r="P32">
        <v>0.12253691750865303</v>
      </c>
      <c r="Q32" t="s">
        <v>153</v>
      </c>
      <c r="S32" t="s">
        <v>185</v>
      </c>
      <c r="T32" t="s">
        <v>407</v>
      </c>
      <c r="U32">
        <v>0.14494412676771926</v>
      </c>
      <c r="V32" t="s">
        <v>153</v>
      </c>
      <c r="AC32" t="s">
        <v>19</v>
      </c>
      <c r="AD32" t="s">
        <v>407</v>
      </c>
      <c r="AE32">
        <v>0.11326743627263842</v>
      </c>
      <c r="AK32">
        <v>2030</v>
      </c>
      <c r="AL32" t="s">
        <v>394</v>
      </c>
      <c r="AM32">
        <v>0.52096666666666669</v>
      </c>
      <c r="AN32" t="s">
        <v>195</v>
      </c>
    </row>
    <row r="33" spans="9:40" ht="14.25">
      <c r="I33" t="s">
        <v>165</v>
      </c>
      <c r="J33" t="s">
        <v>408</v>
      </c>
      <c r="K33">
        <v>0</v>
      </c>
      <c r="L33" t="s">
        <v>153</v>
      </c>
      <c r="N33" t="s">
        <v>175</v>
      </c>
      <c r="O33" t="s">
        <v>408</v>
      </c>
      <c r="P33">
        <v>0.12638258404111544</v>
      </c>
      <c r="Q33" t="s">
        <v>153</v>
      </c>
      <c r="S33" t="s">
        <v>185</v>
      </c>
      <c r="T33" t="s">
        <v>408</v>
      </c>
      <c r="U33">
        <v>0.14147637746568914</v>
      </c>
      <c r="V33" t="s">
        <v>153</v>
      </c>
      <c r="AC33" t="s">
        <v>19</v>
      </c>
      <c r="AD33" t="s">
        <v>408</v>
      </c>
      <c r="AE33">
        <v>0.11214319241368995</v>
      </c>
      <c r="AK33">
        <v>2030</v>
      </c>
      <c r="AL33" t="s">
        <v>395</v>
      </c>
      <c r="AM33">
        <v>0.51719999999999999</v>
      </c>
      <c r="AN33" t="s">
        <v>195</v>
      </c>
    </row>
    <row r="34" spans="9:40" ht="14.25">
      <c r="I34" t="s">
        <v>165</v>
      </c>
      <c r="J34" t="s">
        <v>409</v>
      </c>
      <c r="K34">
        <v>0.012304432836522008</v>
      </c>
      <c r="L34" t="s">
        <v>153</v>
      </c>
      <c r="N34" t="s">
        <v>175</v>
      </c>
      <c r="O34" t="s">
        <v>409</v>
      </c>
      <c r="P34">
        <v>0.02003810165874477</v>
      </c>
      <c r="Q34" t="s">
        <v>153</v>
      </c>
      <c r="S34" t="s">
        <v>185</v>
      </c>
      <c r="T34" t="s">
        <v>409</v>
      </c>
      <c r="U34">
        <v>0.022653384334499985</v>
      </c>
      <c r="V34" t="s">
        <v>153</v>
      </c>
      <c r="AC34" t="s">
        <v>19</v>
      </c>
      <c r="AD34" t="s">
        <v>409</v>
      </c>
      <c r="AE34">
        <v>0.0207255330436527</v>
      </c>
      <c r="AK34">
        <v>2030</v>
      </c>
      <c r="AL34" t="s">
        <v>397</v>
      </c>
      <c r="AM34">
        <v>0.42356666666666665</v>
      </c>
      <c r="AN34" t="s">
        <v>195</v>
      </c>
    </row>
    <row r="35" spans="9:40" ht="14.25">
      <c r="I35" t="s">
        <v>166</v>
      </c>
      <c r="J35" t="s">
        <v>398</v>
      </c>
      <c r="K35">
        <v>0.23238728890565602</v>
      </c>
      <c r="L35" t="s">
        <v>153</v>
      </c>
      <c r="N35" t="s">
        <v>176</v>
      </c>
      <c r="O35" t="s">
        <v>398</v>
      </c>
      <c r="P35">
        <v>0.060966094030680866</v>
      </c>
      <c r="Q35" t="s">
        <v>153</v>
      </c>
      <c r="AK35">
        <v>2031</v>
      </c>
      <c r="AL35" t="s">
        <v>392</v>
      </c>
      <c r="AM35">
        <v>0.4289</v>
      </c>
      <c r="AN35" t="s">
        <v>195</v>
      </c>
    </row>
    <row r="36" spans="9:40" ht="14.25">
      <c r="I36" t="s">
        <v>166</v>
      </c>
      <c r="J36" t="s">
        <v>399</v>
      </c>
      <c r="K36">
        <v>0</v>
      </c>
      <c r="L36" t="s">
        <v>153</v>
      </c>
      <c r="N36" t="s">
        <v>176</v>
      </c>
      <c r="O36" t="s">
        <v>399</v>
      </c>
      <c r="P36">
        <v>0.10060335354250116</v>
      </c>
      <c r="Q36" t="s">
        <v>153</v>
      </c>
      <c r="AK36">
        <v>2031</v>
      </c>
      <c r="AL36" t="s">
        <v>394</v>
      </c>
      <c r="AM36">
        <v>0.50280000000000002</v>
      </c>
      <c r="AN36" t="s">
        <v>195</v>
      </c>
    </row>
    <row r="37" spans="9:40" ht="14.25">
      <c r="I37" t="s">
        <v>166</v>
      </c>
      <c r="J37" t="s">
        <v>400</v>
      </c>
      <c r="K37">
        <v>0.0097006168066124318</v>
      </c>
      <c r="L37" t="s">
        <v>153</v>
      </c>
      <c r="N37" t="s">
        <v>176</v>
      </c>
      <c r="O37" t="s">
        <v>400</v>
      </c>
      <c r="P37">
        <v>0.018054107609357283</v>
      </c>
      <c r="Q37" t="s">
        <v>153</v>
      </c>
      <c r="AK37">
        <v>2031</v>
      </c>
      <c r="AL37" t="s">
        <v>395</v>
      </c>
      <c r="AM37">
        <v>0.49206666666666665</v>
      </c>
      <c r="AN37" t="s">
        <v>195</v>
      </c>
    </row>
    <row r="38" spans="9:40" ht="14.25">
      <c r="I38" t="s">
        <v>166</v>
      </c>
      <c r="J38" t="s">
        <v>401</v>
      </c>
      <c r="K38">
        <v>0.25089297306487279</v>
      </c>
      <c r="L38" t="s">
        <v>153</v>
      </c>
      <c r="N38" t="s">
        <v>176</v>
      </c>
      <c r="O38" t="s">
        <v>401</v>
      </c>
      <c r="P38">
        <v>0.1088743498076082</v>
      </c>
      <c r="Q38" t="s">
        <v>153</v>
      </c>
      <c r="AK38">
        <v>2031</v>
      </c>
      <c r="AL38" t="s">
        <v>397</v>
      </c>
      <c r="AM38">
        <v>0.41363333333333335</v>
      </c>
      <c r="AN38" t="s">
        <v>195</v>
      </c>
    </row>
    <row r="39" spans="9:40" ht="14.25">
      <c r="I39" t="s">
        <v>166</v>
      </c>
      <c r="J39" t="s">
        <v>402</v>
      </c>
      <c r="K39">
        <v>0</v>
      </c>
      <c r="L39" t="s">
        <v>153</v>
      </c>
      <c r="N39" t="s">
        <v>176</v>
      </c>
      <c r="O39" t="s">
        <v>402</v>
      </c>
      <c r="P39">
        <v>0.13571245615564231</v>
      </c>
      <c r="Q39" t="s">
        <v>153</v>
      </c>
      <c r="AK39">
        <v>2032</v>
      </c>
      <c r="AL39" t="s">
        <v>392</v>
      </c>
      <c r="AM39">
        <v>0.37926666666666664</v>
      </c>
      <c r="AN39" t="s">
        <v>195</v>
      </c>
    </row>
    <row r="40" spans="9:40" ht="14.25">
      <c r="I40" t="s">
        <v>166</v>
      </c>
      <c r="J40" t="s">
        <v>403</v>
      </c>
      <c r="K40">
        <v>0.020405693741164365</v>
      </c>
      <c r="L40" t="s">
        <v>153</v>
      </c>
      <c r="N40" t="s">
        <v>176</v>
      </c>
      <c r="O40" t="s">
        <v>403</v>
      </c>
      <c r="P40">
        <v>0.025369582785615335</v>
      </c>
      <c r="Q40" t="s">
        <v>153</v>
      </c>
      <c r="AK40">
        <v>2032</v>
      </c>
      <c r="AL40" t="s">
        <v>394</v>
      </c>
      <c r="AM40">
        <v>0.49336666666666673</v>
      </c>
      <c r="AN40" t="s">
        <v>195</v>
      </c>
    </row>
    <row r="41" spans="9:40" ht="14.25">
      <c r="I41" t="s">
        <v>166</v>
      </c>
      <c r="J41" t="s">
        <v>404</v>
      </c>
      <c r="K41">
        <v>0.23300741666699459</v>
      </c>
      <c r="L41" t="s">
        <v>153</v>
      </c>
      <c r="N41" t="s">
        <v>176</v>
      </c>
      <c r="O41" t="s">
        <v>404</v>
      </c>
      <c r="P41">
        <v>0.1145666813619492</v>
      </c>
      <c r="Q41" t="s">
        <v>153</v>
      </c>
      <c r="AK41">
        <v>2032</v>
      </c>
      <c r="AL41" t="s">
        <v>395</v>
      </c>
      <c r="AM41">
        <v>0.5386333333333333</v>
      </c>
      <c r="AN41" t="s">
        <v>195</v>
      </c>
    </row>
    <row r="42" spans="9:40" ht="14.25">
      <c r="I42" t="s">
        <v>166</v>
      </c>
      <c r="J42" t="s">
        <v>405</v>
      </c>
      <c r="K42">
        <v>0</v>
      </c>
      <c r="L42" t="s">
        <v>153</v>
      </c>
      <c r="N42" t="s">
        <v>176</v>
      </c>
      <c r="O42" t="s">
        <v>405</v>
      </c>
      <c r="P42">
        <v>0.13155261960885192</v>
      </c>
      <c r="Q42" t="s">
        <v>153</v>
      </c>
      <c r="AK42">
        <v>2032</v>
      </c>
      <c r="AL42" t="s">
        <v>397</v>
      </c>
      <c r="AM42">
        <v>0.3911</v>
      </c>
      <c r="AN42" t="s">
        <v>195</v>
      </c>
    </row>
    <row r="43" spans="9:40" ht="14.25">
      <c r="I43" t="s">
        <v>166</v>
      </c>
      <c r="J43" t="s">
        <v>406</v>
      </c>
      <c r="K43">
        <v>0.018223543334600072</v>
      </c>
      <c r="L43" t="s">
        <v>153</v>
      </c>
      <c r="N43" t="s">
        <v>176</v>
      </c>
      <c r="O43" t="s">
        <v>406</v>
      </c>
      <c r="P43">
        <v>0.029992687560888548</v>
      </c>
      <c r="Q43" t="s">
        <v>153</v>
      </c>
      <c r="AK43">
        <v>2033</v>
      </c>
      <c r="AL43" t="s">
        <v>392</v>
      </c>
      <c r="AM43">
        <v>0.40513333333333335</v>
      </c>
      <c r="AN43" t="s">
        <v>195</v>
      </c>
    </row>
    <row r="44" spans="9:40" ht="14.25">
      <c r="I44" t="s">
        <v>166</v>
      </c>
      <c r="J44" t="s">
        <v>407</v>
      </c>
      <c r="K44">
        <v>0.22402356852844485</v>
      </c>
      <c r="L44" t="s">
        <v>153</v>
      </c>
      <c r="N44" t="s">
        <v>176</v>
      </c>
      <c r="O44" t="s">
        <v>407</v>
      </c>
      <c r="P44">
        <v>0.11006872811509125</v>
      </c>
      <c r="Q44" t="s">
        <v>153</v>
      </c>
      <c r="AK44">
        <v>2033</v>
      </c>
      <c r="AL44" t="s">
        <v>394</v>
      </c>
      <c r="AM44">
        <v>0.51180000000000003</v>
      </c>
      <c r="AN44" t="s">
        <v>195</v>
      </c>
    </row>
    <row r="45" spans="9:40" ht="14.25">
      <c r="I45" t="s">
        <v>166</v>
      </c>
      <c r="J45" t="s">
        <v>408</v>
      </c>
      <c r="K45">
        <v>0</v>
      </c>
      <c r="L45" t="s">
        <v>153</v>
      </c>
      <c r="N45" t="s">
        <v>176</v>
      </c>
      <c r="O45" t="s">
        <v>408</v>
      </c>
      <c r="P45">
        <v>0.14121699784301897</v>
      </c>
      <c r="Q45" t="s">
        <v>153</v>
      </c>
      <c r="AK45">
        <v>2033</v>
      </c>
      <c r="AL45" t="s">
        <v>395</v>
      </c>
      <c r="AM45">
        <v>0.48130000000000006</v>
      </c>
      <c r="AN45" t="s">
        <v>195</v>
      </c>
    </row>
    <row r="46" spans="9:40" ht="14.25">
      <c r="I46" t="s">
        <v>166</v>
      </c>
      <c r="J46" t="s">
        <v>409</v>
      </c>
      <c r="K46">
        <v>0.011358898951654759</v>
      </c>
      <c r="L46" t="s">
        <v>153</v>
      </c>
      <c r="N46" t="s">
        <v>176</v>
      </c>
      <c r="O46" t="s">
        <v>409</v>
      </c>
      <c r="P46">
        <v>0.023022341578797793</v>
      </c>
      <c r="Q46" t="s">
        <v>153</v>
      </c>
      <c r="AK46">
        <v>2033</v>
      </c>
      <c r="AL46" t="s">
        <v>397</v>
      </c>
      <c r="AM46">
        <v>0.42363333333333331</v>
      </c>
      <c r="AN46" t="s">
        <v>195</v>
      </c>
    </row>
    <row r="47" spans="9:40" ht="14.25">
      <c r="I47" t="s">
        <v>167</v>
      </c>
      <c r="J47" t="s">
        <v>398</v>
      </c>
      <c r="K47">
        <v>0.2348060245660559</v>
      </c>
      <c r="L47" t="s">
        <v>153</v>
      </c>
      <c r="N47" t="s">
        <v>177</v>
      </c>
      <c r="O47" t="s">
        <v>398</v>
      </c>
      <c r="P47">
        <v>0.075813394544808885</v>
      </c>
      <c r="Q47" t="s">
        <v>153</v>
      </c>
      <c r="AK47">
        <v>2034</v>
      </c>
      <c r="AL47" t="s">
        <v>392</v>
      </c>
      <c r="AM47">
        <v>0.37203333333333327</v>
      </c>
      <c r="AN47" t="s">
        <v>195</v>
      </c>
    </row>
    <row r="48" spans="9:40" ht="14.25">
      <c r="I48" t="s">
        <v>167</v>
      </c>
      <c r="J48" t="s">
        <v>399</v>
      </c>
      <c r="K48">
        <v>0</v>
      </c>
      <c r="L48" t="s">
        <v>153</v>
      </c>
      <c r="N48" t="s">
        <v>177</v>
      </c>
      <c r="O48" t="s">
        <v>399</v>
      </c>
      <c r="P48">
        <v>0.073428796807244096</v>
      </c>
      <c r="Q48" t="s">
        <v>153</v>
      </c>
      <c r="AK48">
        <v>2034</v>
      </c>
      <c r="AL48" t="s">
        <v>394</v>
      </c>
      <c r="AM48">
        <v>0.42009999999999997</v>
      </c>
      <c r="AN48" t="s">
        <v>195</v>
      </c>
    </row>
    <row r="49" spans="9:40" ht="14.25">
      <c r="I49" t="s">
        <v>167</v>
      </c>
      <c r="J49" t="s">
        <v>400</v>
      </c>
      <c r="K49">
        <v>0.010994447912618801</v>
      </c>
      <c r="L49" t="s">
        <v>153</v>
      </c>
      <c r="N49" t="s">
        <v>177</v>
      </c>
      <c r="O49" t="s">
        <v>400</v>
      </c>
      <c r="P49">
        <v>0.022774538089259971</v>
      </c>
      <c r="Q49" t="s">
        <v>153</v>
      </c>
      <c r="AK49">
        <v>2034</v>
      </c>
      <c r="AL49" t="s">
        <v>395</v>
      </c>
      <c r="AM49">
        <v>0.42719999999999997</v>
      </c>
      <c r="AN49" t="s">
        <v>195</v>
      </c>
    </row>
    <row r="50" spans="9:40" ht="14.25">
      <c r="I50" t="s">
        <v>167</v>
      </c>
      <c r="J50" t="s">
        <v>401</v>
      </c>
      <c r="K50">
        <v>0.24870586821669607</v>
      </c>
      <c r="L50" t="s">
        <v>153</v>
      </c>
      <c r="N50" t="s">
        <v>177</v>
      </c>
      <c r="O50" t="s">
        <v>401</v>
      </c>
      <c r="P50">
        <v>0.12705609076096272</v>
      </c>
      <c r="Q50" t="s">
        <v>153</v>
      </c>
      <c r="AK50">
        <v>2034</v>
      </c>
      <c r="AL50" t="s">
        <v>397</v>
      </c>
      <c r="AM50">
        <v>0.36680000000000001</v>
      </c>
      <c r="AN50" t="s">
        <v>195</v>
      </c>
    </row>
    <row r="51" spans="9:40" ht="14.25">
      <c r="I51" t="s">
        <v>167</v>
      </c>
      <c r="J51" t="s">
        <v>402</v>
      </c>
      <c r="K51">
        <v>0</v>
      </c>
      <c r="L51" t="s">
        <v>153</v>
      </c>
      <c r="N51" t="s">
        <v>177</v>
      </c>
      <c r="O51" t="s">
        <v>402</v>
      </c>
      <c r="P51">
        <v>0.12065495890930091</v>
      </c>
      <c r="Q51" t="s">
        <v>153</v>
      </c>
      <c r="AK51">
        <v>2035</v>
      </c>
      <c r="AL51" t="s">
        <v>392</v>
      </c>
      <c r="AM51">
        <v>0.36559999999999998</v>
      </c>
      <c r="AN51" t="s">
        <v>195</v>
      </c>
    </row>
    <row r="52" spans="9:40" ht="14.25">
      <c r="I52" t="s">
        <v>167</v>
      </c>
      <c r="J52" t="s">
        <v>403</v>
      </c>
      <c r="K52">
        <v>0.021398952831506699</v>
      </c>
      <c r="L52" t="s">
        <v>153</v>
      </c>
      <c r="N52" t="s">
        <v>177</v>
      </c>
      <c r="O52" t="s">
        <v>403</v>
      </c>
      <c r="P52">
        <v>0.028256077197129317</v>
      </c>
      <c r="Q52" t="s">
        <v>153</v>
      </c>
      <c r="AK52">
        <v>2035</v>
      </c>
      <c r="AL52" t="s">
        <v>394</v>
      </c>
      <c r="AM52">
        <v>0.46586666666666665</v>
      </c>
      <c r="AN52" t="s">
        <v>195</v>
      </c>
    </row>
    <row r="53" spans="9:40" ht="14.25">
      <c r="I53" t="s">
        <v>167</v>
      </c>
      <c r="J53" t="s">
        <v>404</v>
      </c>
      <c r="K53">
        <v>0.22752747959270023</v>
      </c>
      <c r="L53" t="s">
        <v>153</v>
      </c>
      <c r="N53" t="s">
        <v>177</v>
      </c>
      <c r="O53" t="s">
        <v>404</v>
      </c>
      <c r="P53">
        <v>0.13798024395358421</v>
      </c>
      <c r="Q53" t="s">
        <v>153</v>
      </c>
      <c r="AK53">
        <v>2035</v>
      </c>
      <c r="AL53" t="s">
        <v>395</v>
      </c>
      <c r="AM53">
        <v>0.42156666666666665</v>
      </c>
      <c r="AN53" t="s">
        <v>195</v>
      </c>
    </row>
    <row r="54" spans="9:40" ht="14.25">
      <c r="I54" t="s">
        <v>167</v>
      </c>
      <c r="J54" t="s">
        <v>405</v>
      </c>
      <c r="K54">
        <v>0</v>
      </c>
      <c r="L54" t="s">
        <v>153</v>
      </c>
      <c r="N54" t="s">
        <v>177</v>
      </c>
      <c r="O54" t="s">
        <v>405</v>
      </c>
      <c r="P54">
        <v>0.10499411884624947</v>
      </c>
      <c r="Q54" t="s">
        <v>153</v>
      </c>
      <c r="AK54">
        <v>2035</v>
      </c>
      <c r="AL54" t="s">
        <v>397</v>
      </c>
      <c r="AM54">
        <v>0.34229999999999999</v>
      </c>
      <c r="AN54" t="s">
        <v>195</v>
      </c>
    </row>
    <row r="55" spans="9:40" ht="14.25">
      <c r="I55" t="s">
        <v>167</v>
      </c>
      <c r="J55" t="s">
        <v>406</v>
      </c>
      <c r="K55">
        <v>0.017736778753233099</v>
      </c>
      <c r="L55" t="s">
        <v>153</v>
      </c>
      <c r="N55" t="s">
        <v>177</v>
      </c>
      <c r="O55" t="s">
        <v>406</v>
      </c>
      <c r="P55">
        <v>0.033273472594220803</v>
      </c>
      <c r="Q55" t="s">
        <v>153</v>
      </c>
      <c r="AK55">
        <v>2036</v>
      </c>
      <c r="AL55" t="s">
        <v>392</v>
      </c>
      <c r="AM55">
        <v>0.29783333333333334</v>
      </c>
      <c r="AN55" t="s">
        <v>195</v>
      </c>
    </row>
    <row r="56" spans="9:40" ht="14.25">
      <c r="I56" t="s">
        <v>167</v>
      </c>
      <c r="J56" t="s">
        <v>407</v>
      </c>
      <c r="K56">
        <v>0.22605983997022483</v>
      </c>
      <c r="L56" t="s">
        <v>153</v>
      </c>
      <c r="N56" t="s">
        <v>177</v>
      </c>
      <c r="O56" t="s">
        <v>407</v>
      </c>
      <c r="P56">
        <v>0.12749573926685584</v>
      </c>
      <c r="Q56" t="s">
        <v>153</v>
      </c>
      <c r="AK56">
        <v>2036</v>
      </c>
      <c r="AL56" t="s">
        <v>394</v>
      </c>
      <c r="AM56">
        <v>0.39090000000000003</v>
      </c>
      <c r="AN56" t="s">
        <v>195</v>
      </c>
    </row>
    <row r="57" spans="9:40" ht="14.25">
      <c r="I57" t="s">
        <v>167</v>
      </c>
      <c r="J57" t="s">
        <v>408</v>
      </c>
      <c r="K57">
        <v>0</v>
      </c>
      <c r="L57" t="s">
        <v>153</v>
      </c>
      <c r="N57" t="s">
        <v>177</v>
      </c>
      <c r="O57" t="s">
        <v>408</v>
      </c>
      <c r="P57">
        <v>0.12368671873099703</v>
      </c>
      <c r="Q57" t="s">
        <v>153</v>
      </c>
      <c r="AK57">
        <v>2036</v>
      </c>
      <c r="AL57" t="s">
        <v>395</v>
      </c>
      <c r="AM57">
        <v>0.37820000000000004</v>
      </c>
      <c r="AN57" t="s">
        <v>195</v>
      </c>
    </row>
    <row r="58" spans="9:40" ht="14.25">
      <c r="I58" t="s">
        <v>167</v>
      </c>
      <c r="J58" t="s">
        <v>409</v>
      </c>
      <c r="K58">
        <v>0.012770608156963754</v>
      </c>
      <c r="L58" t="s">
        <v>153</v>
      </c>
      <c r="N58" t="s">
        <v>177</v>
      </c>
      <c r="O58" t="s">
        <v>409</v>
      </c>
      <c r="P58">
        <v>0.024585850299382307</v>
      </c>
      <c r="Q58" t="s">
        <v>153</v>
      </c>
      <c r="AK58">
        <v>2036</v>
      </c>
      <c r="AL58" t="s">
        <v>397</v>
      </c>
      <c r="AM58">
        <v>0.30380000000000001</v>
      </c>
      <c r="AN58" t="s">
        <v>195</v>
      </c>
    </row>
    <row r="59" spans="9:40" ht="14.25">
      <c r="I59" t="s">
        <v>168</v>
      </c>
      <c r="J59" t="s">
        <v>398</v>
      </c>
      <c r="K59">
        <v>0.23719044493165556</v>
      </c>
      <c r="L59" t="s">
        <v>153</v>
      </c>
      <c r="N59" t="s">
        <v>178</v>
      </c>
      <c r="O59" t="s">
        <v>398</v>
      </c>
      <c r="P59">
        <v>0.071880785810704131</v>
      </c>
      <c r="Q59" t="s">
        <v>153</v>
      </c>
      <c r="AK59">
        <v>2037</v>
      </c>
      <c r="AL59" t="s">
        <v>392</v>
      </c>
      <c r="AM59">
        <v>0.30256666666666665</v>
      </c>
      <c r="AN59" t="s">
        <v>195</v>
      </c>
    </row>
    <row r="60" spans="9:40" ht="14.25">
      <c r="I60" t="s">
        <v>168</v>
      </c>
      <c r="J60" t="s">
        <v>399</v>
      </c>
      <c r="K60">
        <v>0</v>
      </c>
      <c r="L60" t="s">
        <v>153</v>
      </c>
      <c r="N60" t="s">
        <v>178</v>
      </c>
      <c r="O60" t="s">
        <v>399</v>
      </c>
      <c r="P60">
        <v>0.083904520500494545</v>
      </c>
      <c r="Q60" t="s">
        <v>153</v>
      </c>
      <c r="AK60">
        <v>2037</v>
      </c>
      <c r="AL60" t="s">
        <v>394</v>
      </c>
      <c r="AM60">
        <v>0.39083333333333337</v>
      </c>
      <c r="AN60" t="s">
        <v>195</v>
      </c>
    </row>
    <row r="61" spans="9:40" ht="14.25">
      <c r="I61" t="s">
        <v>168</v>
      </c>
      <c r="J61" t="s">
        <v>400</v>
      </c>
      <c r="K61">
        <v>0.0097596404138097798</v>
      </c>
      <c r="L61" t="s">
        <v>153</v>
      </c>
      <c r="N61" t="s">
        <v>178</v>
      </c>
      <c r="O61" t="s">
        <v>400</v>
      </c>
      <c r="P61">
        <v>0.023556837591518821</v>
      </c>
      <c r="Q61" t="s">
        <v>153</v>
      </c>
      <c r="AK61">
        <v>2037</v>
      </c>
      <c r="AL61" t="s">
        <v>395</v>
      </c>
      <c r="AM61">
        <v>0.39666666666666667</v>
      </c>
      <c r="AN61" t="s">
        <v>195</v>
      </c>
    </row>
    <row r="62" spans="9:40" ht="14.25">
      <c r="I62" t="s">
        <v>168</v>
      </c>
      <c r="J62" t="s">
        <v>401</v>
      </c>
      <c r="K62">
        <v>0.24947878688961711</v>
      </c>
      <c r="L62" t="s">
        <v>153</v>
      </c>
      <c r="N62" t="s">
        <v>178</v>
      </c>
      <c r="O62" t="s">
        <v>401</v>
      </c>
      <c r="P62">
        <v>0.12385499484405063</v>
      </c>
      <c r="Q62" t="s">
        <v>153</v>
      </c>
      <c r="AK62">
        <v>2037</v>
      </c>
      <c r="AL62" t="s">
        <v>397</v>
      </c>
      <c r="AM62">
        <v>0.31033333333333335</v>
      </c>
      <c r="AN62" t="s">
        <v>195</v>
      </c>
    </row>
    <row r="63" spans="9:40" ht="14.25">
      <c r="I63" t="s">
        <v>168</v>
      </c>
      <c r="J63" t="s">
        <v>402</v>
      </c>
      <c r="K63">
        <v>0</v>
      </c>
      <c r="L63" t="s">
        <v>153</v>
      </c>
      <c r="N63" t="s">
        <v>178</v>
      </c>
      <c r="O63" t="s">
        <v>402</v>
      </c>
      <c r="P63">
        <v>0.1147678640002589</v>
      </c>
      <c r="Q63" t="s">
        <v>153</v>
      </c>
      <c r="AK63">
        <v>2038</v>
      </c>
      <c r="AL63" t="s">
        <v>392</v>
      </c>
      <c r="AM63">
        <v>0.31973333333333337</v>
      </c>
      <c r="AN63" t="s">
        <v>195</v>
      </c>
    </row>
    <row r="64" spans="9:40" ht="14.25">
      <c r="I64" t="s">
        <v>168</v>
      </c>
      <c r="J64" t="s">
        <v>403</v>
      </c>
      <c r="K64">
        <v>0.019525557078878767</v>
      </c>
      <c r="L64" t="s">
        <v>153</v>
      </c>
      <c r="N64" t="s">
        <v>178</v>
      </c>
      <c r="O64" t="s">
        <v>403</v>
      </c>
      <c r="P64">
        <v>0.030438916291999036</v>
      </c>
      <c r="Q64" t="s">
        <v>153</v>
      </c>
      <c r="AK64">
        <v>2038</v>
      </c>
      <c r="AL64" t="s">
        <v>394</v>
      </c>
      <c r="AM64">
        <v>0.39306666666666668</v>
      </c>
      <c r="AN64" t="s">
        <v>195</v>
      </c>
    </row>
    <row r="65" spans="9:40" ht="14.25">
      <c r="I65" t="s">
        <v>168</v>
      </c>
      <c r="J65" t="s">
        <v>404</v>
      </c>
      <c r="K65">
        <v>0.22699028529069462</v>
      </c>
      <c r="L65" t="s">
        <v>153</v>
      </c>
      <c r="N65" t="s">
        <v>178</v>
      </c>
      <c r="O65" t="s">
        <v>404</v>
      </c>
      <c r="P65">
        <v>0.11995922244459596</v>
      </c>
      <c r="Q65" t="s">
        <v>153</v>
      </c>
      <c r="AK65">
        <v>2038</v>
      </c>
      <c r="AL65" t="s">
        <v>395</v>
      </c>
      <c r="AM65">
        <v>0.35586666666666672</v>
      </c>
      <c r="AN65" t="s">
        <v>195</v>
      </c>
    </row>
    <row r="66" spans="9:40" ht="14.25">
      <c r="I66" t="s">
        <v>168</v>
      </c>
      <c r="J66" t="s">
        <v>405</v>
      </c>
      <c r="K66">
        <v>0</v>
      </c>
      <c r="L66" t="s">
        <v>153</v>
      </c>
      <c r="N66" t="s">
        <v>178</v>
      </c>
      <c r="O66" t="s">
        <v>405</v>
      </c>
      <c r="P66">
        <v>0.10892002141548507</v>
      </c>
      <c r="Q66" t="s">
        <v>153</v>
      </c>
      <c r="AK66">
        <v>2038</v>
      </c>
      <c r="AL66" t="s">
        <v>397</v>
      </c>
      <c r="AM66">
        <v>0.31743333333333335</v>
      </c>
      <c r="AN66" t="s">
        <v>195</v>
      </c>
    </row>
    <row r="67" spans="9:40" ht="14.25">
      <c r="I67" t="s">
        <v>168</v>
      </c>
      <c r="J67" t="s">
        <v>406</v>
      </c>
      <c r="K67">
        <v>0.016330781643929034</v>
      </c>
      <c r="L67" t="s">
        <v>153</v>
      </c>
      <c r="N67" t="s">
        <v>178</v>
      </c>
      <c r="O67" t="s">
        <v>406</v>
      </c>
      <c r="P67">
        <v>0.034089615847336698</v>
      </c>
      <c r="Q67" t="s">
        <v>153</v>
      </c>
      <c r="AK67">
        <v>2039</v>
      </c>
      <c r="AL67" t="s">
        <v>392</v>
      </c>
      <c r="AM67">
        <v>0.28540000000000004</v>
      </c>
      <c r="AN67" t="s">
        <v>195</v>
      </c>
    </row>
    <row r="68" spans="9:40" ht="14.25">
      <c r="I68" t="s">
        <v>168</v>
      </c>
      <c r="J68" t="s">
        <v>407</v>
      </c>
      <c r="K68">
        <v>0.22872951324083043</v>
      </c>
      <c r="L68" t="s">
        <v>153</v>
      </c>
      <c r="N68" t="s">
        <v>178</v>
      </c>
      <c r="O68" t="s">
        <v>407</v>
      </c>
      <c r="P68">
        <v>0.12739606435113263</v>
      </c>
      <c r="Q68" t="s">
        <v>153</v>
      </c>
      <c r="AK68">
        <v>2039</v>
      </c>
      <c r="AL68" t="s">
        <v>394</v>
      </c>
      <c r="AM68">
        <v>0.36223333333333335</v>
      </c>
      <c r="AN68" t="s">
        <v>195</v>
      </c>
    </row>
    <row r="69" spans="9:40" ht="14.25">
      <c r="I69" t="s">
        <v>168</v>
      </c>
      <c r="J69" t="s">
        <v>408</v>
      </c>
      <c r="K69">
        <v>0</v>
      </c>
      <c r="L69" t="s">
        <v>153</v>
      </c>
      <c r="N69" t="s">
        <v>178</v>
      </c>
      <c r="O69" t="s">
        <v>408</v>
      </c>
      <c r="P69">
        <v>0.13335683294080089</v>
      </c>
      <c r="Q69" t="s">
        <v>153</v>
      </c>
      <c r="AK69">
        <v>2039</v>
      </c>
      <c r="AL69" t="s">
        <v>395</v>
      </c>
      <c r="AM69">
        <v>0.38233333333333336</v>
      </c>
      <c r="AN69" t="s">
        <v>195</v>
      </c>
    </row>
    <row r="70" spans="9:40" ht="14.25">
      <c r="I70" t="s">
        <v>168</v>
      </c>
      <c r="J70" t="s">
        <v>409</v>
      </c>
      <c r="K70">
        <v>0.011994990510581225</v>
      </c>
      <c r="L70" t="s">
        <v>153</v>
      </c>
      <c r="N70" t="s">
        <v>178</v>
      </c>
      <c r="O70" t="s">
        <v>409</v>
      </c>
      <c r="P70">
        <v>0.027874323961623274</v>
      </c>
      <c r="Q70" t="s">
        <v>153</v>
      </c>
      <c r="AK70">
        <v>2039</v>
      </c>
      <c r="AL70" t="s">
        <v>397</v>
      </c>
      <c r="AM70">
        <v>0.30656666666666665</v>
      </c>
      <c r="AN70" t="s">
        <v>195</v>
      </c>
    </row>
    <row r="71" spans="9:40" ht="14.25">
      <c r="I71" t="s">
        <v>169</v>
      </c>
      <c r="J71" t="s">
        <v>398</v>
      </c>
      <c r="K71">
        <v>0.23277152065614981</v>
      </c>
      <c r="L71" t="s">
        <v>153</v>
      </c>
      <c r="N71" t="s">
        <v>179</v>
      </c>
      <c r="O71" t="s">
        <v>398</v>
      </c>
      <c r="P71">
        <v>0.068245032340520317</v>
      </c>
      <c r="Q71" t="s">
        <v>153</v>
      </c>
      <c r="AK71">
        <v>2040</v>
      </c>
      <c r="AL71" t="s">
        <v>392</v>
      </c>
      <c r="AM71">
        <v>0.40963333333333329</v>
      </c>
      <c r="AN71" t="s">
        <v>195</v>
      </c>
    </row>
    <row r="72" spans="9:40" ht="14.25">
      <c r="I72" t="s">
        <v>169</v>
      </c>
      <c r="J72" t="s">
        <v>399</v>
      </c>
      <c r="K72">
        <v>0</v>
      </c>
      <c r="L72" t="s">
        <v>153</v>
      </c>
      <c r="N72" t="s">
        <v>179</v>
      </c>
      <c r="O72" t="s">
        <v>399</v>
      </c>
      <c r="P72">
        <v>0.052226335370335462</v>
      </c>
      <c r="Q72" t="s">
        <v>153</v>
      </c>
      <c r="AK72">
        <v>2040</v>
      </c>
      <c r="AL72" t="s">
        <v>394</v>
      </c>
      <c r="AM72">
        <v>0.49383333333333335</v>
      </c>
      <c r="AN72" t="s">
        <v>195</v>
      </c>
    </row>
    <row r="73" spans="9:40" ht="14.25">
      <c r="I73" t="s">
        <v>169</v>
      </c>
      <c r="J73" t="s">
        <v>400</v>
      </c>
      <c r="K73">
        <v>0.0066301813858247755</v>
      </c>
      <c r="L73" t="s">
        <v>153</v>
      </c>
      <c r="N73" t="s">
        <v>179</v>
      </c>
      <c r="O73" t="s">
        <v>400</v>
      </c>
      <c r="P73">
        <v>0.020249146140295392</v>
      </c>
      <c r="Q73" t="s">
        <v>153</v>
      </c>
      <c r="AK73">
        <v>2040</v>
      </c>
      <c r="AL73" t="s">
        <v>395</v>
      </c>
      <c r="AM73">
        <v>0.49149999999999999</v>
      </c>
      <c r="AN73" t="s">
        <v>195</v>
      </c>
    </row>
    <row r="74" spans="9:40" ht="14.25">
      <c r="I74" t="s">
        <v>169</v>
      </c>
      <c r="J74" t="s">
        <v>401</v>
      </c>
      <c r="K74">
        <v>0.25602346810050525</v>
      </c>
      <c r="L74" t="s">
        <v>153</v>
      </c>
      <c r="N74" t="s">
        <v>179</v>
      </c>
      <c r="O74" t="s">
        <v>401</v>
      </c>
      <c r="P74">
        <v>0.20113940466729269</v>
      </c>
      <c r="Q74" t="s">
        <v>153</v>
      </c>
      <c r="AK74">
        <v>2040</v>
      </c>
      <c r="AL74" t="s">
        <v>397</v>
      </c>
      <c r="AM74">
        <v>0.40286666666666671</v>
      </c>
      <c r="AN74" t="s">
        <v>195</v>
      </c>
    </row>
    <row r="75" spans="9:40" ht="14.25">
      <c r="I75" t="s">
        <v>169</v>
      </c>
      <c r="J75" t="s">
        <v>402</v>
      </c>
      <c r="K75">
        <v>0</v>
      </c>
      <c r="L75" t="s">
        <v>153</v>
      </c>
      <c r="N75" t="s">
        <v>179</v>
      </c>
      <c r="O75" t="s">
        <v>402</v>
      </c>
      <c r="P75">
        <v>0.084849198862333122</v>
      </c>
      <c r="Q75" t="s">
        <v>153</v>
      </c>
      <c r="AK75">
        <v>2041</v>
      </c>
      <c r="AL75" t="s">
        <v>392</v>
      </c>
      <c r="AM75">
        <v>0.35166666666666663</v>
      </c>
      <c r="AN75" t="s">
        <v>195</v>
      </c>
    </row>
    <row r="76" spans="9:40" ht="14.25">
      <c r="I76" t="s">
        <v>169</v>
      </c>
      <c r="J76" t="s">
        <v>403</v>
      </c>
      <c r="K76">
        <v>0.017790607364164494</v>
      </c>
      <c r="L76" t="s">
        <v>153</v>
      </c>
      <c r="N76" t="s">
        <v>179</v>
      </c>
      <c r="O76" t="s">
        <v>403</v>
      </c>
      <c r="P76">
        <v>0.042765793313265334</v>
      </c>
      <c r="Q76" t="s">
        <v>153</v>
      </c>
      <c r="AK76">
        <v>2041</v>
      </c>
      <c r="AL76" t="s">
        <v>394</v>
      </c>
      <c r="AM76">
        <v>0.45880000000000004</v>
      </c>
      <c r="AN76" t="s">
        <v>195</v>
      </c>
    </row>
    <row r="77" spans="9:40" ht="14.25">
      <c r="I77" t="s">
        <v>169</v>
      </c>
      <c r="J77" t="s">
        <v>404</v>
      </c>
      <c r="K77">
        <v>0.23855902157608178</v>
      </c>
      <c r="L77" t="s">
        <v>153</v>
      </c>
      <c r="N77" t="s">
        <v>179</v>
      </c>
      <c r="O77" t="s">
        <v>404</v>
      </c>
      <c r="P77">
        <v>0.096257289876294228</v>
      </c>
      <c r="Q77" t="s">
        <v>153</v>
      </c>
      <c r="AK77">
        <v>2041</v>
      </c>
      <c r="AL77" t="s">
        <v>395</v>
      </c>
      <c r="AM77">
        <v>0.46103333333333335</v>
      </c>
      <c r="AN77" t="s">
        <v>195</v>
      </c>
    </row>
    <row r="78" spans="9:40" ht="14.25">
      <c r="I78" t="s">
        <v>169</v>
      </c>
      <c r="J78" t="s">
        <v>405</v>
      </c>
      <c r="K78">
        <v>0</v>
      </c>
      <c r="L78" t="s">
        <v>153</v>
      </c>
      <c r="N78" t="s">
        <v>179</v>
      </c>
      <c r="O78" t="s">
        <v>405</v>
      </c>
      <c r="P78">
        <v>0.085205631179272531</v>
      </c>
      <c r="Q78" t="s">
        <v>153</v>
      </c>
      <c r="AK78">
        <v>2041</v>
      </c>
      <c r="AL78" t="s">
        <v>397</v>
      </c>
      <c r="AM78">
        <v>0.35283333333333333</v>
      </c>
      <c r="AN78" t="s">
        <v>195</v>
      </c>
    </row>
    <row r="79" spans="9:40" ht="14.25">
      <c r="I79" t="s">
        <v>169</v>
      </c>
      <c r="J79" t="s">
        <v>406</v>
      </c>
      <c r="K79">
        <v>0.017136182753379716</v>
      </c>
      <c r="L79" t="s">
        <v>153</v>
      </c>
      <c r="N79" t="s">
        <v>179</v>
      </c>
      <c r="O79" t="s">
        <v>406</v>
      </c>
      <c r="P79">
        <v>0.022342063169253863</v>
      </c>
      <c r="Q79" t="s">
        <v>153</v>
      </c>
      <c r="AK79">
        <v>2042</v>
      </c>
      <c r="AL79" t="s">
        <v>392</v>
      </c>
      <c r="AM79">
        <v>0.31613333333333332</v>
      </c>
      <c r="AN79" t="s">
        <v>195</v>
      </c>
    </row>
    <row r="80" spans="9:40" ht="14.25">
      <c r="I80" t="s">
        <v>169</v>
      </c>
      <c r="J80" t="s">
        <v>407</v>
      </c>
      <c r="K80">
        <v>0.22253566290768459</v>
      </c>
      <c r="L80" t="s">
        <v>153</v>
      </c>
      <c r="N80" t="s">
        <v>179</v>
      </c>
      <c r="O80" t="s">
        <v>407</v>
      </c>
      <c r="P80">
        <v>0.16350139889404869</v>
      </c>
      <c r="Q80" t="s">
        <v>153</v>
      </c>
      <c r="AK80">
        <v>2042</v>
      </c>
      <c r="AL80" t="s">
        <v>394</v>
      </c>
      <c r="AM80">
        <v>0.38413333333333338</v>
      </c>
      <c r="AN80" t="s">
        <v>195</v>
      </c>
    </row>
    <row r="81" spans="9:40" ht="14.25">
      <c r="I81" t="s">
        <v>169</v>
      </c>
      <c r="J81" t="s">
        <v>408</v>
      </c>
      <c r="K81">
        <v>0</v>
      </c>
      <c r="L81" t="s">
        <v>153</v>
      </c>
      <c r="N81" t="s">
        <v>179</v>
      </c>
      <c r="O81" t="s">
        <v>408</v>
      </c>
      <c r="P81">
        <v>0.13017913106845672</v>
      </c>
      <c r="Q81" t="s">
        <v>153</v>
      </c>
      <c r="AK81">
        <v>2042</v>
      </c>
      <c r="AL81" t="s">
        <v>395</v>
      </c>
      <c r="AM81">
        <v>0.3847666666666667</v>
      </c>
      <c r="AN81" t="s">
        <v>195</v>
      </c>
    </row>
    <row r="82" spans="9:40" ht="14.25">
      <c r="I82" t="s">
        <v>169</v>
      </c>
      <c r="J82" t="s">
        <v>409</v>
      </c>
      <c r="K82">
        <v>0.0085533552562109521</v>
      </c>
      <c r="L82" t="s">
        <v>153</v>
      </c>
      <c r="N82" t="s">
        <v>179</v>
      </c>
      <c r="O82" t="s">
        <v>409</v>
      </c>
      <c r="P82">
        <v>0.033039575118628227</v>
      </c>
      <c r="Q82" t="s">
        <v>153</v>
      </c>
      <c r="AK82">
        <v>2042</v>
      </c>
      <c r="AL82" t="s">
        <v>397</v>
      </c>
      <c r="AM82">
        <v>0.29216666666666663</v>
      </c>
      <c r="AN82" t="s">
        <v>195</v>
      </c>
    </row>
    <row r="83" spans="9:40" ht="14.25">
      <c r="I83" t="s">
        <v>170</v>
      </c>
      <c r="J83" t="s">
        <v>398</v>
      </c>
      <c r="K83">
        <v>0.23289802390045661</v>
      </c>
      <c r="L83" t="s">
        <v>153</v>
      </c>
      <c r="N83" t="s">
        <v>180</v>
      </c>
      <c r="O83" t="s">
        <v>398</v>
      </c>
      <c r="P83">
        <v>0.070858088700116784</v>
      </c>
      <c r="Q83" t="s">
        <v>153</v>
      </c>
      <c r="AK83">
        <v>2043</v>
      </c>
      <c r="AL83" t="s">
        <v>392</v>
      </c>
      <c r="AM83">
        <v>0.29906666666666665</v>
      </c>
      <c r="AN83" t="s">
        <v>195</v>
      </c>
    </row>
    <row r="84" spans="9:40" ht="14.25">
      <c r="I84" t="s">
        <v>170</v>
      </c>
      <c r="J84" t="s">
        <v>399</v>
      </c>
      <c r="K84">
        <v>0</v>
      </c>
      <c r="L84" t="s">
        <v>153</v>
      </c>
      <c r="N84" t="s">
        <v>180</v>
      </c>
      <c r="O84" t="s">
        <v>399</v>
      </c>
      <c r="P84">
        <v>0.082325769816120081</v>
      </c>
      <c r="Q84" t="s">
        <v>153</v>
      </c>
      <c r="AK84">
        <v>2043</v>
      </c>
      <c r="AL84" t="s">
        <v>394</v>
      </c>
      <c r="AM84">
        <v>0.36903333333333332</v>
      </c>
      <c r="AN84" t="s">
        <v>195</v>
      </c>
    </row>
    <row r="85" spans="9:40" ht="14.25">
      <c r="I85" t="s">
        <v>170</v>
      </c>
      <c r="J85" t="s">
        <v>400</v>
      </c>
      <c r="K85">
        <v>0.0057292938140162501</v>
      </c>
      <c r="L85" t="s">
        <v>153</v>
      </c>
      <c r="N85" t="s">
        <v>180</v>
      </c>
      <c r="O85" t="s">
        <v>400</v>
      </c>
      <c r="P85">
        <v>0.027166589712049053</v>
      </c>
      <c r="Q85" t="s">
        <v>153</v>
      </c>
      <c r="AK85">
        <v>2043</v>
      </c>
      <c r="AL85" t="s">
        <v>395</v>
      </c>
      <c r="AM85">
        <v>0.37946666666666667</v>
      </c>
      <c r="AN85" t="s">
        <v>195</v>
      </c>
    </row>
    <row r="86" spans="9:40" ht="14.25">
      <c r="I86" t="s">
        <v>170</v>
      </c>
      <c r="J86" t="s">
        <v>401</v>
      </c>
      <c r="K86">
        <v>0.25874475937753438</v>
      </c>
      <c r="L86" t="s">
        <v>153</v>
      </c>
      <c r="N86" t="s">
        <v>180</v>
      </c>
      <c r="O86" t="s">
        <v>401</v>
      </c>
      <c r="P86">
        <v>0.13915459079962778</v>
      </c>
      <c r="Q86" t="s">
        <v>153</v>
      </c>
      <c r="AK86">
        <v>2043</v>
      </c>
      <c r="AL86" t="s">
        <v>397</v>
      </c>
      <c r="AM86">
        <v>0.30470000000000003</v>
      </c>
      <c r="AN86" t="s">
        <v>195</v>
      </c>
    </row>
    <row r="87" spans="9:40" ht="14.25">
      <c r="I87" t="s">
        <v>170</v>
      </c>
      <c r="J87" t="s">
        <v>402</v>
      </c>
      <c r="K87">
        <v>0</v>
      </c>
      <c r="L87" t="s">
        <v>153</v>
      </c>
      <c r="N87" t="s">
        <v>180</v>
      </c>
      <c r="O87" t="s">
        <v>402</v>
      </c>
      <c r="P87">
        <v>0.094467046496503518</v>
      </c>
      <c r="Q87" t="s">
        <v>153</v>
      </c>
      <c r="AK87">
        <v>2044</v>
      </c>
      <c r="AL87" t="s">
        <v>392</v>
      </c>
      <c r="AM87">
        <v>0.36753333333333332</v>
      </c>
      <c r="AN87" t="s">
        <v>195</v>
      </c>
    </row>
    <row r="88" spans="9:40" ht="14.25">
      <c r="I88" t="s">
        <v>170</v>
      </c>
      <c r="J88" t="s">
        <v>403</v>
      </c>
      <c r="K88">
        <v>0.016560521372402607</v>
      </c>
      <c r="L88" t="s">
        <v>153</v>
      </c>
      <c r="N88" t="s">
        <v>180</v>
      </c>
      <c r="O88" t="s">
        <v>403</v>
      </c>
      <c r="P88">
        <v>0.033812987676906436</v>
      </c>
      <c r="Q88" t="s">
        <v>153</v>
      </c>
      <c r="AK88">
        <v>2044</v>
      </c>
      <c r="AL88" t="s">
        <v>394</v>
      </c>
      <c r="AM88">
        <v>0.45943333333333336</v>
      </c>
      <c r="AN88" t="s">
        <v>195</v>
      </c>
    </row>
    <row r="89" spans="9:40" ht="14.25">
      <c r="I89" t="s">
        <v>170</v>
      </c>
      <c r="J89" t="s">
        <v>404</v>
      </c>
      <c r="K89">
        <v>0.23710207601844321</v>
      </c>
      <c r="L89" t="s">
        <v>153</v>
      </c>
      <c r="N89" t="s">
        <v>180</v>
      </c>
      <c r="O89" t="s">
        <v>404</v>
      </c>
      <c r="P89">
        <v>0.1075125675710078</v>
      </c>
      <c r="Q89" t="s">
        <v>153</v>
      </c>
      <c r="AK89">
        <v>2044</v>
      </c>
      <c r="AL89" t="s">
        <v>395</v>
      </c>
      <c r="AM89">
        <v>0.43170000000000003</v>
      </c>
      <c r="AN89" t="s">
        <v>195</v>
      </c>
    </row>
    <row r="90" spans="9:40" ht="14.25">
      <c r="I90" t="s">
        <v>170</v>
      </c>
      <c r="J90" t="s">
        <v>405</v>
      </c>
      <c r="K90">
        <v>0</v>
      </c>
      <c r="L90" t="s">
        <v>153</v>
      </c>
      <c r="N90" t="s">
        <v>180</v>
      </c>
      <c r="O90" t="s">
        <v>405</v>
      </c>
      <c r="P90">
        <v>0.12287631516213444</v>
      </c>
      <c r="Q90" t="s">
        <v>153</v>
      </c>
      <c r="AK90">
        <v>2044</v>
      </c>
      <c r="AL90" t="s">
        <v>397</v>
      </c>
      <c r="AM90">
        <v>0.32669999999999999</v>
      </c>
      <c r="AN90" t="s">
        <v>195</v>
      </c>
    </row>
    <row r="91" spans="9:40" ht="14.25">
      <c r="I91" t="s">
        <v>170</v>
      </c>
      <c r="J91" t="s">
        <v>406</v>
      </c>
      <c r="K91">
        <v>0.016479827436193861</v>
      </c>
      <c r="L91" t="s">
        <v>153</v>
      </c>
      <c r="N91" t="s">
        <v>180</v>
      </c>
      <c r="O91" t="s">
        <v>406</v>
      </c>
      <c r="P91">
        <v>0.032600907434848732</v>
      </c>
      <c r="Q91" t="s">
        <v>153</v>
      </c>
      <c r="AK91">
        <v>2045</v>
      </c>
      <c r="AL91" t="s">
        <v>392</v>
      </c>
      <c r="AM91">
        <v>0.3614</v>
      </c>
      <c r="AN91" t="s">
        <v>195</v>
      </c>
    </row>
    <row r="92" spans="9:40" ht="14.25">
      <c r="I92" t="s">
        <v>170</v>
      </c>
      <c r="J92" t="s">
        <v>407</v>
      </c>
      <c r="K92">
        <v>0.22483156295388901</v>
      </c>
      <c r="L92" t="s">
        <v>153</v>
      </c>
      <c r="N92" t="s">
        <v>180</v>
      </c>
      <c r="O92" t="s">
        <v>407</v>
      </c>
      <c r="P92">
        <v>0.13380001857469201</v>
      </c>
      <c r="Q92" t="s">
        <v>153</v>
      </c>
      <c r="AK92">
        <v>2045</v>
      </c>
      <c r="AL92" t="s">
        <v>394</v>
      </c>
      <c r="AM92">
        <v>0.43186666666666668</v>
      </c>
      <c r="AN92" t="s">
        <v>195</v>
      </c>
    </row>
    <row r="93" spans="9:40" ht="14.25">
      <c r="I93" t="s">
        <v>170</v>
      </c>
      <c r="J93" t="s">
        <v>408</v>
      </c>
      <c r="K93">
        <v>0</v>
      </c>
      <c r="L93" t="s">
        <v>153</v>
      </c>
      <c r="N93" t="s">
        <v>180</v>
      </c>
      <c r="O93" t="s">
        <v>408</v>
      </c>
      <c r="P93">
        <v>0.12474715911169998</v>
      </c>
      <c r="Q93" t="s">
        <v>153</v>
      </c>
      <c r="AK93">
        <v>2045</v>
      </c>
      <c r="AL93" t="s">
        <v>395</v>
      </c>
      <c r="AM93">
        <v>0.44356666666666666</v>
      </c>
      <c r="AN93" t="s">
        <v>195</v>
      </c>
    </row>
    <row r="94" spans="9:40" ht="14.25">
      <c r="I94" t="s">
        <v>170</v>
      </c>
      <c r="J94" t="s">
        <v>409</v>
      </c>
      <c r="K94">
        <v>0.007653935127063422</v>
      </c>
      <c r="L94" t="s">
        <v>153</v>
      </c>
      <c r="N94" t="s">
        <v>180</v>
      </c>
      <c r="O94" t="s">
        <v>409</v>
      </c>
      <c r="P94">
        <v>0.030677958944295119</v>
      </c>
      <c r="Q94" t="s">
        <v>153</v>
      </c>
      <c r="AK94">
        <v>2045</v>
      </c>
      <c r="AL94" t="s">
        <v>397</v>
      </c>
      <c r="AM94">
        <v>0.38226666666666659</v>
      </c>
      <c r="AN94" t="s">
        <v>195</v>
      </c>
    </row>
    <row r="95" spans="9:40" ht="14.25">
      <c r="I95" t="s">
        <v>171</v>
      </c>
      <c r="J95" t="s">
        <v>398</v>
      </c>
      <c r="K95">
        <v>0.23679789130892159</v>
      </c>
      <c r="L95" t="s">
        <v>153</v>
      </c>
      <c r="N95" t="s">
        <v>181</v>
      </c>
      <c r="O95" t="s">
        <v>398</v>
      </c>
      <c r="P95">
        <v>0.070758526149595144</v>
      </c>
      <c r="Q95" t="s">
        <v>153</v>
      </c>
      <c r="AK95">
        <v>2046</v>
      </c>
      <c r="AL95" t="s">
        <v>392</v>
      </c>
      <c r="AM95">
        <v>0.37393333333333328</v>
      </c>
      <c r="AN95" t="s">
        <v>195</v>
      </c>
    </row>
    <row r="96" spans="9:40" ht="14.25">
      <c r="I96" t="s">
        <v>171</v>
      </c>
      <c r="J96" t="s">
        <v>399</v>
      </c>
      <c r="K96">
        <v>0</v>
      </c>
      <c r="L96" t="s">
        <v>153</v>
      </c>
      <c r="N96" t="s">
        <v>181</v>
      </c>
      <c r="O96" t="s">
        <v>399</v>
      </c>
      <c r="P96">
        <v>0.073497514934452349</v>
      </c>
      <c r="Q96" t="s">
        <v>153</v>
      </c>
      <c r="AK96">
        <v>2046</v>
      </c>
      <c r="AL96" t="s">
        <v>394</v>
      </c>
      <c r="AM96">
        <v>0.41123333333333334</v>
      </c>
      <c r="AN96" t="s">
        <v>195</v>
      </c>
    </row>
    <row r="97" spans="9:40" ht="14.25">
      <c r="I97" t="s">
        <v>171</v>
      </c>
      <c r="J97" t="s">
        <v>400</v>
      </c>
      <c r="K97">
        <v>0.005815070409624732</v>
      </c>
      <c r="L97" t="s">
        <v>153</v>
      </c>
      <c r="N97" t="s">
        <v>181</v>
      </c>
      <c r="O97" t="s">
        <v>400</v>
      </c>
      <c r="P97">
        <v>0.022382749351993327</v>
      </c>
      <c r="Q97" t="s">
        <v>153</v>
      </c>
      <c r="AK97">
        <v>2046</v>
      </c>
      <c r="AL97" t="s">
        <v>395</v>
      </c>
      <c r="AM97">
        <v>0.43133333333333335</v>
      </c>
      <c r="AN97" t="s">
        <v>195</v>
      </c>
    </row>
    <row r="98" spans="9:40" ht="14.25">
      <c r="I98" t="s">
        <v>171</v>
      </c>
      <c r="J98" t="s">
        <v>401</v>
      </c>
      <c r="K98">
        <v>0.25537160492734479</v>
      </c>
      <c r="L98" t="s">
        <v>153</v>
      </c>
      <c r="N98" t="s">
        <v>181</v>
      </c>
      <c r="O98" t="s">
        <v>401</v>
      </c>
      <c r="P98">
        <v>0.17434394238787498</v>
      </c>
      <c r="Q98" t="s">
        <v>153</v>
      </c>
      <c r="AK98">
        <v>2046</v>
      </c>
      <c r="AL98" t="s">
        <v>397</v>
      </c>
      <c r="AM98">
        <v>0.3548</v>
      </c>
      <c r="AN98" t="s">
        <v>195</v>
      </c>
    </row>
    <row r="99" spans="9:40" ht="14.25">
      <c r="I99" t="s">
        <v>171</v>
      </c>
      <c r="J99" t="s">
        <v>402</v>
      </c>
      <c r="K99">
        <v>0</v>
      </c>
      <c r="L99" t="s">
        <v>153</v>
      </c>
      <c r="N99" t="s">
        <v>181</v>
      </c>
      <c r="O99" t="s">
        <v>402</v>
      </c>
      <c r="P99">
        <v>0.087763954098630498</v>
      </c>
      <c r="Q99" t="s">
        <v>153</v>
      </c>
      <c r="AK99">
        <v>2047</v>
      </c>
      <c r="AL99" t="s">
        <v>392</v>
      </c>
      <c r="AM99">
        <v>0.34886666666666666</v>
      </c>
      <c r="AN99" t="s">
        <v>195</v>
      </c>
    </row>
    <row r="100" spans="9:40" ht="14.25">
      <c r="I100" t="s">
        <v>171</v>
      </c>
      <c r="J100" t="s">
        <v>403</v>
      </c>
      <c r="K100">
        <v>0.015763668460981515</v>
      </c>
      <c r="L100" t="s">
        <v>153</v>
      </c>
      <c r="N100" t="s">
        <v>181</v>
      </c>
      <c r="O100" t="s">
        <v>403</v>
      </c>
      <c r="P100">
        <v>0.042459881539825654</v>
      </c>
      <c r="Q100" t="s">
        <v>153</v>
      </c>
      <c r="AK100">
        <v>2047</v>
      </c>
      <c r="AL100" t="s">
        <v>394</v>
      </c>
      <c r="AM100">
        <v>0.40510000000000002</v>
      </c>
      <c r="AN100" t="s">
        <v>195</v>
      </c>
    </row>
    <row r="101" spans="9:40" ht="14.25">
      <c r="I101" t="s">
        <v>171</v>
      </c>
      <c r="J101" t="s">
        <v>404</v>
      </c>
      <c r="K101">
        <v>0.22965406291708973</v>
      </c>
      <c r="L101" t="s">
        <v>153</v>
      </c>
      <c r="N101" t="s">
        <v>181</v>
      </c>
      <c r="O101" t="s">
        <v>404</v>
      </c>
      <c r="P101">
        <v>0.099746883023208249</v>
      </c>
      <c r="Q101" t="s">
        <v>153</v>
      </c>
      <c r="AK101">
        <v>2047</v>
      </c>
      <c r="AL101" t="s">
        <v>395</v>
      </c>
      <c r="AM101">
        <v>0.45306666666666667</v>
      </c>
      <c r="AN101" t="s">
        <v>195</v>
      </c>
    </row>
    <row r="102" spans="9:40" ht="14.25">
      <c r="I102" t="s">
        <v>171</v>
      </c>
      <c r="J102" t="s">
        <v>405</v>
      </c>
      <c r="K102">
        <v>0</v>
      </c>
      <c r="L102" t="s">
        <v>153</v>
      </c>
      <c r="N102" t="s">
        <v>181</v>
      </c>
      <c r="O102" t="s">
        <v>405</v>
      </c>
      <c r="P102">
        <v>0.094763415914919005</v>
      </c>
      <c r="Q102" t="s">
        <v>153</v>
      </c>
      <c r="AK102">
        <v>2047</v>
      </c>
      <c r="AL102" t="s">
        <v>397</v>
      </c>
      <c r="AM102">
        <v>0.35580000000000006</v>
      </c>
      <c r="AN102" t="s">
        <v>195</v>
      </c>
    </row>
    <row r="103" spans="9:40" ht="14.25">
      <c r="I103" t="s">
        <v>171</v>
      </c>
      <c r="J103" t="s">
        <v>406</v>
      </c>
      <c r="K103">
        <v>0.014188307821127955</v>
      </c>
      <c r="L103" t="s">
        <v>153</v>
      </c>
      <c r="N103" t="s">
        <v>181</v>
      </c>
      <c r="O103" t="s">
        <v>406</v>
      </c>
      <c r="P103">
        <v>0.024605405075401817</v>
      </c>
      <c r="Q103" t="s">
        <v>153</v>
      </c>
      <c r="AK103">
        <v>2048</v>
      </c>
      <c r="AL103" t="s">
        <v>392</v>
      </c>
      <c r="AM103">
        <v>0.34383333333333327</v>
      </c>
      <c r="AN103" t="s">
        <v>195</v>
      </c>
    </row>
    <row r="104" spans="9:40" ht="14.25">
      <c r="I104" t="s">
        <v>171</v>
      </c>
      <c r="J104" t="s">
        <v>407</v>
      </c>
      <c r="K104">
        <v>0.23368191199631944</v>
      </c>
      <c r="L104" t="s">
        <v>153</v>
      </c>
      <c r="N104" t="s">
        <v>181</v>
      </c>
      <c r="O104" t="s">
        <v>407</v>
      </c>
      <c r="P104">
        <v>0.14899944740121154</v>
      </c>
      <c r="Q104" t="s">
        <v>153</v>
      </c>
      <c r="AK104">
        <v>2048</v>
      </c>
      <c r="AL104" t="s">
        <v>394</v>
      </c>
      <c r="AM104">
        <v>0.43333333333333335</v>
      </c>
      <c r="AN104" t="s">
        <v>195</v>
      </c>
    </row>
    <row r="105" spans="9:40" ht="14.25">
      <c r="I105" t="s">
        <v>171</v>
      </c>
      <c r="J105" t="s">
        <v>408</v>
      </c>
      <c r="K105">
        <v>0</v>
      </c>
      <c r="L105" t="s">
        <v>153</v>
      </c>
      <c r="N105" t="s">
        <v>181</v>
      </c>
      <c r="O105" t="s">
        <v>408</v>
      </c>
      <c r="P105">
        <v>0.12807737720043266</v>
      </c>
      <c r="Q105" t="s">
        <v>153</v>
      </c>
      <c r="AK105">
        <v>2048</v>
      </c>
      <c r="AL105" t="s">
        <v>395</v>
      </c>
      <c r="AM105">
        <v>0.4245666666666667</v>
      </c>
      <c r="AN105" t="s">
        <v>195</v>
      </c>
    </row>
    <row r="106" spans="9:40" ht="14.25">
      <c r="I106" t="s">
        <v>171</v>
      </c>
      <c r="J106" t="s">
        <v>409</v>
      </c>
      <c r="K106">
        <v>0.008727482158590422</v>
      </c>
      <c r="L106" t="s">
        <v>153</v>
      </c>
      <c r="N106" t="s">
        <v>181</v>
      </c>
      <c r="O106" t="s">
        <v>409</v>
      </c>
      <c r="P106">
        <v>0.032600902922455446</v>
      </c>
      <c r="Q106" t="s">
        <v>153</v>
      </c>
      <c r="AK106">
        <v>2048</v>
      </c>
      <c r="AL106" t="s">
        <v>397</v>
      </c>
      <c r="AM106">
        <v>0.35449999999999998</v>
      </c>
      <c r="AN106" t="s">
        <v>195</v>
      </c>
    </row>
    <row r="107" spans="9:40" ht="14.25">
      <c r="I107" t="s">
        <v>172</v>
      </c>
      <c r="J107" t="s">
        <v>398</v>
      </c>
      <c r="K107">
        <v>0.2358647247627576</v>
      </c>
      <c r="L107" t="s">
        <v>153</v>
      </c>
      <c r="N107" t="s">
        <v>182</v>
      </c>
      <c r="O107" t="s">
        <v>398</v>
      </c>
      <c r="P107">
        <v>0.056416845943600115</v>
      </c>
      <c r="Q107" t="s">
        <v>153</v>
      </c>
      <c r="AK107">
        <v>2049</v>
      </c>
      <c r="AL107" t="s">
        <v>392</v>
      </c>
      <c r="AM107">
        <v>0.41686666666666666</v>
      </c>
      <c r="AN107" t="s">
        <v>195</v>
      </c>
    </row>
    <row r="108" spans="9:40" ht="14.25">
      <c r="I108" t="s">
        <v>172</v>
      </c>
      <c r="J108" t="s">
        <v>399</v>
      </c>
      <c r="K108">
        <v>0</v>
      </c>
      <c r="L108" t="s">
        <v>153</v>
      </c>
      <c r="N108" t="s">
        <v>182</v>
      </c>
      <c r="O108" t="s">
        <v>399</v>
      </c>
      <c r="P108">
        <v>0.12125871283147208</v>
      </c>
      <c r="Q108" t="s">
        <v>153</v>
      </c>
      <c r="AK108">
        <v>2049</v>
      </c>
      <c r="AL108" t="s">
        <v>394</v>
      </c>
      <c r="AM108">
        <v>0.52536666666666665</v>
      </c>
      <c r="AN108" t="s">
        <v>195</v>
      </c>
    </row>
    <row r="109" spans="9:40" ht="14.25">
      <c r="I109" t="s">
        <v>172</v>
      </c>
      <c r="J109" t="s">
        <v>400</v>
      </c>
      <c r="K109">
        <v>0.0070784678818511405</v>
      </c>
      <c r="L109" t="s">
        <v>153</v>
      </c>
      <c r="N109" t="s">
        <v>182</v>
      </c>
      <c r="O109" t="s">
        <v>400</v>
      </c>
      <c r="P109">
        <v>0.015839563294904928</v>
      </c>
      <c r="Q109" t="s">
        <v>153</v>
      </c>
      <c r="AK109">
        <v>2049</v>
      </c>
      <c r="AL109" t="s">
        <v>395</v>
      </c>
      <c r="AM109">
        <v>0.46823333333333333</v>
      </c>
      <c r="AN109" t="s">
        <v>195</v>
      </c>
    </row>
    <row r="110" spans="9:40" ht="14.25">
      <c r="I110" t="s">
        <v>172</v>
      </c>
      <c r="J110" t="s">
        <v>401</v>
      </c>
      <c r="K110">
        <v>0.2539183639229749</v>
      </c>
      <c r="L110" t="s">
        <v>153</v>
      </c>
      <c r="N110" t="s">
        <v>182</v>
      </c>
      <c r="O110" t="s">
        <v>401</v>
      </c>
      <c r="P110">
        <v>0.09651349542839753</v>
      </c>
      <c r="Q110" t="s">
        <v>153</v>
      </c>
      <c r="AK110">
        <v>2049</v>
      </c>
      <c r="AL110" t="s">
        <v>397</v>
      </c>
      <c r="AM110">
        <v>0.4128</v>
      </c>
      <c r="AN110" t="s">
        <v>195</v>
      </c>
    </row>
    <row r="111" spans="9:40" ht="14.25">
      <c r="I111" t="s">
        <v>172</v>
      </c>
      <c r="J111" t="s">
        <v>402</v>
      </c>
      <c r="K111">
        <v>0</v>
      </c>
      <c r="L111" t="s">
        <v>153</v>
      </c>
      <c r="N111" t="s">
        <v>182</v>
      </c>
      <c r="O111" t="s">
        <v>402</v>
      </c>
      <c r="P111">
        <v>0.13710650909180697</v>
      </c>
      <c r="Q111" t="s">
        <v>153</v>
      </c>
      <c r="AK111">
        <v>2050</v>
      </c>
      <c r="AL111" t="s">
        <v>392</v>
      </c>
      <c r="AM111">
        <v>0.41903333333333331</v>
      </c>
      <c r="AN111" t="s">
        <v>195</v>
      </c>
    </row>
    <row r="112" spans="9:40" ht="14.25">
      <c r="I112" t="s">
        <v>172</v>
      </c>
      <c r="J112" t="s">
        <v>403</v>
      </c>
      <c r="K112">
        <v>0.017772666760781444</v>
      </c>
      <c r="L112" t="s">
        <v>153</v>
      </c>
      <c r="N112" t="s">
        <v>182</v>
      </c>
      <c r="O112" t="s">
        <v>403</v>
      </c>
      <c r="P112">
        <v>0.026645304038006939</v>
      </c>
      <c r="Q112" t="s">
        <v>153</v>
      </c>
      <c r="AK112">
        <v>2050</v>
      </c>
      <c r="AL112" t="s">
        <v>394</v>
      </c>
      <c r="AM112">
        <v>0.50386666666666657</v>
      </c>
      <c r="AN112" t="s">
        <v>195</v>
      </c>
    </row>
    <row r="113" spans="9:40" ht="14.25">
      <c r="I113" t="s">
        <v>172</v>
      </c>
      <c r="J113" t="s">
        <v>404</v>
      </c>
      <c r="K113">
        <v>0.23419982227373431</v>
      </c>
      <c r="L113" t="s">
        <v>153</v>
      </c>
      <c r="N113" t="s">
        <v>182</v>
      </c>
      <c r="O113" t="s">
        <v>404</v>
      </c>
      <c r="P113">
        <v>0.094548448230883014</v>
      </c>
      <c r="Q113" t="s">
        <v>153</v>
      </c>
      <c r="AK113">
        <v>2050</v>
      </c>
      <c r="AL113" t="s">
        <v>395</v>
      </c>
      <c r="AM113">
        <v>0.49646666666666661</v>
      </c>
      <c r="AN113" t="s">
        <v>195</v>
      </c>
    </row>
    <row r="114" spans="9:40" ht="14.25">
      <c r="I114" t="s">
        <v>172</v>
      </c>
      <c r="J114" t="s">
        <v>405</v>
      </c>
      <c r="K114">
        <v>0</v>
      </c>
      <c r="L114" t="s">
        <v>153</v>
      </c>
      <c r="N114" t="s">
        <v>182</v>
      </c>
      <c r="O114" t="s">
        <v>405</v>
      </c>
      <c r="P114">
        <v>0.13916929083950699</v>
      </c>
      <c r="Q114" t="s">
        <v>153</v>
      </c>
      <c r="AK114">
        <v>2050</v>
      </c>
      <c r="AL114" t="s">
        <v>397</v>
      </c>
      <c r="AM114">
        <v>0.42146666666666666</v>
      </c>
      <c r="AN114" t="s">
        <v>195</v>
      </c>
    </row>
    <row r="115" spans="9:17" ht="14.25">
      <c r="I115" t="s">
        <v>172</v>
      </c>
      <c r="J115" t="s">
        <v>406</v>
      </c>
      <c r="K115">
        <v>0.016138619277238895</v>
      </c>
      <c r="L115" t="s">
        <v>153</v>
      </c>
      <c r="N115" t="s">
        <v>182</v>
      </c>
      <c r="O115" t="s">
        <v>406</v>
      </c>
      <c r="P115">
        <v>0.02175279486321751</v>
      </c>
      <c r="Q115" t="s">
        <v>153</v>
      </c>
    </row>
    <row r="116" spans="9:17" ht="14.25">
      <c r="I116" t="s">
        <v>172</v>
      </c>
      <c r="J116" t="s">
        <v>407</v>
      </c>
      <c r="K116">
        <v>0.22570157868039475</v>
      </c>
      <c r="L116" t="s">
        <v>153</v>
      </c>
      <c r="N116" t="s">
        <v>182</v>
      </c>
      <c r="O116" t="s">
        <v>407</v>
      </c>
      <c r="P116">
        <v>0.10649238484951438</v>
      </c>
      <c r="Q116" t="s">
        <v>153</v>
      </c>
    </row>
    <row r="117" spans="9:17" ht="14.25">
      <c r="I117" t="s">
        <v>172</v>
      </c>
      <c r="J117" t="s">
        <v>408</v>
      </c>
      <c r="K117">
        <v>0</v>
      </c>
      <c r="L117" t="s">
        <v>153</v>
      </c>
      <c r="N117" t="s">
        <v>182</v>
      </c>
      <c r="O117" t="s">
        <v>408</v>
      </c>
      <c r="P117">
        <v>0.15739500616704666</v>
      </c>
      <c r="Q117" t="s">
        <v>153</v>
      </c>
    </row>
    <row r="118" spans="9:17" ht="14.25">
      <c r="I118" t="s">
        <v>172</v>
      </c>
      <c r="J118" t="s">
        <v>409</v>
      </c>
      <c r="K118">
        <v>0.0093257564402666367</v>
      </c>
      <c r="L118" t="s">
        <v>153</v>
      </c>
      <c r="N118" t="s">
        <v>182</v>
      </c>
      <c r="O118" t="s">
        <v>409</v>
      </c>
      <c r="P118">
        <v>0.026861644421643328</v>
      </c>
      <c r="Q118" t="s">
        <v>153</v>
      </c>
    </row>
    <row r="119" spans="9:17" ht="14.25">
      <c r="I119" t="s">
        <v>173</v>
      </c>
      <c r="J119" t="s">
        <v>398</v>
      </c>
      <c r="K119">
        <v>0.23981110233023797</v>
      </c>
      <c r="L119" t="s">
        <v>153</v>
      </c>
      <c r="N119" t="s">
        <v>183</v>
      </c>
      <c r="O119" t="s">
        <v>398</v>
      </c>
      <c r="P119">
        <v>0.066080811293355066</v>
      </c>
      <c r="Q119" t="s">
        <v>153</v>
      </c>
    </row>
    <row r="120" spans="9:17" ht="14.25">
      <c r="I120" t="s">
        <v>173</v>
      </c>
      <c r="J120" t="s">
        <v>399</v>
      </c>
      <c r="K120">
        <v>0</v>
      </c>
      <c r="L120" t="s">
        <v>153</v>
      </c>
      <c r="N120" t="s">
        <v>183</v>
      </c>
      <c r="O120" t="s">
        <v>399</v>
      </c>
      <c r="P120">
        <v>0.10153037583324265</v>
      </c>
      <c r="Q120" t="s">
        <v>153</v>
      </c>
    </row>
    <row r="121" spans="9:17" ht="14.25">
      <c r="I121" t="s">
        <v>173</v>
      </c>
      <c r="J121" t="s">
        <v>400</v>
      </c>
      <c r="K121">
        <v>0.0074427160793713049</v>
      </c>
      <c r="L121" t="s">
        <v>153</v>
      </c>
      <c r="N121" t="s">
        <v>183</v>
      </c>
      <c r="O121" t="s">
        <v>400</v>
      </c>
      <c r="P121">
        <v>0.023054448134274805</v>
      </c>
      <c r="Q121" t="s">
        <v>153</v>
      </c>
    </row>
    <row r="122" spans="9:17" ht="14.25">
      <c r="I122" t="s">
        <v>173</v>
      </c>
      <c r="J122" t="s">
        <v>401</v>
      </c>
      <c r="K122">
        <v>0.25229880245159741</v>
      </c>
      <c r="L122" t="s">
        <v>153</v>
      </c>
      <c r="N122" t="s">
        <v>183</v>
      </c>
      <c r="O122" t="s">
        <v>401</v>
      </c>
      <c r="P122">
        <v>0.12086402494699829</v>
      </c>
      <c r="Q122" t="s">
        <v>153</v>
      </c>
    </row>
    <row r="123" spans="9:17" ht="14.25">
      <c r="I123" t="s">
        <v>173</v>
      </c>
      <c r="J123" t="s">
        <v>402</v>
      </c>
      <c r="K123">
        <v>0</v>
      </c>
      <c r="L123" t="s">
        <v>153</v>
      </c>
      <c r="N123" t="s">
        <v>183</v>
      </c>
      <c r="O123" t="s">
        <v>402</v>
      </c>
      <c r="P123">
        <v>0.1095344989325971</v>
      </c>
      <c r="Q123" t="s">
        <v>153</v>
      </c>
    </row>
    <row r="124" spans="9:17" ht="14.25">
      <c r="I124" t="s">
        <v>173</v>
      </c>
      <c r="J124" t="s">
        <v>403</v>
      </c>
      <c r="K124">
        <v>0.017115015808155314</v>
      </c>
      <c r="L124" t="s">
        <v>153</v>
      </c>
      <c r="N124" t="s">
        <v>183</v>
      </c>
      <c r="O124" t="s">
        <v>403</v>
      </c>
      <c r="P124">
        <v>0.032726588180189899</v>
      </c>
      <c r="Q124" t="s">
        <v>153</v>
      </c>
    </row>
    <row r="125" spans="9:17" ht="14.25">
      <c r="I125" t="s">
        <v>173</v>
      </c>
      <c r="J125" t="s">
        <v>404</v>
      </c>
      <c r="K125">
        <v>0.22721351447301411</v>
      </c>
      <c r="L125" t="s">
        <v>153</v>
      </c>
      <c r="N125" t="s">
        <v>183</v>
      </c>
      <c r="O125" t="s">
        <v>404</v>
      </c>
      <c r="P125">
        <v>0.10833486709693861</v>
      </c>
      <c r="Q125" t="s">
        <v>153</v>
      </c>
    </row>
    <row r="126" spans="9:17" ht="14.25">
      <c r="I126" t="s">
        <v>173</v>
      </c>
      <c r="J126" t="s">
        <v>405</v>
      </c>
      <c r="K126">
        <v>0</v>
      </c>
      <c r="L126" t="s">
        <v>153</v>
      </c>
      <c r="N126" t="s">
        <v>183</v>
      </c>
      <c r="O126" t="s">
        <v>405</v>
      </c>
      <c r="P126">
        <v>0.12226565196335942</v>
      </c>
      <c r="Q126" t="s">
        <v>153</v>
      </c>
    </row>
    <row r="127" spans="9:17" ht="14.25">
      <c r="I127" t="s">
        <v>173</v>
      </c>
      <c r="J127" t="s">
        <v>406</v>
      </c>
      <c r="K127">
        <v>0.01460339774516527</v>
      </c>
      <c r="L127" t="s">
        <v>153</v>
      </c>
      <c r="N127" t="s">
        <v>183</v>
      </c>
      <c r="O127" t="s">
        <v>406</v>
      </c>
      <c r="P127">
        <v>0.028667916781297403</v>
      </c>
      <c r="Q127" t="s">
        <v>153</v>
      </c>
    </row>
    <row r="128" spans="9:17" ht="14.25">
      <c r="I128" t="s">
        <v>173</v>
      </c>
      <c r="J128" t="s">
        <v>407</v>
      </c>
      <c r="K128">
        <v>0.2313647658372659</v>
      </c>
      <c r="L128" t="s">
        <v>153</v>
      </c>
      <c r="N128" t="s">
        <v>183</v>
      </c>
      <c r="O128" t="s">
        <v>407</v>
      </c>
      <c r="P128">
        <v>0.12173032355097547</v>
      </c>
      <c r="Q128" t="s">
        <v>153</v>
      </c>
    </row>
    <row r="129" spans="9:17" ht="14.25">
      <c r="I129" t="s">
        <v>173</v>
      </c>
      <c r="J129" t="s">
        <v>408</v>
      </c>
      <c r="K129">
        <v>0</v>
      </c>
      <c r="L129" t="s">
        <v>153</v>
      </c>
      <c r="N129" t="s">
        <v>183</v>
      </c>
      <c r="O129" t="s">
        <v>408</v>
      </c>
      <c r="P129">
        <v>0.13578054607191892</v>
      </c>
      <c r="Q129" t="s">
        <v>153</v>
      </c>
    </row>
    <row r="130" spans="9:17" ht="14.25">
      <c r="I130" t="s">
        <v>173</v>
      </c>
      <c r="J130" t="s">
        <v>409</v>
      </c>
      <c r="K130">
        <v>0.010150685275192237</v>
      </c>
      <c r="L130" t="s">
        <v>153</v>
      </c>
      <c r="N130" t="s">
        <v>183</v>
      </c>
      <c r="O130" t="s">
        <v>409</v>
      </c>
      <c r="P130">
        <v>0.029429947214850555</v>
      </c>
      <c r="Q13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ts_annual</vt:lpstr>
      <vt:lpstr>ts_12t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2026-03-10T12:39:25Z</dcterms:modified>
  <cp:category/>
</cp:coreProperties>
</file>